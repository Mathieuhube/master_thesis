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Objects="none" hidePivotFieldList="1"/>
  <mc:AlternateContent xmlns:mc="http://schemas.openxmlformats.org/markup-compatibility/2006">
    <mc:Choice Requires="x15">
      <x15ac:absPath xmlns:x15ac="http://schemas.microsoft.com/office/spreadsheetml/2010/11/ac" url="https://d.docs.live.net/09454f9505dd4f6e/Desktop/PokerLog/"/>
    </mc:Choice>
  </mc:AlternateContent>
  <xr:revisionPtr revIDLastSave="954" documentId="13_ncr:1_{5EE99230-131B-4C03-BF98-F72431C29D15}" xr6:coauthVersionLast="47" xr6:coauthVersionMax="47" xr10:uidLastSave="{75F3209F-401A-4E19-86A0-C1B5DC795742}"/>
  <bookViews>
    <workbookView xWindow="-110" yWindow="-110" windowWidth="25820" windowHeight="15500" xr2:uid="{00000000-000D-0000-FFFF-FFFF00000000}"/>
  </bookViews>
  <sheets>
    <sheet name="Data" sheetId="1" r:id="rId1"/>
    <sheet name="Pivot" sheetId="2" r:id="rId2"/>
    <sheet name="CardStrategy" sheetId="5" r:id="rId3"/>
  </sheets>
  <definedNames>
    <definedName name="_xlnm._FilterDatabase" localSheetId="0" hidden="1">Data!$A$1:$M$4509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5" l="1"/>
  <c r="AB4" i="5"/>
  <c r="AB5" i="5"/>
  <c r="AA4" i="5"/>
  <c r="L4499" i="1"/>
  <c r="L4500" i="1"/>
  <c r="L4504" i="1"/>
  <c r="L4505" i="1"/>
  <c r="L4507" i="1"/>
  <c r="L4508" i="1"/>
  <c r="F4509" i="1"/>
  <c r="E4509" i="1"/>
  <c r="D4509" i="1"/>
  <c r="F4508" i="1"/>
  <c r="E4508" i="1"/>
  <c r="D4508" i="1"/>
  <c r="F4507" i="1"/>
  <c r="E4507" i="1"/>
  <c r="D4507" i="1"/>
  <c r="L4506" i="1"/>
  <c r="F4506" i="1"/>
  <c r="E4506" i="1"/>
  <c r="D4506" i="1"/>
  <c r="F4505" i="1"/>
  <c r="E4505" i="1"/>
  <c r="D4505" i="1"/>
  <c r="F4504" i="1"/>
  <c r="E4504" i="1"/>
  <c r="D4504" i="1"/>
  <c r="L4503" i="1"/>
  <c r="F4503" i="1"/>
  <c r="E4503" i="1"/>
  <c r="D4503" i="1"/>
  <c r="L4501" i="1"/>
  <c r="F4502" i="1"/>
  <c r="E4502" i="1"/>
  <c r="D4502" i="1"/>
  <c r="F4501" i="1"/>
  <c r="E4501" i="1"/>
  <c r="D4501" i="1"/>
  <c r="F4500" i="1"/>
  <c r="E4500" i="1"/>
  <c r="D4500" i="1"/>
  <c r="F4499" i="1"/>
  <c r="E4499" i="1"/>
  <c r="D4499" i="1"/>
  <c r="L4498" i="1"/>
  <c r="F4498" i="1"/>
  <c r="E4498" i="1"/>
  <c r="D4498" i="1"/>
  <c r="L4497" i="1"/>
  <c r="F4497" i="1"/>
  <c r="E4497" i="1"/>
  <c r="D4497" i="1"/>
  <c r="L4496" i="1"/>
  <c r="F4496" i="1"/>
  <c r="E4496" i="1"/>
  <c r="D4496" i="1"/>
  <c r="L4495" i="1"/>
  <c r="L4494" i="1"/>
  <c r="F4495" i="1"/>
  <c r="E4495" i="1"/>
  <c r="D4495" i="1"/>
  <c r="F4494" i="1"/>
  <c r="E4494" i="1"/>
  <c r="D4494" i="1"/>
  <c r="L4493" i="1"/>
  <c r="F4493" i="1"/>
  <c r="E4493" i="1"/>
  <c r="D4493" i="1"/>
  <c r="L4492" i="1"/>
  <c r="L4489" i="1"/>
  <c r="F4492" i="1"/>
  <c r="E4492" i="1"/>
  <c r="D4492" i="1"/>
  <c r="L4491" i="1"/>
  <c r="F4491" i="1"/>
  <c r="E4491" i="1"/>
  <c r="D4491" i="1"/>
  <c r="L4490" i="1"/>
  <c r="F4490" i="1"/>
  <c r="E4490" i="1"/>
  <c r="D4490" i="1"/>
  <c r="L4488" i="1"/>
  <c r="F4489" i="1"/>
  <c r="E4489" i="1"/>
  <c r="D4489" i="1"/>
  <c r="F4488" i="1"/>
  <c r="E4488" i="1"/>
  <c r="D4488" i="1"/>
  <c r="L4487" i="1"/>
  <c r="F4487" i="1"/>
  <c r="E4487" i="1"/>
  <c r="D4487" i="1"/>
  <c r="L4486" i="1"/>
  <c r="F4486" i="1"/>
  <c r="E4486" i="1"/>
  <c r="D4486" i="1"/>
  <c r="L4484" i="1"/>
  <c r="F4485" i="1"/>
  <c r="E4485" i="1"/>
  <c r="D4485" i="1"/>
  <c r="F4484" i="1"/>
  <c r="E4484" i="1"/>
  <c r="D4484" i="1"/>
  <c r="L4483" i="1"/>
  <c r="F4483" i="1"/>
  <c r="E4483" i="1"/>
  <c r="D4483" i="1"/>
  <c r="L4482" i="1"/>
  <c r="F4482" i="1"/>
  <c r="E4482" i="1"/>
  <c r="D4482" i="1"/>
  <c r="L4481" i="1"/>
  <c r="L4480" i="1"/>
  <c r="F4481" i="1"/>
  <c r="E4481" i="1"/>
  <c r="D4481" i="1"/>
  <c r="F4480" i="1"/>
  <c r="E4480" i="1"/>
  <c r="D4480" i="1"/>
  <c r="F4479" i="1"/>
  <c r="E4479" i="1"/>
  <c r="D4479" i="1"/>
  <c r="L4478" i="1"/>
  <c r="F4478" i="1"/>
  <c r="E4478" i="1"/>
  <c r="D4478" i="1"/>
  <c r="L4476" i="1"/>
  <c r="F4477" i="1"/>
  <c r="E4477" i="1"/>
  <c r="D4477" i="1"/>
  <c r="F4476" i="1"/>
  <c r="E4476" i="1"/>
  <c r="D4476" i="1"/>
  <c r="F4475" i="1"/>
  <c r="E4475" i="1"/>
  <c r="D4475" i="1"/>
  <c r="L4474" i="1"/>
  <c r="F4474" i="1"/>
  <c r="E4474" i="1"/>
  <c r="D4474" i="1"/>
  <c r="L4473" i="1"/>
  <c r="F4473" i="1"/>
  <c r="E4473" i="1"/>
  <c r="D4473" i="1"/>
  <c r="L4472" i="1"/>
  <c r="F4472" i="1"/>
  <c r="E4472" i="1"/>
  <c r="D4472" i="1"/>
  <c r="L4471" i="1"/>
  <c r="F4471" i="1"/>
  <c r="E4471" i="1"/>
  <c r="D4471" i="1"/>
  <c r="L4470" i="1"/>
  <c r="F4470" i="1"/>
  <c r="E4470" i="1"/>
  <c r="D4470" i="1"/>
  <c r="L4469" i="1"/>
  <c r="F4469" i="1"/>
  <c r="E4469" i="1"/>
  <c r="D4469" i="1"/>
  <c r="F4468" i="1"/>
  <c r="E4468" i="1"/>
  <c r="D4468" i="1"/>
  <c r="L4467" i="1"/>
  <c r="F4467" i="1"/>
  <c r="E4467" i="1"/>
  <c r="D4467" i="1"/>
  <c r="L4466" i="1"/>
  <c r="F4466" i="1"/>
  <c r="E4466" i="1"/>
  <c r="D4466" i="1"/>
  <c r="L4465" i="1" l="1"/>
  <c r="F4465" i="1"/>
  <c r="E4465" i="1"/>
  <c r="D4465" i="1"/>
  <c r="L4464" i="1"/>
  <c r="L4463" i="1"/>
  <c r="F4464" i="1"/>
  <c r="E4464" i="1"/>
  <c r="D4464" i="1"/>
  <c r="F4463" i="1"/>
  <c r="E4463" i="1"/>
  <c r="D4463" i="1"/>
  <c r="L4462" i="1"/>
  <c r="F4462" i="1"/>
  <c r="E4462" i="1"/>
  <c r="D4462" i="1"/>
  <c r="L4461" i="1"/>
  <c r="F4461" i="1"/>
  <c r="E4461" i="1"/>
  <c r="D4461" i="1"/>
  <c r="L4460" i="1"/>
  <c r="F4460" i="1"/>
  <c r="E4460" i="1"/>
  <c r="D4460" i="1"/>
  <c r="L4458" i="1"/>
  <c r="F4459" i="1"/>
  <c r="E4459" i="1"/>
  <c r="D4459" i="1"/>
  <c r="F4458" i="1"/>
  <c r="E4458" i="1"/>
  <c r="D4458" i="1"/>
  <c r="L4457" i="1"/>
  <c r="F4457" i="1"/>
  <c r="E4457" i="1"/>
  <c r="D4457" i="1"/>
  <c r="L4456" i="1"/>
  <c r="F4456" i="1"/>
  <c r="E4456" i="1"/>
  <c r="D4456" i="1"/>
  <c r="L4455" i="1"/>
  <c r="L4454" i="1"/>
  <c r="F4455" i="1"/>
  <c r="E4455" i="1"/>
  <c r="D4455" i="1"/>
  <c r="F4454" i="1"/>
  <c r="E4454" i="1"/>
  <c r="D4454" i="1"/>
  <c r="L4453" i="1"/>
  <c r="F4453" i="1"/>
  <c r="E4453" i="1"/>
  <c r="D4453" i="1"/>
  <c r="L4451" i="1"/>
  <c r="F4452" i="1"/>
  <c r="E4452" i="1"/>
  <c r="D4452" i="1"/>
  <c r="F4451" i="1"/>
  <c r="E4451" i="1"/>
  <c r="D4451" i="1"/>
  <c r="L4450" i="1"/>
  <c r="F4450" i="1"/>
  <c r="E4450" i="1"/>
  <c r="D4450" i="1"/>
  <c r="L4449" i="1"/>
  <c r="L4448" i="1"/>
  <c r="F4449" i="1"/>
  <c r="E4449" i="1"/>
  <c r="D4449" i="1"/>
  <c r="F4448" i="1"/>
  <c r="E4448" i="1"/>
  <c r="D4448" i="1"/>
  <c r="L4447" i="1"/>
  <c r="F4447" i="1"/>
  <c r="E4447" i="1"/>
  <c r="D4447" i="1"/>
  <c r="L4446" i="1"/>
  <c r="F4446" i="1"/>
  <c r="E4446" i="1"/>
  <c r="D4446" i="1"/>
  <c r="L4445" i="1"/>
  <c r="F4445" i="1"/>
  <c r="E4445" i="1"/>
  <c r="D4445" i="1"/>
  <c r="L4444" i="1"/>
  <c r="F4444" i="1"/>
  <c r="E4444" i="1"/>
  <c r="D4444" i="1"/>
  <c r="F4443" i="1"/>
  <c r="E4443" i="1"/>
  <c r="D4443" i="1"/>
  <c r="L4442" i="1"/>
  <c r="F4442" i="1"/>
  <c r="E4442" i="1"/>
  <c r="D4442" i="1"/>
  <c r="L4441" i="1"/>
  <c r="F4441" i="1"/>
  <c r="E4441" i="1"/>
  <c r="D4441" i="1"/>
  <c r="L4440" i="1"/>
  <c r="L4439" i="1"/>
  <c r="F4440" i="1"/>
  <c r="E4440" i="1"/>
  <c r="D4440" i="1"/>
  <c r="F4439" i="1"/>
  <c r="E4439" i="1"/>
  <c r="D4439" i="1"/>
  <c r="F4438" i="1"/>
  <c r="E4438" i="1"/>
  <c r="D4438" i="1"/>
  <c r="L4437" i="1"/>
  <c r="F4437" i="1"/>
  <c r="E4437" i="1"/>
  <c r="D4437" i="1"/>
  <c r="L4436" i="1"/>
  <c r="F4436" i="1"/>
  <c r="E4436" i="1"/>
  <c r="D4436" i="1"/>
  <c r="L4435" i="1"/>
  <c r="F4435" i="1"/>
  <c r="E4435" i="1"/>
  <c r="D4435" i="1"/>
  <c r="L4434" i="1"/>
  <c r="F4434" i="1"/>
  <c r="E4434" i="1"/>
  <c r="D4434" i="1"/>
  <c r="L4433" i="1"/>
  <c r="F4433" i="1"/>
  <c r="E4433" i="1"/>
  <c r="D4433" i="1"/>
  <c r="L4432" i="1"/>
  <c r="F4432" i="1"/>
  <c r="E4432" i="1"/>
  <c r="D4432" i="1"/>
  <c r="L4431" i="1"/>
  <c r="F4431" i="1"/>
  <c r="E4431" i="1"/>
  <c r="D4431" i="1"/>
  <c r="L4430" i="1"/>
  <c r="F4430" i="1"/>
  <c r="E4430" i="1"/>
  <c r="D4430" i="1"/>
  <c r="L4429" i="1"/>
  <c r="F4429" i="1"/>
  <c r="E4429" i="1"/>
  <c r="D4429" i="1"/>
  <c r="L4428" i="1"/>
  <c r="F4428" i="1"/>
  <c r="E4428" i="1"/>
  <c r="D4428" i="1"/>
  <c r="L4427" i="1"/>
  <c r="F4427" i="1"/>
  <c r="E4427" i="1"/>
  <c r="D4427" i="1"/>
  <c r="L4426" i="1"/>
  <c r="F4426" i="1"/>
  <c r="E4426" i="1"/>
  <c r="D4426" i="1"/>
  <c r="L4425" i="1"/>
  <c r="F4425" i="1"/>
  <c r="E4425" i="1"/>
  <c r="D4425" i="1"/>
  <c r="L4424" i="1"/>
  <c r="F4424" i="1"/>
  <c r="E4424" i="1"/>
  <c r="D4424" i="1"/>
  <c r="L4423" i="1"/>
  <c r="F4423" i="1"/>
  <c r="E4423" i="1"/>
  <c r="D4423" i="1"/>
  <c r="L4422" i="1"/>
  <c r="L4421" i="1"/>
  <c r="F4422" i="1"/>
  <c r="E4422" i="1"/>
  <c r="D4422" i="1"/>
  <c r="F4421" i="1"/>
  <c r="E4421" i="1"/>
  <c r="D4421" i="1"/>
  <c r="L4420" i="1"/>
  <c r="F4420" i="1"/>
  <c r="E4420" i="1"/>
  <c r="D4420" i="1"/>
  <c r="L4419" i="1"/>
  <c r="F4419" i="1"/>
  <c r="E4419" i="1"/>
  <c r="D4419" i="1"/>
  <c r="L4418" i="1"/>
  <c r="F4418" i="1"/>
  <c r="E4418" i="1"/>
  <c r="D4418" i="1"/>
  <c r="L4417" i="1"/>
  <c r="F4417" i="1"/>
  <c r="E4417" i="1"/>
  <c r="D4417" i="1"/>
  <c r="L4416" i="1"/>
  <c r="F4416" i="1"/>
  <c r="E4416" i="1"/>
  <c r="D4416" i="1"/>
  <c r="L4415" i="1"/>
  <c r="L4414" i="1"/>
  <c r="F4415" i="1"/>
  <c r="E4415" i="1"/>
  <c r="D4415" i="1"/>
  <c r="F4414" i="1"/>
  <c r="E4414" i="1"/>
  <c r="D4414" i="1"/>
  <c r="F4413" i="1"/>
  <c r="E4413" i="1"/>
  <c r="D4413" i="1"/>
  <c r="L4412" i="1"/>
  <c r="F4412" i="1"/>
  <c r="E4412" i="1"/>
  <c r="D4412" i="1"/>
  <c r="L4411" i="1"/>
  <c r="F4411" i="1"/>
  <c r="E4411" i="1"/>
  <c r="D4411" i="1"/>
  <c r="L4410" i="1"/>
  <c r="F4410" i="1"/>
  <c r="E4410" i="1"/>
  <c r="D4410" i="1"/>
  <c r="L4408" i="1"/>
  <c r="F4409" i="1"/>
  <c r="E4409" i="1"/>
  <c r="D4409" i="1"/>
  <c r="F4408" i="1"/>
  <c r="E4408" i="1"/>
  <c r="D4408" i="1"/>
  <c r="L4407" i="1"/>
  <c r="F4407" i="1"/>
  <c r="E4407" i="1"/>
  <c r="D4407" i="1"/>
  <c r="L4406" i="1"/>
  <c r="F4406" i="1"/>
  <c r="E4406" i="1"/>
  <c r="D4406" i="1"/>
  <c r="L4405" i="1"/>
  <c r="F4405" i="1"/>
  <c r="E4405" i="1"/>
  <c r="D4405" i="1"/>
  <c r="L4404" i="1"/>
  <c r="F4404" i="1"/>
  <c r="E4404" i="1"/>
  <c r="D4404" i="1"/>
  <c r="L4403" i="1"/>
  <c r="F4403" i="1"/>
  <c r="E4403" i="1"/>
  <c r="D4403" i="1"/>
  <c r="L4402" i="1"/>
  <c r="F4402" i="1"/>
  <c r="E4402" i="1"/>
  <c r="D4402" i="1"/>
  <c r="L4401" i="1"/>
  <c r="L4400" i="1"/>
  <c r="F4401" i="1"/>
  <c r="E4401" i="1"/>
  <c r="D4401" i="1"/>
  <c r="F4400" i="1"/>
  <c r="E4400" i="1"/>
  <c r="D4400" i="1"/>
  <c r="L4398" i="1"/>
  <c r="F4399" i="1"/>
  <c r="E4399" i="1"/>
  <c r="D4399" i="1"/>
  <c r="F4398" i="1"/>
  <c r="E4398" i="1"/>
  <c r="D4398" i="1"/>
  <c r="L4397" i="1"/>
  <c r="F4397" i="1"/>
  <c r="E4397" i="1"/>
  <c r="D4397" i="1"/>
  <c r="L4396" i="1"/>
  <c r="F4396" i="1"/>
  <c r="E4396" i="1"/>
  <c r="D4396" i="1"/>
  <c r="L4395" i="1"/>
  <c r="F4395" i="1"/>
  <c r="E4395" i="1"/>
  <c r="D4395" i="1"/>
  <c r="L4394" i="1"/>
  <c r="F4394" i="1"/>
  <c r="E4394" i="1"/>
  <c r="D4394" i="1"/>
  <c r="L4393" i="1"/>
  <c r="F4393" i="1"/>
  <c r="E4393" i="1"/>
  <c r="D4393" i="1"/>
  <c r="L4392" i="1"/>
  <c r="F4392" i="1"/>
  <c r="E4392" i="1"/>
  <c r="D4392" i="1"/>
  <c r="L4391" i="1"/>
  <c r="F4391" i="1"/>
  <c r="E4391" i="1"/>
  <c r="D4391" i="1"/>
  <c r="L4390" i="1"/>
  <c r="F4390" i="1"/>
  <c r="E4390" i="1"/>
  <c r="D4390" i="1"/>
  <c r="L4389" i="1"/>
  <c r="F4389" i="1"/>
  <c r="E4389" i="1"/>
  <c r="D4389" i="1"/>
  <c r="L4388" i="1"/>
  <c r="F4388" i="1"/>
  <c r="E4388" i="1"/>
  <c r="D4388" i="1"/>
  <c r="L4387" i="1"/>
  <c r="F4387" i="1"/>
  <c r="E4387" i="1"/>
  <c r="D4387" i="1"/>
  <c r="L4386" i="1"/>
  <c r="F4386" i="1"/>
  <c r="E4386" i="1"/>
  <c r="D4386" i="1"/>
  <c r="L4385" i="1"/>
  <c r="L4384" i="1"/>
  <c r="F4385" i="1"/>
  <c r="E4385" i="1"/>
  <c r="D4385" i="1"/>
  <c r="F4384" i="1"/>
  <c r="E4384" i="1"/>
  <c r="D4384" i="1"/>
  <c r="L4383" i="1"/>
  <c r="F4383" i="1"/>
  <c r="E4383" i="1"/>
  <c r="D4383" i="1"/>
  <c r="L4382" i="1"/>
  <c r="F4382" i="1"/>
  <c r="E4382" i="1"/>
  <c r="D4382" i="1"/>
  <c r="L4381" i="1"/>
  <c r="F4381" i="1"/>
  <c r="E4381" i="1"/>
  <c r="D4381" i="1"/>
  <c r="L4380" i="1" l="1"/>
  <c r="F4380" i="1"/>
  <c r="E4380" i="1"/>
  <c r="D4380" i="1"/>
  <c r="L4379" i="1"/>
  <c r="F4379" i="1"/>
  <c r="E4379" i="1"/>
  <c r="D4379" i="1"/>
  <c r="L4378" i="1"/>
  <c r="F4378" i="1"/>
  <c r="E4378" i="1"/>
  <c r="D4378" i="1"/>
  <c r="L4377" i="1"/>
  <c r="F4377" i="1"/>
  <c r="E4377" i="1"/>
  <c r="D4377" i="1"/>
  <c r="L4376" i="1"/>
  <c r="F4376" i="1"/>
  <c r="E4376" i="1"/>
  <c r="D4376" i="1"/>
  <c r="L4375" i="1"/>
  <c r="F4375" i="1"/>
  <c r="E4375" i="1"/>
  <c r="D4375" i="1"/>
  <c r="L4374" i="1"/>
  <c r="F4374" i="1"/>
  <c r="E4374" i="1"/>
  <c r="D4374" i="1"/>
  <c r="L4373" i="1"/>
  <c r="F4373" i="1"/>
  <c r="E4373" i="1"/>
  <c r="D4373" i="1"/>
  <c r="L4372" i="1"/>
  <c r="F4372" i="1"/>
  <c r="E4372" i="1"/>
  <c r="D4372" i="1"/>
  <c r="L4371" i="1"/>
  <c r="F4371" i="1"/>
  <c r="E4371" i="1"/>
  <c r="D4371" i="1"/>
  <c r="L4370" i="1"/>
  <c r="F4370" i="1"/>
  <c r="E4370" i="1"/>
  <c r="D4370" i="1"/>
  <c r="L4368" i="1"/>
  <c r="F4369" i="1"/>
  <c r="E4369" i="1"/>
  <c r="D4369" i="1"/>
  <c r="F4368" i="1"/>
  <c r="E4368" i="1"/>
  <c r="D4368" i="1"/>
  <c r="L4367" i="1"/>
  <c r="F4367" i="1"/>
  <c r="E4367" i="1"/>
  <c r="D4367" i="1"/>
  <c r="L4366" i="1" l="1"/>
  <c r="F4366" i="1"/>
  <c r="E4366" i="1"/>
  <c r="D4366" i="1"/>
  <c r="L4365" i="1"/>
  <c r="L4364" i="1"/>
  <c r="F4365" i="1"/>
  <c r="E4365" i="1"/>
  <c r="D4365" i="1"/>
  <c r="F4364" i="1"/>
  <c r="E4364" i="1"/>
  <c r="D4364" i="1"/>
  <c r="L4363" i="1"/>
  <c r="F4363" i="1"/>
  <c r="E4363" i="1"/>
  <c r="D4363" i="1"/>
  <c r="L4362" i="1"/>
  <c r="F4362" i="1"/>
  <c r="E4362" i="1"/>
  <c r="D4362" i="1"/>
  <c r="L4361" i="1"/>
  <c r="F4361" i="1"/>
  <c r="E4361" i="1"/>
  <c r="D4361" i="1"/>
  <c r="L4360" i="1"/>
  <c r="F4360" i="1"/>
  <c r="E4360" i="1"/>
  <c r="D4360" i="1"/>
  <c r="L4359" i="1"/>
  <c r="F4359" i="1"/>
  <c r="E4359" i="1"/>
  <c r="D4359" i="1"/>
  <c r="L4358" i="1"/>
  <c r="F4358" i="1"/>
  <c r="E4358" i="1"/>
  <c r="D4358" i="1"/>
  <c r="L4357" i="1"/>
  <c r="L4356" i="1"/>
  <c r="F4357" i="1"/>
  <c r="E4357" i="1"/>
  <c r="D4357" i="1"/>
  <c r="F4356" i="1"/>
  <c r="E4356" i="1"/>
  <c r="D4356" i="1"/>
  <c r="L4355" i="1"/>
  <c r="F4355" i="1"/>
  <c r="E4355" i="1"/>
  <c r="D4355" i="1"/>
  <c r="L4354" i="1"/>
  <c r="F4354" i="1"/>
  <c r="E4354" i="1"/>
  <c r="D4354" i="1"/>
  <c r="L4353" i="1"/>
  <c r="F4353" i="1"/>
  <c r="E4353" i="1"/>
  <c r="D4353" i="1"/>
  <c r="L4352" i="1"/>
  <c r="F4352" i="1"/>
  <c r="E4352" i="1"/>
  <c r="D4352" i="1"/>
  <c r="L4351" i="1"/>
  <c r="F4351" i="1"/>
  <c r="E4351" i="1"/>
  <c r="D4351" i="1"/>
  <c r="L4350" i="1"/>
  <c r="L4349" i="1"/>
  <c r="L4348" i="1"/>
  <c r="D4349" i="1"/>
  <c r="E4349" i="1"/>
  <c r="F4349" i="1"/>
  <c r="D4350" i="1"/>
  <c r="E4350" i="1"/>
  <c r="F4350" i="1"/>
  <c r="L4347" i="1"/>
  <c r="F4348" i="1"/>
  <c r="E4348" i="1"/>
  <c r="D4348" i="1"/>
  <c r="F4347" i="1"/>
  <c r="E4347" i="1"/>
  <c r="D4347" i="1"/>
  <c r="L4346" i="1"/>
  <c r="F4346" i="1"/>
  <c r="E4346" i="1"/>
  <c r="D4346" i="1"/>
  <c r="L4345" i="1"/>
  <c r="F4345" i="1"/>
  <c r="E4345" i="1"/>
  <c r="D4345" i="1"/>
  <c r="L4344" i="1"/>
  <c r="F4344" i="1"/>
  <c r="E4344" i="1"/>
  <c r="D4344" i="1"/>
  <c r="L4343" i="1"/>
  <c r="F4343" i="1"/>
  <c r="E4343" i="1"/>
  <c r="D4343" i="1"/>
  <c r="L4342" i="1"/>
  <c r="F4342" i="1"/>
  <c r="E4342" i="1"/>
  <c r="D4342" i="1"/>
  <c r="L4341" i="1"/>
  <c r="F4341" i="1"/>
  <c r="E4341" i="1"/>
  <c r="D4341" i="1"/>
  <c r="L4340" i="1"/>
  <c r="F4340" i="1"/>
  <c r="E4340" i="1"/>
  <c r="D4340" i="1"/>
  <c r="L4339" i="1"/>
  <c r="F4339" i="1"/>
  <c r="E4339" i="1"/>
  <c r="D4339" i="1"/>
  <c r="L4338" i="1"/>
  <c r="F4338" i="1"/>
  <c r="E4338" i="1"/>
  <c r="D4338" i="1"/>
  <c r="L4337" i="1"/>
  <c r="F4337" i="1"/>
  <c r="E4337" i="1"/>
  <c r="D4337" i="1"/>
  <c r="L4336" i="1"/>
  <c r="F4336" i="1"/>
  <c r="E4336" i="1"/>
  <c r="D4336" i="1"/>
  <c r="L4335" i="1"/>
  <c r="F4335" i="1"/>
  <c r="E4335" i="1"/>
  <c r="D4335" i="1"/>
  <c r="L4334" i="1"/>
  <c r="F4334" i="1"/>
  <c r="E4334" i="1"/>
  <c r="D4334" i="1"/>
  <c r="L4333" i="1"/>
  <c r="F4333" i="1"/>
  <c r="E4333" i="1"/>
  <c r="D4333" i="1"/>
  <c r="L4332" i="1"/>
  <c r="F4332" i="1"/>
  <c r="E4332" i="1"/>
  <c r="D4332" i="1"/>
  <c r="L4331" i="1"/>
  <c r="F4331" i="1"/>
  <c r="E4331" i="1"/>
  <c r="D4331" i="1"/>
  <c r="L4330" i="1"/>
  <c r="F4330" i="1"/>
  <c r="E4330" i="1"/>
  <c r="D4330" i="1"/>
  <c r="L4329" i="1"/>
  <c r="F4329" i="1"/>
  <c r="E4329" i="1"/>
  <c r="D4329" i="1"/>
  <c r="L4328" i="1"/>
  <c r="F4328" i="1"/>
  <c r="E4328" i="1"/>
  <c r="D4328" i="1"/>
  <c r="L4327" i="1"/>
  <c r="L4326" i="1"/>
  <c r="F4327" i="1"/>
  <c r="E4327" i="1"/>
  <c r="D4327" i="1"/>
  <c r="F4326" i="1"/>
  <c r="E4326" i="1"/>
  <c r="D4326" i="1"/>
  <c r="L4325" i="1"/>
  <c r="L4324" i="1"/>
  <c r="F4325" i="1"/>
  <c r="E4325" i="1"/>
  <c r="D4325" i="1"/>
  <c r="F4324" i="1"/>
  <c r="E4324" i="1"/>
  <c r="D4324" i="1"/>
  <c r="L4323" i="1"/>
  <c r="L4322" i="1"/>
  <c r="F4323" i="1"/>
  <c r="E4323" i="1"/>
  <c r="D4323" i="1"/>
  <c r="F4322" i="1"/>
  <c r="E4322" i="1"/>
  <c r="D4322" i="1"/>
  <c r="L4321" i="1"/>
  <c r="F4321" i="1"/>
  <c r="E4321" i="1"/>
  <c r="D4321" i="1"/>
  <c r="L4320" i="1"/>
  <c r="L4319" i="1"/>
  <c r="F4320" i="1"/>
  <c r="E4320" i="1"/>
  <c r="D4320" i="1"/>
  <c r="F4319" i="1"/>
  <c r="E4319" i="1"/>
  <c r="D4319" i="1"/>
  <c r="L4318" i="1"/>
  <c r="F4318" i="1"/>
  <c r="E4318" i="1"/>
  <c r="D4318" i="1"/>
  <c r="L4317" i="1"/>
  <c r="F4317" i="1"/>
  <c r="E4317" i="1"/>
  <c r="D4317" i="1"/>
  <c r="L4316" i="1"/>
  <c r="F4316" i="1"/>
  <c r="E4316" i="1"/>
  <c r="D4316" i="1"/>
  <c r="L4315" i="1"/>
  <c r="F4315" i="1"/>
  <c r="E4315" i="1"/>
  <c r="D4315" i="1"/>
  <c r="L4314" i="1"/>
  <c r="F4314" i="1"/>
  <c r="E4314" i="1"/>
  <c r="D4314" i="1"/>
  <c r="L4312" i="1"/>
  <c r="F4313" i="1"/>
  <c r="E4313" i="1"/>
  <c r="D4313" i="1"/>
  <c r="F4312" i="1"/>
  <c r="E4312" i="1"/>
  <c r="D4312" i="1"/>
  <c r="L4311" i="1"/>
  <c r="F4311" i="1"/>
  <c r="E4311" i="1"/>
  <c r="D4311" i="1"/>
  <c r="L4310" i="1"/>
  <c r="F4310" i="1"/>
  <c r="E4310" i="1"/>
  <c r="D4310" i="1"/>
  <c r="L4309" i="1"/>
  <c r="F4309" i="1"/>
  <c r="E4309" i="1"/>
  <c r="D4309" i="1"/>
  <c r="L4308" i="1"/>
  <c r="L4307" i="1"/>
  <c r="F4308" i="1"/>
  <c r="E4308" i="1"/>
  <c r="D4308" i="1"/>
  <c r="F4307" i="1"/>
  <c r="E4307" i="1"/>
  <c r="D4307" i="1"/>
  <c r="L4306" i="1"/>
  <c r="F4306" i="1"/>
  <c r="E4306" i="1"/>
  <c r="D4306" i="1"/>
  <c r="L4305" i="1"/>
  <c r="F4305" i="1"/>
  <c r="E4305" i="1"/>
  <c r="D4305" i="1"/>
  <c r="L4304" i="1"/>
  <c r="F4304" i="1"/>
  <c r="E4304" i="1"/>
  <c r="D4304" i="1"/>
  <c r="L4303" i="1"/>
  <c r="F4303" i="1"/>
  <c r="E4303" i="1"/>
  <c r="D4303" i="1"/>
  <c r="L4302" i="1"/>
  <c r="F4302" i="1"/>
  <c r="E4302" i="1"/>
  <c r="D4302" i="1"/>
  <c r="L4301" i="1"/>
  <c r="F4301" i="1"/>
  <c r="E4301" i="1"/>
  <c r="D4301" i="1"/>
  <c r="L4300" i="1"/>
  <c r="F4300" i="1"/>
  <c r="E4300" i="1"/>
  <c r="D4300" i="1"/>
  <c r="L4299" i="1"/>
  <c r="F4299" i="1"/>
  <c r="E4299" i="1"/>
  <c r="D4299" i="1"/>
  <c r="L4298" i="1"/>
  <c r="L4297" i="1"/>
  <c r="F4298" i="1"/>
  <c r="E4298" i="1"/>
  <c r="D4298" i="1"/>
  <c r="F4297" i="1"/>
  <c r="E4297" i="1"/>
  <c r="D4297" i="1"/>
  <c r="L4295" i="1"/>
  <c r="F4296" i="1"/>
  <c r="E4296" i="1"/>
  <c r="D4296" i="1"/>
  <c r="F4295" i="1"/>
  <c r="E4295" i="1"/>
  <c r="D4295" i="1"/>
  <c r="L4291" i="1"/>
  <c r="L4294" i="1"/>
  <c r="F4294" i="1"/>
  <c r="E4294" i="1"/>
  <c r="D4294" i="1"/>
  <c r="L4293" i="1"/>
  <c r="F4293" i="1"/>
  <c r="E4293" i="1"/>
  <c r="D4293" i="1"/>
  <c r="L4292" i="1"/>
  <c r="F4292" i="1"/>
  <c r="E4292" i="1"/>
  <c r="D4292" i="1"/>
  <c r="F4291" i="1"/>
  <c r="E4291" i="1"/>
  <c r="D4291" i="1"/>
  <c r="L4290" i="1"/>
  <c r="F4290" i="1"/>
  <c r="E4290" i="1"/>
  <c r="D4290" i="1"/>
  <c r="L4289" i="1"/>
  <c r="F4289" i="1"/>
  <c r="E4289" i="1"/>
  <c r="D4289" i="1"/>
  <c r="L4288" i="1"/>
  <c r="L4287" i="1"/>
  <c r="F4288" i="1"/>
  <c r="E4288" i="1"/>
  <c r="D4288" i="1"/>
  <c r="F4287" i="1"/>
  <c r="E4287" i="1"/>
  <c r="D4287" i="1"/>
  <c r="L4286" i="1"/>
  <c r="F4286" i="1"/>
  <c r="E4286" i="1"/>
  <c r="D4286" i="1"/>
  <c r="L4285" i="1"/>
  <c r="F4285" i="1"/>
  <c r="E4285" i="1"/>
  <c r="D4285" i="1"/>
  <c r="L4284" i="1"/>
  <c r="L4283" i="1"/>
  <c r="F4284" i="1"/>
  <c r="E4284" i="1"/>
  <c r="D4284" i="1"/>
  <c r="F4283" i="1"/>
  <c r="E4283" i="1"/>
  <c r="D4283" i="1"/>
  <c r="L4282" i="1"/>
  <c r="F4282" i="1"/>
  <c r="E4282" i="1"/>
  <c r="D4282" i="1"/>
  <c r="L4281" i="1"/>
  <c r="F4281" i="1"/>
  <c r="E4281" i="1"/>
  <c r="D4281" i="1"/>
  <c r="L4280" i="1"/>
  <c r="F4280" i="1"/>
  <c r="E4280" i="1"/>
  <c r="D4280" i="1"/>
  <c r="L4278" i="1"/>
  <c r="F4279" i="1"/>
  <c r="E4279" i="1"/>
  <c r="D4279" i="1"/>
  <c r="F4278" i="1"/>
  <c r="E4278" i="1"/>
  <c r="D4278" i="1"/>
  <c r="L4277" i="1"/>
  <c r="F4277" i="1"/>
  <c r="E4277" i="1"/>
  <c r="D4277" i="1"/>
  <c r="L4275" i="1"/>
  <c r="L4276" i="1"/>
  <c r="F4276" i="1"/>
  <c r="E4276" i="1"/>
  <c r="D4276" i="1"/>
  <c r="L4274" i="1"/>
  <c r="F4275" i="1"/>
  <c r="E4275" i="1"/>
  <c r="D4275" i="1"/>
  <c r="F4274" i="1"/>
  <c r="E4274" i="1"/>
  <c r="D4274" i="1"/>
  <c r="L4273" i="1"/>
  <c r="F4273" i="1"/>
  <c r="E4273" i="1"/>
  <c r="D4273" i="1"/>
  <c r="L4272" i="1"/>
  <c r="L4271" i="1"/>
  <c r="F4272" i="1"/>
  <c r="E4272" i="1"/>
  <c r="D4272" i="1"/>
  <c r="F4271" i="1"/>
  <c r="E4271" i="1"/>
  <c r="D4271" i="1"/>
  <c r="L4270" i="1"/>
  <c r="F4270" i="1"/>
  <c r="E4270" i="1"/>
  <c r="D4270" i="1"/>
  <c r="L4269" i="1"/>
  <c r="F4269" i="1"/>
  <c r="E4269" i="1"/>
  <c r="D4269" i="1"/>
  <c r="L4268" i="1"/>
  <c r="F4268" i="1"/>
  <c r="E4268" i="1"/>
  <c r="D4268" i="1"/>
  <c r="L4267" i="1"/>
  <c r="F4267" i="1"/>
  <c r="E4267" i="1"/>
  <c r="D4267" i="1"/>
  <c r="L4266" i="1"/>
  <c r="F4266" i="1"/>
  <c r="E4266" i="1"/>
  <c r="D4266" i="1"/>
  <c r="L4265" i="1"/>
  <c r="F4265" i="1"/>
  <c r="E4265" i="1"/>
  <c r="D4265" i="1"/>
  <c r="L4263" i="1"/>
  <c r="F4264" i="1"/>
  <c r="E4264" i="1"/>
  <c r="D4264" i="1"/>
  <c r="F4263" i="1"/>
  <c r="E4263" i="1"/>
  <c r="D4263" i="1"/>
  <c r="L4262" i="1"/>
  <c r="L4261" i="1"/>
  <c r="F4262" i="1"/>
  <c r="E4262" i="1"/>
  <c r="D4262" i="1"/>
  <c r="F4261" i="1"/>
  <c r="E4261" i="1"/>
  <c r="D4261" i="1"/>
  <c r="L4260" i="1"/>
  <c r="L4259" i="1"/>
  <c r="F4260" i="1"/>
  <c r="E4260" i="1"/>
  <c r="D4260" i="1"/>
  <c r="F4259" i="1"/>
  <c r="E4259" i="1"/>
  <c r="D4259" i="1"/>
  <c r="F4258" i="1"/>
  <c r="E4258" i="1"/>
  <c r="D4258" i="1"/>
  <c r="L4257" i="1"/>
  <c r="F4257" i="1"/>
  <c r="E4257" i="1"/>
  <c r="D4257" i="1"/>
  <c r="L4255" i="1"/>
  <c r="F4256" i="1"/>
  <c r="E4256" i="1"/>
  <c r="D4256" i="1"/>
  <c r="F4255" i="1"/>
  <c r="E4255" i="1"/>
  <c r="D4255" i="1"/>
  <c r="L4253" i="1"/>
  <c r="L4254" i="1"/>
  <c r="F4254" i="1"/>
  <c r="E4254" i="1"/>
  <c r="D4254" i="1"/>
  <c r="F4253" i="1"/>
  <c r="E4253" i="1"/>
  <c r="D4253" i="1"/>
  <c r="L4252" i="1"/>
  <c r="F4252" i="1"/>
  <c r="E4252" i="1"/>
  <c r="D4252" i="1"/>
  <c r="L4251" i="1"/>
  <c r="F4251" i="1"/>
  <c r="E4251" i="1"/>
  <c r="D4251" i="1"/>
  <c r="L4249" i="1"/>
  <c r="F4250" i="1"/>
  <c r="E4250" i="1"/>
  <c r="D4250" i="1"/>
  <c r="F4249" i="1"/>
  <c r="E4249" i="1"/>
  <c r="D4249" i="1"/>
  <c r="L4248" i="1"/>
  <c r="F4248" i="1"/>
  <c r="E4248" i="1"/>
  <c r="D4248" i="1"/>
  <c r="L4247" i="1"/>
  <c r="F4247" i="1"/>
  <c r="E4247" i="1"/>
  <c r="D4247" i="1"/>
  <c r="L4246" i="1"/>
  <c r="F4246" i="1"/>
  <c r="E4246" i="1"/>
  <c r="D4246" i="1"/>
  <c r="F4245" i="1"/>
  <c r="E4245" i="1"/>
  <c r="D4245" i="1"/>
  <c r="L4244" i="1"/>
  <c r="F4244" i="1"/>
  <c r="E4244" i="1"/>
  <c r="D4244" i="1"/>
  <c r="L4243" i="1"/>
  <c r="L4242" i="1"/>
  <c r="F4243" i="1"/>
  <c r="E4243" i="1"/>
  <c r="D4243" i="1"/>
  <c r="F4242" i="1"/>
  <c r="E4242" i="1"/>
  <c r="D4242" i="1"/>
  <c r="L4241" i="1"/>
  <c r="F4241" i="1"/>
  <c r="E4241" i="1"/>
  <c r="D4241" i="1"/>
  <c r="L4240" i="1"/>
  <c r="F4240" i="1"/>
  <c r="E4240" i="1"/>
  <c r="D4240" i="1"/>
  <c r="L4238" i="1"/>
  <c r="F4239" i="1"/>
  <c r="E4239" i="1"/>
  <c r="D4239" i="1"/>
  <c r="F4238" i="1"/>
  <c r="E4238" i="1"/>
  <c r="D4238" i="1"/>
  <c r="L4237" i="1"/>
  <c r="F4237" i="1"/>
  <c r="E4237" i="1"/>
  <c r="D4237" i="1"/>
  <c r="L4236" i="1"/>
  <c r="F4236" i="1"/>
  <c r="E4236" i="1"/>
  <c r="D4236" i="1"/>
  <c r="L4235" i="1"/>
  <c r="F4235" i="1"/>
  <c r="E4235" i="1"/>
  <c r="D4235" i="1"/>
  <c r="L4234" i="1"/>
  <c r="F4234" i="1"/>
  <c r="E4234" i="1"/>
  <c r="D4234" i="1"/>
  <c r="L4233" i="1"/>
  <c r="L4232" i="1"/>
  <c r="F4233" i="1"/>
  <c r="E4233" i="1"/>
  <c r="D4233" i="1"/>
  <c r="F4232" i="1"/>
  <c r="E4232" i="1"/>
  <c r="D4232" i="1"/>
  <c r="L4231" i="1"/>
  <c r="L4230" i="1"/>
  <c r="F4231" i="1"/>
  <c r="E4231" i="1"/>
  <c r="D4231" i="1"/>
  <c r="F4230" i="1"/>
  <c r="E4230" i="1"/>
  <c r="D4230" i="1"/>
  <c r="L4229" i="1"/>
  <c r="F4229" i="1"/>
  <c r="E4229" i="1"/>
  <c r="D4229" i="1"/>
  <c r="L4228" i="1"/>
  <c r="F4228" i="1"/>
  <c r="E4228" i="1"/>
  <c r="D4228" i="1"/>
  <c r="L4227" i="1"/>
  <c r="F4227" i="1"/>
  <c r="E4227" i="1"/>
  <c r="D4227" i="1"/>
  <c r="L4226" i="1"/>
  <c r="F4226" i="1"/>
  <c r="E4226" i="1"/>
  <c r="D4226" i="1"/>
  <c r="L4224" i="1"/>
  <c r="F4225" i="1"/>
  <c r="E4225" i="1"/>
  <c r="D4225" i="1"/>
  <c r="F4224" i="1"/>
  <c r="E4224" i="1"/>
  <c r="D4224" i="1"/>
  <c r="L4223" i="1"/>
  <c r="F4223" i="1"/>
  <c r="E4223" i="1"/>
  <c r="D4223" i="1"/>
  <c r="L4222" i="1"/>
  <c r="F4222" i="1"/>
  <c r="E4222" i="1"/>
  <c r="D4222" i="1"/>
  <c r="L4221" i="1"/>
  <c r="F4221" i="1"/>
  <c r="E4221" i="1"/>
  <c r="D4221" i="1"/>
  <c r="L4220" i="1"/>
  <c r="F4220" i="1"/>
  <c r="E4220" i="1"/>
  <c r="D4220" i="1"/>
  <c r="L4219" i="1"/>
  <c r="F4219" i="1"/>
  <c r="E4219" i="1"/>
  <c r="D4219" i="1"/>
  <c r="L4218" i="1"/>
  <c r="F4218" i="1"/>
  <c r="E4218" i="1"/>
  <c r="D4218" i="1"/>
  <c r="L4217" i="1"/>
  <c r="F4217" i="1"/>
  <c r="E4217" i="1"/>
  <c r="D4217" i="1"/>
  <c r="L4216" i="1"/>
  <c r="F4216" i="1"/>
  <c r="E4216" i="1"/>
  <c r="D4216" i="1"/>
  <c r="L4215" i="1"/>
  <c r="F4215" i="1"/>
  <c r="E4215" i="1"/>
  <c r="D4215" i="1"/>
  <c r="L4214" i="1"/>
  <c r="F4214" i="1"/>
  <c r="E4214" i="1"/>
  <c r="D4214" i="1"/>
  <c r="L4213" i="1"/>
  <c r="D4213" i="1"/>
  <c r="E4213" i="1"/>
  <c r="F4213" i="1"/>
  <c r="L4212" i="1"/>
  <c r="F4212" i="1"/>
  <c r="E4212" i="1"/>
  <c r="D4212" i="1"/>
  <c r="L4211" i="1"/>
  <c r="F4211" i="1"/>
  <c r="E4211" i="1"/>
  <c r="D4211" i="1"/>
  <c r="L4209" i="1"/>
  <c r="F4210" i="1"/>
  <c r="E4210" i="1"/>
  <c r="D4210" i="1"/>
  <c r="F4209" i="1"/>
  <c r="E4209" i="1"/>
  <c r="D4209" i="1"/>
  <c r="L4208" i="1"/>
  <c r="F4208" i="1"/>
  <c r="E4208" i="1"/>
  <c r="D4208" i="1"/>
  <c r="L4207" i="1"/>
  <c r="F4207" i="1"/>
  <c r="E4207" i="1"/>
  <c r="D4207" i="1"/>
  <c r="L4206" i="1"/>
  <c r="F4206" i="1"/>
  <c r="E4206" i="1"/>
  <c r="D4206" i="1"/>
  <c r="L4205" i="1"/>
  <c r="F4205" i="1"/>
  <c r="E4205" i="1"/>
  <c r="D4205" i="1"/>
  <c r="L4204" i="1"/>
  <c r="F4204" i="1"/>
  <c r="E4204" i="1"/>
  <c r="D4204" i="1"/>
  <c r="L4203" i="1"/>
  <c r="F4203" i="1"/>
  <c r="E4203" i="1"/>
  <c r="D4203" i="1"/>
  <c r="L4202" i="1"/>
  <c r="L4201" i="1"/>
  <c r="F4202" i="1"/>
  <c r="E4202" i="1"/>
  <c r="D4202" i="1"/>
  <c r="F4201" i="1"/>
  <c r="E4201" i="1"/>
  <c r="D4201" i="1"/>
  <c r="L4200" i="1"/>
  <c r="F4200" i="1"/>
  <c r="E4200" i="1"/>
  <c r="D4200" i="1"/>
  <c r="L4199" i="1"/>
  <c r="F4199" i="1"/>
  <c r="E4199" i="1"/>
  <c r="D4199" i="1"/>
  <c r="F4198" i="1"/>
  <c r="E4198" i="1"/>
  <c r="D4198" i="1"/>
  <c r="L4197" i="1"/>
  <c r="F4197" i="1"/>
  <c r="E4197" i="1"/>
  <c r="D4197" i="1"/>
  <c r="L4196" i="1"/>
  <c r="F4196" i="1"/>
  <c r="E4196" i="1"/>
  <c r="D4196" i="1"/>
  <c r="L4195" i="1"/>
  <c r="F4195" i="1"/>
  <c r="E4195" i="1"/>
  <c r="D4195" i="1"/>
  <c r="L4194" i="1"/>
  <c r="F4194" i="1"/>
  <c r="E4194" i="1"/>
  <c r="D4194" i="1"/>
  <c r="L4193" i="1"/>
  <c r="F4193" i="1"/>
  <c r="E4193" i="1"/>
  <c r="D4193" i="1"/>
  <c r="L4192" i="1"/>
  <c r="F4192" i="1"/>
  <c r="E4192" i="1"/>
  <c r="D4192" i="1"/>
  <c r="L4185" i="1"/>
  <c r="L4191" i="1"/>
  <c r="F4191" i="1"/>
  <c r="E4191" i="1"/>
  <c r="D4191" i="1"/>
  <c r="L4190" i="1"/>
  <c r="F4190" i="1"/>
  <c r="E4190" i="1"/>
  <c r="D4190" i="1"/>
  <c r="L4189" i="1"/>
  <c r="F4189" i="1"/>
  <c r="E4189" i="1"/>
  <c r="D4189" i="1"/>
  <c r="L4188" i="1"/>
  <c r="F4188" i="1"/>
  <c r="E4188" i="1"/>
  <c r="D4188" i="1"/>
  <c r="L4187" i="1"/>
  <c r="F4187" i="1"/>
  <c r="E4187" i="1"/>
  <c r="D4187" i="1"/>
  <c r="L4186" i="1"/>
  <c r="F4186" i="1"/>
  <c r="E4186" i="1"/>
  <c r="D4186" i="1"/>
  <c r="F4185" i="1"/>
  <c r="E4185" i="1"/>
  <c r="D4185" i="1"/>
  <c r="L4184" i="1"/>
  <c r="F4184" i="1"/>
  <c r="E4184" i="1"/>
  <c r="D4184" i="1"/>
  <c r="L4183" i="1"/>
  <c r="F4183" i="1"/>
  <c r="E4183" i="1"/>
  <c r="D4183" i="1"/>
  <c r="L4182" i="1"/>
  <c r="F4182" i="1"/>
  <c r="E4182" i="1"/>
  <c r="D4182" i="1"/>
  <c r="L4181" i="1"/>
  <c r="F4181" i="1"/>
  <c r="E4181" i="1"/>
  <c r="D4181" i="1"/>
  <c r="L4180" i="1"/>
  <c r="F4180" i="1"/>
  <c r="E4180" i="1"/>
  <c r="D4180" i="1"/>
  <c r="L4179" i="1"/>
  <c r="F4179" i="1"/>
  <c r="E4179" i="1"/>
  <c r="D4179" i="1"/>
  <c r="L4178" i="1"/>
  <c r="F4178" i="1"/>
  <c r="E4178" i="1"/>
  <c r="D4178" i="1"/>
  <c r="L4177" i="1"/>
  <c r="F4177" i="1"/>
  <c r="E4177" i="1"/>
  <c r="D4177" i="1"/>
  <c r="L4175" i="1"/>
  <c r="F4176" i="1"/>
  <c r="E4176" i="1"/>
  <c r="D4176" i="1"/>
  <c r="F4175" i="1"/>
  <c r="E4175" i="1"/>
  <c r="D4175" i="1"/>
  <c r="L4174" i="1"/>
  <c r="F4174" i="1"/>
  <c r="E4174" i="1"/>
  <c r="D4174" i="1"/>
  <c r="L4173" i="1"/>
  <c r="F4173" i="1"/>
  <c r="E4173" i="1"/>
  <c r="D4173" i="1"/>
  <c r="L4172" i="1"/>
  <c r="F4172" i="1"/>
  <c r="E4172" i="1"/>
  <c r="D4172" i="1"/>
  <c r="L4171" i="1"/>
  <c r="F4171" i="1"/>
  <c r="E4171" i="1"/>
  <c r="D4171" i="1"/>
  <c r="L4169" i="1"/>
  <c r="L4170" i="1"/>
  <c r="F4170" i="1"/>
  <c r="E4170" i="1"/>
  <c r="D4170" i="1"/>
  <c r="L4168" i="1"/>
  <c r="F4169" i="1"/>
  <c r="E4169" i="1"/>
  <c r="D4169" i="1"/>
  <c r="F4168" i="1"/>
  <c r="E4168" i="1"/>
  <c r="D4168" i="1"/>
  <c r="L4167" i="1"/>
  <c r="F4167" i="1"/>
  <c r="E4167" i="1"/>
  <c r="D4167" i="1"/>
  <c r="L4166" i="1"/>
  <c r="F4166" i="1"/>
  <c r="E4166" i="1"/>
  <c r="D4166" i="1"/>
  <c r="L4165" i="1"/>
  <c r="F4165" i="1"/>
  <c r="E4165" i="1"/>
  <c r="D4165" i="1"/>
  <c r="L4164" i="1"/>
  <c r="F4164" i="1"/>
  <c r="E4164" i="1"/>
  <c r="D4164" i="1"/>
  <c r="L4163" i="1"/>
  <c r="F4163" i="1"/>
  <c r="E4163" i="1"/>
  <c r="D4163" i="1"/>
  <c r="L4162" i="1"/>
  <c r="F4162" i="1"/>
  <c r="E4162" i="1"/>
  <c r="D4162" i="1"/>
  <c r="L4160" i="1"/>
  <c r="F4161" i="1"/>
  <c r="E4161" i="1"/>
  <c r="D4161" i="1"/>
  <c r="F4160" i="1"/>
  <c r="E4160" i="1"/>
  <c r="D4160" i="1"/>
  <c r="L4159" i="1"/>
  <c r="F4159" i="1"/>
  <c r="E4159" i="1"/>
  <c r="D4159" i="1"/>
  <c r="L4158" i="1"/>
  <c r="F4158" i="1"/>
  <c r="E4158" i="1"/>
  <c r="D4158" i="1"/>
  <c r="L4157" i="1"/>
  <c r="F4157" i="1"/>
  <c r="E4157" i="1"/>
  <c r="D4157" i="1"/>
  <c r="L4156" i="1"/>
  <c r="L4155" i="1"/>
  <c r="F4156" i="1"/>
  <c r="E4156" i="1"/>
  <c r="D4156" i="1"/>
  <c r="F4155" i="1"/>
  <c r="E4155" i="1"/>
  <c r="D4155" i="1"/>
  <c r="L4154" i="1"/>
  <c r="L4153" i="1"/>
  <c r="F4154" i="1"/>
  <c r="E4154" i="1"/>
  <c r="D4154" i="1"/>
  <c r="F4153" i="1"/>
  <c r="E4153" i="1"/>
  <c r="D4153" i="1"/>
  <c r="L4152" i="1"/>
  <c r="F4152" i="1"/>
  <c r="E4152" i="1"/>
  <c r="D4152" i="1"/>
  <c r="L4151" i="1"/>
  <c r="F4151" i="1"/>
  <c r="E4151" i="1"/>
  <c r="D4151" i="1"/>
  <c r="L4149" i="1"/>
  <c r="F4150" i="1"/>
  <c r="E4150" i="1"/>
  <c r="D4150" i="1"/>
  <c r="F4149" i="1"/>
  <c r="E4149" i="1"/>
  <c r="D4149" i="1"/>
  <c r="L4148" i="1"/>
  <c r="F4148" i="1"/>
  <c r="E4148" i="1"/>
  <c r="D4148" i="1"/>
  <c r="L4147" i="1"/>
  <c r="F4147" i="1"/>
  <c r="E4147" i="1"/>
  <c r="D4147" i="1"/>
  <c r="L4146" i="1"/>
  <c r="F4146" i="1"/>
  <c r="E4146" i="1"/>
  <c r="D4146" i="1"/>
  <c r="L4145" i="1"/>
  <c r="F4145" i="1"/>
  <c r="E4145" i="1"/>
  <c r="D4145" i="1"/>
  <c r="L4144" i="1"/>
  <c r="F4144" i="1"/>
  <c r="E4144" i="1"/>
  <c r="D4144" i="1"/>
  <c r="L4143" i="1"/>
  <c r="F4143" i="1"/>
  <c r="E4143" i="1"/>
  <c r="D4143" i="1"/>
  <c r="L4142" i="1"/>
  <c r="F4142" i="1"/>
  <c r="E4142" i="1"/>
  <c r="D4142" i="1"/>
  <c r="L4141" i="1"/>
  <c r="F4141" i="1"/>
  <c r="E4141" i="1"/>
  <c r="D4141" i="1"/>
  <c r="L4140" i="1"/>
  <c r="F4140" i="1"/>
  <c r="E4140" i="1"/>
  <c r="D4140" i="1"/>
  <c r="L4139" i="1"/>
  <c r="F4139" i="1"/>
  <c r="E4139" i="1"/>
  <c r="D4139" i="1"/>
  <c r="L4138" i="1"/>
  <c r="F4138" i="1"/>
  <c r="E4138" i="1"/>
  <c r="D4138" i="1"/>
  <c r="L4137" i="1"/>
  <c r="F4137" i="1"/>
  <c r="E4137" i="1"/>
  <c r="D4137" i="1"/>
  <c r="L4136" i="1"/>
  <c r="F4136" i="1"/>
  <c r="E4136" i="1"/>
  <c r="D4136" i="1"/>
  <c r="L4135" i="1"/>
  <c r="F4135" i="1"/>
  <c r="E4135" i="1"/>
  <c r="D4135" i="1"/>
  <c r="L4134" i="1"/>
  <c r="F4134" i="1"/>
  <c r="E4134" i="1"/>
  <c r="D4134" i="1"/>
  <c r="L4133" i="1"/>
  <c r="F4133" i="1"/>
  <c r="E4133" i="1"/>
  <c r="D4133" i="1"/>
  <c r="F4132" i="1"/>
  <c r="E4132" i="1"/>
  <c r="D4132" i="1"/>
  <c r="L4131" i="1"/>
  <c r="F4131" i="1"/>
  <c r="E4131" i="1"/>
  <c r="D4131" i="1"/>
  <c r="L4130" i="1"/>
  <c r="F4130" i="1"/>
  <c r="E4130" i="1"/>
  <c r="D4130" i="1"/>
  <c r="L4129" i="1"/>
  <c r="F4129" i="1"/>
  <c r="E4129" i="1"/>
  <c r="D4129" i="1"/>
  <c r="L4128" i="1"/>
  <c r="F4128" i="1"/>
  <c r="E4128" i="1"/>
  <c r="D4128" i="1"/>
  <c r="L4127" i="1"/>
  <c r="F4127" i="1"/>
  <c r="E4127" i="1"/>
  <c r="D4127" i="1"/>
  <c r="L4126" i="1"/>
  <c r="F4126" i="1"/>
  <c r="E4126" i="1"/>
  <c r="D4126" i="1"/>
  <c r="L4125" i="1"/>
  <c r="L4124" i="1"/>
  <c r="F4125" i="1"/>
  <c r="E4125" i="1"/>
  <c r="D4125" i="1"/>
  <c r="F4124" i="1"/>
  <c r="E4124" i="1"/>
  <c r="D4124" i="1"/>
  <c r="F4123" i="1"/>
  <c r="E4123" i="1"/>
  <c r="D4123" i="1"/>
  <c r="L4122" i="1"/>
  <c r="F4122" i="1"/>
  <c r="E4122" i="1"/>
  <c r="D4122" i="1"/>
  <c r="L4121" i="1"/>
  <c r="F4121" i="1"/>
  <c r="E4121" i="1"/>
  <c r="D4121" i="1"/>
  <c r="L4120" i="1"/>
  <c r="F4120" i="1"/>
  <c r="E4120" i="1"/>
  <c r="D4120" i="1"/>
  <c r="L4119" i="1"/>
  <c r="F4119" i="1"/>
  <c r="E4119" i="1"/>
  <c r="D4119" i="1"/>
  <c r="L4118" i="1"/>
  <c r="F4118" i="1"/>
  <c r="E4118" i="1"/>
  <c r="D4118" i="1"/>
  <c r="L4117" i="1"/>
  <c r="F4117" i="1"/>
  <c r="E4117" i="1"/>
  <c r="D4117" i="1"/>
  <c r="L4116" i="1"/>
  <c r="F4116" i="1"/>
  <c r="E4116" i="1"/>
  <c r="D4116" i="1"/>
  <c r="L4115" i="1"/>
  <c r="F4115" i="1"/>
  <c r="E4115" i="1"/>
  <c r="D4115" i="1"/>
  <c r="L4114" i="1"/>
  <c r="F4114" i="1"/>
  <c r="E4114" i="1"/>
  <c r="D4114" i="1"/>
  <c r="L4113" i="1"/>
  <c r="F4113" i="1"/>
  <c r="E4113" i="1"/>
  <c r="D4113" i="1"/>
  <c r="L4110" i="1"/>
  <c r="L4112" i="1"/>
  <c r="F4112" i="1"/>
  <c r="E4112" i="1"/>
  <c r="D4112" i="1"/>
  <c r="L4111" i="1"/>
  <c r="F4111" i="1"/>
  <c r="E4111" i="1"/>
  <c r="D4111" i="1"/>
  <c r="L4109" i="1"/>
  <c r="F4110" i="1"/>
  <c r="E4110" i="1"/>
  <c r="D4110" i="1"/>
  <c r="L4108" i="1"/>
  <c r="F4109" i="1"/>
  <c r="E4109" i="1"/>
  <c r="D4109" i="1"/>
  <c r="F4108" i="1"/>
  <c r="E4108" i="1"/>
  <c r="D4108" i="1"/>
  <c r="L4107" i="1"/>
  <c r="F4107" i="1"/>
  <c r="E4107" i="1"/>
  <c r="D4107" i="1"/>
  <c r="L4106" i="1"/>
  <c r="F4106" i="1"/>
  <c r="E4106" i="1"/>
  <c r="D4106" i="1"/>
  <c r="L4105" i="1"/>
  <c r="F4105" i="1"/>
  <c r="E4105" i="1"/>
  <c r="D4105" i="1"/>
  <c r="L4104" i="1"/>
  <c r="F4104" i="1"/>
  <c r="E4104" i="1"/>
  <c r="D4104" i="1"/>
  <c r="L4103" i="1"/>
  <c r="F4103" i="1"/>
  <c r="E4103" i="1"/>
  <c r="D4103" i="1"/>
  <c r="L4102" i="1"/>
  <c r="F4102" i="1"/>
  <c r="E4102" i="1"/>
  <c r="D4102" i="1"/>
  <c r="L4101" i="1"/>
  <c r="F4101" i="1"/>
  <c r="E4101" i="1"/>
  <c r="D4101" i="1"/>
  <c r="L4100" i="1"/>
  <c r="F4100" i="1"/>
  <c r="E4100" i="1"/>
  <c r="D4100" i="1"/>
  <c r="L4099" i="1"/>
  <c r="F4099" i="1"/>
  <c r="E4099" i="1"/>
  <c r="D4099" i="1"/>
  <c r="L4098" i="1"/>
  <c r="F4098" i="1"/>
  <c r="E4098" i="1"/>
  <c r="D4098" i="1"/>
  <c r="L4097" i="1"/>
  <c r="F4097" i="1"/>
  <c r="E4097" i="1"/>
  <c r="D4097" i="1"/>
  <c r="L4096" i="1"/>
  <c r="F4096" i="1"/>
  <c r="E4096" i="1"/>
  <c r="D4096" i="1"/>
  <c r="F4" i="1"/>
  <c r="E4" i="1"/>
  <c r="D4" i="1"/>
  <c r="F3" i="1"/>
  <c r="E3" i="1"/>
  <c r="D3" i="1"/>
  <c r="F2" i="1"/>
  <c r="E2" i="1"/>
  <c r="D2" i="1"/>
  <c r="B4" i="1"/>
  <c r="B3" i="1"/>
  <c r="B2" i="1"/>
  <c r="A3" i="1"/>
  <c r="A4" i="1" s="1"/>
  <c r="A5" i="1" s="1"/>
  <c r="L4095" i="1"/>
  <c r="F4095" i="1"/>
  <c r="E4095" i="1"/>
  <c r="D4095" i="1"/>
  <c r="L4094" i="1"/>
  <c r="F4094" i="1"/>
  <c r="E4094" i="1"/>
  <c r="D4094" i="1"/>
  <c r="L4093" i="1"/>
  <c r="F4093" i="1"/>
  <c r="E4093" i="1"/>
  <c r="D4093" i="1"/>
  <c r="L4092" i="1"/>
  <c r="F4092" i="1"/>
  <c r="E4092" i="1"/>
  <c r="D4092" i="1"/>
  <c r="L4091" i="1"/>
  <c r="F4091" i="1"/>
  <c r="E4091" i="1"/>
  <c r="D4091" i="1"/>
  <c r="L4090" i="1"/>
  <c r="F4090" i="1"/>
  <c r="E4090" i="1"/>
  <c r="D4090" i="1"/>
  <c r="L4089" i="1"/>
  <c r="F4089" i="1"/>
  <c r="E4089" i="1"/>
  <c r="D4089" i="1"/>
  <c r="L4088" i="1"/>
  <c r="F4088" i="1"/>
  <c r="E4088" i="1"/>
  <c r="D4088" i="1"/>
  <c r="L4087" i="1"/>
  <c r="F4087" i="1"/>
  <c r="E4087" i="1"/>
  <c r="D4087" i="1"/>
  <c r="L4086" i="1"/>
  <c r="F4086" i="1"/>
  <c r="E4086" i="1"/>
  <c r="D4086" i="1"/>
  <c r="L4085" i="1"/>
  <c r="F4085" i="1"/>
  <c r="E4085" i="1"/>
  <c r="D4085" i="1"/>
  <c r="L4084" i="1"/>
  <c r="F4084" i="1"/>
  <c r="E4084" i="1"/>
  <c r="D4084" i="1"/>
  <c r="L4083" i="1"/>
  <c r="F4083" i="1"/>
  <c r="E4083" i="1"/>
  <c r="D4083" i="1"/>
  <c r="L4078" i="1"/>
  <c r="L4082" i="1"/>
  <c r="F4082" i="1"/>
  <c r="E4082" i="1"/>
  <c r="D4082" i="1"/>
  <c r="L4081" i="1"/>
  <c r="F4081" i="1"/>
  <c r="E4081" i="1"/>
  <c r="D4081" i="1"/>
  <c r="L4080" i="1"/>
  <c r="F4080" i="1"/>
  <c r="E4080" i="1"/>
  <c r="D4080" i="1"/>
  <c r="L4079" i="1"/>
  <c r="F4079" i="1"/>
  <c r="E4079" i="1"/>
  <c r="D4079" i="1"/>
  <c r="F4078" i="1"/>
  <c r="E4078" i="1"/>
  <c r="D4078" i="1"/>
  <c r="L4077" i="1"/>
  <c r="F4077" i="1"/>
  <c r="E4077" i="1"/>
  <c r="D4077" i="1"/>
  <c r="L4076" i="1"/>
  <c r="F4076" i="1"/>
  <c r="E4076" i="1"/>
  <c r="D4076" i="1"/>
  <c r="L4075" i="1"/>
  <c r="F4075" i="1"/>
  <c r="E4075" i="1"/>
  <c r="D4075" i="1"/>
  <c r="L4074" i="1"/>
  <c r="F4074" i="1"/>
  <c r="E4074" i="1"/>
  <c r="D4074" i="1"/>
  <c r="L4073" i="1"/>
  <c r="F4073" i="1"/>
  <c r="E4073" i="1"/>
  <c r="D4073" i="1"/>
  <c r="L4072" i="1"/>
  <c r="F4072" i="1"/>
  <c r="E4072" i="1"/>
  <c r="D4072" i="1"/>
  <c r="L4071" i="1"/>
  <c r="F4071" i="1"/>
  <c r="E4071" i="1"/>
  <c r="D4071" i="1"/>
  <c r="L4070" i="1"/>
  <c r="F4070" i="1"/>
  <c r="E4070" i="1"/>
  <c r="D4070" i="1"/>
  <c r="L4069" i="1"/>
  <c r="F4069" i="1"/>
  <c r="E4069" i="1"/>
  <c r="D4069" i="1"/>
  <c r="L4068" i="1"/>
  <c r="F4068" i="1"/>
  <c r="E4068" i="1"/>
  <c r="D4068" i="1"/>
  <c r="L4067" i="1"/>
  <c r="F4067" i="1"/>
  <c r="E4067" i="1"/>
  <c r="D4067" i="1"/>
  <c r="L4066" i="1"/>
  <c r="F4066" i="1"/>
  <c r="E4066" i="1"/>
  <c r="D4066" i="1"/>
  <c r="L4065" i="1"/>
  <c r="F4065" i="1"/>
  <c r="E4065" i="1"/>
  <c r="D4065" i="1"/>
  <c r="L4064" i="1"/>
  <c r="F4064" i="1"/>
  <c r="E4064" i="1"/>
  <c r="D4064" i="1"/>
  <c r="L4063" i="1"/>
  <c r="F4063" i="1"/>
  <c r="E4063" i="1"/>
  <c r="D4063" i="1"/>
  <c r="L4062" i="1"/>
  <c r="F4062" i="1"/>
  <c r="E4062" i="1"/>
  <c r="D4062" i="1"/>
  <c r="L4061" i="1"/>
  <c r="F4061" i="1"/>
  <c r="E4061" i="1"/>
  <c r="D4061" i="1"/>
  <c r="L4060" i="1"/>
  <c r="F4060" i="1"/>
  <c r="E4060" i="1"/>
  <c r="D4060" i="1"/>
  <c r="L4059" i="1"/>
  <c r="F4059" i="1"/>
  <c r="E4059" i="1"/>
  <c r="D4059" i="1"/>
  <c r="L4058" i="1"/>
  <c r="F4058" i="1"/>
  <c r="E4058" i="1"/>
  <c r="D4058" i="1"/>
  <c r="L4057" i="1"/>
  <c r="F4057" i="1"/>
  <c r="E4057" i="1"/>
  <c r="D4057" i="1"/>
  <c r="L4056" i="1"/>
  <c r="F4056" i="1"/>
  <c r="E4056" i="1"/>
  <c r="D4056" i="1"/>
  <c r="L4055" i="1"/>
  <c r="F4055" i="1"/>
  <c r="E4055" i="1"/>
  <c r="D4055" i="1"/>
  <c r="L4054" i="1"/>
  <c r="F4054" i="1"/>
  <c r="E4054" i="1"/>
  <c r="D4054" i="1"/>
  <c r="L4053" i="1"/>
  <c r="F4053" i="1"/>
  <c r="E4053" i="1"/>
  <c r="D4053" i="1"/>
  <c r="L4052" i="1"/>
  <c r="F4052" i="1"/>
  <c r="E4052" i="1"/>
  <c r="D4052" i="1"/>
  <c r="L4051" i="1"/>
  <c r="F4051" i="1"/>
  <c r="E4051" i="1"/>
  <c r="D4051" i="1"/>
  <c r="L4050" i="1"/>
  <c r="F4050" i="1"/>
  <c r="E4050" i="1"/>
  <c r="D4050" i="1"/>
  <c r="L4049" i="1"/>
  <c r="F4049" i="1"/>
  <c r="E4049" i="1"/>
  <c r="D4049" i="1"/>
  <c r="L4048" i="1"/>
  <c r="F4048" i="1"/>
  <c r="E4048" i="1"/>
  <c r="D4048" i="1"/>
  <c r="L4047" i="1"/>
  <c r="F4047" i="1"/>
  <c r="E4047" i="1"/>
  <c r="D4047" i="1"/>
  <c r="L4046" i="1"/>
  <c r="F4046" i="1"/>
  <c r="E4046" i="1"/>
  <c r="D4046" i="1"/>
  <c r="L4045" i="1"/>
  <c r="F4045" i="1"/>
  <c r="E4045" i="1"/>
  <c r="D4045" i="1"/>
  <c r="L4044" i="1"/>
  <c r="F4044" i="1"/>
  <c r="E4044" i="1"/>
  <c r="D4044" i="1"/>
  <c r="L4043" i="1"/>
  <c r="F4043" i="1"/>
  <c r="E4043" i="1"/>
  <c r="D4043" i="1"/>
  <c r="L4042" i="1"/>
  <c r="F4042" i="1"/>
  <c r="E4042" i="1"/>
  <c r="D4042" i="1"/>
  <c r="L4041" i="1"/>
  <c r="F4041" i="1"/>
  <c r="E4041" i="1"/>
  <c r="D4041" i="1"/>
  <c r="L4040" i="1"/>
  <c r="F4040" i="1"/>
  <c r="E4040" i="1"/>
  <c r="D4040" i="1"/>
  <c r="L4039" i="1"/>
  <c r="F4039" i="1"/>
  <c r="E4039" i="1"/>
  <c r="D4039" i="1"/>
  <c r="L4038" i="1"/>
  <c r="F4038" i="1"/>
  <c r="E4038" i="1"/>
  <c r="D4038" i="1"/>
  <c r="L4037" i="1"/>
  <c r="F4037" i="1"/>
  <c r="E4037" i="1"/>
  <c r="D4037" i="1"/>
  <c r="L4036" i="1"/>
  <c r="F4036" i="1"/>
  <c r="E4036" i="1"/>
  <c r="D4036" i="1"/>
  <c r="L4035" i="1"/>
  <c r="F4035" i="1"/>
  <c r="E4035" i="1"/>
  <c r="D4035" i="1"/>
  <c r="L4034" i="1"/>
  <c r="F4034" i="1"/>
  <c r="E4034" i="1"/>
  <c r="D4034" i="1"/>
  <c r="L4033" i="1"/>
  <c r="F4033" i="1"/>
  <c r="E4033" i="1"/>
  <c r="D4033" i="1"/>
  <c r="L4032" i="1"/>
  <c r="F4032" i="1"/>
  <c r="E4032" i="1"/>
  <c r="D4032" i="1"/>
  <c r="L4031" i="1"/>
  <c r="F4031" i="1"/>
  <c r="E4031" i="1"/>
  <c r="D4031" i="1"/>
  <c r="L4030" i="1"/>
  <c r="F4030" i="1"/>
  <c r="E4030" i="1"/>
  <c r="D4030" i="1"/>
  <c r="L4029" i="1"/>
  <c r="F4029" i="1"/>
  <c r="E4029" i="1"/>
  <c r="D4029" i="1"/>
  <c r="L4028" i="1"/>
  <c r="F4028" i="1"/>
  <c r="E4028" i="1"/>
  <c r="D4028" i="1"/>
  <c r="L4027" i="1"/>
  <c r="F4027" i="1"/>
  <c r="E4027" i="1"/>
  <c r="D4027" i="1"/>
  <c r="L4026" i="1"/>
  <c r="F4026" i="1"/>
  <c r="E4026" i="1"/>
  <c r="D4026" i="1"/>
  <c r="L4025" i="1"/>
  <c r="F4025" i="1"/>
  <c r="E4025" i="1"/>
  <c r="D4025" i="1"/>
  <c r="L4024" i="1"/>
  <c r="F4024" i="1"/>
  <c r="E4024" i="1"/>
  <c r="D4024" i="1"/>
  <c r="L4023" i="1"/>
  <c r="D4023" i="1"/>
  <c r="E4023" i="1"/>
  <c r="F4023" i="1"/>
  <c r="L4022" i="1"/>
  <c r="F4022" i="1"/>
  <c r="E4022" i="1"/>
  <c r="D4022" i="1"/>
  <c r="L4021" i="1"/>
  <c r="F4021" i="1"/>
  <c r="E4021" i="1"/>
  <c r="D4021" i="1"/>
  <c r="L4020" i="1"/>
  <c r="F4020" i="1"/>
  <c r="E4020" i="1"/>
  <c r="D4020" i="1"/>
  <c r="L4019" i="1"/>
  <c r="F4019" i="1"/>
  <c r="E4019" i="1"/>
  <c r="D4019" i="1"/>
  <c r="L4018" i="1"/>
  <c r="L4017" i="1"/>
  <c r="D4018" i="1"/>
  <c r="E4018" i="1"/>
  <c r="F4018" i="1"/>
  <c r="F4017" i="1"/>
  <c r="E4017" i="1"/>
  <c r="D4017" i="1"/>
  <c r="L4016" i="1"/>
  <c r="F4016" i="1"/>
  <c r="E4016" i="1"/>
  <c r="D4016" i="1"/>
  <c r="L4015" i="1"/>
  <c r="L4014" i="1"/>
  <c r="F4015" i="1"/>
  <c r="E4015" i="1"/>
  <c r="D4015" i="1"/>
  <c r="F4014" i="1"/>
  <c r="E4014" i="1"/>
  <c r="D4014" i="1"/>
  <c r="L4013" i="1"/>
  <c r="F4013" i="1"/>
  <c r="E4013" i="1"/>
  <c r="D4013" i="1"/>
  <c r="L4012" i="1"/>
  <c r="F4012" i="1"/>
  <c r="E4012" i="1"/>
  <c r="D4012" i="1"/>
  <c r="L4011" i="1"/>
  <c r="F4011" i="1"/>
  <c r="E4011" i="1"/>
  <c r="D4011" i="1"/>
  <c r="L4009" i="1"/>
  <c r="F4010" i="1"/>
  <c r="E4010" i="1"/>
  <c r="D4010" i="1"/>
  <c r="F4009" i="1"/>
  <c r="E4009" i="1"/>
  <c r="D4009" i="1"/>
  <c r="L4008" i="1"/>
  <c r="F4008" i="1"/>
  <c r="E4008" i="1"/>
  <c r="D4008" i="1"/>
  <c r="L4007" i="1"/>
  <c r="L4006" i="1"/>
  <c r="F4007" i="1"/>
  <c r="E4007" i="1"/>
  <c r="D4007" i="1"/>
  <c r="L4005" i="1"/>
  <c r="F4006" i="1"/>
  <c r="E4006" i="1"/>
  <c r="D4006" i="1"/>
  <c r="F4005" i="1"/>
  <c r="E4005" i="1"/>
  <c r="D4005" i="1"/>
  <c r="L4004" i="1"/>
  <c r="F4004" i="1"/>
  <c r="E4004" i="1"/>
  <c r="D4004" i="1"/>
  <c r="L4003" i="1"/>
  <c r="F4003" i="1"/>
  <c r="E4003" i="1"/>
  <c r="D4003" i="1"/>
  <c r="L4002" i="1"/>
  <c r="F4002" i="1"/>
  <c r="E4002" i="1"/>
  <c r="D4002" i="1"/>
  <c r="L4001" i="1"/>
  <c r="F4001" i="1"/>
  <c r="E4001" i="1"/>
  <c r="D4001" i="1"/>
  <c r="F4000" i="1"/>
  <c r="E4000" i="1"/>
  <c r="D4000" i="1"/>
  <c r="L3999" i="1"/>
  <c r="F3999" i="1"/>
  <c r="E3999" i="1"/>
  <c r="D3999" i="1"/>
  <c r="L3998" i="1"/>
  <c r="F3998" i="1"/>
  <c r="E3998" i="1"/>
  <c r="D3998" i="1"/>
  <c r="L3997" i="1"/>
  <c r="F3997" i="1"/>
  <c r="E3997" i="1"/>
  <c r="D3997" i="1"/>
  <c r="L3996" i="1"/>
  <c r="F3996" i="1"/>
  <c r="E3996" i="1"/>
  <c r="D3996" i="1"/>
  <c r="L3995" i="1"/>
  <c r="F3995" i="1"/>
  <c r="E3995" i="1"/>
  <c r="D3995" i="1"/>
  <c r="F3994" i="1"/>
  <c r="E3994" i="1"/>
  <c r="D3994" i="1"/>
  <c r="L3993" i="1"/>
  <c r="F3993" i="1"/>
  <c r="E3993" i="1"/>
  <c r="D3993" i="1"/>
  <c r="L3992" i="1"/>
  <c r="F3992" i="1"/>
  <c r="E3992" i="1"/>
  <c r="D3992" i="1"/>
  <c r="L3991" i="1"/>
  <c r="F3991" i="1"/>
  <c r="E3991" i="1"/>
  <c r="D3991" i="1"/>
  <c r="F3990" i="1"/>
  <c r="E3990" i="1"/>
  <c r="D3990" i="1"/>
  <c r="L3989" i="1"/>
  <c r="F3989" i="1"/>
  <c r="E3989" i="1"/>
  <c r="D3989" i="1"/>
  <c r="L3988" i="1"/>
  <c r="F3988" i="1"/>
  <c r="E3988" i="1"/>
  <c r="D3988" i="1"/>
  <c r="F3987" i="1"/>
  <c r="E3987" i="1"/>
  <c r="D3987" i="1"/>
  <c r="L3986" i="1"/>
  <c r="F3986" i="1"/>
  <c r="E3986" i="1"/>
  <c r="D3986" i="1"/>
  <c r="L3985" i="1"/>
  <c r="F3985" i="1"/>
  <c r="E3985" i="1"/>
  <c r="D3985" i="1"/>
  <c r="L3984" i="1"/>
  <c r="F3984" i="1"/>
  <c r="E3984" i="1"/>
  <c r="D3984" i="1"/>
  <c r="L3983" i="1"/>
  <c r="F3983" i="1"/>
  <c r="E3983" i="1"/>
  <c r="D3983" i="1"/>
  <c r="L3982" i="1"/>
  <c r="F3982" i="1"/>
  <c r="E3982" i="1"/>
  <c r="D3982" i="1"/>
  <c r="L3981" i="1"/>
  <c r="F3981" i="1"/>
  <c r="E3981" i="1"/>
  <c r="D3981" i="1"/>
  <c r="L3980" i="1"/>
  <c r="F3980" i="1"/>
  <c r="E3980" i="1"/>
  <c r="D3980" i="1"/>
  <c r="L3979" i="1"/>
  <c r="F3979" i="1"/>
  <c r="E3979" i="1"/>
  <c r="D3979" i="1"/>
  <c r="L3978" i="1"/>
  <c r="F3978" i="1"/>
  <c r="E3978" i="1"/>
  <c r="D3978" i="1"/>
  <c r="L3977" i="1"/>
  <c r="F3977" i="1"/>
  <c r="E3977" i="1"/>
  <c r="D3977" i="1"/>
  <c r="L3975" i="1"/>
  <c r="F3976" i="1"/>
  <c r="E3976" i="1"/>
  <c r="D3976" i="1"/>
  <c r="F3975" i="1"/>
  <c r="E3975" i="1"/>
  <c r="D3975" i="1"/>
  <c r="L3974" i="1"/>
  <c r="F3974" i="1"/>
  <c r="E3974" i="1"/>
  <c r="D3974" i="1"/>
  <c r="L3973" i="1"/>
  <c r="F3973" i="1"/>
  <c r="E3973" i="1"/>
  <c r="D3973" i="1"/>
  <c r="L3972" i="1"/>
  <c r="F3972" i="1"/>
  <c r="E3972" i="1"/>
  <c r="D3972" i="1"/>
  <c r="L3970" i="1"/>
  <c r="F3971" i="1"/>
  <c r="E3971" i="1"/>
  <c r="D3971" i="1"/>
  <c r="F3970" i="1"/>
  <c r="E3970" i="1"/>
  <c r="D3970" i="1"/>
  <c r="L3969" i="1"/>
  <c r="F3969" i="1"/>
  <c r="E3969" i="1"/>
  <c r="D3969" i="1"/>
  <c r="L3968" i="1"/>
  <c r="F3968" i="1"/>
  <c r="E3968" i="1"/>
  <c r="D3968" i="1"/>
  <c r="L3967" i="1"/>
  <c r="F3967" i="1"/>
  <c r="E3967" i="1"/>
  <c r="D3967" i="1"/>
  <c r="L3966" i="1"/>
  <c r="F3966" i="1"/>
  <c r="E3966" i="1"/>
  <c r="D3966" i="1"/>
  <c r="L3965" i="1"/>
  <c r="F3965" i="1"/>
  <c r="E3965" i="1"/>
  <c r="D3965" i="1"/>
  <c r="L3964" i="1"/>
  <c r="F3964" i="1"/>
  <c r="E3964" i="1"/>
  <c r="D3964" i="1"/>
  <c r="L3962" i="1"/>
  <c r="F3963" i="1"/>
  <c r="E3963" i="1"/>
  <c r="D3963" i="1"/>
  <c r="F3962" i="1"/>
  <c r="E3962" i="1"/>
  <c r="D3962" i="1"/>
  <c r="L3961" i="1"/>
  <c r="F3961" i="1"/>
  <c r="E3961" i="1"/>
  <c r="D3961" i="1"/>
  <c r="L3960" i="1"/>
  <c r="F3960" i="1"/>
  <c r="E3960" i="1"/>
  <c r="D3960" i="1"/>
  <c r="L3959" i="1"/>
  <c r="F3959" i="1"/>
  <c r="E3959" i="1"/>
  <c r="D3959" i="1"/>
  <c r="L3958" i="1"/>
  <c r="F3958" i="1"/>
  <c r="E3958" i="1"/>
  <c r="D3958" i="1"/>
  <c r="L3957" i="1"/>
  <c r="F3957" i="1"/>
  <c r="E3957" i="1"/>
  <c r="D3957" i="1"/>
  <c r="L3956" i="1"/>
  <c r="F3956" i="1"/>
  <c r="E3956" i="1"/>
  <c r="D3956" i="1"/>
  <c r="L3955" i="1"/>
  <c r="F3955" i="1"/>
  <c r="E3955" i="1"/>
  <c r="D3955" i="1"/>
  <c r="L3954" i="1"/>
  <c r="F3954" i="1"/>
  <c r="E3954" i="1"/>
  <c r="D3954" i="1"/>
  <c r="L3953" i="1"/>
  <c r="F3953" i="1"/>
  <c r="E3953" i="1"/>
  <c r="D3953" i="1"/>
  <c r="L3952" i="1"/>
  <c r="L3951" i="1"/>
  <c r="F3952" i="1"/>
  <c r="E3952" i="1"/>
  <c r="D3952" i="1"/>
  <c r="L3949" i="1"/>
  <c r="F3951" i="1"/>
  <c r="E3951" i="1"/>
  <c r="D3951" i="1"/>
  <c r="F3950" i="1"/>
  <c r="E3950" i="1"/>
  <c r="D3950" i="1"/>
  <c r="F3949" i="1"/>
  <c r="E3949" i="1"/>
  <c r="D3949" i="1"/>
  <c r="L3948" i="1"/>
  <c r="F3948" i="1"/>
  <c r="E3948" i="1"/>
  <c r="D3948" i="1"/>
  <c r="L3947" i="1"/>
  <c r="F3947" i="1"/>
  <c r="E3947" i="1"/>
  <c r="D3947" i="1"/>
  <c r="L3946" i="1"/>
  <c r="F3946" i="1"/>
  <c r="E3946" i="1"/>
  <c r="D3946" i="1"/>
  <c r="F3945" i="1"/>
  <c r="E3945" i="1"/>
  <c r="D3945" i="1"/>
  <c r="L3944" i="1"/>
  <c r="F3944" i="1"/>
  <c r="E3944" i="1"/>
  <c r="D3944" i="1"/>
  <c r="L3943" i="1"/>
  <c r="F3943" i="1"/>
  <c r="E3943" i="1"/>
  <c r="D3943" i="1"/>
  <c r="L3942" i="1"/>
  <c r="F3942" i="1"/>
  <c r="E3942" i="1"/>
  <c r="D3942" i="1"/>
  <c r="L3941" i="1"/>
  <c r="F3941" i="1"/>
  <c r="E3941" i="1"/>
  <c r="D3941" i="1"/>
  <c r="L3940" i="1"/>
  <c r="F3940" i="1"/>
  <c r="E3940" i="1"/>
  <c r="D3940" i="1"/>
  <c r="L3939" i="1"/>
  <c r="F3939" i="1"/>
  <c r="E3939" i="1"/>
  <c r="D3939" i="1"/>
  <c r="L3938" i="1"/>
  <c r="F3938" i="1"/>
  <c r="E3938" i="1"/>
  <c r="D3938" i="1"/>
  <c r="L3937" i="1"/>
  <c r="F3937" i="1"/>
  <c r="E3937" i="1"/>
  <c r="D3937" i="1"/>
  <c r="L3936" i="1"/>
  <c r="F3936" i="1"/>
  <c r="E3936" i="1"/>
  <c r="D3936" i="1"/>
  <c r="L3935" i="1"/>
  <c r="F3935" i="1"/>
  <c r="E3935" i="1"/>
  <c r="D3935" i="1"/>
  <c r="L3934" i="1"/>
  <c r="F3934" i="1"/>
  <c r="E3934" i="1"/>
  <c r="D3934" i="1"/>
  <c r="L3933" i="1"/>
  <c r="F3933" i="1"/>
  <c r="E3933" i="1"/>
  <c r="D3933" i="1"/>
  <c r="L3932" i="1"/>
  <c r="F3932" i="1"/>
  <c r="E3932" i="1"/>
  <c r="D3932" i="1"/>
  <c r="D3931" i="1"/>
  <c r="E3931" i="1"/>
  <c r="F3931" i="1"/>
  <c r="L3931" i="1"/>
  <c r="L3930" i="1"/>
  <c r="F3930" i="1"/>
  <c r="E3930" i="1"/>
  <c r="D3930" i="1"/>
  <c r="L3929" i="1"/>
  <c r="F3929" i="1"/>
  <c r="E3929" i="1"/>
  <c r="D3929" i="1"/>
  <c r="L3928" i="1"/>
  <c r="F3928" i="1"/>
  <c r="E3928" i="1"/>
  <c r="D3928" i="1"/>
  <c r="L3927" i="1"/>
  <c r="F3927" i="1"/>
  <c r="E3927" i="1"/>
  <c r="D3927" i="1"/>
  <c r="L3926" i="1"/>
  <c r="F3926" i="1"/>
  <c r="E3926" i="1"/>
  <c r="D3926" i="1"/>
  <c r="L3925" i="1"/>
  <c r="D3925" i="1"/>
  <c r="E3925" i="1"/>
  <c r="F3925" i="1"/>
  <c r="L3924" i="1"/>
  <c r="L3923" i="1"/>
  <c r="F3924" i="1"/>
  <c r="E3924" i="1"/>
  <c r="D3924" i="1"/>
  <c r="F3923" i="1"/>
  <c r="E3923" i="1"/>
  <c r="D3923" i="1"/>
  <c r="L3922" i="1"/>
  <c r="L3921" i="1"/>
  <c r="L3920" i="1"/>
  <c r="F3922" i="1"/>
  <c r="E3922" i="1"/>
  <c r="D3922" i="1"/>
  <c r="F3921" i="1"/>
  <c r="E3921" i="1"/>
  <c r="D3921" i="1"/>
  <c r="F3920" i="1"/>
  <c r="E3920" i="1"/>
  <c r="D3920" i="1"/>
  <c r="L3919" i="1"/>
  <c r="F3919" i="1"/>
  <c r="E3919" i="1"/>
  <c r="D3919" i="1"/>
  <c r="L3918" i="1"/>
  <c r="F3918" i="1"/>
  <c r="E3918" i="1"/>
  <c r="D3918" i="1"/>
  <c r="L3917" i="1"/>
  <c r="F3917" i="1"/>
  <c r="E3917" i="1"/>
  <c r="D3917" i="1"/>
  <c r="L3916" i="1"/>
  <c r="F3916" i="1"/>
  <c r="E3916" i="1"/>
  <c r="D3916" i="1"/>
  <c r="L3915" i="1"/>
  <c r="F3915" i="1"/>
  <c r="E3915" i="1"/>
  <c r="D3915" i="1"/>
  <c r="L3913" i="1"/>
  <c r="F3914" i="1"/>
  <c r="E3914" i="1"/>
  <c r="D3914" i="1"/>
  <c r="F3913" i="1"/>
  <c r="E3913" i="1"/>
  <c r="D3913" i="1"/>
  <c r="L3912" i="1"/>
  <c r="F3912" i="1"/>
  <c r="E3912" i="1"/>
  <c r="D3912" i="1"/>
  <c r="L3911" i="1"/>
  <c r="F3911" i="1"/>
  <c r="E3911" i="1"/>
  <c r="D3911" i="1"/>
  <c r="L3910" i="1"/>
  <c r="F3910" i="1"/>
  <c r="E3910" i="1"/>
  <c r="D3910" i="1"/>
  <c r="L3909" i="1"/>
  <c r="D3909" i="1"/>
  <c r="E3909" i="1"/>
  <c r="F3909" i="1"/>
  <c r="L3908" i="1"/>
  <c r="F3908" i="1"/>
  <c r="E3908" i="1"/>
  <c r="D3908" i="1"/>
  <c r="L3907" i="1"/>
  <c r="F3907" i="1"/>
  <c r="E3907" i="1"/>
  <c r="D3907" i="1"/>
  <c r="L3906" i="1"/>
  <c r="F3906" i="1"/>
  <c r="E3906" i="1"/>
  <c r="D3906" i="1"/>
  <c r="F3905" i="1"/>
  <c r="E3905" i="1"/>
  <c r="D3905" i="1"/>
  <c r="L3904" i="1"/>
  <c r="F3904" i="1"/>
  <c r="E3904" i="1"/>
  <c r="D3904" i="1"/>
  <c r="L3903" i="1"/>
  <c r="F3903" i="1"/>
  <c r="E3903" i="1"/>
  <c r="D3903" i="1"/>
  <c r="L3902" i="1"/>
  <c r="F3902" i="1"/>
  <c r="E3902" i="1"/>
  <c r="D3902" i="1"/>
  <c r="L3901" i="1"/>
  <c r="L3900" i="1"/>
  <c r="F3901" i="1"/>
  <c r="E3901" i="1"/>
  <c r="D3901" i="1"/>
  <c r="F3900" i="1"/>
  <c r="E3900" i="1"/>
  <c r="D3900" i="1"/>
  <c r="L3899" i="1"/>
  <c r="F3899" i="1"/>
  <c r="E3899" i="1"/>
  <c r="D3899" i="1"/>
  <c r="L3897" i="1"/>
  <c r="F3898" i="1"/>
  <c r="E3898" i="1"/>
  <c r="D3898" i="1"/>
  <c r="F3897" i="1"/>
  <c r="E3897" i="1"/>
  <c r="D3897" i="1"/>
  <c r="L3896" i="1"/>
  <c r="F3896" i="1"/>
  <c r="E3896" i="1"/>
  <c r="D3896" i="1"/>
  <c r="L3895" i="1"/>
  <c r="F3895" i="1"/>
  <c r="E3895" i="1"/>
  <c r="D3895" i="1"/>
  <c r="L3894" i="1"/>
  <c r="F3894" i="1"/>
  <c r="E3894" i="1"/>
  <c r="D3894" i="1"/>
  <c r="L3893" i="1"/>
  <c r="F3893" i="1"/>
  <c r="E3893" i="1"/>
  <c r="D3893" i="1"/>
  <c r="L3892" i="1"/>
  <c r="F3892" i="1"/>
  <c r="E3892" i="1"/>
  <c r="D3892" i="1"/>
  <c r="L3891" i="1"/>
  <c r="F3891" i="1"/>
  <c r="E3891" i="1"/>
  <c r="D3891" i="1"/>
  <c r="L3890" i="1"/>
  <c r="F3890" i="1"/>
  <c r="E3890" i="1"/>
  <c r="D3890" i="1"/>
  <c r="L3889" i="1"/>
  <c r="F3889" i="1"/>
  <c r="E3889" i="1"/>
  <c r="D3889" i="1"/>
  <c r="L3888" i="1"/>
  <c r="L3887" i="1"/>
  <c r="F3888" i="1"/>
  <c r="E3888" i="1"/>
  <c r="D3888" i="1"/>
  <c r="F3887" i="1"/>
  <c r="E3887" i="1"/>
  <c r="D3887" i="1"/>
  <c r="L3886" i="1"/>
  <c r="L3885" i="1"/>
  <c r="F3886" i="1"/>
  <c r="E3886" i="1"/>
  <c r="D3886" i="1"/>
  <c r="F3885" i="1"/>
  <c r="E3885" i="1"/>
  <c r="D3885" i="1"/>
  <c r="L3884" i="1"/>
  <c r="F3884" i="1"/>
  <c r="E3884" i="1"/>
  <c r="D3884" i="1"/>
  <c r="L3883" i="1"/>
  <c r="F3883" i="1"/>
  <c r="E3883" i="1"/>
  <c r="D3883" i="1"/>
  <c r="L3882" i="1"/>
  <c r="F3882" i="1"/>
  <c r="E3882" i="1"/>
  <c r="D3882" i="1"/>
  <c r="L3881" i="1"/>
  <c r="L3880" i="1"/>
  <c r="F3881" i="1"/>
  <c r="E3881" i="1"/>
  <c r="D3881" i="1"/>
  <c r="F3880" i="1"/>
  <c r="E3880" i="1"/>
  <c r="D3880" i="1"/>
  <c r="L3879" i="1"/>
  <c r="F3879" i="1"/>
  <c r="E3879" i="1"/>
  <c r="D3879" i="1"/>
  <c r="L3878" i="1"/>
  <c r="F3878" i="1"/>
  <c r="E3878" i="1"/>
  <c r="D3878" i="1"/>
  <c r="L3876" i="1"/>
  <c r="F3877" i="1"/>
  <c r="E3877" i="1"/>
  <c r="D3877" i="1"/>
  <c r="F3876" i="1"/>
  <c r="E3876" i="1"/>
  <c r="D3876" i="1"/>
  <c r="L3875" i="1"/>
  <c r="L3874" i="1"/>
  <c r="F3875" i="1"/>
  <c r="E3875" i="1"/>
  <c r="D3875" i="1"/>
  <c r="F3874" i="1"/>
  <c r="E3874" i="1"/>
  <c r="D3874" i="1"/>
  <c r="L3873" i="1"/>
  <c r="F3873" i="1"/>
  <c r="E3873" i="1"/>
  <c r="D3873" i="1"/>
  <c r="L3872" i="1"/>
  <c r="F3872" i="1"/>
  <c r="E3872" i="1"/>
  <c r="D3872" i="1"/>
  <c r="L3871" i="1"/>
  <c r="L3870" i="1"/>
  <c r="F3871" i="1"/>
  <c r="E3871" i="1"/>
  <c r="D3871" i="1"/>
  <c r="F3870" i="1"/>
  <c r="E3870" i="1"/>
  <c r="D3870" i="1"/>
  <c r="L3869" i="1"/>
  <c r="F3869" i="1"/>
  <c r="E3869" i="1"/>
  <c r="D3869" i="1"/>
  <c r="L3867" i="1"/>
  <c r="F3868" i="1"/>
  <c r="E3868" i="1"/>
  <c r="D3868" i="1"/>
  <c r="F3867" i="1"/>
  <c r="E3867" i="1"/>
  <c r="D3867" i="1"/>
  <c r="L3866" i="1"/>
  <c r="F3866" i="1"/>
  <c r="E3866" i="1"/>
  <c r="D3866" i="1"/>
  <c r="L3865" i="1"/>
  <c r="L3864" i="1"/>
  <c r="F3865" i="1"/>
  <c r="E3865" i="1"/>
  <c r="D3865" i="1"/>
  <c r="F3864" i="1"/>
  <c r="E3864" i="1"/>
  <c r="D3864" i="1"/>
  <c r="L3863" i="1"/>
  <c r="F3863" i="1"/>
  <c r="E3863" i="1"/>
  <c r="D3863" i="1"/>
  <c r="L3862" i="1"/>
  <c r="F3862" i="1"/>
  <c r="E3862" i="1"/>
  <c r="D3862" i="1"/>
  <c r="L3861" i="1"/>
  <c r="F3861" i="1"/>
  <c r="E3861" i="1"/>
  <c r="D3861" i="1"/>
  <c r="L3860" i="1"/>
  <c r="F3860" i="1"/>
  <c r="E3860" i="1"/>
  <c r="D3860" i="1"/>
  <c r="L3858" i="1"/>
  <c r="F3859" i="1"/>
  <c r="E3859" i="1"/>
  <c r="D3859" i="1"/>
  <c r="F3858" i="1"/>
  <c r="E3858" i="1"/>
  <c r="D3858" i="1"/>
  <c r="L3857" i="1"/>
  <c r="L3856" i="1"/>
  <c r="F3857" i="1"/>
  <c r="E3857" i="1"/>
  <c r="D3857" i="1"/>
  <c r="F3856" i="1"/>
  <c r="E3856" i="1"/>
  <c r="D3856" i="1"/>
  <c r="L3855" i="1"/>
  <c r="F3855" i="1"/>
  <c r="E3855" i="1"/>
  <c r="D3855" i="1"/>
  <c r="L3854" i="1"/>
  <c r="F3854" i="1"/>
  <c r="E3854" i="1"/>
  <c r="D3854" i="1"/>
  <c r="L3853" i="1"/>
  <c r="F3853" i="1"/>
  <c r="E3853" i="1"/>
  <c r="D3853" i="1"/>
  <c r="L3852" i="1"/>
  <c r="F3852" i="1"/>
  <c r="E3852" i="1"/>
  <c r="D3852" i="1"/>
  <c r="L3851" i="1"/>
  <c r="F3851" i="1"/>
  <c r="E3851" i="1"/>
  <c r="D3851" i="1"/>
  <c r="L3850" i="1"/>
  <c r="F3850" i="1"/>
  <c r="E3850" i="1"/>
  <c r="D3850" i="1"/>
  <c r="L3849" i="1"/>
  <c r="F3849" i="1"/>
  <c r="E3849" i="1"/>
  <c r="D3849" i="1"/>
  <c r="L3847" i="1"/>
  <c r="F3848" i="1"/>
  <c r="E3848" i="1"/>
  <c r="D3848" i="1"/>
  <c r="F3847" i="1"/>
  <c r="E3847" i="1"/>
  <c r="D3847" i="1"/>
  <c r="L3846" i="1"/>
  <c r="F3846" i="1"/>
  <c r="E3846" i="1"/>
  <c r="D3846" i="1"/>
  <c r="L3845" i="1"/>
  <c r="L3844" i="1"/>
  <c r="F3845" i="1"/>
  <c r="E3845" i="1"/>
  <c r="D3845" i="1"/>
  <c r="F3844" i="1"/>
  <c r="E3844" i="1"/>
  <c r="D3844" i="1"/>
  <c r="L3842" i="1"/>
  <c r="L3841" i="1"/>
  <c r="F3843" i="1"/>
  <c r="E3843" i="1"/>
  <c r="D3843" i="1"/>
  <c r="F3842" i="1"/>
  <c r="E3842" i="1"/>
  <c r="D3842" i="1"/>
  <c r="L3840" i="1"/>
  <c r="F3841" i="1"/>
  <c r="E3841" i="1"/>
  <c r="D3841" i="1"/>
  <c r="F3840" i="1"/>
  <c r="E3840" i="1"/>
  <c r="D3840" i="1"/>
  <c r="L3839" i="1"/>
  <c r="F3839" i="1"/>
  <c r="E3839" i="1"/>
  <c r="D3839" i="1"/>
  <c r="L3838" i="1"/>
  <c r="L3837" i="1"/>
  <c r="F3838" i="1"/>
  <c r="E3838" i="1"/>
  <c r="D3838" i="1"/>
  <c r="F3837" i="1"/>
  <c r="E3837" i="1"/>
  <c r="D3837" i="1"/>
  <c r="F3836" i="1"/>
  <c r="E3836" i="1"/>
  <c r="D3836" i="1"/>
  <c r="L3835" i="1"/>
  <c r="F3835" i="1"/>
  <c r="E3835" i="1"/>
  <c r="D3835" i="1"/>
  <c r="L3834" i="1"/>
  <c r="F3834" i="1"/>
  <c r="E3834" i="1"/>
  <c r="D3834" i="1"/>
  <c r="L3832" i="1"/>
  <c r="F3833" i="1"/>
  <c r="E3833" i="1"/>
  <c r="D3833" i="1"/>
  <c r="F3832" i="1"/>
  <c r="E3832" i="1"/>
  <c r="D3832" i="1"/>
  <c r="L3831" i="1"/>
  <c r="F3831" i="1"/>
  <c r="E3831" i="1"/>
  <c r="D3831" i="1"/>
  <c r="L3830" i="1"/>
  <c r="F3830" i="1"/>
  <c r="E3830" i="1"/>
  <c r="D3830" i="1"/>
  <c r="L3829" i="1"/>
  <c r="F3829" i="1"/>
  <c r="E3829" i="1"/>
  <c r="D3829" i="1"/>
  <c r="L3828" i="1"/>
  <c r="L3827" i="1"/>
  <c r="F3828" i="1"/>
  <c r="E3828" i="1"/>
  <c r="D3828" i="1"/>
  <c r="F3827" i="1"/>
  <c r="E3827" i="1"/>
  <c r="D3827" i="1"/>
  <c r="L3826" i="1"/>
  <c r="F3826" i="1"/>
  <c r="E3826" i="1"/>
  <c r="D3826" i="1"/>
  <c r="L3825" i="1"/>
  <c r="L3824" i="1"/>
  <c r="F3825" i="1"/>
  <c r="E3825" i="1"/>
  <c r="D3825" i="1"/>
  <c r="F3824" i="1"/>
  <c r="E3824" i="1"/>
  <c r="D3824" i="1"/>
  <c r="L3823" i="1"/>
  <c r="F3823" i="1"/>
  <c r="E3823" i="1"/>
  <c r="D3823" i="1"/>
  <c r="L3822" i="1"/>
  <c r="F3822" i="1"/>
  <c r="E3822" i="1"/>
  <c r="D3822" i="1"/>
  <c r="F3821" i="1"/>
  <c r="E3821" i="1"/>
  <c r="D3821" i="1"/>
  <c r="L3820" i="1"/>
  <c r="F3820" i="1"/>
  <c r="E3820" i="1"/>
  <c r="D3820" i="1"/>
  <c r="L3819" i="1"/>
  <c r="F3819" i="1"/>
  <c r="E3819" i="1"/>
  <c r="D3819" i="1"/>
  <c r="L3818" i="1"/>
  <c r="F3818" i="1"/>
  <c r="E3818" i="1"/>
  <c r="D3818" i="1"/>
  <c r="L3817" i="1"/>
  <c r="F3817" i="1"/>
  <c r="E3817" i="1"/>
  <c r="D3817" i="1"/>
  <c r="L3816" i="1"/>
  <c r="F3816" i="1"/>
  <c r="E3816" i="1"/>
  <c r="D3816" i="1"/>
  <c r="L3815" i="1"/>
  <c r="F3815" i="1"/>
  <c r="E3815" i="1"/>
  <c r="D3815" i="1"/>
  <c r="L3814" i="1"/>
  <c r="F3814" i="1"/>
  <c r="E3814" i="1"/>
  <c r="D3814" i="1"/>
  <c r="L3813" i="1"/>
  <c r="F3813" i="1"/>
  <c r="E3813" i="1"/>
  <c r="D3813" i="1"/>
  <c r="L3812" i="1"/>
  <c r="F3812" i="1"/>
  <c r="E3812" i="1"/>
  <c r="D3812" i="1"/>
  <c r="L3811" i="1"/>
  <c r="F3811" i="1"/>
  <c r="E3811" i="1"/>
  <c r="D3811" i="1"/>
  <c r="L3810" i="1"/>
  <c r="F3810" i="1"/>
  <c r="E3810" i="1"/>
  <c r="D3810" i="1"/>
  <c r="L3809" i="1"/>
  <c r="F3809" i="1"/>
  <c r="E3809" i="1"/>
  <c r="D3809" i="1"/>
  <c r="L3808" i="1"/>
  <c r="F3808" i="1"/>
  <c r="E3808" i="1"/>
  <c r="D3808" i="1"/>
  <c r="L3806" i="1"/>
  <c r="F3807" i="1"/>
  <c r="E3807" i="1"/>
  <c r="D3807" i="1"/>
  <c r="F3806" i="1"/>
  <c r="E3806" i="1"/>
  <c r="D3806" i="1"/>
  <c r="L3805" i="1"/>
  <c r="F3805" i="1"/>
  <c r="E3805" i="1"/>
  <c r="D3805" i="1"/>
  <c r="L3804" i="1"/>
  <c r="F3804" i="1"/>
  <c r="E3804" i="1"/>
  <c r="D3804" i="1"/>
  <c r="L3803" i="1"/>
  <c r="F3803" i="1"/>
  <c r="E3803" i="1"/>
  <c r="D3803" i="1"/>
  <c r="L3802" i="1"/>
  <c r="F3802" i="1"/>
  <c r="E3802" i="1"/>
  <c r="D3802" i="1"/>
  <c r="L3801" i="1"/>
  <c r="F3801" i="1"/>
  <c r="E3801" i="1"/>
  <c r="D3801" i="1"/>
  <c r="L3800" i="1"/>
  <c r="F3800" i="1"/>
  <c r="E3800" i="1"/>
  <c r="D3800" i="1"/>
  <c r="L3799" i="1"/>
  <c r="F3799" i="1"/>
  <c r="E3799" i="1"/>
  <c r="D3799" i="1"/>
  <c r="L3798" i="1"/>
  <c r="F3798" i="1"/>
  <c r="E3798" i="1"/>
  <c r="D3798" i="1"/>
  <c r="L3797" i="1"/>
  <c r="F3797" i="1"/>
  <c r="E3797" i="1"/>
  <c r="D3797" i="1"/>
  <c r="L3796" i="1"/>
  <c r="L3795" i="1"/>
  <c r="F3796" i="1"/>
  <c r="E3796" i="1"/>
  <c r="D3796" i="1"/>
  <c r="F3795" i="1"/>
  <c r="E3795" i="1"/>
  <c r="D3795" i="1"/>
  <c r="L3794" i="1"/>
  <c r="F3794" i="1"/>
  <c r="E3794" i="1"/>
  <c r="D3794" i="1"/>
  <c r="L3793" i="1"/>
  <c r="L3792" i="1"/>
  <c r="F3793" i="1"/>
  <c r="E3793" i="1"/>
  <c r="D3793" i="1"/>
  <c r="F3792" i="1"/>
  <c r="E3792" i="1"/>
  <c r="D3792" i="1"/>
  <c r="L3791" i="1"/>
  <c r="F3791" i="1"/>
  <c r="E3791" i="1"/>
  <c r="D3791" i="1"/>
  <c r="L3790" i="1"/>
  <c r="F3790" i="1"/>
  <c r="E3790" i="1"/>
  <c r="D3790" i="1"/>
  <c r="L3787" i="1"/>
  <c r="L3789" i="1"/>
  <c r="F3789" i="1"/>
  <c r="E3789" i="1"/>
  <c r="D3789" i="1"/>
  <c r="L3786" i="1"/>
  <c r="L3788" i="1"/>
  <c r="F3788" i="1"/>
  <c r="E3788" i="1"/>
  <c r="D3788" i="1"/>
  <c r="F3787" i="1"/>
  <c r="E3787" i="1"/>
  <c r="D3787" i="1"/>
  <c r="L3785" i="1"/>
  <c r="F3786" i="1"/>
  <c r="E3786" i="1"/>
  <c r="D3786" i="1"/>
  <c r="F3785" i="1"/>
  <c r="E3785" i="1"/>
  <c r="D3785" i="1"/>
  <c r="L3784" i="1"/>
  <c r="F3784" i="1"/>
  <c r="E3784" i="1"/>
  <c r="D3784" i="1"/>
  <c r="L3783" i="1"/>
  <c r="F3783" i="1"/>
  <c r="E3783" i="1"/>
  <c r="D3783" i="1"/>
  <c r="L3782" i="1"/>
  <c r="F3782" i="1"/>
  <c r="E3782" i="1"/>
  <c r="D3782" i="1"/>
  <c r="L3781" i="1"/>
  <c r="F3781" i="1"/>
  <c r="E3781" i="1"/>
  <c r="D3781" i="1"/>
  <c r="L3780" i="1"/>
  <c r="F3780" i="1"/>
  <c r="E3780" i="1"/>
  <c r="D3780" i="1"/>
  <c r="L3779" i="1"/>
  <c r="F3779" i="1"/>
  <c r="E3779" i="1"/>
  <c r="D3779" i="1"/>
  <c r="L3778" i="1"/>
  <c r="F3778" i="1"/>
  <c r="E3778" i="1"/>
  <c r="D3778" i="1"/>
  <c r="L3777" i="1"/>
  <c r="F3777" i="1"/>
  <c r="E3777" i="1"/>
  <c r="D3777" i="1"/>
  <c r="L3776" i="1"/>
  <c r="F3776" i="1"/>
  <c r="E3776" i="1"/>
  <c r="D3776" i="1"/>
  <c r="L3775" i="1"/>
  <c r="F3775" i="1"/>
  <c r="E3775" i="1"/>
  <c r="D3775" i="1"/>
  <c r="L3774" i="1"/>
  <c r="F3774" i="1"/>
  <c r="E3774" i="1"/>
  <c r="D3774" i="1"/>
  <c r="L3773" i="1"/>
  <c r="F3773" i="1"/>
  <c r="E3773" i="1"/>
  <c r="D3773" i="1"/>
  <c r="L3772" i="1"/>
  <c r="F3772" i="1"/>
  <c r="E3772" i="1"/>
  <c r="D3772" i="1"/>
  <c r="L3771" i="1"/>
  <c r="F3771" i="1"/>
  <c r="E3771" i="1"/>
  <c r="D3771" i="1"/>
  <c r="L3770" i="1"/>
  <c r="F3770" i="1"/>
  <c r="E3770" i="1"/>
  <c r="D3770" i="1"/>
  <c r="L3769" i="1"/>
  <c r="F3769" i="1"/>
  <c r="E3769" i="1"/>
  <c r="D3769" i="1"/>
  <c r="L3768" i="1"/>
  <c r="L3767" i="1"/>
  <c r="F3768" i="1"/>
  <c r="E3768" i="1"/>
  <c r="D3768" i="1"/>
  <c r="F3767" i="1"/>
  <c r="E3767" i="1"/>
  <c r="D3767" i="1"/>
  <c r="L3766" i="1"/>
  <c r="L3765" i="1"/>
  <c r="F3766" i="1"/>
  <c r="E3766" i="1"/>
  <c r="D3766" i="1"/>
  <c r="F3765" i="1"/>
  <c r="E3765" i="1"/>
  <c r="D3765" i="1"/>
  <c r="L3764" i="1"/>
  <c r="F3764" i="1"/>
  <c r="E3764" i="1"/>
  <c r="D3764" i="1"/>
  <c r="L3763" i="1"/>
  <c r="F3763" i="1"/>
  <c r="E3763" i="1"/>
  <c r="D3763" i="1"/>
  <c r="L3762" i="1"/>
  <c r="L3761" i="1"/>
  <c r="F3762" i="1"/>
  <c r="E3762" i="1"/>
  <c r="D3762" i="1"/>
  <c r="F3761" i="1"/>
  <c r="E3761" i="1"/>
  <c r="D3761" i="1"/>
  <c r="L3760" i="1"/>
  <c r="F3760" i="1"/>
  <c r="E3760" i="1"/>
  <c r="D3760" i="1"/>
  <c r="L3759" i="1"/>
  <c r="F3759" i="1"/>
  <c r="E3759" i="1"/>
  <c r="D3759" i="1"/>
  <c r="L3758" i="1"/>
  <c r="F3758" i="1"/>
  <c r="E3758" i="1"/>
  <c r="D3758" i="1"/>
  <c r="L3757" i="1"/>
  <c r="F3757" i="1"/>
  <c r="E3757" i="1"/>
  <c r="D3757" i="1"/>
  <c r="L3756" i="1"/>
  <c r="L3755" i="1"/>
  <c r="F3756" i="1"/>
  <c r="E3756" i="1"/>
  <c r="D3756" i="1"/>
  <c r="F3755" i="1"/>
  <c r="E3755" i="1"/>
  <c r="D3755" i="1"/>
  <c r="L3754" i="1" l="1"/>
  <c r="L3753" i="1"/>
  <c r="F3754" i="1"/>
  <c r="E3754" i="1"/>
  <c r="D3754" i="1"/>
  <c r="F3753" i="1"/>
  <c r="E3753" i="1"/>
  <c r="D3753" i="1"/>
  <c r="L3752" i="1"/>
  <c r="F3752" i="1"/>
  <c r="E3752" i="1"/>
  <c r="D3752" i="1"/>
  <c r="L3751" i="1"/>
  <c r="F3751" i="1"/>
  <c r="E3751" i="1"/>
  <c r="D3751" i="1"/>
  <c r="L3750" i="1" l="1"/>
  <c r="F3750" i="1"/>
  <c r="E3750" i="1"/>
  <c r="D3750" i="1"/>
  <c r="L3749" i="1"/>
  <c r="F3749" i="1"/>
  <c r="E3749" i="1"/>
  <c r="D3749" i="1"/>
  <c r="L3748" i="1"/>
  <c r="F3748" i="1"/>
  <c r="E3748" i="1"/>
  <c r="D3748" i="1"/>
  <c r="L3747" i="1"/>
  <c r="F3747" i="1"/>
  <c r="E3747" i="1"/>
  <c r="D3747" i="1"/>
  <c r="L3746" i="1"/>
  <c r="D3746" i="1"/>
  <c r="F3746" i="1"/>
  <c r="E3746" i="1"/>
  <c r="L3745" i="1"/>
  <c r="F3745" i="1"/>
  <c r="E3745" i="1"/>
  <c r="D3745" i="1"/>
  <c r="L3744" i="1"/>
  <c r="F3744" i="1"/>
  <c r="E3744" i="1"/>
  <c r="D3744" i="1"/>
  <c r="L3743" i="1"/>
  <c r="L3741" i="1"/>
  <c r="L3742" i="1"/>
  <c r="F3741" i="1"/>
  <c r="E3741" i="1"/>
  <c r="D3741" i="1"/>
  <c r="F3743" i="1"/>
  <c r="E3743" i="1"/>
  <c r="D3743" i="1"/>
  <c r="F3742" i="1"/>
  <c r="E3742" i="1"/>
  <c r="D3742" i="1"/>
  <c r="L3740" i="1"/>
  <c r="F3740" i="1"/>
  <c r="E3740" i="1"/>
  <c r="D3740" i="1"/>
  <c r="L3739" i="1"/>
  <c r="F3739" i="1"/>
  <c r="E3739" i="1"/>
  <c r="D3739" i="1"/>
  <c r="L3738" i="1"/>
  <c r="F3738" i="1"/>
  <c r="E3738" i="1"/>
  <c r="D3738" i="1"/>
  <c r="L3737" i="1"/>
  <c r="F3737" i="1"/>
  <c r="E3737" i="1"/>
  <c r="D3737" i="1"/>
  <c r="L3736" i="1"/>
  <c r="F3736" i="1"/>
  <c r="E3736" i="1"/>
  <c r="D3736" i="1"/>
  <c r="L3735" i="1"/>
  <c r="F3735" i="1"/>
  <c r="E3735" i="1"/>
  <c r="D3735" i="1"/>
  <c r="L3734" i="1"/>
  <c r="F3734" i="1"/>
  <c r="E3734" i="1"/>
  <c r="D3734" i="1"/>
  <c r="L3733" i="1"/>
  <c r="F3733" i="1"/>
  <c r="E3733" i="1"/>
  <c r="D3733" i="1"/>
  <c r="L3732" i="1"/>
  <c r="F3732" i="1"/>
  <c r="E3732" i="1"/>
  <c r="D3732" i="1"/>
  <c r="L3731" i="1"/>
  <c r="F3731" i="1"/>
  <c r="E3731" i="1"/>
  <c r="D3731" i="1"/>
  <c r="L3730" i="1"/>
  <c r="F3730" i="1"/>
  <c r="E3730" i="1"/>
  <c r="D3730" i="1"/>
  <c r="L3729" i="1"/>
  <c r="F3729" i="1"/>
  <c r="E3729" i="1"/>
  <c r="D3729" i="1"/>
  <c r="L3728" i="1"/>
  <c r="F3728" i="1"/>
  <c r="E3728" i="1"/>
  <c r="D3728" i="1"/>
  <c r="L3727" i="1"/>
  <c r="F3727" i="1"/>
  <c r="E3727" i="1"/>
  <c r="D3727" i="1"/>
  <c r="L3726" i="1"/>
  <c r="F3726" i="1"/>
  <c r="E3726" i="1"/>
  <c r="D3726" i="1"/>
  <c r="L3725" i="1"/>
  <c r="F3725" i="1"/>
  <c r="E3725" i="1"/>
  <c r="D3725" i="1"/>
  <c r="L3724" i="1"/>
  <c r="F3724" i="1"/>
  <c r="E3724" i="1"/>
  <c r="D3724" i="1"/>
  <c r="L3723" i="1"/>
  <c r="F3723" i="1"/>
  <c r="E3723" i="1"/>
  <c r="D3723" i="1"/>
  <c r="L3722" i="1"/>
  <c r="L3721" i="1"/>
  <c r="F3722" i="1"/>
  <c r="E3722" i="1"/>
  <c r="D3722" i="1"/>
  <c r="F3721" i="1"/>
  <c r="E3721" i="1"/>
  <c r="D3721" i="1"/>
  <c r="L3720" i="1"/>
  <c r="F3720" i="1"/>
  <c r="E3720" i="1"/>
  <c r="D3720" i="1"/>
  <c r="L3719" i="1"/>
  <c r="F3719" i="1"/>
  <c r="E3719" i="1"/>
  <c r="D3719" i="1"/>
  <c r="L3717" i="1"/>
  <c r="L3716" i="1"/>
  <c r="L3715" i="1"/>
  <c r="L3718" i="1"/>
  <c r="F3718" i="1"/>
  <c r="E3718" i="1"/>
  <c r="D3718" i="1"/>
  <c r="F3717" i="1"/>
  <c r="E3717" i="1"/>
  <c r="D3717" i="1"/>
  <c r="F3716" i="1"/>
  <c r="E3716" i="1"/>
  <c r="D3716" i="1"/>
  <c r="F3715" i="1"/>
  <c r="E3715" i="1"/>
  <c r="D3715" i="1"/>
  <c r="L3714" i="1" l="1"/>
  <c r="F3714" i="1"/>
  <c r="E3714" i="1"/>
  <c r="D3714" i="1"/>
  <c r="L3713" i="1"/>
  <c r="F3713" i="1"/>
  <c r="E3713" i="1"/>
  <c r="D3713" i="1"/>
  <c r="L3712" i="1"/>
  <c r="F3712" i="1"/>
  <c r="E3712" i="1"/>
  <c r="D3712" i="1"/>
  <c r="L3711" i="1"/>
  <c r="F3711" i="1"/>
  <c r="E3711" i="1"/>
  <c r="D3711" i="1"/>
  <c r="L3710" i="1"/>
  <c r="F3710" i="1"/>
  <c r="E3710" i="1"/>
  <c r="D3710" i="1"/>
  <c r="L3709" i="1"/>
  <c r="F3709" i="1"/>
  <c r="E3709" i="1"/>
  <c r="D3709" i="1"/>
  <c r="L3708" i="1"/>
  <c r="F3708" i="1"/>
  <c r="E3708" i="1"/>
  <c r="D3708" i="1"/>
  <c r="L3707" i="1"/>
  <c r="F3707" i="1"/>
  <c r="E3707" i="1"/>
  <c r="D3707" i="1"/>
  <c r="L3706" i="1"/>
  <c r="F3706" i="1"/>
  <c r="E3706" i="1"/>
  <c r="D3706" i="1"/>
  <c r="L3705" i="1"/>
  <c r="F3705" i="1"/>
  <c r="E3705" i="1"/>
  <c r="D3705" i="1"/>
  <c r="L3704" i="1"/>
  <c r="F3704" i="1"/>
  <c r="E3704" i="1"/>
  <c r="D3704" i="1"/>
  <c r="L3703" i="1"/>
  <c r="F3703" i="1"/>
  <c r="E3703" i="1"/>
  <c r="D3703" i="1"/>
  <c r="L3702" i="1"/>
  <c r="F3702" i="1"/>
  <c r="E3702" i="1"/>
  <c r="D3702" i="1"/>
  <c r="L3701" i="1"/>
  <c r="F3701" i="1"/>
  <c r="E3701" i="1"/>
  <c r="D3701" i="1"/>
  <c r="L3700" i="1"/>
  <c r="F3700" i="1"/>
  <c r="E3700" i="1"/>
  <c r="D3700" i="1"/>
  <c r="L3699" i="1"/>
  <c r="F3699" i="1"/>
  <c r="E3699" i="1"/>
  <c r="D3699" i="1"/>
  <c r="L3698" i="1"/>
  <c r="F3698" i="1"/>
  <c r="E3698" i="1"/>
  <c r="D3698" i="1"/>
  <c r="L3697" i="1"/>
  <c r="F3697" i="1"/>
  <c r="E3697" i="1"/>
  <c r="D3697" i="1"/>
  <c r="L3696" i="1"/>
  <c r="F3696" i="1"/>
  <c r="E3696" i="1"/>
  <c r="D3696" i="1"/>
  <c r="L3695" i="1"/>
  <c r="F3695" i="1"/>
  <c r="E3695" i="1"/>
  <c r="D3695" i="1"/>
  <c r="L3694" i="1"/>
  <c r="F3694" i="1"/>
  <c r="E3694" i="1"/>
  <c r="D3694" i="1"/>
  <c r="L3693" i="1"/>
  <c r="F3693" i="1"/>
  <c r="E3693" i="1"/>
  <c r="D3693" i="1"/>
  <c r="L3692" i="1"/>
  <c r="F3692" i="1"/>
  <c r="E3692" i="1"/>
  <c r="D3692" i="1"/>
  <c r="L3691" i="1"/>
  <c r="F3691" i="1"/>
  <c r="E3691" i="1"/>
  <c r="D3691" i="1"/>
  <c r="L3690" i="1"/>
  <c r="F3690" i="1"/>
  <c r="E3690" i="1"/>
  <c r="D3690" i="1"/>
  <c r="L3689" i="1" l="1"/>
  <c r="F3689" i="1"/>
  <c r="E3689" i="1"/>
  <c r="D3689" i="1"/>
  <c r="L3688" i="1"/>
  <c r="F3688" i="1"/>
  <c r="E3688" i="1"/>
  <c r="D3688" i="1"/>
  <c r="L3687" i="1"/>
  <c r="F3687" i="1"/>
  <c r="E3687" i="1"/>
  <c r="D3687" i="1"/>
  <c r="L3686" i="1"/>
  <c r="F3686" i="1"/>
  <c r="E3686" i="1"/>
  <c r="D3686" i="1"/>
  <c r="L3685" i="1"/>
  <c r="F3685" i="1"/>
  <c r="E3685" i="1"/>
  <c r="D3685" i="1"/>
  <c r="L3684" i="1"/>
  <c r="F3684" i="1"/>
  <c r="E3684" i="1"/>
  <c r="D3684" i="1"/>
  <c r="L3683" i="1"/>
  <c r="F3683" i="1"/>
  <c r="E3683" i="1"/>
  <c r="D3683" i="1"/>
  <c r="L3682" i="1"/>
  <c r="F3682" i="1"/>
  <c r="E3682" i="1"/>
  <c r="D3682" i="1"/>
  <c r="L3681" i="1"/>
  <c r="F3681" i="1"/>
  <c r="E3681" i="1"/>
  <c r="D3681" i="1"/>
  <c r="L3680" i="1"/>
  <c r="F3680" i="1"/>
  <c r="E3680" i="1"/>
  <c r="D3680" i="1"/>
  <c r="L3679" i="1"/>
  <c r="F3679" i="1"/>
  <c r="E3679" i="1"/>
  <c r="D3679" i="1"/>
  <c r="L3678" i="1"/>
  <c r="F3678" i="1"/>
  <c r="E3678" i="1"/>
  <c r="D3678" i="1"/>
  <c r="L3677" i="1"/>
  <c r="F3677" i="1"/>
  <c r="E3677" i="1"/>
  <c r="D3677" i="1"/>
  <c r="L3676" i="1"/>
  <c r="F3676" i="1"/>
  <c r="E3676" i="1"/>
  <c r="D3676" i="1"/>
  <c r="L3675" i="1"/>
  <c r="F3675" i="1"/>
  <c r="E3675" i="1"/>
  <c r="D3675" i="1"/>
  <c r="L3674" i="1"/>
  <c r="F3674" i="1"/>
  <c r="E3674" i="1"/>
  <c r="D3674" i="1"/>
  <c r="F3673" i="1"/>
  <c r="E3673" i="1"/>
  <c r="D3673" i="1"/>
  <c r="L3672" i="1"/>
  <c r="F3672" i="1"/>
  <c r="E3672" i="1"/>
  <c r="D3672" i="1"/>
  <c r="L3671" i="1"/>
  <c r="F3671" i="1"/>
  <c r="E3671" i="1"/>
  <c r="D3671" i="1"/>
  <c r="L3670" i="1"/>
  <c r="F3670" i="1"/>
  <c r="E3670" i="1"/>
  <c r="D3670" i="1"/>
  <c r="L3669" i="1"/>
  <c r="L3668" i="1"/>
  <c r="L3667" i="1"/>
  <c r="F3669" i="1"/>
  <c r="E3669" i="1"/>
  <c r="D3669" i="1"/>
  <c r="F3668" i="1"/>
  <c r="E3668" i="1"/>
  <c r="D3668" i="1"/>
  <c r="F3667" i="1"/>
  <c r="E3667" i="1"/>
  <c r="D3667" i="1"/>
  <c r="L3666" i="1"/>
  <c r="F3666" i="1"/>
  <c r="E3666" i="1"/>
  <c r="D3666" i="1"/>
  <c r="L3665" i="1"/>
  <c r="F3665" i="1"/>
  <c r="E3665" i="1"/>
  <c r="D3665" i="1"/>
  <c r="L3664" i="1"/>
  <c r="F3664" i="1"/>
  <c r="E3664" i="1"/>
  <c r="D3664" i="1"/>
  <c r="L3663" i="1"/>
  <c r="F3663" i="1"/>
  <c r="E3663" i="1"/>
  <c r="D3663" i="1"/>
  <c r="L3662" i="1"/>
  <c r="F3662" i="1"/>
  <c r="E3662" i="1"/>
  <c r="D3662" i="1"/>
  <c r="L3661" i="1"/>
  <c r="F3661" i="1"/>
  <c r="E3661" i="1"/>
  <c r="D3661" i="1"/>
  <c r="L3660" i="1"/>
  <c r="F3660" i="1"/>
  <c r="E3660" i="1"/>
  <c r="D3660" i="1"/>
  <c r="L3659" i="1"/>
  <c r="F3659" i="1"/>
  <c r="E3659" i="1"/>
  <c r="D3659" i="1"/>
  <c r="L3658" i="1"/>
  <c r="F3658" i="1"/>
  <c r="E3658" i="1"/>
  <c r="D3658" i="1"/>
  <c r="L3657" i="1"/>
  <c r="F3657" i="1"/>
  <c r="E3657" i="1"/>
  <c r="D3657" i="1"/>
  <c r="L3656" i="1"/>
  <c r="F3656" i="1"/>
  <c r="E3656" i="1"/>
  <c r="D3656" i="1"/>
  <c r="L3655" i="1"/>
  <c r="F3655" i="1" l="1"/>
  <c r="E3655" i="1"/>
  <c r="D3655" i="1"/>
  <c r="L3654" i="1"/>
  <c r="F3654" i="1"/>
  <c r="E3654" i="1"/>
  <c r="D3654" i="1"/>
  <c r="L3653" i="1"/>
  <c r="F3653" i="1"/>
  <c r="E3653" i="1"/>
  <c r="D3653" i="1"/>
  <c r="L3652" i="1"/>
  <c r="F3652" i="1"/>
  <c r="E3652" i="1"/>
  <c r="D3652" i="1"/>
  <c r="L3651" i="1"/>
  <c r="L3650" i="1"/>
  <c r="L3649" i="1"/>
  <c r="L3648" i="1"/>
  <c r="L3647" i="1"/>
  <c r="F3651" i="1"/>
  <c r="E3651" i="1"/>
  <c r="D3651" i="1"/>
  <c r="F3650" i="1"/>
  <c r="E3650" i="1"/>
  <c r="D3650" i="1"/>
  <c r="F3649" i="1"/>
  <c r="E3649" i="1"/>
  <c r="D3649" i="1"/>
  <c r="F3648" i="1"/>
  <c r="E3648" i="1"/>
  <c r="D3648" i="1"/>
  <c r="F3647" i="1"/>
  <c r="E3647" i="1"/>
  <c r="D3647" i="1"/>
  <c r="L3646" i="1"/>
  <c r="L3645" i="1"/>
  <c r="L3644" i="1"/>
  <c r="L3643" i="1"/>
  <c r="L3642" i="1"/>
  <c r="F3646" i="1"/>
  <c r="E3646" i="1"/>
  <c r="D3646" i="1"/>
  <c r="F3645" i="1"/>
  <c r="E3645" i="1"/>
  <c r="D3645" i="1"/>
  <c r="F3644" i="1"/>
  <c r="E3644" i="1"/>
  <c r="D3644" i="1"/>
  <c r="F3643" i="1"/>
  <c r="E3643" i="1"/>
  <c r="D3643" i="1"/>
  <c r="F3642" i="1"/>
  <c r="E3642" i="1"/>
  <c r="D3642" i="1"/>
  <c r="L3641" i="1"/>
  <c r="L3640" i="1"/>
  <c r="F3641" i="1"/>
  <c r="E3641" i="1"/>
  <c r="D3641" i="1"/>
  <c r="F3640" i="1"/>
  <c r="E3640" i="1"/>
  <c r="D3640" i="1"/>
  <c r="L3639" i="1"/>
  <c r="F3639" i="1"/>
  <c r="E3639" i="1"/>
  <c r="D3639" i="1"/>
  <c r="L3638" i="1"/>
  <c r="F3638" i="1"/>
  <c r="E3638" i="1"/>
  <c r="D3638" i="1"/>
  <c r="L3637" i="1"/>
  <c r="F3637" i="1"/>
  <c r="E3637" i="1"/>
  <c r="D3637" i="1"/>
  <c r="L3636" i="1"/>
  <c r="F3636" i="1"/>
  <c r="E3636" i="1"/>
  <c r="D3636" i="1"/>
  <c r="L3635" i="1"/>
  <c r="F3635" i="1"/>
  <c r="E3635" i="1"/>
  <c r="D3635" i="1"/>
  <c r="L3634" i="1"/>
  <c r="L3633" i="1"/>
  <c r="L3632" i="1"/>
  <c r="L3631" i="1"/>
  <c r="L3630" i="1"/>
  <c r="F3634" i="1"/>
  <c r="E3634" i="1"/>
  <c r="D3634" i="1"/>
  <c r="F3633" i="1"/>
  <c r="E3633" i="1"/>
  <c r="D3633" i="1"/>
  <c r="F3632" i="1"/>
  <c r="E3632" i="1"/>
  <c r="D3632" i="1"/>
  <c r="F3631" i="1"/>
  <c r="E3631" i="1"/>
  <c r="D3631" i="1"/>
  <c r="F3630" i="1"/>
  <c r="E3630" i="1"/>
  <c r="D3630" i="1"/>
  <c r="L3629" i="1"/>
  <c r="L3628" i="1"/>
  <c r="L3627" i="1"/>
  <c r="L3626" i="1"/>
  <c r="L3625" i="1"/>
  <c r="F3629" i="1"/>
  <c r="E3629" i="1"/>
  <c r="D3629" i="1"/>
  <c r="F3628" i="1"/>
  <c r="E3628" i="1"/>
  <c r="D3628" i="1"/>
  <c r="F3627" i="1"/>
  <c r="E3627" i="1"/>
  <c r="D3627" i="1"/>
  <c r="F3626" i="1"/>
  <c r="E3626" i="1"/>
  <c r="D3626" i="1"/>
  <c r="F3625" i="1"/>
  <c r="E3625" i="1"/>
  <c r="D3625" i="1"/>
  <c r="L3624" i="1"/>
  <c r="L3623" i="1"/>
  <c r="F3624" i="1"/>
  <c r="E3624" i="1"/>
  <c r="D3624" i="1"/>
  <c r="F3623" i="1"/>
  <c r="E3623" i="1"/>
  <c r="D3623" i="1"/>
  <c r="L3622" i="1"/>
  <c r="F3622" i="1"/>
  <c r="E3622" i="1"/>
  <c r="D3622" i="1"/>
  <c r="L3621" i="1"/>
  <c r="F3621" i="1"/>
  <c r="E3621" i="1"/>
  <c r="D3621" i="1"/>
  <c r="L3620" i="1"/>
  <c r="F3620" i="1"/>
  <c r="E3620" i="1"/>
  <c r="D3620" i="1"/>
  <c r="L3619" i="1"/>
  <c r="L3618" i="1"/>
  <c r="F3619" i="1"/>
  <c r="E3619" i="1"/>
  <c r="D3619" i="1"/>
  <c r="L3617" i="1"/>
  <c r="F3618" i="1"/>
  <c r="E3618" i="1"/>
  <c r="D3618" i="1"/>
  <c r="F3617" i="1"/>
  <c r="E3617" i="1"/>
  <c r="D3617" i="1"/>
  <c r="L3616" i="1"/>
  <c r="F3616" i="1"/>
  <c r="E3616" i="1"/>
  <c r="D3616" i="1"/>
  <c r="L3615" i="1"/>
  <c r="L3614" i="1"/>
  <c r="L3613" i="1"/>
  <c r="L3612" i="1"/>
  <c r="L3611" i="1"/>
  <c r="F3615" i="1"/>
  <c r="E3615" i="1"/>
  <c r="D3615" i="1"/>
  <c r="F3614" i="1"/>
  <c r="E3614" i="1"/>
  <c r="D3614" i="1"/>
  <c r="F3613" i="1"/>
  <c r="E3613" i="1"/>
  <c r="D3613" i="1"/>
  <c r="F3612" i="1"/>
  <c r="E3612" i="1"/>
  <c r="D3612" i="1"/>
  <c r="F3611" i="1"/>
  <c r="E3611" i="1"/>
  <c r="D3611" i="1"/>
  <c r="L3610" i="1"/>
  <c r="L3609" i="1"/>
  <c r="L3608" i="1"/>
  <c r="L3607" i="1"/>
  <c r="F3610" i="1"/>
  <c r="E3610" i="1"/>
  <c r="D3610" i="1"/>
  <c r="F3609" i="1"/>
  <c r="E3609" i="1"/>
  <c r="D3609" i="1"/>
  <c r="F3608" i="1"/>
  <c r="E3608" i="1"/>
  <c r="D3608" i="1"/>
  <c r="F3607" i="1"/>
  <c r="E3607" i="1"/>
  <c r="D3607" i="1"/>
  <c r="L3606" i="1"/>
  <c r="F3606" i="1"/>
  <c r="E3606" i="1"/>
  <c r="D3606" i="1"/>
  <c r="L3605" i="1"/>
  <c r="L3604" i="1"/>
  <c r="L3603" i="1"/>
  <c r="L3602" i="1"/>
  <c r="L3601" i="1"/>
  <c r="F3605" i="1"/>
  <c r="E3605" i="1"/>
  <c r="D3605" i="1"/>
  <c r="F3604" i="1"/>
  <c r="E3604" i="1"/>
  <c r="D3604" i="1"/>
  <c r="F3603" i="1"/>
  <c r="E3603" i="1"/>
  <c r="D3603" i="1"/>
  <c r="F3602" i="1"/>
  <c r="E3602" i="1"/>
  <c r="D3602" i="1"/>
  <c r="F3601" i="1"/>
  <c r="E3601" i="1"/>
  <c r="D3601" i="1"/>
  <c r="L3600" i="1"/>
  <c r="L3599" i="1"/>
  <c r="L3598" i="1"/>
  <c r="L3597" i="1"/>
  <c r="L3596" i="1"/>
  <c r="F3600" i="1"/>
  <c r="E3600" i="1"/>
  <c r="D3600" i="1"/>
  <c r="F3599" i="1"/>
  <c r="E3599" i="1"/>
  <c r="D3599" i="1"/>
  <c r="F3598" i="1"/>
  <c r="E3598" i="1"/>
  <c r="D3598" i="1"/>
  <c r="F3597" i="1"/>
  <c r="E3597" i="1"/>
  <c r="D3597" i="1"/>
  <c r="F3596" i="1"/>
  <c r="E3596" i="1"/>
  <c r="D3596" i="1"/>
  <c r="L3595" i="1"/>
  <c r="L3594" i="1"/>
  <c r="L3593" i="1"/>
  <c r="L3592" i="1"/>
  <c r="L3591" i="1"/>
  <c r="F3595" i="1"/>
  <c r="E3595" i="1"/>
  <c r="D3595" i="1"/>
  <c r="F3594" i="1"/>
  <c r="E3594" i="1"/>
  <c r="D3594" i="1"/>
  <c r="F3593" i="1"/>
  <c r="E3593" i="1"/>
  <c r="D3593" i="1"/>
  <c r="F3592" i="1"/>
  <c r="E3592" i="1"/>
  <c r="D3592" i="1"/>
  <c r="F3591" i="1"/>
  <c r="E3591" i="1"/>
  <c r="D3591" i="1"/>
  <c r="L3590" i="1"/>
  <c r="L3589" i="1"/>
  <c r="L3588" i="1"/>
  <c r="L3587" i="1"/>
  <c r="L3586" i="1"/>
  <c r="L3585" i="1"/>
  <c r="L3584" i="1"/>
  <c r="L3583" i="1"/>
  <c r="L3582" i="1"/>
  <c r="F3590" i="1"/>
  <c r="E3590" i="1"/>
  <c r="D3590" i="1"/>
  <c r="F3589" i="1"/>
  <c r="E3589" i="1"/>
  <c r="D3589" i="1"/>
  <c r="F3588" i="1"/>
  <c r="E3588" i="1"/>
  <c r="D3588" i="1"/>
  <c r="F3587" i="1"/>
  <c r="E3587" i="1"/>
  <c r="D3587" i="1"/>
  <c r="F3586" i="1"/>
  <c r="E3586" i="1"/>
  <c r="D3586" i="1"/>
  <c r="L3581" i="1"/>
  <c r="F3585" i="1"/>
  <c r="E3585" i="1"/>
  <c r="D3585" i="1"/>
  <c r="F3584" i="1"/>
  <c r="E3584" i="1"/>
  <c r="D3584" i="1"/>
  <c r="F3583" i="1"/>
  <c r="E3583" i="1"/>
  <c r="D3583" i="1"/>
  <c r="F3582" i="1"/>
  <c r="E3582" i="1"/>
  <c r="D3582" i="1"/>
  <c r="F3581" i="1"/>
  <c r="E3581" i="1"/>
  <c r="D3581" i="1"/>
  <c r="L3580" i="1"/>
  <c r="L3579" i="1"/>
  <c r="L3578" i="1"/>
  <c r="F3580" i="1"/>
  <c r="E3580" i="1"/>
  <c r="D3580" i="1"/>
  <c r="F3579" i="1"/>
  <c r="E3579" i="1"/>
  <c r="D3579" i="1"/>
  <c r="F3578" i="1"/>
  <c r="E3578" i="1"/>
  <c r="D3578" i="1"/>
  <c r="L3577" i="1"/>
  <c r="F3577" i="1"/>
  <c r="E3577" i="1"/>
  <c r="D3577" i="1"/>
  <c r="L3576" i="1"/>
  <c r="F3576" i="1"/>
  <c r="E3576" i="1"/>
  <c r="D3576" i="1"/>
  <c r="L3575" i="1"/>
  <c r="L3574" i="1"/>
  <c r="L3573" i="1"/>
  <c r="L3572" i="1"/>
  <c r="F3575" i="1"/>
  <c r="E3575" i="1"/>
  <c r="D3575" i="1"/>
  <c r="F3574" i="1"/>
  <c r="E3574" i="1"/>
  <c r="D3574" i="1"/>
  <c r="F3573" i="1"/>
  <c r="E3573" i="1"/>
  <c r="D3573" i="1"/>
  <c r="F3572" i="1"/>
  <c r="E3572" i="1"/>
  <c r="D3572" i="1"/>
  <c r="L3571" i="1"/>
  <c r="F3571" i="1"/>
  <c r="E3571" i="1"/>
  <c r="D3571" i="1"/>
  <c r="L3570" i="1"/>
  <c r="L3569" i="1"/>
  <c r="L3568" i="1"/>
  <c r="L3567" i="1"/>
  <c r="L3566" i="1"/>
  <c r="F3570" i="1"/>
  <c r="E3570" i="1"/>
  <c r="D3570" i="1"/>
  <c r="F3569" i="1"/>
  <c r="E3569" i="1"/>
  <c r="D3569" i="1"/>
  <c r="F3568" i="1"/>
  <c r="E3568" i="1"/>
  <c r="D3568" i="1"/>
  <c r="F3567" i="1"/>
  <c r="E3567" i="1"/>
  <c r="D3567" i="1"/>
  <c r="F3566" i="1"/>
  <c r="E3566" i="1"/>
  <c r="D3566" i="1"/>
  <c r="L3565" i="1"/>
  <c r="F3565" i="1"/>
  <c r="E3565" i="1"/>
  <c r="D3565" i="1"/>
  <c r="L3562" i="1"/>
  <c r="L3564" i="1"/>
  <c r="L3563" i="1"/>
  <c r="F3564" i="1"/>
  <c r="E3564" i="1"/>
  <c r="D3564" i="1"/>
  <c r="F3563" i="1"/>
  <c r="E3563" i="1"/>
  <c r="D3563" i="1"/>
  <c r="F3562" i="1"/>
  <c r="E3562" i="1"/>
  <c r="D3562" i="1"/>
  <c r="L3561" i="1"/>
  <c r="F3561" i="1"/>
  <c r="E3561" i="1"/>
  <c r="D3561" i="1"/>
  <c r="L3560" i="1"/>
  <c r="F3560" i="1"/>
  <c r="E3560" i="1"/>
  <c r="D3560" i="1"/>
  <c r="L3559" i="1"/>
  <c r="F3559" i="1"/>
  <c r="E3559" i="1"/>
  <c r="D3559" i="1"/>
  <c r="L3558" i="1"/>
  <c r="F3558" i="1"/>
  <c r="E3558" i="1"/>
  <c r="D3558" i="1"/>
  <c r="L3557" i="1"/>
  <c r="F3557" i="1"/>
  <c r="E3557" i="1"/>
  <c r="D3557" i="1"/>
  <c r="L3556" i="1"/>
  <c r="F3556" i="1"/>
  <c r="E3556" i="1"/>
  <c r="D3556" i="1"/>
  <c r="L3555" i="1"/>
  <c r="F3555" i="1"/>
  <c r="E3555" i="1"/>
  <c r="D3555" i="1"/>
  <c r="L3554" i="1"/>
  <c r="F3554" i="1"/>
  <c r="E3554" i="1"/>
  <c r="D3554" i="1"/>
  <c r="L3553" i="1"/>
  <c r="F3553" i="1"/>
  <c r="E3553" i="1"/>
  <c r="D3553" i="1"/>
  <c r="L3552" i="1"/>
  <c r="F3552" i="1"/>
  <c r="E3552" i="1"/>
  <c r="D3552" i="1"/>
  <c r="L3551" i="1"/>
  <c r="L3550" i="1"/>
  <c r="F3551" i="1"/>
  <c r="E3551" i="1"/>
  <c r="D3551" i="1"/>
  <c r="F3550" i="1"/>
  <c r="E3550" i="1"/>
  <c r="D3550" i="1"/>
  <c r="L3549" i="1"/>
  <c r="F3549" i="1"/>
  <c r="E3549" i="1"/>
  <c r="D3549" i="1"/>
  <c r="L3548" i="1"/>
  <c r="F3548" i="1"/>
  <c r="E3548" i="1"/>
  <c r="D3548" i="1"/>
  <c r="L3547" i="1"/>
  <c r="F3547" i="1"/>
  <c r="E3547" i="1"/>
  <c r="D3547" i="1"/>
  <c r="L3546" i="1"/>
  <c r="L3545" i="1"/>
  <c r="F3546" i="1"/>
  <c r="E3546" i="1"/>
  <c r="D3546" i="1"/>
  <c r="F3545" i="1"/>
  <c r="E3545" i="1"/>
  <c r="D3545" i="1"/>
  <c r="L3544" i="1"/>
  <c r="F3544" i="1"/>
  <c r="E3544" i="1"/>
  <c r="D3544" i="1"/>
  <c r="L3543" i="1"/>
  <c r="F3543" i="1"/>
  <c r="E3543" i="1"/>
  <c r="D3543" i="1"/>
  <c r="L3542" i="1"/>
  <c r="F3542" i="1"/>
  <c r="E3542" i="1"/>
  <c r="D3542" i="1"/>
  <c r="L3541" i="1"/>
  <c r="F3541" i="1"/>
  <c r="E3541" i="1"/>
  <c r="D3541" i="1"/>
  <c r="L3540" i="1"/>
  <c r="L3539" i="1"/>
  <c r="F3540" i="1"/>
  <c r="E3540" i="1"/>
  <c r="D3540" i="1"/>
  <c r="F3539" i="1"/>
  <c r="E3539" i="1"/>
  <c r="D3539" i="1"/>
  <c r="L3538" i="1"/>
  <c r="F3538" i="1"/>
  <c r="E3538" i="1"/>
  <c r="D3538" i="1"/>
  <c r="L3537" i="1"/>
  <c r="F3537" i="1"/>
  <c r="E3537" i="1"/>
  <c r="D3537" i="1"/>
  <c r="L3536" i="1"/>
  <c r="F3536" i="1"/>
  <c r="E3536" i="1"/>
  <c r="D3536" i="1"/>
  <c r="L3535" i="1"/>
  <c r="F3535" i="1"/>
  <c r="E3535" i="1"/>
  <c r="D3535" i="1"/>
  <c r="L3534" i="1"/>
  <c r="L3533" i="1"/>
  <c r="F3534" i="1"/>
  <c r="E3534" i="1"/>
  <c r="D3534" i="1"/>
  <c r="F3533" i="1"/>
  <c r="E3533" i="1"/>
  <c r="D3533" i="1"/>
  <c r="L3532" i="1"/>
  <c r="F3532" i="1"/>
  <c r="E3532" i="1"/>
  <c r="D3532" i="1"/>
  <c r="L3531" i="1"/>
  <c r="F3531" i="1"/>
  <c r="E3531" i="1"/>
  <c r="D3531" i="1"/>
  <c r="L3530" i="1"/>
  <c r="F3530" i="1"/>
  <c r="E3530" i="1"/>
  <c r="D3530" i="1"/>
  <c r="L3529" i="1"/>
  <c r="F3529" i="1"/>
  <c r="E3529" i="1"/>
  <c r="D3529" i="1"/>
  <c r="L3528" i="1"/>
  <c r="L3527" i="1"/>
  <c r="F3528" i="1"/>
  <c r="E3528" i="1"/>
  <c r="D3528" i="1"/>
  <c r="F3527" i="1"/>
  <c r="E3527" i="1"/>
  <c r="D3527" i="1"/>
  <c r="L3526" i="1"/>
  <c r="L3525" i="1"/>
  <c r="F3526" i="1"/>
  <c r="E3526" i="1"/>
  <c r="D3526" i="1"/>
  <c r="F3525" i="1"/>
  <c r="E3525" i="1"/>
  <c r="D3525" i="1"/>
  <c r="L3524" i="1"/>
  <c r="F3524" i="1"/>
  <c r="E3524" i="1"/>
  <c r="D3524" i="1"/>
  <c r="L3523" i="1"/>
  <c r="F3523" i="1"/>
  <c r="E3523" i="1"/>
  <c r="D3523" i="1"/>
  <c r="L3522" i="1"/>
  <c r="F3522" i="1"/>
  <c r="E3522" i="1"/>
  <c r="D3522" i="1"/>
  <c r="L3521" i="1"/>
  <c r="F3521" i="1"/>
  <c r="E3521" i="1"/>
  <c r="D3521" i="1"/>
  <c r="L3520" i="1"/>
  <c r="F3520" i="1"/>
  <c r="E3520" i="1"/>
  <c r="D3520" i="1"/>
  <c r="L3519" i="1"/>
  <c r="F3519" i="1"/>
  <c r="E3519" i="1"/>
  <c r="D3519" i="1"/>
  <c r="L3518" i="1"/>
  <c r="L3517" i="1"/>
  <c r="F3518" i="1"/>
  <c r="E3518" i="1"/>
  <c r="D3518" i="1"/>
  <c r="F3517" i="1"/>
  <c r="E3517" i="1"/>
  <c r="D3517" i="1"/>
  <c r="L3516" i="1"/>
  <c r="L3515" i="1"/>
  <c r="L3514" i="1"/>
  <c r="F3516" i="1"/>
  <c r="E3516" i="1"/>
  <c r="D3516" i="1"/>
  <c r="F3515" i="1"/>
  <c r="E3515" i="1"/>
  <c r="D3515" i="1"/>
  <c r="F3514" i="1"/>
  <c r="E3514" i="1"/>
  <c r="D3514" i="1"/>
  <c r="L3513" i="1"/>
  <c r="F3513" i="1"/>
  <c r="E3513" i="1"/>
  <c r="D3513" i="1"/>
  <c r="L3512" i="1"/>
  <c r="L3511" i="1"/>
  <c r="F3512" i="1"/>
  <c r="E3512" i="1"/>
  <c r="D3512" i="1"/>
  <c r="L3510" i="1"/>
  <c r="L3509" i="1"/>
  <c r="F3511" i="1"/>
  <c r="E3511" i="1"/>
  <c r="D3511" i="1"/>
  <c r="F3510" i="1"/>
  <c r="E3510" i="1"/>
  <c r="D3510" i="1"/>
  <c r="F3509" i="1"/>
  <c r="E3509" i="1"/>
  <c r="D3509" i="1"/>
  <c r="L3508" i="1"/>
  <c r="F3508" i="1"/>
  <c r="E3508" i="1"/>
  <c r="D3508" i="1"/>
  <c r="L3507" i="1"/>
  <c r="F3507" i="1"/>
  <c r="E3507" i="1"/>
  <c r="D3507" i="1"/>
  <c r="L3506" i="1"/>
  <c r="F3506" i="1"/>
  <c r="E3506" i="1"/>
  <c r="D3506" i="1"/>
  <c r="L3505" i="1"/>
  <c r="F3505" i="1"/>
  <c r="E3505" i="1"/>
  <c r="D3505" i="1"/>
  <c r="L3504" i="1"/>
  <c r="F3504" i="1"/>
  <c r="E3504" i="1"/>
  <c r="D3504" i="1"/>
  <c r="L3503" i="1"/>
  <c r="F3503" i="1"/>
  <c r="E3503" i="1"/>
  <c r="D3503" i="1"/>
  <c r="L3502" i="1"/>
  <c r="F3502" i="1"/>
  <c r="E3502" i="1"/>
  <c r="D3502" i="1"/>
  <c r="L3501" i="1"/>
  <c r="F3501" i="1"/>
  <c r="E3501" i="1"/>
  <c r="D3501" i="1"/>
  <c r="L3500" i="1"/>
  <c r="F3500" i="1"/>
  <c r="E3500" i="1"/>
  <c r="D3500" i="1"/>
  <c r="L3499" i="1"/>
  <c r="F3499" i="1"/>
  <c r="E3499" i="1"/>
  <c r="D3499" i="1"/>
  <c r="L3498" i="1"/>
  <c r="F3498" i="1"/>
  <c r="E3498" i="1"/>
  <c r="D3498" i="1"/>
  <c r="L3497" i="1"/>
  <c r="F3497" i="1"/>
  <c r="E3497" i="1"/>
  <c r="D3497" i="1"/>
  <c r="L3496" i="1"/>
  <c r="F3496" i="1"/>
  <c r="E3496" i="1"/>
  <c r="D3496" i="1"/>
  <c r="L3495" i="1"/>
  <c r="F3495" i="1"/>
  <c r="E3495" i="1"/>
  <c r="D3495" i="1"/>
  <c r="L3494" i="1"/>
  <c r="F3494" i="1"/>
  <c r="E3494" i="1"/>
  <c r="D3494" i="1"/>
  <c r="L3493" i="1"/>
  <c r="F3493" i="1"/>
  <c r="E3493" i="1"/>
  <c r="D3493" i="1"/>
  <c r="L3492" i="1"/>
  <c r="F3492" i="1"/>
  <c r="E3492" i="1"/>
  <c r="D3492" i="1"/>
  <c r="L3491" i="1"/>
  <c r="F3491" i="1"/>
  <c r="E3491" i="1"/>
  <c r="D3491" i="1"/>
  <c r="L3490" i="1"/>
  <c r="F3490" i="1"/>
  <c r="E3490" i="1"/>
  <c r="D3490" i="1"/>
  <c r="F3489" i="1"/>
  <c r="E3489" i="1"/>
  <c r="D3489" i="1"/>
  <c r="L3488" i="1"/>
  <c r="F3488" i="1"/>
  <c r="E3488" i="1"/>
  <c r="D3488" i="1"/>
  <c r="L3487" i="1"/>
  <c r="F3487" i="1"/>
  <c r="E3487" i="1"/>
  <c r="D3487" i="1"/>
  <c r="L3486" i="1"/>
  <c r="F3486" i="1"/>
  <c r="E3486" i="1"/>
  <c r="D3486" i="1"/>
  <c r="L3485" i="1"/>
  <c r="F3485" i="1"/>
  <c r="E3485" i="1"/>
  <c r="D3485" i="1"/>
  <c r="L3484" i="1"/>
  <c r="F3484" i="1"/>
  <c r="E3484" i="1"/>
  <c r="D3484" i="1"/>
  <c r="L3483" i="1"/>
  <c r="F3483" i="1"/>
  <c r="E3483" i="1"/>
  <c r="D3483" i="1"/>
  <c r="L3482" i="1"/>
  <c r="L3481" i="1"/>
  <c r="F3482" i="1"/>
  <c r="E3482" i="1"/>
  <c r="D3482" i="1"/>
  <c r="F3481" i="1"/>
  <c r="E3481" i="1"/>
  <c r="D3481" i="1"/>
  <c r="L3480" i="1"/>
  <c r="F3480" i="1"/>
  <c r="E3480" i="1"/>
  <c r="D3480" i="1"/>
  <c r="L3479" i="1"/>
  <c r="F3479" i="1"/>
  <c r="E3479" i="1"/>
  <c r="D3479" i="1"/>
  <c r="L3478" i="1"/>
  <c r="F3478" i="1"/>
  <c r="E3478" i="1"/>
  <c r="D3478" i="1"/>
  <c r="L3477" i="1"/>
  <c r="L3476" i="1"/>
  <c r="F3477" i="1"/>
  <c r="E3477" i="1"/>
  <c r="D3477" i="1"/>
  <c r="F3476" i="1"/>
  <c r="E3476" i="1"/>
  <c r="D3476" i="1"/>
  <c r="L3475" i="1"/>
  <c r="F3475" i="1"/>
  <c r="E3475" i="1"/>
  <c r="D3475" i="1"/>
  <c r="L3474" i="1"/>
  <c r="F3474" i="1"/>
  <c r="E3474" i="1"/>
  <c r="D3474" i="1"/>
  <c r="L3473" i="1"/>
  <c r="F3473" i="1"/>
  <c r="E3473" i="1"/>
  <c r="D3473" i="1"/>
  <c r="L3472" i="1"/>
  <c r="F3472" i="1"/>
  <c r="E3472" i="1"/>
  <c r="D3472" i="1"/>
  <c r="L3471" i="1"/>
  <c r="F3471" i="1"/>
  <c r="E3471" i="1"/>
  <c r="D3471" i="1"/>
  <c r="L3470" i="1"/>
  <c r="F3470" i="1"/>
  <c r="E3470" i="1"/>
  <c r="D3470" i="1"/>
  <c r="L3469" i="1"/>
  <c r="F3469" i="1"/>
  <c r="E3469" i="1"/>
  <c r="D3469" i="1"/>
  <c r="L3468" i="1"/>
  <c r="F3468" i="1"/>
  <c r="E3468" i="1"/>
  <c r="D3468" i="1"/>
  <c r="L3467" i="1"/>
  <c r="F3467" i="1"/>
  <c r="E3467" i="1"/>
  <c r="D3467" i="1"/>
  <c r="L3466" i="1"/>
  <c r="F3466" i="1"/>
  <c r="E3466" i="1"/>
  <c r="D3466" i="1"/>
  <c r="L3465" i="1"/>
  <c r="F3465" i="1"/>
  <c r="E3465" i="1"/>
  <c r="D3465" i="1"/>
  <c r="L3464" i="1"/>
  <c r="F3464" i="1"/>
  <c r="E3464" i="1"/>
  <c r="D3464" i="1"/>
  <c r="L3463" i="1"/>
  <c r="F3463" i="1"/>
  <c r="E3463" i="1"/>
  <c r="D3463" i="1"/>
  <c r="L3462" i="1"/>
  <c r="F3462" i="1"/>
  <c r="E3462" i="1"/>
  <c r="D3462" i="1"/>
  <c r="L3461" i="1"/>
  <c r="F3461" i="1"/>
  <c r="E3461" i="1"/>
  <c r="D3461" i="1"/>
  <c r="L3460" i="1"/>
  <c r="F3460" i="1"/>
  <c r="E3460" i="1"/>
  <c r="D3460" i="1"/>
  <c r="L3459" i="1"/>
  <c r="F3459" i="1"/>
  <c r="E3459" i="1"/>
  <c r="D3459" i="1"/>
  <c r="L3458" i="1"/>
  <c r="F3458" i="1"/>
  <c r="E3458" i="1"/>
  <c r="D3458" i="1"/>
  <c r="L3457" i="1"/>
  <c r="F3457" i="1"/>
  <c r="E3457" i="1"/>
  <c r="D3457" i="1"/>
  <c r="L3456" i="1"/>
  <c r="F3456" i="1"/>
  <c r="E3456" i="1"/>
  <c r="D3456" i="1"/>
  <c r="L3455" i="1"/>
  <c r="F3455" i="1"/>
  <c r="E3455" i="1"/>
  <c r="D3455" i="1"/>
  <c r="L3454" i="1"/>
  <c r="F3454" i="1"/>
  <c r="E3454" i="1"/>
  <c r="D3454" i="1"/>
  <c r="L3453" i="1"/>
  <c r="F3453" i="1"/>
  <c r="E3453" i="1"/>
  <c r="D3453" i="1"/>
  <c r="L3452" i="1"/>
  <c r="F3452" i="1"/>
  <c r="E3452" i="1"/>
  <c r="D3452" i="1"/>
  <c r="L3451" i="1"/>
  <c r="F3451" i="1"/>
  <c r="E3451" i="1"/>
  <c r="D3451" i="1"/>
  <c r="L3449" i="1"/>
  <c r="L3450" i="1"/>
  <c r="F3450" i="1"/>
  <c r="E3450" i="1"/>
  <c r="D3450" i="1"/>
  <c r="L3448" i="1"/>
  <c r="L3447" i="1"/>
  <c r="F3449" i="1"/>
  <c r="E3449" i="1"/>
  <c r="D3449" i="1"/>
  <c r="F3448" i="1"/>
  <c r="E3448" i="1"/>
  <c r="D3448" i="1"/>
  <c r="F3447" i="1"/>
  <c r="E3447" i="1"/>
  <c r="D3447" i="1"/>
  <c r="L3446" i="1"/>
  <c r="F3446" i="1"/>
  <c r="E3446" i="1"/>
  <c r="D3446" i="1"/>
  <c r="L3445" i="1"/>
  <c r="F3445" i="1"/>
  <c r="E3445" i="1"/>
  <c r="D3445" i="1"/>
  <c r="L3444" i="1"/>
  <c r="F3444" i="1"/>
  <c r="E3444" i="1"/>
  <c r="D3444" i="1"/>
  <c r="L3443" i="1"/>
  <c r="F3443" i="1"/>
  <c r="E3443" i="1"/>
  <c r="D3443" i="1"/>
  <c r="L3442" i="1"/>
  <c r="F3442" i="1"/>
  <c r="E3442" i="1"/>
  <c r="D3442" i="1"/>
  <c r="L3441" i="1"/>
  <c r="F3441" i="1"/>
  <c r="E3441" i="1"/>
  <c r="D3441" i="1"/>
  <c r="L3440" i="1"/>
  <c r="F3440" i="1"/>
  <c r="E3440" i="1"/>
  <c r="D3440" i="1"/>
  <c r="L3439" i="1"/>
  <c r="F3439" i="1"/>
  <c r="E3439" i="1"/>
  <c r="D3439" i="1"/>
  <c r="L3438" i="1"/>
  <c r="F3438" i="1"/>
  <c r="E3438" i="1"/>
  <c r="D3438" i="1"/>
  <c r="L3437" i="1"/>
  <c r="F3437" i="1"/>
  <c r="E3437" i="1"/>
  <c r="D3437" i="1"/>
  <c r="L3436" i="1"/>
  <c r="F3436" i="1"/>
  <c r="E3436" i="1"/>
  <c r="D3436" i="1"/>
  <c r="L3435" i="1"/>
  <c r="F3435" i="1"/>
  <c r="E3435" i="1"/>
  <c r="D3435" i="1"/>
  <c r="L3434" i="1"/>
  <c r="F3434" i="1"/>
  <c r="E3434" i="1"/>
  <c r="D3434" i="1"/>
  <c r="L3432" i="1"/>
  <c r="L3433" i="1"/>
  <c r="F3433" i="1"/>
  <c r="E3433" i="1"/>
  <c r="D3433" i="1"/>
  <c r="F3432" i="1"/>
  <c r="E3432" i="1"/>
  <c r="D3432" i="1"/>
  <c r="L3431" i="1"/>
  <c r="F3431" i="1"/>
  <c r="E3431" i="1"/>
  <c r="D3431" i="1"/>
  <c r="L3430" i="1"/>
  <c r="F3430" i="1"/>
  <c r="E3430" i="1"/>
  <c r="D3430" i="1"/>
  <c r="L3429" i="1"/>
  <c r="F3429" i="1"/>
  <c r="E3429" i="1"/>
  <c r="D3429" i="1"/>
  <c r="L3428" i="1"/>
  <c r="F3428" i="1"/>
  <c r="E3428" i="1"/>
  <c r="D3428" i="1"/>
  <c r="L3427" i="1"/>
  <c r="F3427" i="1"/>
  <c r="E3427" i="1"/>
  <c r="D3427" i="1"/>
  <c r="L3426" i="1"/>
  <c r="F3426" i="1"/>
  <c r="E3426" i="1"/>
  <c r="D3426" i="1"/>
  <c r="L3425" i="1"/>
  <c r="F3425" i="1"/>
  <c r="E3425" i="1"/>
  <c r="D3425" i="1"/>
  <c r="L3424" i="1"/>
  <c r="F3424" i="1"/>
  <c r="E3424" i="1"/>
  <c r="D3424" i="1"/>
  <c r="L3423" i="1"/>
  <c r="F3423" i="1"/>
  <c r="E3423" i="1"/>
  <c r="D3423" i="1"/>
  <c r="L3422" i="1"/>
  <c r="F3422" i="1"/>
  <c r="E3422" i="1"/>
  <c r="D3422" i="1"/>
  <c r="L3421" i="1"/>
  <c r="F3421" i="1"/>
  <c r="E3421" i="1"/>
  <c r="D3421" i="1"/>
  <c r="L3420" i="1"/>
  <c r="F3420" i="1"/>
  <c r="E3420" i="1"/>
  <c r="D3420" i="1"/>
  <c r="L3419" i="1"/>
  <c r="L3418" i="1"/>
  <c r="F3419" i="1"/>
  <c r="E3419" i="1"/>
  <c r="D3419" i="1"/>
  <c r="F3418" i="1"/>
  <c r="E3418" i="1"/>
  <c r="D3418" i="1"/>
  <c r="L3417" i="1"/>
  <c r="F3417" i="1"/>
  <c r="E3417" i="1"/>
  <c r="D3417" i="1"/>
  <c r="L3416" i="1"/>
  <c r="F3416" i="1"/>
  <c r="E3416" i="1"/>
  <c r="D3416" i="1"/>
  <c r="L3415" i="1"/>
  <c r="F3415" i="1"/>
  <c r="E3415" i="1"/>
  <c r="D3415" i="1"/>
  <c r="L3414" i="1"/>
  <c r="F3414" i="1"/>
  <c r="E3414" i="1"/>
  <c r="D3414" i="1"/>
  <c r="L3413" i="1"/>
  <c r="F3413" i="1"/>
  <c r="E3413" i="1"/>
  <c r="D3413" i="1"/>
  <c r="L3412" i="1"/>
  <c r="F3412" i="1"/>
  <c r="E3412" i="1"/>
  <c r="D3412" i="1"/>
  <c r="L3411" i="1"/>
  <c r="F3411" i="1"/>
  <c r="E3411" i="1"/>
  <c r="D3411" i="1"/>
  <c r="L3410" i="1"/>
  <c r="F3410" i="1"/>
  <c r="E3410" i="1"/>
  <c r="D3410" i="1"/>
  <c r="L3409" i="1"/>
  <c r="F3409" i="1"/>
  <c r="E3409" i="1"/>
  <c r="D3409" i="1"/>
  <c r="L3408" i="1"/>
  <c r="F3408" i="1"/>
  <c r="E3408" i="1"/>
  <c r="D3408" i="1"/>
  <c r="L3407" i="1"/>
  <c r="F3407" i="1"/>
  <c r="E3407" i="1"/>
  <c r="D3407" i="1"/>
  <c r="L3406" i="1"/>
  <c r="F3406" i="1"/>
  <c r="E3406" i="1"/>
  <c r="D3406" i="1"/>
  <c r="L3405" i="1"/>
  <c r="F3405" i="1"/>
  <c r="E3405" i="1"/>
  <c r="D3405" i="1"/>
  <c r="L3404" i="1"/>
  <c r="F3404" i="1"/>
  <c r="E3404" i="1"/>
  <c r="D3404" i="1"/>
  <c r="L3403" i="1"/>
  <c r="F3403" i="1"/>
  <c r="E3403" i="1"/>
  <c r="D3403" i="1"/>
  <c r="L3402" i="1"/>
  <c r="F3402" i="1"/>
  <c r="E3402" i="1"/>
  <c r="D3402" i="1"/>
  <c r="L3401" i="1"/>
  <c r="F3401" i="1"/>
  <c r="E3401" i="1"/>
  <c r="D3401" i="1"/>
  <c r="L3400" i="1"/>
  <c r="F3400" i="1"/>
  <c r="E3400" i="1"/>
  <c r="D3400" i="1"/>
  <c r="L3399" i="1"/>
  <c r="F3399" i="1"/>
  <c r="E3399" i="1"/>
  <c r="D3399" i="1"/>
  <c r="L3398" i="1"/>
  <c r="F3398" i="1"/>
  <c r="E3398" i="1"/>
  <c r="D3398" i="1"/>
  <c r="L3397" i="1"/>
  <c r="F3397" i="1"/>
  <c r="E3397" i="1"/>
  <c r="D3397" i="1"/>
  <c r="L3396" i="1"/>
  <c r="F3396" i="1"/>
  <c r="E3396" i="1"/>
  <c r="D3396" i="1"/>
  <c r="L3395" i="1"/>
  <c r="F3395" i="1"/>
  <c r="E3395" i="1"/>
  <c r="D3395" i="1"/>
  <c r="L3394" i="1"/>
  <c r="F3394" i="1"/>
  <c r="E3394" i="1"/>
  <c r="D3394" i="1"/>
  <c r="L3393" i="1"/>
  <c r="F3393" i="1"/>
  <c r="E3393" i="1"/>
  <c r="D3393" i="1"/>
  <c r="L3392" i="1"/>
  <c r="F3392" i="1"/>
  <c r="E3392" i="1"/>
  <c r="D3392" i="1"/>
  <c r="L3391" i="1"/>
  <c r="F3391" i="1"/>
  <c r="E3391" i="1"/>
  <c r="D3391" i="1"/>
  <c r="L3390" i="1"/>
  <c r="F3390" i="1"/>
  <c r="E3390" i="1"/>
  <c r="D3390" i="1"/>
  <c r="L3389" i="1"/>
  <c r="F3389" i="1"/>
  <c r="E3389" i="1"/>
  <c r="D3389" i="1"/>
  <c r="L3388" i="1"/>
  <c r="F3388" i="1"/>
  <c r="E3388" i="1"/>
  <c r="D3388" i="1"/>
  <c r="L3387" i="1"/>
  <c r="F3387" i="1"/>
  <c r="E3387" i="1"/>
  <c r="D3387" i="1"/>
  <c r="L3386" i="1"/>
  <c r="F3386" i="1"/>
  <c r="E3386" i="1"/>
  <c r="D3386" i="1"/>
  <c r="L3385" i="1"/>
  <c r="F3385" i="1"/>
  <c r="E3385" i="1"/>
  <c r="D3385" i="1"/>
  <c r="L3384" i="1"/>
  <c r="F3384" i="1"/>
  <c r="E3384" i="1"/>
  <c r="D3384" i="1"/>
  <c r="L3383" i="1"/>
  <c r="F3383" i="1"/>
  <c r="E3383" i="1"/>
  <c r="D3383" i="1"/>
  <c r="L3382" i="1"/>
  <c r="F3382" i="1"/>
  <c r="E3382" i="1"/>
  <c r="D3382" i="1"/>
  <c r="L3381" i="1"/>
  <c r="F3381" i="1"/>
  <c r="E3381" i="1"/>
  <c r="D3381" i="1"/>
  <c r="L3380" i="1"/>
  <c r="F3380" i="1"/>
  <c r="E3380" i="1"/>
  <c r="D3380" i="1"/>
  <c r="L3379" i="1"/>
  <c r="F3379" i="1"/>
  <c r="E3379" i="1"/>
  <c r="D3379" i="1"/>
  <c r="L3378" i="1"/>
  <c r="F3378" i="1"/>
  <c r="E3378" i="1"/>
  <c r="D3378" i="1"/>
  <c r="L3377" i="1"/>
  <c r="F3377" i="1"/>
  <c r="E3377" i="1"/>
  <c r="D3377" i="1"/>
  <c r="L3376" i="1"/>
  <c r="F3376" i="1"/>
  <c r="E3376" i="1"/>
  <c r="D3376" i="1"/>
  <c r="L3375" i="1"/>
  <c r="F3375" i="1"/>
  <c r="E3375" i="1"/>
  <c r="D3375" i="1"/>
  <c r="L3374" i="1"/>
  <c r="F3374" i="1"/>
  <c r="E3374" i="1"/>
  <c r="D3374" i="1"/>
  <c r="L3373" i="1"/>
  <c r="F3373" i="1"/>
  <c r="E3373" i="1"/>
  <c r="D3373" i="1"/>
  <c r="L3372" i="1"/>
  <c r="F3372" i="1"/>
  <c r="E3372" i="1"/>
  <c r="D3372" i="1"/>
  <c r="L3371" i="1"/>
  <c r="F3371" i="1"/>
  <c r="E3371" i="1"/>
  <c r="D3371" i="1"/>
  <c r="L3370" i="1"/>
  <c r="L3369" i="1"/>
  <c r="F3370" i="1"/>
  <c r="E3370" i="1"/>
  <c r="D3370" i="1"/>
  <c r="F3369" i="1"/>
  <c r="E3369" i="1"/>
  <c r="D3369" i="1"/>
  <c r="L3368" i="1"/>
  <c r="F3368" i="1"/>
  <c r="E3368" i="1"/>
  <c r="D3368" i="1"/>
  <c r="L3367" i="1"/>
  <c r="F3367" i="1"/>
  <c r="E3367" i="1"/>
  <c r="D3367" i="1"/>
  <c r="L3366" i="1"/>
  <c r="F3366" i="1"/>
  <c r="E3366" i="1"/>
  <c r="D3366" i="1"/>
  <c r="L3365" i="1"/>
  <c r="F3365" i="1"/>
  <c r="E3365" i="1"/>
  <c r="D3365" i="1"/>
  <c r="L3364" i="1"/>
  <c r="F3364" i="1"/>
  <c r="E3364" i="1"/>
  <c r="D3364" i="1"/>
  <c r="L3363" i="1"/>
  <c r="F3363" i="1"/>
  <c r="E3363" i="1"/>
  <c r="D3363" i="1"/>
  <c r="L3362" i="1"/>
  <c r="F3362" i="1"/>
  <c r="E3362" i="1"/>
  <c r="D3362" i="1"/>
  <c r="L3361" i="1"/>
  <c r="F3361" i="1"/>
  <c r="E3361" i="1"/>
  <c r="D3361" i="1"/>
  <c r="L3360" i="1"/>
  <c r="F3360" i="1"/>
  <c r="E3360" i="1"/>
  <c r="D3360" i="1"/>
  <c r="L3359" i="1"/>
  <c r="F3359" i="1"/>
  <c r="E3359" i="1"/>
  <c r="D3359" i="1"/>
  <c r="L3358" i="1"/>
  <c r="F3358" i="1"/>
  <c r="E3358" i="1"/>
  <c r="D3358" i="1"/>
  <c r="L3357" i="1"/>
  <c r="F3357" i="1"/>
  <c r="E3357" i="1"/>
  <c r="D3357" i="1"/>
  <c r="L3356" i="1"/>
  <c r="F3356" i="1"/>
  <c r="E3356" i="1"/>
  <c r="D3356" i="1"/>
  <c r="L3355" i="1"/>
  <c r="F3355" i="1"/>
  <c r="E3355" i="1"/>
  <c r="D3355" i="1"/>
  <c r="L3354" i="1"/>
  <c r="F3354" i="1"/>
  <c r="E3354" i="1"/>
  <c r="D3354" i="1"/>
  <c r="L3353" i="1"/>
  <c r="F3353" i="1"/>
  <c r="E3353" i="1"/>
  <c r="D3353" i="1"/>
  <c r="L3352" i="1"/>
  <c r="F3352" i="1"/>
  <c r="E3352" i="1"/>
  <c r="D3352" i="1"/>
  <c r="L3351" i="1"/>
  <c r="F3351" i="1"/>
  <c r="E3351" i="1"/>
  <c r="D3351" i="1"/>
  <c r="L3350" i="1"/>
  <c r="F3350" i="1"/>
  <c r="E3350" i="1"/>
  <c r="D3350" i="1"/>
  <c r="L3349" i="1"/>
  <c r="F3349" i="1"/>
  <c r="E3349" i="1"/>
  <c r="D3349" i="1"/>
  <c r="L3348" i="1"/>
  <c r="F3348" i="1"/>
  <c r="E3348" i="1"/>
  <c r="D3348" i="1"/>
  <c r="L3347" i="1"/>
  <c r="F3347" i="1"/>
  <c r="E3347" i="1"/>
  <c r="D3347" i="1"/>
  <c r="L3346" i="1"/>
  <c r="F3346" i="1"/>
  <c r="E3346" i="1"/>
  <c r="D3346" i="1"/>
  <c r="L3345" i="1"/>
  <c r="F3345" i="1"/>
  <c r="E3345" i="1"/>
  <c r="D3345" i="1"/>
  <c r="L3344" i="1"/>
  <c r="F3344" i="1"/>
  <c r="E3344" i="1"/>
  <c r="D3344" i="1"/>
  <c r="L3343" i="1"/>
  <c r="F3343" i="1"/>
  <c r="E3343" i="1"/>
  <c r="D3343" i="1"/>
  <c r="L3342" i="1"/>
  <c r="F3342" i="1"/>
  <c r="E3342" i="1"/>
  <c r="D3342" i="1"/>
  <c r="L3341" i="1"/>
  <c r="F3341" i="1"/>
  <c r="E3341" i="1"/>
  <c r="D3341" i="1"/>
  <c r="L3340" i="1"/>
  <c r="F3340" i="1"/>
  <c r="E3340" i="1"/>
  <c r="D3340" i="1"/>
  <c r="L3339" i="1"/>
  <c r="F3339" i="1"/>
  <c r="E3339" i="1"/>
  <c r="D3339" i="1"/>
  <c r="L3338" i="1"/>
  <c r="F3338" i="1"/>
  <c r="E3338" i="1"/>
  <c r="D3338" i="1"/>
  <c r="L3337" i="1"/>
  <c r="F3337" i="1"/>
  <c r="E3337" i="1"/>
  <c r="D3337" i="1"/>
  <c r="L3336" i="1"/>
  <c r="F3336" i="1"/>
  <c r="E3336" i="1"/>
  <c r="D3336" i="1"/>
  <c r="L3335" i="1"/>
  <c r="F3335" i="1"/>
  <c r="E3335" i="1"/>
  <c r="D3335" i="1"/>
  <c r="L3334" i="1"/>
  <c r="F3334" i="1"/>
  <c r="E3334" i="1"/>
  <c r="D3334" i="1"/>
  <c r="L3333" i="1"/>
  <c r="F3333" i="1"/>
  <c r="E3333" i="1"/>
  <c r="D3333" i="1"/>
  <c r="L3332" i="1"/>
  <c r="F3332" i="1"/>
  <c r="E3332" i="1"/>
  <c r="D3332" i="1"/>
  <c r="L3331" i="1"/>
  <c r="F3331" i="1"/>
  <c r="E3331" i="1"/>
  <c r="D3331" i="1"/>
  <c r="L3330" i="1"/>
  <c r="F3330" i="1"/>
  <c r="E3330" i="1"/>
  <c r="D3330" i="1"/>
  <c r="L3329" i="1"/>
  <c r="F3329" i="1"/>
  <c r="E3329" i="1"/>
  <c r="D3329" i="1"/>
  <c r="L3328" i="1"/>
  <c r="F3328" i="1"/>
  <c r="E3328" i="1"/>
  <c r="D3328" i="1"/>
  <c r="L3327" i="1"/>
  <c r="F3327" i="1"/>
  <c r="E3327" i="1"/>
  <c r="D3327" i="1"/>
  <c r="L3326" i="1"/>
  <c r="F3326" i="1"/>
  <c r="E3326" i="1"/>
  <c r="D3326" i="1"/>
  <c r="L3325" i="1"/>
  <c r="F3325" i="1"/>
  <c r="E3325" i="1"/>
  <c r="D3325" i="1"/>
  <c r="L3324" i="1"/>
  <c r="F3324" i="1"/>
  <c r="E3324" i="1"/>
  <c r="D3324" i="1"/>
  <c r="L3323" i="1"/>
  <c r="F3323" i="1"/>
  <c r="E3323" i="1"/>
  <c r="D3323" i="1"/>
  <c r="L3322" i="1"/>
  <c r="F3322" i="1"/>
  <c r="E3322" i="1"/>
  <c r="D3322" i="1"/>
  <c r="L3321" i="1"/>
  <c r="F3321" i="1"/>
  <c r="E3321" i="1"/>
  <c r="D3321" i="1"/>
  <c r="L3320" i="1"/>
  <c r="F3320" i="1"/>
  <c r="E3320" i="1"/>
  <c r="D3320" i="1"/>
  <c r="L3319" i="1"/>
  <c r="F3319" i="1"/>
  <c r="E3319" i="1"/>
  <c r="D3319" i="1"/>
  <c r="L3318" i="1"/>
  <c r="F3318" i="1"/>
  <c r="E3318" i="1"/>
  <c r="D3318" i="1"/>
  <c r="L3317" i="1"/>
  <c r="F3317" i="1"/>
  <c r="E3317" i="1"/>
  <c r="D3317" i="1"/>
  <c r="L3316" i="1"/>
  <c r="F3316" i="1"/>
  <c r="E3316" i="1"/>
  <c r="D3316" i="1"/>
  <c r="L3315" i="1"/>
  <c r="F3315" i="1"/>
  <c r="E3315" i="1"/>
  <c r="D3315" i="1"/>
  <c r="L3314" i="1"/>
  <c r="F3314" i="1"/>
  <c r="E3314" i="1"/>
  <c r="D3314" i="1"/>
  <c r="L3313" i="1"/>
  <c r="F3313" i="1"/>
  <c r="E3313" i="1"/>
  <c r="D3313" i="1"/>
  <c r="L3312" i="1"/>
  <c r="F3312" i="1"/>
  <c r="E3312" i="1"/>
  <c r="D3312" i="1"/>
  <c r="L3311" i="1"/>
  <c r="F3311" i="1"/>
  <c r="E3311" i="1"/>
  <c r="D3311" i="1"/>
  <c r="L3310" i="1"/>
  <c r="F3310" i="1"/>
  <c r="E3310" i="1"/>
  <c r="D3310" i="1"/>
  <c r="L3309" i="1"/>
  <c r="F3309" i="1"/>
  <c r="E3309" i="1"/>
  <c r="D3309" i="1"/>
  <c r="L3308" i="1"/>
  <c r="F3308" i="1"/>
  <c r="E3308" i="1"/>
  <c r="D3308" i="1"/>
  <c r="F3307" i="1"/>
  <c r="E3307" i="1"/>
  <c r="D3307" i="1"/>
  <c r="L3306" i="1"/>
  <c r="F3306" i="1"/>
  <c r="E3306" i="1"/>
  <c r="D3306" i="1"/>
  <c r="L3305" i="1"/>
  <c r="F3305" i="1"/>
  <c r="E3305" i="1"/>
  <c r="D3305" i="1"/>
  <c r="L3304" i="1"/>
  <c r="F3304" i="1"/>
  <c r="E3304" i="1"/>
  <c r="D3304" i="1"/>
  <c r="L3303" i="1"/>
  <c r="F3303" i="1"/>
  <c r="E3303" i="1"/>
  <c r="D3303" i="1"/>
  <c r="L3302" i="1"/>
  <c r="F3302" i="1"/>
  <c r="E3302" i="1"/>
  <c r="D3302" i="1"/>
  <c r="L3301" i="1"/>
  <c r="F3301" i="1"/>
  <c r="E3301" i="1"/>
  <c r="D3301" i="1"/>
  <c r="L3300" i="1"/>
  <c r="F3300" i="1"/>
  <c r="E3300" i="1"/>
  <c r="D3300" i="1"/>
  <c r="L3299" i="1"/>
  <c r="F3299" i="1"/>
  <c r="E3299" i="1"/>
  <c r="D3299" i="1"/>
  <c r="L3298" i="1"/>
  <c r="F3298" i="1"/>
  <c r="E3298" i="1"/>
  <c r="D3298" i="1"/>
  <c r="L3297" i="1"/>
  <c r="F3297" i="1"/>
  <c r="E3297" i="1"/>
  <c r="D3297" i="1"/>
  <c r="L3296" i="1"/>
  <c r="F3296" i="1"/>
  <c r="E3296" i="1"/>
  <c r="D3296" i="1"/>
  <c r="L3295" i="1"/>
  <c r="F3295" i="1"/>
  <c r="E3295" i="1"/>
  <c r="D3295" i="1"/>
  <c r="L3294" i="1"/>
  <c r="F3294" i="1"/>
  <c r="E3294" i="1"/>
  <c r="D3294" i="1"/>
  <c r="L3293" i="1"/>
  <c r="F3293" i="1"/>
  <c r="E3293" i="1"/>
  <c r="D3293" i="1"/>
  <c r="L3292" i="1"/>
  <c r="F3292" i="1"/>
  <c r="E3292" i="1"/>
  <c r="D3292" i="1"/>
  <c r="L3291" i="1"/>
  <c r="F3291" i="1"/>
  <c r="E3291" i="1"/>
  <c r="D3291" i="1"/>
  <c r="L3290" i="1"/>
  <c r="F3290" i="1"/>
  <c r="E3290" i="1"/>
  <c r="D3290" i="1"/>
  <c r="L3289" i="1"/>
  <c r="F3289" i="1"/>
  <c r="E3289" i="1"/>
  <c r="D3289" i="1"/>
  <c r="L3288" i="1"/>
  <c r="F3288" i="1"/>
  <c r="E3288" i="1"/>
  <c r="D3288" i="1"/>
  <c r="L3287" i="1"/>
  <c r="F3287" i="1"/>
  <c r="E3287" i="1"/>
  <c r="D3287" i="1"/>
  <c r="L3286" i="1"/>
  <c r="F3286" i="1"/>
  <c r="E3286" i="1"/>
  <c r="D3286" i="1"/>
  <c r="L3285" i="1"/>
  <c r="L3284" i="1"/>
  <c r="F3285" i="1"/>
  <c r="E3285" i="1"/>
  <c r="D3285" i="1"/>
  <c r="F3284" i="1"/>
  <c r="E3284" i="1"/>
  <c r="D3284" i="1"/>
  <c r="L3283" i="1"/>
  <c r="F3283" i="1"/>
  <c r="E3283" i="1"/>
  <c r="D3283" i="1"/>
  <c r="L3282" i="1"/>
  <c r="L3281" i="1"/>
  <c r="F3282" i="1"/>
  <c r="E3282" i="1"/>
  <c r="D3282" i="1"/>
  <c r="F3281" i="1"/>
  <c r="E3281" i="1"/>
  <c r="D3281" i="1"/>
  <c r="L3280" i="1"/>
  <c r="F3280" i="1"/>
  <c r="E3280" i="1"/>
  <c r="D3280" i="1"/>
  <c r="L3279" i="1"/>
  <c r="F3279" i="1"/>
  <c r="E3279" i="1"/>
  <c r="D3279" i="1"/>
  <c r="L3278" i="1"/>
  <c r="F3278" i="1"/>
  <c r="E3278" i="1"/>
  <c r="D3278" i="1"/>
  <c r="L3277" i="1"/>
  <c r="F3277" i="1"/>
  <c r="E3277" i="1"/>
  <c r="D3277" i="1"/>
  <c r="L3276" i="1"/>
  <c r="F3276" i="1"/>
  <c r="E3276" i="1"/>
  <c r="D3276" i="1"/>
  <c r="L3275" i="1"/>
  <c r="F3275" i="1"/>
  <c r="E3275" i="1"/>
  <c r="D3275" i="1"/>
  <c r="L3274" i="1"/>
  <c r="F3274" i="1"/>
  <c r="E3274" i="1"/>
  <c r="D3274" i="1"/>
  <c r="L3273" i="1"/>
  <c r="F3273" i="1"/>
  <c r="E3273" i="1"/>
  <c r="D3273" i="1"/>
  <c r="L3272" i="1"/>
  <c r="L3271" i="1"/>
  <c r="F3272" i="1"/>
  <c r="E3272" i="1"/>
  <c r="D3272" i="1"/>
  <c r="F3271" i="1"/>
  <c r="E3271" i="1"/>
  <c r="D3271" i="1"/>
  <c r="L3270" i="1"/>
  <c r="F3270" i="1"/>
  <c r="E3270" i="1"/>
  <c r="D3270" i="1"/>
  <c r="L3269" i="1"/>
  <c r="F3269" i="1"/>
  <c r="E3269" i="1"/>
  <c r="D3269" i="1"/>
  <c r="L3268" i="1"/>
  <c r="F3268" i="1"/>
  <c r="E3268" i="1"/>
  <c r="D3268" i="1"/>
  <c r="L3267" i="1"/>
  <c r="F3267" i="1"/>
  <c r="E3267" i="1"/>
  <c r="D3267" i="1"/>
  <c r="L3266" i="1"/>
  <c r="F3266" i="1"/>
  <c r="E3266" i="1"/>
  <c r="D3266" i="1"/>
  <c r="L3265" i="1"/>
  <c r="F3265" i="1"/>
  <c r="E3265" i="1"/>
  <c r="D3265" i="1"/>
  <c r="L3264" i="1"/>
  <c r="F3264" i="1"/>
  <c r="E3264" i="1"/>
  <c r="D3264" i="1"/>
  <c r="L3263" i="1"/>
  <c r="F3263" i="1"/>
  <c r="E3263" i="1"/>
  <c r="D3263" i="1"/>
  <c r="L3262" i="1"/>
  <c r="F3262" i="1"/>
  <c r="E3262" i="1"/>
  <c r="D3262" i="1"/>
  <c r="L3261" i="1"/>
  <c r="F3261" i="1"/>
  <c r="E3261" i="1"/>
  <c r="D3261" i="1"/>
  <c r="L3260" i="1"/>
  <c r="F3260" i="1"/>
  <c r="E3260" i="1"/>
  <c r="D3260" i="1"/>
  <c r="L3259" i="1"/>
  <c r="F3259" i="1"/>
  <c r="E3259" i="1"/>
  <c r="D3259" i="1"/>
  <c r="L3258" i="1"/>
  <c r="F3258" i="1"/>
  <c r="E3258" i="1"/>
  <c r="D3258" i="1"/>
  <c r="L3257" i="1"/>
  <c r="F3257" i="1"/>
  <c r="E3257" i="1"/>
  <c r="D3257" i="1"/>
  <c r="L3256" i="1"/>
  <c r="F3256" i="1"/>
  <c r="E3256" i="1"/>
  <c r="D3256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6" i="1"/>
  <c r="L177" i="1"/>
  <c r="L179" i="1"/>
  <c r="L180" i="1"/>
  <c r="L181" i="1"/>
  <c r="L182" i="1"/>
  <c r="L183" i="1"/>
  <c r="L184" i="1"/>
  <c r="L185" i="1"/>
  <c r="L186" i="1"/>
  <c r="L187" i="1"/>
  <c r="L188" i="1"/>
  <c r="L189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F3255" i="1"/>
  <c r="E3255" i="1"/>
  <c r="D3255" i="1"/>
  <c r="F3254" i="1"/>
  <c r="E3254" i="1"/>
  <c r="D3254" i="1"/>
  <c r="F3253" i="1"/>
  <c r="E3253" i="1"/>
  <c r="D3253" i="1"/>
  <c r="F3252" i="1"/>
  <c r="E3252" i="1"/>
  <c r="D3252" i="1"/>
  <c r="F3251" i="1"/>
  <c r="E3251" i="1"/>
  <c r="D3251" i="1"/>
  <c r="F3250" i="1"/>
  <c r="E3250" i="1"/>
  <c r="D3250" i="1"/>
  <c r="F3249" i="1"/>
  <c r="E3249" i="1"/>
  <c r="D3249" i="1"/>
  <c r="F3248" i="1"/>
  <c r="E3248" i="1"/>
  <c r="D3248" i="1"/>
  <c r="F3247" i="1"/>
  <c r="E3247" i="1"/>
  <c r="D3247" i="1"/>
  <c r="F3246" i="1"/>
  <c r="E3246" i="1"/>
  <c r="D3246" i="1"/>
  <c r="F3245" i="1"/>
  <c r="E3245" i="1"/>
  <c r="D3245" i="1"/>
  <c r="F3244" i="1"/>
  <c r="E3244" i="1"/>
  <c r="D3244" i="1"/>
  <c r="F3243" i="1"/>
  <c r="E3243" i="1"/>
  <c r="D3243" i="1"/>
  <c r="F3242" i="1"/>
  <c r="E3242" i="1"/>
  <c r="D3242" i="1"/>
  <c r="F3241" i="1"/>
  <c r="E3241" i="1"/>
  <c r="D3241" i="1"/>
  <c r="F3240" i="1"/>
  <c r="E3240" i="1"/>
  <c r="D3240" i="1"/>
  <c r="F3239" i="1"/>
  <c r="E3239" i="1"/>
  <c r="D3239" i="1"/>
  <c r="F3238" i="1"/>
  <c r="E3238" i="1"/>
  <c r="D3238" i="1"/>
  <c r="F3237" i="1"/>
  <c r="E3237" i="1"/>
  <c r="D3237" i="1"/>
  <c r="F3236" i="1"/>
  <c r="E3236" i="1"/>
  <c r="D3236" i="1"/>
  <c r="F3235" i="1"/>
  <c r="E3235" i="1"/>
  <c r="D3235" i="1"/>
  <c r="F3234" i="1"/>
  <c r="E3234" i="1"/>
  <c r="D3234" i="1"/>
  <c r="F3233" i="1"/>
  <c r="E3233" i="1"/>
  <c r="D3233" i="1"/>
  <c r="F3232" i="1"/>
  <c r="E3232" i="1"/>
  <c r="D3232" i="1"/>
  <c r="F3231" i="1"/>
  <c r="E3231" i="1"/>
  <c r="D3231" i="1"/>
  <c r="F3230" i="1"/>
  <c r="E3230" i="1"/>
  <c r="D3230" i="1"/>
  <c r="F3229" i="1"/>
  <c r="E3229" i="1"/>
  <c r="D3229" i="1"/>
  <c r="F3228" i="1"/>
  <c r="E3228" i="1"/>
  <c r="D3228" i="1"/>
  <c r="F3227" i="1"/>
  <c r="E3227" i="1"/>
  <c r="D3227" i="1"/>
  <c r="F3226" i="1"/>
  <c r="E3226" i="1"/>
  <c r="D3226" i="1"/>
  <c r="F3225" i="1"/>
  <c r="E3225" i="1"/>
  <c r="D3225" i="1"/>
  <c r="F3224" i="1"/>
  <c r="E3224" i="1"/>
  <c r="D3224" i="1"/>
  <c r="F3223" i="1"/>
  <c r="E3223" i="1"/>
  <c r="D3223" i="1"/>
  <c r="F3222" i="1"/>
  <c r="E3222" i="1"/>
  <c r="D3222" i="1"/>
  <c r="F3221" i="1"/>
  <c r="E3221" i="1"/>
  <c r="D3221" i="1"/>
  <c r="F3220" i="1"/>
  <c r="E3220" i="1"/>
  <c r="D3220" i="1"/>
  <c r="F3219" i="1"/>
  <c r="E3219" i="1"/>
  <c r="D3219" i="1"/>
  <c r="F3218" i="1"/>
  <c r="E3218" i="1"/>
  <c r="D3218" i="1"/>
  <c r="F3217" i="1"/>
  <c r="E3217" i="1"/>
  <c r="D3217" i="1"/>
  <c r="F3216" i="1"/>
  <c r="E3216" i="1"/>
  <c r="D3216" i="1"/>
  <c r="F3215" i="1"/>
  <c r="E3215" i="1"/>
  <c r="D3215" i="1"/>
  <c r="F3214" i="1"/>
  <c r="E3214" i="1"/>
  <c r="D3214" i="1"/>
  <c r="F3213" i="1"/>
  <c r="E3213" i="1"/>
  <c r="D3213" i="1"/>
  <c r="F3212" i="1"/>
  <c r="E3212" i="1"/>
  <c r="D3212" i="1"/>
  <c r="F3211" i="1"/>
  <c r="E3211" i="1"/>
  <c r="D3211" i="1"/>
  <c r="F3210" i="1"/>
  <c r="E3210" i="1"/>
  <c r="D3210" i="1"/>
  <c r="F3209" i="1"/>
  <c r="E3209" i="1"/>
  <c r="D3209" i="1"/>
  <c r="F3208" i="1"/>
  <c r="E3208" i="1"/>
  <c r="D3208" i="1"/>
  <c r="F3207" i="1"/>
  <c r="E3207" i="1"/>
  <c r="D3207" i="1"/>
  <c r="F3206" i="1"/>
  <c r="E3206" i="1"/>
  <c r="D3206" i="1"/>
  <c r="F3205" i="1"/>
  <c r="E3205" i="1"/>
  <c r="D3205" i="1"/>
  <c r="F3204" i="1"/>
  <c r="E3204" i="1"/>
  <c r="D3204" i="1"/>
  <c r="F3203" i="1"/>
  <c r="E3203" i="1"/>
  <c r="D3203" i="1"/>
  <c r="F3202" i="1"/>
  <c r="E3202" i="1"/>
  <c r="D3202" i="1"/>
  <c r="F3201" i="1"/>
  <c r="E3201" i="1"/>
  <c r="D3201" i="1"/>
  <c r="F3200" i="1"/>
  <c r="E3200" i="1"/>
  <c r="D3200" i="1"/>
  <c r="F3199" i="1"/>
  <c r="E3199" i="1"/>
  <c r="D3199" i="1"/>
  <c r="F3198" i="1"/>
  <c r="E3198" i="1"/>
  <c r="D3198" i="1"/>
  <c r="F3197" i="1"/>
  <c r="E3197" i="1"/>
  <c r="D3197" i="1"/>
  <c r="F3196" i="1"/>
  <c r="E3196" i="1"/>
  <c r="D3196" i="1"/>
  <c r="F3195" i="1"/>
  <c r="E3195" i="1"/>
  <c r="D3195" i="1"/>
  <c r="F3194" i="1"/>
  <c r="E3194" i="1"/>
  <c r="D3194" i="1"/>
  <c r="F3193" i="1"/>
  <c r="E3193" i="1"/>
  <c r="D3193" i="1"/>
  <c r="F3192" i="1"/>
  <c r="E3192" i="1"/>
  <c r="D3192" i="1"/>
  <c r="F3191" i="1"/>
  <c r="E3191" i="1"/>
  <c r="D3191" i="1"/>
  <c r="F3190" i="1"/>
  <c r="E3190" i="1"/>
  <c r="D3190" i="1"/>
  <c r="F3189" i="1"/>
  <c r="E3189" i="1"/>
  <c r="D3189" i="1"/>
  <c r="F3188" i="1"/>
  <c r="E3188" i="1"/>
  <c r="D3188" i="1"/>
  <c r="F3187" i="1"/>
  <c r="E3187" i="1"/>
  <c r="D3187" i="1"/>
  <c r="F3186" i="1"/>
  <c r="E3186" i="1"/>
  <c r="D3186" i="1"/>
  <c r="F3185" i="1"/>
  <c r="E3185" i="1"/>
  <c r="D3185" i="1"/>
  <c r="F3184" i="1"/>
  <c r="E3184" i="1"/>
  <c r="D3184" i="1"/>
  <c r="F3183" i="1"/>
  <c r="E3183" i="1"/>
  <c r="D3183" i="1"/>
  <c r="F3182" i="1"/>
  <c r="E3182" i="1"/>
  <c r="D3182" i="1"/>
  <c r="F3181" i="1"/>
  <c r="E3181" i="1"/>
  <c r="D3181" i="1"/>
  <c r="F3180" i="1"/>
  <c r="E3180" i="1"/>
  <c r="D3180" i="1"/>
  <c r="F3179" i="1"/>
  <c r="E3179" i="1"/>
  <c r="D3179" i="1"/>
  <c r="F3178" i="1"/>
  <c r="E3178" i="1"/>
  <c r="D3178" i="1"/>
  <c r="F3177" i="1"/>
  <c r="E3177" i="1"/>
  <c r="D3177" i="1"/>
  <c r="F3176" i="1"/>
  <c r="E3176" i="1"/>
  <c r="D3176" i="1"/>
  <c r="F3175" i="1"/>
  <c r="E3175" i="1"/>
  <c r="D3175" i="1"/>
  <c r="F3174" i="1"/>
  <c r="E3174" i="1"/>
  <c r="D3174" i="1"/>
  <c r="F3173" i="1"/>
  <c r="E3173" i="1"/>
  <c r="D3173" i="1"/>
  <c r="D3171" i="1"/>
  <c r="E3171" i="1"/>
  <c r="F3171" i="1"/>
  <c r="D169" i="1"/>
  <c r="E169" i="1"/>
  <c r="F169" i="1"/>
  <c r="F3172" i="1"/>
  <c r="E3172" i="1"/>
  <c r="D3172" i="1"/>
  <c r="F3170" i="1"/>
  <c r="E3170" i="1"/>
  <c r="D3170" i="1"/>
  <c r="F3169" i="1"/>
  <c r="E3169" i="1"/>
  <c r="D3169" i="1"/>
  <c r="F3168" i="1"/>
  <c r="E3168" i="1"/>
  <c r="D3168" i="1"/>
  <c r="F3167" i="1"/>
  <c r="E3167" i="1"/>
  <c r="D3167" i="1"/>
  <c r="F3166" i="1"/>
  <c r="E3166" i="1"/>
  <c r="D3166" i="1"/>
  <c r="F3165" i="1"/>
  <c r="E3165" i="1"/>
  <c r="D3165" i="1"/>
  <c r="F3164" i="1"/>
  <c r="E3164" i="1"/>
  <c r="D3164" i="1"/>
  <c r="F3163" i="1"/>
  <c r="E3163" i="1"/>
  <c r="D3163" i="1"/>
  <c r="F3162" i="1"/>
  <c r="E3162" i="1"/>
  <c r="D3162" i="1"/>
  <c r="F3161" i="1"/>
  <c r="E3161" i="1"/>
  <c r="D3161" i="1"/>
  <c r="F3160" i="1"/>
  <c r="E3160" i="1"/>
  <c r="D3160" i="1"/>
  <c r="F3159" i="1"/>
  <c r="E3159" i="1"/>
  <c r="D3159" i="1"/>
  <c r="F3158" i="1"/>
  <c r="E3158" i="1"/>
  <c r="D3158" i="1"/>
  <c r="F3157" i="1"/>
  <c r="E3157" i="1"/>
  <c r="D3157" i="1"/>
  <c r="F3156" i="1"/>
  <c r="E3156" i="1"/>
  <c r="D3156" i="1"/>
  <c r="F3155" i="1"/>
  <c r="E3155" i="1"/>
  <c r="D3155" i="1"/>
  <c r="F3154" i="1"/>
  <c r="E3154" i="1"/>
  <c r="D3154" i="1"/>
  <c r="F3153" i="1"/>
  <c r="E3153" i="1"/>
  <c r="D3153" i="1"/>
  <c r="F3152" i="1"/>
  <c r="E3152" i="1"/>
  <c r="D3152" i="1"/>
  <c r="F3151" i="1"/>
  <c r="E3151" i="1"/>
  <c r="D3151" i="1"/>
  <c r="F3150" i="1"/>
  <c r="E3150" i="1"/>
  <c r="D3150" i="1"/>
  <c r="F3149" i="1"/>
  <c r="E3149" i="1"/>
  <c r="D3149" i="1"/>
  <c r="F3148" i="1"/>
  <c r="E3148" i="1"/>
  <c r="D3148" i="1"/>
  <c r="F3147" i="1"/>
  <c r="E3147" i="1"/>
  <c r="D3147" i="1"/>
  <c r="F3146" i="1"/>
  <c r="E3146" i="1"/>
  <c r="D3146" i="1"/>
  <c r="F3145" i="1"/>
  <c r="E3145" i="1"/>
  <c r="D3145" i="1"/>
  <c r="F3144" i="1"/>
  <c r="E3144" i="1"/>
  <c r="D3144" i="1"/>
  <c r="F3143" i="1"/>
  <c r="E3143" i="1"/>
  <c r="D3143" i="1"/>
  <c r="F3142" i="1"/>
  <c r="E3142" i="1"/>
  <c r="D3142" i="1"/>
  <c r="F3141" i="1"/>
  <c r="E3141" i="1"/>
  <c r="D3141" i="1"/>
  <c r="F3140" i="1"/>
  <c r="E3140" i="1"/>
  <c r="D3140" i="1"/>
  <c r="F3139" i="1"/>
  <c r="E3139" i="1"/>
  <c r="D3139" i="1"/>
  <c r="F3138" i="1"/>
  <c r="E3138" i="1"/>
  <c r="D3138" i="1"/>
  <c r="F3137" i="1"/>
  <c r="E3137" i="1"/>
  <c r="D3137" i="1"/>
  <c r="F3136" i="1" l="1"/>
  <c r="E3136" i="1"/>
  <c r="D3136" i="1"/>
  <c r="F3135" i="1"/>
  <c r="E3135" i="1"/>
  <c r="D3135" i="1"/>
  <c r="F3134" i="1"/>
  <c r="E3134" i="1"/>
  <c r="D3134" i="1"/>
  <c r="F3133" i="1"/>
  <c r="E3133" i="1"/>
  <c r="D3133" i="1"/>
  <c r="F3132" i="1"/>
  <c r="E3132" i="1"/>
  <c r="D3132" i="1"/>
  <c r="F3131" i="1"/>
  <c r="E3131" i="1"/>
  <c r="D3131" i="1"/>
  <c r="F3130" i="1"/>
  <c r="E3130" i="1"/>
  <c r="D3130" i="1"/>
  <c r="F3129" i="1"/>
  <c r="E3129" i="1"/>
  <c r="D3129" i="1"/>
  <c r="F3128" i="1"/>
  <c r="E3128" i="1"/>
  <c r="D3128" i="1"/>
  <c r="F3127" i="1"/>
  <c r="E3127" i="1"/>
  <c r="D3127" i="1"/>
  <c r="F3126" i="1"/>
  <c r="E3126" i="1"/>
  <c r="D3126" i="1"/>
  <c r="F3125" i="1"/>
  <c r="E3125" i="1"/>
  <c r="D3125" i="1"/>
  <c r="F3124" i="1"/>
  <c r="E3124" i="1"/>
  <c r="D3124" i="1"/>
  <c r="F3123" i="1"/>
  <c r="E3123" i="1"/>
  <c r="D3123" i="1"/>
  <c r="F3122" i="1"/>
  <c r="E3122" i="1"/>
  <c r="D3122" i="1"/>
  <c r="F3121" i="1"/>
  <c r="E3121" i="1"/>
  <c r="D3121" i="1"/>
  <c r="F3120" i="1"/>
  <c r="E3120" i="1"/>
  <c r="D3120" i="1"/>
  <c r="F3119" i="1"/>
  <c r="E3119" i="1"/>
  <c r="D3119" i="1"/>
  <c r="F3118" i="1"/>
  <c r="E3118" i="1"/>
  <c r="D3118" i="1"/>
  <c r="F3117" i="1"/>
  <c r="E3117" i="1"/>
  <c r="D3117" i="1"/>
  <c r="F3116" i="1"/>
  <c r="E3116" i="1"/>
  <c r="D3116" i="1"/>
  <c r="F3115" i="1"/>
  <c r="E3115" i="1"/>
  <c r="D3115" i="1"/>
  <c r="F3114" i="1"/>
  <c r="E3114" i="1"/>
  <c r="D3114" i="1"/>
  <c r="F3113" i="1"/>
  <c r="E3113" i="1"/>
  <c r="D3113" i="1"/>
  <c r="F3112" i="1"/>
  <c r="E3112" i="1"/>
  <c r="D3112" i="1"/>
  <c r="F3111" i="1"/>
  <c r="E3111" i="1"/>
  <c r="D3111" i="1"/>
  <c r="F3110" i="1"/>
  <c r="E3110" i="1"/>
  <c r="D3110" i="1"/>
  <c r="F3109" i="1"/>
  <c r="E3109" i="1"/>
  <c r="D3109" i="1"/>
  <c r="F3108" i="1"/>
  <c r="E3108" i="1"/>
  <c r="D3108" i="1"/>
  <c r="F3107" i="1"/>
  <c r="E3107" i="1"/>
  <c r="D3107" i="1"/>
  <c r="F3106" i="1"/>
  <c r="E3106" i="1"/>
  <c r="D3106" i="1"/>
  <c r="F3105" i="1"/>
  <c r="E3105" i="1"/>
  <c r="D3105" i="1"/>
  <c r="F3104" i="1"/>
  <c r="E3104" i="1"/>
  <c r="D3104" i="1"/>
  <c r="F3103" i="1"/>
  <c r="E3103" i="1"/>
  <c r="D3103" i="1"/>
  <c r="F3102" i="1"/>
  <c r="E3102" i="1"/>
  <c r="D3102" i="1"/>
  <c r="F3101" i="1"/>
  <c r="E3101" i="1"/>
  <c r="D3101" i="1"/>
  <c r="F3100" i="1"/>
  <c r="E3100" i="1"/>
  <c r="D3100" i="1"/>
  <c r="F3099" i="1"/>
  <c r="E3099" i="1"/>
  <c r="D3099" i="1"/>
  <c r="F3098" i="1"/>
  <c r="E3098" i="1"/>
  <c r="D3098" i="1"/>
  <c r="F3097" i="1"/>
  <c r="E3097" i="1"/>
  <c r="D3097" i="1"/>
  <c r="F3096" i="1"/>
  <c r="E3096" i="1"/>
  <c r="D3096" i="1"/>
  <c r="F3095" i="1"/>
  <c r="E3095" i="1"/>
  <c r="D3095" i="1"/>
  <c r="F3094" i="1"/>
  <c r="E3094" i="1"/>
  <c r="D3094" i="1"/>
  <c r="F3093" i="1"/>
  <c r="E3093" i="1"/>
  <c r="D3093" i="1"/>
  <c r="F3092" i="1"/>
  <c r="E3092" i="1"/>
  <c r="D3092" i="1"/>
  <c r="F3091" i="1"/>
  <c r="E3091" i="1"/>
  <c r="D3091" i="1"/>
  <c r="F3090" i="1"/>
  <c r="E3090" i="1"/>
  <c r="D3090" i="1"/>
  <c r="F3089" i="1"/>
  <c r="E3089" i="1"/>
  <c r="D3089" i="1"/>
  <c r="F3088" i="1"/>
  <c r="E3088" i="1"/>
  <c r="D3088" i="1"/>
  <c r="F3087" i="1"/>
  <c r="E3087" i="1"/>
  <c r="D3087" i="1"/>
  <c r="F3086" i="1"/>
  <c r="E3086" i="1"/>
  <c r="D3086" i="1"/>
  <c r="F3085" i="1"/>
  <c r="E3085" i="1"/>
  <c r="D3085" i="1"/>
  <c r="F3084" i="1"/>
  <c r="E3084" i="1"/>
  <c r="D3084" i="1"/>
  <c r="F3083" i="1"/>
  <c r="E3083" i="1"/>
  <c r="D3083" i="1"/>
  <c r="F3082" i="1"/>
  <c r="E3082" i="1"/>
  <c r="D3082" i="1"/>
  <c r="F3081" i="1"/>
  <c r="E3081" i="1"/>
  <c r="D3081" i="1"/>
  <c r="F3080" i="1"/>
  <c r="E3080" i="1"/>
  <c r="D3080" i="1"/>
  <c r="F3079" i="1"/>
  <c r="E3079" i="1"/>
  <c r="D3079" i="1"/>
  <c r="F3078" i="1"/>
  <c r="E3078" i="1"/>
  <c r="D3078" i="1"/>
  <c r="F3077" i="1"/>
  <c r="E3077" i="1"/>
  <c r="D3077" i="1"/>
  <c r="F3076" i="1"/>
  <c r="E3076" i="1"/>
  <c r="D3076" i="1"/>
  <c r="F3075" i="1"/>
  <c r="E3075" i="1"/>
  <c r="D3075" i="1"/>
  <c r="F3074" i="1"/>
  <c r="E3074" i="1"/>
  <c r="D3074" i="1"/>
  <c r="F3073" i="1"/>
  <c r="E3073" i="1"/>
  <c r="D3073" i="1"/>
  <c r="F3072" i="1"/>
  <c r="E3072" i="1"/>
  <c r="D3072" i="1"/>
  <c r="F3071" i="1"/>
  <c r="E3071" i="1"/>
  <c r="D3071" i="1"/>
  <c r="F3070" i="1"/>
  <c r="E3070" i="1"/>
  <c r="D3070" i="1"/>
  <c r="F3069" i="1"/>
  <c r="E3069" i="1"/>
  <c r="D3069" i="1"/>
  <c r="F3068" i="1"/>
  <c r="E3068" i="1"/>
  <c r="D3068" i="1"/>
  <c r="F3067" i="1"/>
  <c r="E3067" i="1"/>
  <c r="D3067" i="1"/>
  <c r="F3066" i="1"/>
  <c r="E3066" i="1"/>
  <c r="D3066" i="1"/>
  <c r="F3065" i="1"/>
  <c r="E3065" i="1"/>
  <c r="D3065" i="1"/>
  <c r="F3064" i="1"/>
  <c r="E3064" i="1"/>
  <c r="D3064" i="1"/>
  <c r="F3063" i="1"/>
  <c r="E3063" i="1"/>
  <c r="D3063" i="1"/>
  <c r="F3062" i="1"/>
  <c r="E3062" i="1"/>
  <c r="D3062" i="1"/>
  <c r="F3061" i="1"/>
  <c r="E3061" i="1"/>
  <c r="D3061" i="1"/>
  <c r="F3060" i="1"/>
  <c r="E3060" i="1"/>
  <c r="D3060" i="1"/>
  <c r="F3059" i="1"/>
  <c r="E3059" i="1"/>
  <c r="D3059" i="1"/>
  <c r="F3058" i="1"/>
  <c r="E3058" i="1"/>
  <c r="D3058" i="1"/>
  <c r="F3057" i="1"/>
  <c r="E3057" i="1"/>
  <c r="D3057" i="1"/>
  <c r="F3056" i="1"/>
  <c r="E3056" i="1"/>
  <c r="D3056" i="1"/>
  <c r="F3055" i="1"/>
  <c r="E3055" i="1"/>
  <c r="D3055" i="1"/>
  <c r="F3054" i="1"/>
  <c r="E3054" i="1"/>
  <c r="D3054" i="1"/>
  <c r="F3053" i="1"/>
  <c r="E3053" i="1"/>
  <c r="D3053" i="1"/>
  <c r="F3052" i="1"/>
  <c r="E3052" i="1"/>
  <c r="D3052" i="1"/>
  <c r="F3051" i="1"/>
  <c r="E3051" i="1"/>
  <c r="D3051" i="1"/>
  <c r="F3050" i="1"/>
  <c r="E3050" i="1"/>
  <c r="D3050" i="1"/>
  <c r="F3049" i="1"/>
  <c r="E3049" i="1"/>
  <c r="D3049" i="1"/>
  <c r="F3048" i="1"/>
  <c r="E3048" i="1"/>
  <c r="D3048" i="1"/>
  <c r="F3047" i="1"/>
  <c r="E3047" i="1"/>
  <c r="D3047" i="1"/>
  <c r="F3046" i="1"/>
  <c r="E3046" i="1"/>
  <c r="D3046" i="1"/>
  <c r="F3045" i="1"/>
  <c r="E3045" i="1"/>
  <c r="D3045" i="1"/>
  <c r="F3044" i="1"/>
  <c r="E3044" i="1"/>
  <c r="D3044" i="1"/>
  <c r="F3043" i="1"/>
  <c r="E3043" i="1"/>
  <c r="D3043" i="1"/>
  <c r="F3042" i="1"/>
  <c r="E3042" i="1"/>
  <c r="D3042" i="1"/>
  <c r="F3041" i="1"/>
  <c r="E3041" i="1"/>
  <c r="D3041" i="1"/>
  <c r="F3040" i="1"/>
  <c r="E3040" i="1"/>
  <c r="D3040" i="1"/>
  <c r="F3039" i="1"/>
  <c r="E3039" i="1"/>
  <c r="D3039" i="1"/>
  <c r="F3038" i="1"/>
  <c r="E3038" i="1"/>
  <c r="D3038" i="1"/>
  <c r="F3037" i="1"/>
  <c r="E3037" i="1"/>
  <c r="D3037" i="1"/>
  <c r="F3036" i="1"/>
  <c r="E3036" i="1"/>
  <c r="D3036" i="1"/>
  <c r="F3035" i="1"/>
  <c r="E3035" i="1"/>
  <c r="D3035" i="1"/>
  <c r="F3034" i="1"/>
  <c r="E3034" i="1"/>
  <c r="D3034" i="1"/>
  <c r="F3033" i="1"/>
  <c r="E3033" i="1"/>
  <c r="D3033" i="1"/>
  <c r="D3032" i="1"/>
  <c r="F3032" i="1"/>
  <c r="E3032" i="1"/>
  <c r="D3031" i="1"/>
  <c r="F3031" i="1"/>
  <c r="E3031" i="1"/>
  <c r="F3030" i="1"/>
  <c r="E3030" i="1"/>
  <c r="D3030" i="1"/>
  <c r="F3029" i="1"/>
  <c r="E3029" i="1"/>
  <c r="D3029" i="1"/>
  <c r="F3028" i="1"/>
  <c r="E3028" i="1"/>
  <c r="D3028" i="1"/>
  <c r="F3027" i="1"/>
  <c r="E3027" i="1"/>
  <c r="D3027" i="1"/>
  <c r="F3026" i="1"/>
  <c r="E3026" i="1"/>
  <c r="D3026" i="1"/>
  <c r="F3025" i="1"/>
  <c r="E3025" i="1"/>
  <c r="D3025" i="1"/>
  <c r="F3024" i="1"/>
  <c r="E3024" i="1"/>
  <c r="D3024" i="1"/>
  <c r="F3023" i="1"/>
  <c r="E3023" i="1"/>
  <c r="D3023" i="1"/>
  <c r="F3022" i="1"/>
  <c r="E3022" i="1"/>
  <c r="D3022" i="1"/>
  <c r="F3021" i="1"/>
  <c r="E3021" i="1"/>
  <c r="D3021" i="1"/>
  <c r="F3020" i="1"/>
  <c r="E3020" i="1"/>
  <c r="D3020" i="1"/>
  <c r="F3019" i="1"/>
  <c r="E3019" i="1"/>
  <c r="D3019" i="1"/>
  <c r="F3018" i="1"/>
  <c r="E3018" i="1"/>
  <c r="D3018" i="1"/>
  <c r="F3017" i="1"/>
  <c r="E3017" i="1"/>
  <c r="D3017" i="1"/>
  <c r="F3016" i="1"/>
  <c r="E3016" i="1"/>
  <c r="D3016" i="1"/>
  <c r="F3015" i="1"/>
  <c r="E3015" i="1"/>
  <c r="D3015" i="1"/>
  <c r="F3014" i="1"/>
  <c r="E3014" i="1"/>
  <c r="D3014" i="1"/>
  <c r="F3013" i="1"/>
  <c r="E3013" i="1"/>
  <c r="D3013" i="1"/>
  <c r="F3012" i="1"/>
  <c r="E3012" i="1"/>
  <c r="D3012" i="1"/>
  <c r="F3011" i="1"/>
  <c r="E3011" i="1"/>
  <c r="D3011" i="1"/>
  <c r="F3010" i="1"/>
  <c r="E3010" i="1"/>
  <c r="D3010" i="1"/>
  <c r="F3009" i="1"/>
  <c r="E3009" i="1"/>
  <c r="D3009" i="1"/>
  <c r="F3008" i="1"/>
  <c r="E3008" i="1"/>
  <c r="D3008" i="1"/>
  <c r="F3007" i="1"/>
  <c r="E3007" i="1"/>
  <c r="D3007" i="1"/>
  <c r="F3006" i="1"/>
  <c r="E3006" i="1"/>
  <c r="D3006" i="1"/>
  <c r="F3005" i="1"/>
  <c r="E3005" i="1"/>
  <c r="D3005" i="1"/>
  <c r="F3004" i="1"/>
  <c r="E3004" i="1"/>
  <c r="D3004" i="1"/>
  <c r="F3003" i="1"/>
  <c r="E3003" i="1"/>
  <c r="D3003" i="1"/>
  <c r="F3002" i="1"/>
  <c r="E3002" i="1"/>
  <c r="D3002" i="1"/>
  <c r="F3001" i="1"/>
  <c r="E3001" i="1"/>
  <c r="D3001" i="1"/>
  <c r="F3000" i="1"/>
  <c r="E3000" i="1"/>
  <c r="D3000" i="1"/>
  <c r="F2999" i="1"/>
  <c r="E2999" i="1"/>
  <c r="D2999" i="1"/>
  <c r="F2998" i="1"/>
  <c r="E2998" i="1"/>
  <c r="D2998" i="1"/>
  <c r="F2997" i="1"/>
  <c r="E2997" i="1"/>
  <c r="D2997" i="1"/>
  <c r="F2996" i="1"/>
  <c r="E2996" i="1"/>
  <c r="D2996" i="1"/>
  <c r="F2995" i="1"/>
  <c r="E2995" i="1"/>
  <c r="D2995" i="1"/>
  <c r="F2994" i="1"/>
  <c r="E2994" i="1"/>
  <c r="D2994" i="1"/>
  <c r="F2993" i="1"/>
  <c r="E2993" i="1"/>
  <c r="D2993" i="1"/>
  <c r="F2992" i="1"/>
  <c r="E2992" i="1"/>
  <c r="D2992" i="1"/>
  <c r="F2991" i="1"/>
  <c r="E2991" i="1"/>
  <c r="D2991" i="1"/>
  <c r="F2990" i="1"/>
  <c r="E2990" i="1"/>
  <c r="D2990" i="1"/>
  <c r="F2989" i="1"/>
  <c r="E2989" i="1"/>
  <c r="D2989" i="1"/>
  <c r="F2988" i="1"/>
  <c r="E2988" i="1"/>
  <c r="D2988" i="1"/>
  <c r="F2987" i="1"/>
  <c r="E2987" i="1"/>
  <c r="D2987" i="1"/>
  <c r="F2986" i="1"/>
  <c r="E2986" i="1"/>
  <c r="D2986" i="1"/>
  <c r="F2985" i="1"/>
  <c r="E2985" i="1"/>
  <c r="D2985" i="1"/>
  <c r="F2984" i="1"/>
  <c r="E2984" i="1"/>
  <c r="D2984" i="1"/>
  <c r="F2983" i="1"/>
  <c r="E2983" i="1"/>
  <c r="D2983" i="1"/>
  <c r="F2982" i="1"/>
  <c r="E2982" i="1"/>
  <c r="D2982" i="1"/>
  <c r="F2981" i="1"/>
  <c r="E2981" i="1"/>
  <c r="D2981" i="1"/>
  <c r="F2980" i="1"/>
  <c r="E2980" i="1"/>
  <c r="D2980" i="1"/>
  <c r="F2979" i="1"/>
  <c r="E2979" i="1"/>
  <c r="D2979" i="1"/>
  <c r="F2978" i="1"/>
  <c r="E2978" i="1"/>
  <c r="D2978" i="1"/>
  <c r="F2977" i="1"/>
  <c r="E2977" i="1"/>
  <c r="D2977" i="1"/>
  <c r="F2976" i="1"/>
  <c r="E2976" i="1"/>
  <c r="D2976" i="1"/>
  <c r="F2975" i="1"/>
  <c r="E2975" i="1"/>
  <c r="D2975" i="1"/>
  <c r="F2974" i="1"/>
  <c r="E2974" i="1"/>
  <c r="D2974" i="1"/>
  <c r="F2973" i="1"/>
  <c r="E2973" i="1"/>
  <c r="D2973" i="1"/>
  <c r="F2972" i="1"/>
  <c r="E2972" i="1"/>
  <c r="D2972" i="1"/>
  <c r="F2971" i="1"/>
  <c r="E2971" i="1"/>
  <c r="D2971" i="1"/>
  <c r="F2970" i="1"/>
  <c r="E2970" i="1"/>
  <c r="D2970" i="1"/>
  <c r="F2969" i="1"/>
  <c r="E2969" i="1"/>
  <c r="D2969" i="1"/>
  <c r="F2968" i="1"/>
  <c r="E2968" i="1"/>
  <c r="D2968" i="1"/>
  <c r="F2967" i="1"/>
  <c r="E2967" i="1"/>
  <c r="D2967" i="1"/>
  <c r="F2966" i="1"/>
  <c r="E2966" i="1"/>
  <c r="D2966" i="1"/>
  <c r="F2965" i="1"/>
  <c r="E2965" i="1"/>
  <c r="D2965" i="1"/>
  <c r="F2964" i="1"/>
  <c r="E2964" i="1"/>
  <c r="D2964" i="1"/>
  <c r="F2963" i="1"/>
  <c r="E2963" i="1"/>
  <c r="D2963" i="1"/>
  <c r="F2962" i="1"/>
  <c r="E2962" i="1"/>
  <c r="D2962" i="1"/>
  <c r="F2961" i="1"/>
  <c r="E2961" i="1"/>
  <c r="D2961" i="1"/>
  <c r="F2960" i="1"/>
  <c r="E2960" i="1"/>
  <c r="D2960" i="1"/>
  <c r="F2959" i="1"/>
  <c r="E2959" i="1"/>
  <c r="D2959" i="1"/>
  <c r="F2958" i="1"/>
  <c r="E2958" i="1"/>
  <c r="D2958" i="1"/>
  <c r="F2957" i="1"/>
  <c r="E2957" i="1"/>
  <c r="D2957" i="1"/>
  <c r="F2956" i="1"/>
  <c r="E2956" i="1"/>
  <c r="D2956" i="1"/>
  <c r="F2955" i="1"/>
  <c r="E2955" i="1"/>
  <c r="D2955" i="1"/>
  <c r="F2954" i="1"/>
  <c r="E2954" i="1"/>
  <c r="D2954" i="1"/>
  <c r="F2953" i="1"/>
  <c r="E2953" i="1"/>
  <c r="D2953" i="1"/>
  <c r="F2952" i="1"/>
  <c r="E2952" i="1"/>
  <c r="D2952" i="1"/>
  <c r="F2951" i="1"/>
  <c r="E2951" i="1"/>
  <c r="D2951" i="1"/>
  <c r="F2950" i="1"/>
  <c r="E2950" i="1"/>
  <c r="D2950" i="1"/>
  <c r="F2949" i="1"/>
  <c r="E2949" i="1"/>
  <c r="D2949" i="1"/>
  <c r="F2948" i="1"/>
  <c r="E2948" i="1"/>
  <c r="D2948" i="1"/>
  <c r="F2947" i="1"/>
  <c r="E2947" i="1"/>
  <c r="D2947" i="1"/>
  <c r="F2946" i="1"/>
  <c r="E2946" i="1"/>
  <c r="D2946" i="1"/>
  <c r="F2945" i="1"/>
  <c r="E2945" i="1"/>
  <c r="D2945" i="1"/>
  <c r="F2944" i="1"/>
  <c r="E2944" i="1"/>
  <c r="D2944" i="1"/>
  <c r="F2943" i="1"/>
  <c r="E2943" i="1"/>
  <c r="D2943" i="1"/>
  <c r="F2942" i="1"/>
  <c r="E2942" i="1"/>
  <c r="D2942" i="1"/>
  <c r="F2941" i="1"/>
  <c r="E2941" i="1"/>
  <c r="D2941" i="1"/>
  <c r="F2940" i="1"/>
  <c r="E2940" i="1"/>
  <c r="D2940" i="1"/>
  <c r="F2939" i="1"/>
  <c r="E2939" i="1"/>
  <c r="D2939" i="1"/>
  <c r="F2938" i="1"/>
  <c r="E2938" i="1"/>
  <c r="D2938" i="1"/>
  <c r="F2937" i="1"/>
  <c r="E2937" i="1"/>
  <c r="D2937" i="1"/>
  <c r="F2936" i="1"/>
  <c r="E2936" i="1"/>
  <c r="D2936" i="1"/>
  <c r="F2935" i="1"/>
  <c r="E2935" i="1"/>
  <c r="D2935" i="1"/>
  <c r="F2934" i="1"/>
  <c r="E2934" i="1"/>
  <c r="D2934" i="1"/>
  <c r="F2933" i="1"/>
  <c r="E2933" i="1"/>
  <c r="D2933" i="1"/>
  <c r="F2932" i="1"/>
  <c r="E2932" i="1"/>
  <c r="D2932" i="1"/>
  <c r="F2931" i="1"/>
  <c r="E2931" i="1"/>
  <c r="D2931" i="1"/>
  <c r="F2930" i="1"/>
  <c r="E2930" i="1"/>
  <c r="D2930" i="1"/>
  <c r="F2929" i="1"/>
  <c r="E2929" i="1"/>
  <c r="D2929" i="1"/>
  <c r="F2928" i="1"/>
  <c r="E2928" i="1"/>
  <c r="D2928" i="1"/>
  <c r="F2927" i="1"/>
  <c r="E2927" i="1"/>
  <c r="D2927" i="1"/>
  <c r="F2926" i="1"/>
  <c r="E2926" i="1"/>
  <c r="D2926" i="1"/>
  <c r="F2925" i="1"/>
  <c r="E2925" i="1"/>
  <c r="D2925" i="1"/>
  <c r="F2924" i="1"/>
  <c r="E2924" i="1"/>
  <c r="D2924" i="1"/>
  <c r="F2923" i="1"/>
  <c r="E2923" i="1"/>
  <c r="D2923" i="1"/>
  <c r="F2922" i="1"/>
  <c r="E2922" i="1"/>
  <c r="D2922" i="1"/>
  <c r="F2921" i="1"/>
  <c r="E2921" i="1"/>
  <c r="D2921" i="1"/>
  <c r="F2920" i="1"/>
  <c r="E2920" i="1"/>
  <c r="D2920" i="1"/>
  <c r="F2919" i="1"/>
  <c r="E2919" i="1"/>
  <c r="D2919" i="1"/>
  <c r="F2918" i="1"/>
  <c r="E2918" i="1"/>
  <c r="D2918" i="1"/>
  <c r="F2917" i="1"/>
  <c r="E2917" i="1"/>
  <c r="D2917" i="1"/>
  <c r="F2916" i="1"/>
  <c r="E2916" i="1"/>
  <c r="D2916" i="1"/>
  <c r="F2915" i="1"/>
  <c r="E2915" i="1"/>
  <c r="D2915" i="1"/>
  <c r="F2914" i="1"/>
  <c r="E2914" i="1"/>
  <c r="D2914" i="1"/>
  <c r="F2913" i="1"/>
  <c r="E2913" i="1"/>
  <c r="D2913" i="1"/>
  <c r="F2912" i="1"/>
  <c r="E2912" i="1"/>
  <c r="D2912" i="1"/>
  <c r="F2911" i="1"/>
  <c r="E2911" i="1"/>
  <c r="D2911" i="1"/>
  <c r="F2910" i="1"/>
  <c r="E2910" i="1"/>
  <c r="D2910" i="1"/>
  <c r="F2909" i="1"/>
  <c r="E2909" i="1"/>
  <c r="D2909" i="1"/>
  <c r="F2908" i="1"/>
  <c r="E2908" i="1"/>
  <c r="D2908" i="1"/>
  <c r="D2907" i="1"/>
  <c r="D2904" i="1"/>
  <c r="F2907" i="1"/>
  <c r="E2907" i="1"/>
  <c r="F2906" i="1"/>
  <c r="E2906" i="1"/>
  <c r="D2906" i="1"/>
  <c r="F2905" i="1"/>
  <c r="E2905" i="1"/>
  <c r="D2905" i="1"/>
  <c r="F2904" i="1"/>
  <c r="E2904" i="1"/>
  <c r="F2903" i="1"/>
  <c r="E2903" i="1"/>
  <c r="D2903" i="1"/>
  <c r="F2902" i="1"/>
  <c r="E2902" i="1"/>
  <c r="D2902" i="1"/>
  <c r="D2901" i="1"/>
  <c r="F2901" i="1"/>
  <c r="E2901" i="1"/>
  <c r="F2900" i="1"/>
  <c r="E2900" i="1"/>
  <c r="D2900" i="1"/>
  <c r="F2899" i="1"/>
  <c r="E2899" i="1"/>
  <c r="D2899" i="1"/>
  <c r="F2898" i="1"/>
  <c r="E2898" i="1"/>
  <c r="D2898" i="1"/>
  <c r="F2897" i="1"/>
  <c r="E2897" i="1"/>
  <c r="D2897" i="1"/>
  <c r="F2896" i="1"/>
  <c r="E2896" i="1"/>
  <c r="D2896" i="1"/>
  <c r="F2895" i="1"/>
  <c r="E2895" i="1"/>
  <c r="D2895" i="1"/>
  <c r="F2894" i="1"/>
  <c r="E2894" i="1"/>
  <c r="D2894" i="1"/>
  <c r="F2893" i="1"/>
  <c r="E2893" i="1"/>
  <c r="D2893" i="1"/>
  <c r="F2892" i="1"/>
  <c r="E2892" i="1"/>
  <c r="D2892" i="1"/>
  <c r="F2891" i="1"/>
  <c r="E2891" i="1"/>
  <c r="D2891" i="1"/>
  <c r="F2890" i="1"/>
  <c r="E2890" i="1"/>
  <c r="D2890" i="1"/>
  <c r="F2889" i="1"/>
  <c r="E2889" i="1"/>
  <c r="D2889" i="1"/>
  <c r="F2888" i="1"/>
  <c r="E2888" i="1"/>
  <c r="D2888" i="1"/>
  <c r="F2887" i="1"/>
  <c r="E2887" i="1"/>
  <c r="D2887" i="1"/>
  <c r="F2886" i="1"/>
  <c r="E2886" i="1"/>
  <c r="D2886" i="1"/>
  <c r="F2885" i="1"/>
  <c r="E2885" i="1"/>
  <c r="D2885" i="1"/>
  <c r="F2884" i="1"/>
  <c r="E2884" i="1"/>
  <c r="D2884" i="1"/>
  <c r="F2883" i="1"/>
  <c r="E2883" i="1"/>
  <c r="D2883" i="1"/>
  <c r="F2882" i="1"/>
  <c r="E2882" i="1"/>
  <c r="D2882" i="1"/>
  <c r="F2881" i="1"/>
  <c r="E2881" i="1"/>
  <c r="D2881" i="1"/>
  <c r="F2880" i="1"/>
  <c r="E2880" i="1"/>
  <c r="D2880" i="1"/>
  <c r="F2879" i="1"/>
  <c r="E2879" i="1"/>
  <c r="D2879" i="1"/>
  <c r="F2878" i="1"/>
  <c r="E2878" i="1"/>
  <c r="D2878" i="1"/>
  <c r="F2877" i="1"/>
  <c r="E2877" i="1"/>
  <c r="D2877" i="1"/>
  <c r="F2876" i="1"/>
  <c r="E2876" i="1"/>
  <c r="D2876" i="1"/>
  <c r="F2875" i="1"/>
  <c r="E2875" i="1"/>
  <c r="D2875" i="1"/>
  <c r="F2874" i="1"/>
  <c r="E2874" i="1"/>
  <c r="D2874" i="1"/>
  <c r="F2873" i="1"/>
  <c r="E2873" i="1"/>
  <c r="D2873" i="1"/>
  <c r="F2872" i="1"/>
  <c r="E2872" i="1"/>
  <c r="D2872" i="1"/>
  <c r="F2871" i="1"/>
  <c r="E2871" i="1"/>
  <c r="D2871" i="1"/>
  <c r="F2870" i="1"/>
  <c r="E2870" i="1"/>
  <c r="D2870" i="1"/>
  <c r="F2869" i="1"/>
  <c r="E2869" i="1"/>
  <c r="D2869" i="1"/>
  <c r="F2868" i="1"/>
  <c r="E2868" i="1"/>
  <c r="D2868" i="1"/>
  <c r="F2867" i="1"/>
  <c r="E2867" i="1"/>
  <c r="D2867" i="1"/>
  <c r="F2866" i="1"/>
  <c r="E2866" i="1"/>
  <c r="D2866" i="1"/>
  <c r="F2865" i="1"/>
  <c r="E2865" i="1"/>
  <c r="D2865" i="1"/>
  <c r="F2864" i="1"/>
  <c r="E2864" i="1"/>
  <c r="D2864" i="1"/>
  <c r="F2863" i="1"/>
  <c r="E2863" i="1"/>
  <c r="D2863" i="1"/>
  <c r="F2862" i="1"/>
  <c r="E2862" i="1"/>
  <c r="D2862" i="1"/>
  <c r="F2861" i="1"/>
  <c r="E2861" i="1"/>
  <c r="D2861" i="1"/>
  <c r="F2860" i="1"/>
  <c r="E2860" i="1"/>
  <c r="D2860" i="1"/>
  <c r="F2859" i="1"/>
  <c r="E2859" i="1"/>
  <c r="D2859" i="1"/>
  <c r="F2858" i="1"/>
  <c r="E2858" i="1"/>
  <c r="D2858" i="1"/>
  <c r="F2857" i="1"/>
  <c r="E2857" i="1"/>
  <c r="D2857" i="1"/>
  <c r="F2856" i="1"/>
  <c r="E2856" i="1"/>
  <c r="D2856" i="1"/>
  <c r="F2855" i="1"/>
  <c r="E2855" i="1"/>
  <c r="D2855" i="1"/>
  <c r="F2854" i="1"/>
  <c r="E2854" i="1"/>
  <c r="D2854" i="1"/>
  <c r="F2853" i="1"/>
  <c r="E2853" i="1"/>
  <c r="D2853" i="1"/>
  <c r="F2852" i="1"/>
  <c r="E2852" i="1"/>
  <c r="D2852" i="1"/>
  <c r="F2851" i="1"/>
  <c r="E2851" i="1"/>
  <c r="D2851" i="1"/>
  <c r="F2850" i="1"/>
  <c r="E2850" i="1"/>
  <c r="D2850" i="1"/>
  <c r="F2849" i="1"/>
  <c r="E2849" i="1"/>
  <c r="D2849" i="1"/>
  <c r="F2848" i="1"/>
  <c r="E2848" i="1"/>
  <c r="D2848" i="1"/>
  <c r="F2847" i="1"/>
  <c r="E2847" i="1"/>
  <c r="D2847" i="1"/>
  <c r="F2846" i="1"/>
  <c r="E2846" i="1"/>
  <c r="D2846" i="1"/>
  <c r="F2845" i="1"/>
  <c r="E2845" i="1"/>
  <c r="D2845" i="1"/>
  <c r="F2844" i="1"/>
  <c r="E2844" i="1"/>
  <c r="D2844" i="1"/>
  <c r="F2843" i="1"/>
  <c r="E2843" i="1"/>
  <c r="D2843" i="1"/>
  <c r="F2842" i="1"/>
  <c r="E2842" i="1"/>
  <c r="D2842" i="1"/>
  <c r="F2841" i="1"/>
  <c r="E2841" i="1"/>
  <c r="D2841" i="1"/>
  <c r="F2840" i="1"/>
  <c r="E2840" i="1"/>
  <c r="D2840" i="1"/>
  <c r="F2839" i="1"/>
  <c r="E2839" i="1"/>
  <c r="D2839" i="1"/>
  <c r="F2838" i="1"/>
  <c r="E2838" i="1"/>
  <c r="D2838" i="1"/>
  <c r="F2837" i="1"/>
  <c r="E2837" i="1"/>
  <c r="D2837" i="1"/>
  <c r="F2836" i="1"/>
  <c r="E2836" i="1"/>
  <c r="D2836" i="1"/>
  <c r="F2835" i="1"/>
  <c r="E2835" i="1"/>
  <c r="D2835" i="1"/>
  <c r="F2834" i="1"/>
  <c r="E2834" i="1"/>
  <c r="D2834" i="1"/>
  <c r="F2833" i="1"/>
  <c r="E2833" i="1"/>
  <c r="D2833" i="1"/>
  <c r="F2832" i="1"/>
  <c r="E2832" i="1"/>
  <c r="D2832" i="1"/>
  <c r="F2831" i="1"/>
  <c r="E2831" i="1"/>
  <c r="D2831" i="1"/>
  <c r="F2830" i="1"/>
  <c r="E2830" i="1"/>
  <c r="D2830" i="1"/>
  <c r="F2829" i="1"/>
  <c r="E2829" i="1"/>
  <c r="D2829" i="1"/>
  <c r="F2828" i="1"/>
  <c r="E2828" i="1"/>
  <c r="D2828" i="1"/>
  <c r="F2827" i="1"/>
  <c r="E2827" i="1"/>
  <c r="D2827" i="1"/>
  <c r="F2826" i="1"/>
  <c r="E2826" i="1"/>
  <c r="D2826" i="1"/>
  <c r="F2825" i="1"/>
  <c r="E2825" i="1"/>
  <c r="D2825" i="1"/>
  <c r="F2824" i="1"/>
  <c r="E2824" i="1"/>
  <c r="D2824" i="1"/>
  <c r="F2823" i="1"/>
  <c r="E2823" i="1"/>
  <c r="D2823" i="1"/>
  <c r="F2822" i="1"/>
  <c r="E2822" i="1"/>
  <c r="D2822" i="1"/>
  <c r="F2821" i="1"/>
  <c r="E2821" i="1"/>
  <c r="D2821" i="1"/>
  <c r="F2820" i="1"/>
  <c r="E2820" i="1"/>
  <c r="D2820" i="1"/>
  <c r="F2819" i="1"/>
  <c r="E2819" i="1"/>
  <c r="D2819" i="1"/>
  <c r="F2818" i="1"/>
  <c r="E2818" i="1"/>
  <c r="D2818" i="1"/>
  <c r="F2817" i="1"/>
  <c r="E2817" i="1"/>
  <c r="D2817" i="1"/>
  <c r="F2816" i="1"/>
  <c r="E2816" i="1"/>
  <c r="D2816" i="1"/>
  <c r="F2815" i="1"/>
  <c r="E2815" i="1"/>
  <c r="D2815" i="1"/>
  <c r="F2814" i="1"/>
  <c r="E2814" i="1"/>
  <c r="D2814" i="1"/>
  <c r="F2813" i="1"/>
  <c r="E2813" i="1"/>
  <c r="D2813" i="1"/>
  <c r="F2812" i="1"/>
  <c r="E2812" i="1"/>
  <c r="D2812" i="1"/>
  <c r="F2811" i="1"/>
  <c r="E2811" i="1"/>
  <c r="D2811" i="1"/>
  <c r="F2810" i="1"/>
  <c r="E2810" i="1"/>
  <c r="D2810" i="1"/>
  <c r="F2809" i="1"/>
  <c r="E2809" i="1"/>
  <c r="D2809" i="1"/>
  <c r="F2808" i="1"/>
  <c r="E2808" i="1"/>
  <c r="D2808" i="1"/>
  <c r="F2807" i="1"/>
  <c r="E2807" i="1"/>
  <c r="D2807" i="1"/>
  <c r="F2806" i="1"/>
  <c r="E2806" i="1"/>
  <c r="D2806" i="1"/>
  <c r="F2805" i="1"/>
  <c r="E2805" i="1"/>
  <c r="D2805" i="1"/>
  <c r="F2804" i="1"/>
  <c r="E2804" i="1"/>
  <c r="D2804" i="1"/>
  <c r="F2803" i="1"/>
  <c r="E2803" i="1"/>
  <c r="D2803" i="1"/>
  <c r="F2802" i="1"/>
  <c r="E2802" i="1"/>
  <c r="D2802" i="1"/>
  <c r="F2801" i="1"/>
  <c r="E2801" i="1"/>
  <c r="D2801" i="1"/>
  <c r="F2800" i="1"/>
  <c r="E2800" i="1"/>
  <c r="D2800" i="1"/>
  <c r="F2799" i="1"/>
  <c r="E2799" i="1"/>
  <c r="D2799" i="1"/>
  <c r="F2798" i="1"/>
  <c r="E2798" i="1"/>
  <c r="D2798" i="1"/>
  <c r="F2797" i="1"/>
  <c r="E2797" i="1"/>
  <c r="D2797" i="1"/>
  <c r="F2796" i="1"/>
  <c r="E2796" i="1"/>
  <c r="D2796" i="1"/>
  <c r="F2795" i="1"/>
  <c r="E2795" i="1"/>
  <c r="D2795" i="1"/>
  <c r="F2794" i="1"/>
  <c r="E2794" i="1"/>
  <c r="D2794" i="1"/>
  <c r="F2793" i="1"/>
  <c r="E2793" i="1"/>
  <c r="D2793" i="1"/>
  <c r="F2792" i="1"/>
  <c r="E2792" i="1"/>
  <c r="D2792" i="1"/>
  <c r="F2791" i="1"/>
  <c r="E2791" i="1"/>
  <c r="D2791" i="1"/>
  <c r="F2790" i="1"/>
  <c r="E2790" i="1"/>
  <c r="D2790" i="1"/>
  <c r="F2789" i="1"/>
  <c r="E2789" i="1"/>
  <c r="D2789" i="1"/>
  <c r="F2788" i="1"/>
  <c r="E2788" i="1"/>
  <c r="D2788" i="1"/>
  <c r="F2787" i="1"/>
  <c r="E2787" i="1"/>
  <c r="D2787" i="1"/>
  <c r="F2786" i="1"/>
  <c r="E2786" i="1"/>
  <c r="D2786" i="1"/>
  <c r="F2785" i="1"/>
  <c r="E2785" i="1"/>
  <c r="D2785" i="1"/>
  <c r="F2784" i="1"/>
  <c r="E2784" i="1"/>
  <c r="D2784" i="1"/>
  <c r="F2783" i="1"/>
  <c r="E2783" i="1"/>
  <c r="D2783" i="1"/>
  <c r="F2782" i="1"/>
  <c r="E2782" i="1"/>
  <c r="D2782" i="1"/>
  <c r="F2781" i="1"/>
  <c r="E2781" i="1"/>
  <c r="D2781" i="1"/>
  <c r="F2780" i="1"/>
  <c r="E2780" i="1"/>
  <c r="D2780" i="1"/>
  <c r="F2779" i="1"/>
  <c r="E2779" i="1"/>
  <c r="D2779" i="1"/>
  <c r="F2778" i="1"/>
  <c r="E2778" i="1"/>
  <c r="D2778" i="1"/>
  <c r="F2777" i="1"/>
  <c r="E2777" i="1"/>
  <c r="D2777" i="1"/>
  <c r="F2776" i="1"/>
  <c r="E2776" i="1"/>
  <c r="D2776" i="1"/>
  <c r="F2775" i="1"/>
  <c r="E2775" i="1"/>
  <c r="D2775" i="1"/>
  <c r="F2774" i="1"/>
  <c r="E2774" i="1"/>
  <c r="D2774" i="1"/>
  <c r="F2773" i="1"/>
  <c r="E2773" i="1"/>
  <c r="D2773" i="1"/>
  <c r="F2772" i="1"/>
  <c r="E2772" i="1"/>
  <c r="D2772" i="1"/>
  <c r="F2771" i="1"/>
  <c r="E2771" i="1"/>
  <c r="D2771" i="1"/>
  <c r="F2770" i="1"/>
  <c r="E2770" i="1"/>
  <c r="D2770" i="1"/>
  <c r="F2769" i="1"/>
  <c r="E2769" i="1"/>
  <c r="D2769" i="1"/>
  <c r="F2768" i="1"/>
  <c r="E2768" i="1"/>
  <c r="D2768" i="1"/>
  <c r="F2767" i="1"/>
  <c r="E2767" i="1"/>
  <c r="D2767" i="1"/>
  <c r="F2766" i="1"/>
  <c r="E2766" i="1"/>
  <c r="D2766" i="1"/>
  <c r="F2765" i="1"/>
  <c r="E2765" i="1"/>
  <c r="D2765" i="1"/>
  <c r="F2764" i="1"/>
  <c r="E2764" i="1"/>
  <c r="D2764" i="1"/>
  <c r="F2763" i="1"/>
  <c r="E2763" i="1"/>
  <c r="D2763" i="1"/>
  <c r="F2762" i="1"/>
  <c r="E2762" i="1"/>
  <c r="D2762" i="1"/>
  <c r="F2761" i="1"/>
  <c r="E2761" i="1"/>
  <c r="D2761" i="1"/>
  <c r="F2760" i="1"/>
  <c r="E2760" i="1"/>
  <c r="D2760" i="1"/>
  <c r="F2759" i="1"/>
  <c r="E2759" i="1"/>
  <c r="D2759" i="1"/>
  <c r="F2758" i="1"/>
  <c r="E2758" i="1"/>
  <c r="D2758" i="1"/>
  <c r="F2757" i="1"/>
  <c r="E2757" i="1"/>
  <c r="D2757" i="1"/>
  <c r="F2756" i="1"/>
  <c r="E2756" i="1"/>
  <c r="D2756" i="1"/>
  <c r="F2755" i="1"/>
  <c r="E2755" i="1"/>
  <c r="D2755" i="1"/>
  <c r="F2754" i="1"/>
  <c r="E2754" i="1"/>
  <c r="D2754" i="1"/>
  <c r="F2753" i="1"/>
  <c r="E2753" i="1"/>
  <c r="D2753" i="1"/>
  <c r="F2752" i="1"/>
  <c r="E2752" i="1"/>
  <c r="D2752" i="1"/>
  <c r="F2751" i="1"/>
  <c r="E2751" i="1"/>
  <c r="D2751" i="1"/>
  <c r="F2750" i="1"/>
  <c r="E2750" i="1"/>
  <c r="D2750" i="1"/>
  <c r="F2749" i="1"/>
  <c r="E2749" i="1"/>
  <c r="D2749" i="1"/>
  <c r="F2748" i="1"/>
  <c r="E2748" i="1"/>
  <c r="D2748" i="1"/>
  <c r="F2747" i="1"/>
  <c r="E2747" i="1"/>
  <c r="D2747" i="1"/>
  <c r="F2746" i="1"/>
  <c r="E2746" i="1"/>
  <c r="D2746" i="1"/>
  <c r="F2745" i="1"/>
  <c r="E2745" i="1"/>
  <c r="D2745" i="1"/>
  <c r="F2744" i="1"/>
  <c r="E2744" i="1"/>
  <c r="D2744" i="1"/>
  <c r="F2743" i="1"/>
  <c r="E2743" i="1"/>
  <c r="D2743" i="1"/>
  <c r="F2742" i="1"/>
  <c r="E2742" i="1"/>
  <c r="D2742" i="1"/>
  <c r="F2741" i="1"/>
  <c r="E2741" i="1"/>
  <c r="D2741" i="1"/>
  <c r="F2740" i="1"/>
  <c r="E2740" i="1"/>
  <c r="D2740" i="1"/>
  <c r="F2739" i="1"/>
  <c r="E2739" i="1"/>
  <c r="D2739" i="1"/>
  <c r="F2738" i="1"/>
  <c r="E2738" i="1"/>
  <c r="D2738" i="1"/>
  <c r="F2737" i="1"/>
  <c r="E2737" i="1"/>
  <c r="D2737" i="1"/>
  <c r="F2736" i="1"/>
  <c r="E2736" i="1"/>
  <c r="D2736" i="1"/>
  <c r="F2735" i="1"/>
  <c r="E2735" i="1"/>
  <c r="D2735" i="1"/>
  <c r="F2734" i="1"/>
  <c r="E2734" i="1"/>
  <c r="D2734" i="1"/>
  <c r="F2733" i="1"/>
  <c r="E2733" i="1"/>
  <c r="D2733" i="1"/>
  <c r="F2732" i="1"/>
  <c r="E2732" i="1"/>
  <c r="D2732" i="1"/>
  <c r="F2731" i="1"/>
  <c r="E2731" i="1"/>
  <c r="D2731" i="1"/>
  <c r="F2730" i="1"/>
  <c r="E2730" i="1"/>
  <c r="D2730" i="1"/>
  <c r="F2729" i="1"/>
  <c r="E2729" i="1"/>
  <c r="D2729" i="1"/>
  <c r="F2728" i="1"/>
  <c r="E2728" i="1"/>
  <c r="D2728" i="1"/>
  <c r="F2727" i="1"/>
  <c r="E2727" i="1"/>
  <c r="D2727" i="1"/>
  <c r="F2726" i="1"/>
  <c r="E2726" i="1"/>
  <c r="D2726" i="1"/>
  <c r="F2725" i="1"/>
  <c r="E2725" i="1"/>
  <c r="D2725" i="1"/>
  <c r="F2724" i="1"/>
  <c r="E2724" i="1"/>
  <c r="D2724" i="1"/>
  <c r="F2723" i="1"/>
  <c r="E2723" i="1"/>
  <c r="D2723" i="1"/>
  <c r="F2722" i="1"/>
  <c r="E2722" i="1"/>
  <c r="D2722" i="1"/>
  <c r="F2721" i="1"/>
  <c r="E2721" i="1"/>
  <c r="D2721" i="1"/>
  <c r="F2720" i="1"/>
  <c r="E2720" i="1"/>
  <c r="D2720" i="1"/>
  <c r="F2719" i="1"/>
  <c r="E2719" i="1"/>
  <c r="D2719" i="1"/>
  <c r="F2718" i="1"/>
  <c r="E2718" i="1"/>
  <c r="D2718" i="1"/>
  <c r="F2717" i="1"/>
  <c r="E2717" i="1"/>
  <c r="D2717" i="1"/>
  <c r="F2716" i="1"/>
  <c r="E2716" i="1"/>
  <c r="D2716" i="1"/>
  <c r="F2715" i="1"/>
  <c r="E2715" i="1"/>
  <c r="D2715" i="1"/>
  <c r="F2714" i="1"/>
  <c r="E2714" i="1"/>
  <c r="D2714" i="1"/>
  <c r="F2713" i="1"/>
  <c r="E2713" i="1"/>
  <c r="D2713" i="1"/>
  <c r="F2712" i="1"/>
  <c r="E2712" i="1"/>
  <c r="D2712" i="1"/>
  <c r="F2711" i="1"/>
  <c r="E2711" i="1"/>
  <c r="D2711" i="1"/>
  <c r="F2710" i="1"/>
  <c r="E2710" i="1"/>
  <c r="D2710" i="1"/>
  <c r="F2709" i="1"/>
  <c r="E2709" i="1"/>
  <c r="D2709" i="1"/>
  <c r="F2708" i="1"/>
  <c r="E2708" i="1"/>
  <c r="D2708" i="1"/>
  <c r="F2707" i="1"/>
  <c r="E2707" i="1"/>
  <c r="D2707" i="1"/>
  <c r="F2706" i="1"/>
  <c r="E2706" i="1"/>
  <c r="D2706" i="1"/>
  <c r="F2705" i="1"/>
  <c r="E2705" i="1"/>
  <c r="D2705" i="1"/>
  <c r="F2704" i="1"/>
  <c r="E2704" i="1"/>
  <c r="D2704" i="1"/>
  <c r="F2703" i="1"/>
  <c r="E2703" i="1"/>
  <c r="D2703" i="1"/>
  <c r="F2702" i="1"/>
  <c r="E2702" i="1"/>
  <c r="D2702" i="1"/>
  <c r="F2701" i="1"/>
  <c r="E2701" i="1"/>
  <c r="D2701" i="1"/>
  <c r="F2700" i="1"/>
  <c r="E2700" i="1"/>
  <c r="D2700" i="1"/>
  <c r="F2699" i="1"/>
  <c r="E2699" i="1"/>
  <c r="D2699" i="1"/>
  <c r="F2698" i="1"/>
  <c r="E2698" i="1"/>
  <c r="D2698" i="1"/>
  <c r="F2697" i="1"/>
  <c r="E2697" i="1"/>
  <c r="D2697" i="1"/>
  <c r="F2696" i="1"/>
  <c r="E2696" i="1"/>
  <c r="D2696" i="1"/>
  <c r="F2695" i="1"/>
  <c r="E2695" i="1"/>
  <c r="D2695" i="1"/>
  <c r="F2694" i="1"/>
  <c r="E2694" i="1"/>
  <c r="D2694" i="1"/>
  <c r="F2693" i="1"/>
  <c r="E2693" i="1"/>
  <c r="D2693" i="1"/>
  <c r="F2692" i="1"/>
  <c r="E2692" i="1"/>
  <c r="D2692" i="1"/>
  <c r="F2690" i="1"/>
  <c r="F2691" i="1"/>
  <c r="E2690" i="1"/>
  <c r="E2691" i="1"/>
  <c r="D2690" i="1"/>
  <c r="D2691" i="1"/>
  <c r="F2689" i="1"/>
  <c r="E2689" i="1"/>
  <c r="D2689" i="1"/>
  <c r="F2688" i="1"/>
  <c r="E2688" i="1"/>
  <c r="D2688" i="1"/>
  <c r="F2687" i="1"/>
  <c r="E2687" i="1"/>
  <c r="D2687" i="1"/>
  <c r="F2686" i="1"/>
  <c r="E2686" i="1"/>
  <c r="D2686" i="1"/>
  <c r="F2685" i="1"/>
  <c r="E2685" i="1"/>
  <c r="D2685" i="1"/>
  <c r="F2684" i="1"/>
  <c r="E2684" i="1"/>
  <c r="D2684" i="1"/>
  <c r="F2683" i="1"/>
  <c r="E2683" i="1"/>
  <c r="D2683" i="1"/>
  <c r="F2682" i="1"/>
  <c r="E2682" i="1"/>
  <c r="D2682" i="1"/>
  <c r="F2681" i="1"/>
  <c r="E2681" i="1"/>
  <c r="D2681" i="1"/>
  <c r="F2680" i="1"/>
  <c r="E2680" i="1"/>
  <c r="D2680" i="1"/>
  <c r="F2679" i="1"/>
  <c r="E2679" i="1"/>
  <c r="D2679" i="1"/>
  <c r="F2678" i="1"/>
  <c r="E2678" i="1"/>
  <c r="D2678" i="1"/>
  <c r="F2677" i="1"/>
  <c r="E2677" i="1"/>
  <c r="D2677" i="1"/>
  <c r="F2676" i="1"/>
  <c r="E2676" i="1"/>
  <c r="D2676" i="1"/>
  <c r="F2675" i="1"/>
  <c r="E2675" i="1"/>
  <c r="D2675" i="1"/>
  <c r="F2674" i="1"/>
  <c r="E2674" i="1"/>
  <c r="D2674" i="1"/>
  <c r="F2673" i="1"/>
  <c r="E2673" i="1"/>
  <c r="D2673" i="1"/>
  <c r="F2672" i="1"/>
  <c r="E2672" i="1"/>
  <c r="D2672" i="1"/>
  <c r="F2671" i="1"/>
  <c r="E2671" i="1"/>
  <c r="D2671" i="1"/>
  <c r="F2670" i="1"/>
  <c r="E2670" i="1"/>
  <c r="D2670" i="1"/>
  <c r="F2669" i="1"/>
  <c r="E2669" i="1"/>
  <c r="D2669" i="1"/>
  <c r="F2668" i="1"/>
  <c r="E2668" i="1"/>
  <c r="D2668" i="1"/>
  <c r="F2667" i="1"/>
  <c r="E2667" i="1"/>
  <c r="D2667" i="1"/>
  <c r="F2666" i="1"/>
  <c r="E2666" i="1"/>
  <c r="D2666" i="1"/>
  <c r="F2665" i="1"/>
  <c r="E2665" i="1"/>
  <c r="D2665" i="1"/>
  <c r="F2664" i="1"/>
  <c r="E2664" i="1"/>
  <c r="D2664" i="1"/>
  <c r="F2663" i="1"/>
  <c r="E2663" i="1"/>
  <c r="D2663" i="1"/>
  <c r="F2662" i="1"/>
  <c r="E2662" i="1"/>
  <c r="D2662" i="1"/>
  <c r="F2661" i="1"/>
  <c r="E2661" i="1"/>
  <c r="D2661" i="1"/>
  <c r="F2660" i="1"/>
  <c r="E2660" i="1"/>
  <c r="D2660" i="1"/>
  <c r="F2659" i="1"/>
  <c r="E2659" i="1"/>
  <c r="D2659" i="1"/>
  <c r="F2658" i="1"/>
  <c r="E2658" i="1"/>
  <c r="D2658" i="1"/>
  <c r="F2657" i="1"/>
  <c r="E2657" i="1"/>
  <c r="D2657" i="1"/>
  <c r="F2656" i="1"/>
  <c r="E2656" i="1"/>
  <c r="D2656" i="1"/>
  <c r="F2655" i="1"/>
  <c r="E2655" i="1"/>
  <c r="D2655" i="1"/>
  <c r="F2654" i="1"/>
  <c r="E2654" i="1"/>
  <c r="D2654" i="1"/>
  <c r="F2653" i="1"/>
  <c r="E2653" i="1"/>
  <c r="D2653" i="1"/>
  <c r="F2652" i="1"/>
  <c r="E2652" i="1"/>
  <c r="D2652" i="1"/>
  <c r="F2651" i="1"/>
  <c r="E2651" i="1"/>
  <c r="D2651" i="1"/>
  <c r="F2650" i="1"/>
  <c r="E2650" i="1"/>
  <c r="D2650" i="1"/>
  <c r="F2649" i="1"/>
  <c r="E2649" i="1"/>
  <c r="D2649" i="1"/>
  <c r="F2648" i="1"/>
  <c r="E2648" i="1"/>
  <c r="D2648" i="1"/>
  <c r="F2647" i="1"/>
  <c r="E2647" i="1"/>
  <c r="D2647" i="1"/>
  <c r="F2646" i="1"/>
  <c r="E2646" i="1"/>
  <c r="D2646" i="1"/>
  <c r="F2645" i="1"/>
  <c r="E2645" i="1"/>
  <c r="D2645" i="1"/>
  <c r="F2644" i="1"/>
  <c r="E2644" i="1"/>
  <c r="D2644" i="1"/>
  <c r="F2643" i="1"/>
  <c r="E2643" i="1"/>
  <c r="D2643" i="1"/>
  <c r="F2642" i="1"/>
  <c r="E2642" i="1"/>
  <c r="D2642" i="1"/>
  <c r="F2641" i="1"/>
  <c r="E2641" i="1"/>
  <c r="D2641" i="1"/>
  <c r="F2640" i="1"/>
  <c r="E2640" i="1"/>
  <c r="D2640" i="1"/>
  <c r="F2639" i="1"/>
  <c r="E2639" i="1"/>
  <c r="D2639" i="1"/>
  <c r="F2638" i="1"/>
  <c r="E2638" i="1"/>
  <c r="D2638" i="1"/>
  <c r="F2637" i="1"/>
  <c r="E2637" i="1"/>
  <c r="D2637" i="1"/>
  <c r="F2636" i="1"/>
  <c r="E2636" i="1"/>
  <c r="D2636" i="1"/>
  <c r="F2635" i="1"/>
  <c r="E2635" i="1"/>
  <c r="D2635" i="1"/>
  <c r="F2634" i="1"/>
  <c r="E2634" i="1"/>
  <c r="D2634" i="1"/>
  <c r="F2633" i="1"/>
  <c r="E2633" i="1"/>
  <c r="D2633" i="1"/>
  <c r="F2632" i="1"/>
  <c r="E2632" i="1"/>
  <c r="D2632" i="1"/>
  <c r="F2631" i="1"/>
  <c r="E2631" i="1"/>
  <c r="D2631" i="1"/>
  <c r="F2630" i="1"/>
  <c r="E2630" i="1"/>
  <c r="D2630" i="1"/>
  <c r="F2629" i="1"/>
  <c r="E2629" i="1"/>
  <c r="D2629" i="1"/>
  <c r="F2628" i="1"/>
  <c r="E2628" i="1"/>
  <c r="D2628" i="1"/>
  <c r="F2627" i="1"/>
  <c r="E2627" i="1"/>
  <c r="D2627" i="1"/>
  <c r="F2626" i="1"/>
  <c r="E2626" i="1"/>
  <c r="D2626" i="1"/>
  <c r="F2625" i="1"/>
  <c r="E2625" i="1"/>
  <c r="D2625" i="1"/>
  <c r="F2624" i="1"/>
  <c r="E2624" i="1"/>
  <c r="D2624" i="1"/>
  <c r="F2623" i="1"/>
  <c r="E2623" i="1"/>
  <c r="D2623" i="1"/>
  <c r="F2622" i="1"/>
  <c r="E2622" i="1"/>
  <c r="D2622" i="1"/>
  <c r="F2621" i="1"/>
  <c r="E2621" i="1"/>
  <c r="D2621" i="1"/>
  <c r="F2620" i="1"/>
  <c r="E2620" i="1"/>
  <c r="D2620" i="1"/>
  <c r="F2619" i="1"/>
  <c r="E2619" i="1"/>
  <c r="D2619" i="1"/>
  <c r="F2618" i="1"/>
  <c r="E2618" i="1"/>
  <c r="D2618" i="1"/>
  <c r="F2617" i="1"/>
  <c r="E2617" i="1"/>
  <c r="D2617" i="1"/>
  <c r="F2616" i="1"/>
  <c r="E2616" i="1"/>
  <c r="D2616" i="1"/>
  <c r="F2615" i="1"/>
  <c r="E2615" i="1"/>
  <c r="D2615" i="1"/>
  <c r="F2614" i="1"/>
  <c r="E2614" i="1"/>
  <c r="D2614" i="1"/>
  <c r="F2613" i="1"/>
  <c r="E2613" i="1"/>
  <c r="D2613" i="1"/>
  <c r="F2612" i="1"/>
  <c r="E2612" i="1"/>
  <c r="D2612" i="1"/>
  <c r="F2611" i="1"/>
  <c r="E2611" i="1"/>
  <c r="D2611" i="1"/>
  <c r="F2610" i="1"/>
  <c r="E2610" i="1"/>
  <c r="D2610" i="1"/>
  <c r="F2609" i="1"/>
  <c r="E2609" i="1"/>
  <c r="D2609" i="1"/>
  <c r="F2608" i="1"/>
  <c r="E2608" i="1"/>
  <c r="D2608" i="1"/>
  <c r="F2607" i="1"/>
  <c r="E2607" i="1"/>
  <c r="D2607" i="1"/>
  <c r="F2606" i="1"/>
  <c r="E2606" i="1"/>
  <c r="D2606" i="1"/>
  <c r="F2605" i="1"/>
  <c r="E2605" i="1"/>
  <c r="D2605" i="1"/>
  <c r="F2604" i="1"/>
  <c r="E2604" i="1"/>
  <c r="D2604" i="1"/>
  <c r="F2603" i="1"/>
  <c r="E2603" i="1"/>
  <c r="D2603" i="1"/>
  <c r="F2602" i="1"/>
  <c r="E2602" i="1"/>
  <c r="D2602" i="1"/>
  <c r="F2601" i="1"/>
  <c r="E2601" i="1"/>
  <c r="D2601" i="1"/>
  <c r="F2600" i="1"/>
  <c r="E2600" i="1"/>
  <c r="D2600" i="1"/>
  <c r="F2599" i="1"/>
  <c r="E2599" i="1"/>
  <c r="D2599" i="1"/>
  <c r="F2598" i="1"/>
  <c r="E2598" i="1"/>
  <c r="D2598" i="1"/>
  <c r="F2597" i="1"/>
  <c r="E2597" i="1"/>
  <c r="D2597" i="1"/>
  <c r="F2596" i="1"/>
  <c r="E2596" i="1"/>
  <c r="D2596" i="1"/>
  <c r="F2595" i="1"/>
  <c r="E2595" i="1"/>
  <c r="D2595" i="1"/>
  <c r="F2594" i="1"/>
  <c r="E2594" i="1"/>
  <c r="D2594" i="1"/>
  <c r="F2593" i="1"/>
  <c r="E2593" i="1"/>
  <c r="D2593" i="1"/>
  <c r="F2592" i="1"/>
  <c r="E2592" i="1"/>
  <c r="D2592" i="1"/>
  <c r="F2591" i="1"/>
  <c r="E2591" i="1"/>
  <c r="D2591" i="1"/>
  <c r="F2590" i="1"/>
  <c r="E2590" i="1"/>
  <c r="D2590" i="1"/>
  <c r="F2589" i="1"/>
  <c r="E2589" i="1"/>
  <c r="D2589" i="1"/>
  <c r="F2588" i="1"/>
  <c r="E2588" i="1"/>
  <c r="D2588" i="1"/>
  <c r="F2587" i="1"/>
  <c r="E2587" i="1"/>
  <c r="D2587" i="1"/>
  <c r="F2586" i="1"/>
  <c r="E2586" i="1"/>
  <c r="D2586" i="1"/>
  <c r="F2585" i="1"/>
  <c r="E2585" i="1"/>
  <c r="D2585" i="1"/>
  <c r="F2584" i="1"/>
  <c r="E2584" i="1"/>
  <c r="D2584" i="1"/>
  <c r="F2583" i="1"/>
  <c r="E2583" i="1"/>
  <c r="D2583" i="1"/>
  <c r="F2582" i="1"/>
  <c r="E2582" i="1"/>
  <c r="D2582" i="1"/>
  <c r="F2581" i="1"/>
  <c r="E2581" i="1"/>
  <c r="D2581" i="1"/>
  <c r="F2580" i="1" l="1"/>
  <c r="E2580" i="1"/>
  <c r="D2580" i="1"/>
  <c r="F2579" i="1"/>
  <c r="E2579" i="1"/>
  <c r="D2579" i="1"/>
  <c r="F2578" i="1"/>
  <c r="E2578" i="1"/>
  <c r="D2578" i="1"/>
  <c r="F2577" i="1"/>
  <c r="E2577" i="1"/>
  <c r="D2577" i="1"/>
  <c r="F2576" i="1"/>
  <c r="E2576" i="1"/>
  <c r="D2576" i="1"/>
  <c r="F2575" i="1"/>
  <c r="E2575" i="1"/>
  <c r="D2575" i="1"/>
  <c r="F2574" i="1"/>
  <c r="E2574" i="1"/>
  <c r="D2574" i="1"/>
  <c r="F2573" i="1"/>
  <c r="E2573" i="1"/>
  <c r="D2573" i="1"/>
  <c r="F2572" i="1"/>
  <c r="E2572" i="1"/>
  <c r="D2572" i="1"/>
  <c r="F2571" i="1"/>
  <c r="E2571" i="1"/>
  <c r="D2571" i="1"/>
  <c r="F2570" i="1"/>
  <c r="E2570" i="1"/>
  <c r="D2570" i="1"/>
  <c r="F2569" i="1"/>
  <c r="E2569" i="1"/>
  <c r="D2569" i="1"/>
  <c r="F2568" i="1"/>
  <c r="E2568" i="1"/>
  <c r="D2568" i="1"/>
  <c r="F2567" i="1"/>
  <c r="E2567" i="1"/>
  <c r="D2567" i="1"/>
  <c r="F2566" i="1"/>
  <c r="E2566" i="1"/>
  <c r="D2566" i="1"/>
  <c r="F2565" i="1"/>
  <c r="E2565" i="1"/>
  <c r="D2565" i="1"/>
  <c r="F2564" i="1"/>
  <c r="E2564" i="1"/>
  <c r="D2564" i="1"/>
  <c r="F2563" i="1"/>
  <c r="E2563" i="1"/>
  <c r="D2563" i="1"/>
  <c r="F2562" i="1"/>
  <c r="E2562" i="1"/>
  <c r="D2562" i="1"/>
  <c r="F2561" i="1"/>
  <c r="E2561" i="1"/>
  <c r="D2561" i="1"/>
  <c r="F2560" i="1"/>
  <c r="E2560" i="1"/>
  <c r="D2560" i="1"/>
  <c r="F2559" i="1"/>
  <c r="E2559" i="1"/>
  <c r="D2559" i="1"/>
  <c r="F2558" i="1"/>
  <c r="E2558" i="1"/>
  <c r="D2558" i="1"/>
  <c r="F2557" i="1"/>
  <c r="E2557" i="1"/>
  <c r="D2557" i="1"/>
  <c r="F2556" i="1"/>
  <c r="E2556" i="1"/>
  <c r="D2556" i="1"/>
  <c r="F2555" i="1"/>
  <c r="E2555" i="1"/>
  <c r="D2555" i="1"/>
  <c r="F2554" i="1"/>
  <c r="E2554" i="1"/>
  <c r="D2554" i="1"/>
  <c r="F2553" i="1"/>
  <c r="E2553" i="1"/>
  <c r="D2553" i="1"/>
  <c r="F2552" i="1"/>
  <c r="E2552" i="1"/>
  <c r="D2552" i="1"/>
  <c r="F2551" i="1"/>
  <c r="E2551" i="1"/>
  <c r="D2551" i="1"/>
  <c r="F2550" i="1"/>
  <c r="E2550" i="1"/>
  <c r="D2550" i="1"/>
  <c r="F2549" i="1"/>
  <c r="E2549" i="1"/>
  <c r="D2549" i="1"/>
  <c r="F2548" i="1"/>
  <c r="E2548" i="1"/>
  <c r="D2548" i="1"/>
  <c r="F2547" i="1"/>
  <c r="E2547" i="1"/>
  <c r="D2547" i="1"/>
  <c r="F2546" i="1"/>
  <c r="E2546" i="1"/>
  <c r="D2546" i="1"/>
  <c r="F2545" i="1"/>
  <c r="E2545" i="1"/>
  <c r="D2545" i="1"/>
  <c r="F2544" i="1"/>
  <c r="E2544" i="1"/>
  <c r="D2544" i="1"/>
  <c r="F2543" i="1"/>
  <c r="E2543" i="1"/>
  <c r="D2543" i="1"/>
  <c r="F2542" i="1"/>
  <c r="E2542" i="1"/>
  <c r="D2542" i="1"/>
  <c r="F2541" i="1"/>
  <c r="E2541" i="1"/>
  <c r="D2541" i="1"/>
  <c r="F2540" i="1"/>
  <c r="E2540" i="1"/>
  <c r="D2540" i="1"/>
  <c r="F2539" i="1"/>
  <c r="E2539" i="1"/>
  <c r="D2539" i="1"/>
  <c r="F2538" i="1"/>
  <c r="E2538" i="1"/>
  <c r="D2538" i="1"/>
  <c r="F2537" i="1"/>
  <c r="E2537" i="1"/>
  <c r="D2537" i="1"/>
  <c r="F2536" i="1"/>
  <c r="E2536" i="1"/>
  <c r="D2536" i="1"/>
  <c r="F2535" i="1"/>
  <c r="E2535" i="1"/>
  <c r="D2535" i="1"/>
  <c r="F2534" i="1"/>
  <c r="E2534" i="1"/>
  <c r="D2534" i="1"/>
  <c r="F2533" i="1"/>
  <c r="E2533" i="1"/>
  <c r="D2533" i="1"/>
  <c r="F2532" i="1"/>
  <c r="E2532" i="1"/>
  <c r="D2532" i="1"/>
  <c r="F2531" i="1"/>
  <c r="E2531" i="1"/>
  <c r="D2531" i="1"/>
  <c r="F2530" i="1"/>
  <c r="E2530" i="1"/>
  <c r="D2530" i="1"/>
  <c r="F2529" i="1"/>
  <c r="E2529" i="1"/>
  <c r="D2529" i="1"/>
  <c r="F2528" i="1"/>
  <c r="E2528" i="1"/>
  <c r="D2528" i="1"/>
  <c r="F2527" i="1"/>
  <c r="E2527" i="1"/>
  <c r="D2527" i="1"/>
  <c r="F2526" i="1"/>
  <c r="E2526" i="1"/>
  <c r="D2526" i="1"/>
  <c r="F2525" i="1"/>
  <c r="E2525" i="1"/>
  <c r="D2525" i="1"/>
  <c r="F2524" i="1"/>
  <c r="E2524" i="1"/>
  <c r="D2524" i="1"/>
  <c r="F2523" i="1"/>
  <c r="E2523" i="1"/>
  <c r="D2523" i="1"/>
  <c r="F2522" i="1"/>
  <c r="E2522" i="1"/>
  <c r="D2522" i="1"/>
  <c r="F2521" i="1"/>
  <c r="E2521" i="1"/>
  <c r="D2521" i="1"/>
  <c r="F2520" i="1"/>
  <c r="E2520" i="1"/>
  <c r="D2520" i="1"/>
  <c r="F2519" i="1"/>
  <c r="E2519" i="1"/>
  <c r="D2519" i="1"/>
  <c r="F2518" i="1"/>
  <c r="E2518" i="1"/>
  <c r="D2518" i="1"/>
  <c r="F2517" i="1"/>
  <c r="E2517" i="1"/>
  <c r="D2517" i="1"/>
  <c r="F2516" i="1"/>
  <c r="E2516" i="1"/>
  <c r="D2516" i="1"/>
  <c r="F2515" i="1"/>
  <c r="E2515" i="1"/>
  <c r="D2515" i="1"/>
  <c r="F2514" i="1"/>
  <c r="E2514" i="1"/>
  <c r="D2514" i="1"/>
  <c r="F2513" i="1"/>
  <c r="E2513" i="1"/>
  <c r="D2513" i="1"/>
  <c r="F2512" i="1"/>
  <c r="E2512" i="1"/>
  <c r="D2512" i="1"/>
  <c r="F2511" i="1"/>
  <c r="E2511" i="1"/>
  <c r="D2511" i="1"/>
  <c r="F2510" i="1"/>
  <c r="E2510" i="1"/>
  <c r="D2510" i="1"/>
  <c r="F2509" i="1"/>
  <c r="E2509" i="1"/>
  <c r="D2509" i="1"/>
  <c r="F2508" i="1"/>
  <c r="E2508" i="1"/>
  <c r="D2508" i="1"/>
  <c r="F2507" i="1"/>
  <c r="E2507" i="1"/>
  <c r="D2507" i="1"/>
  <c r="F2506" i="1"/>
  <c r="E2506" i="1"/>
  <c r="D2506" i="1"/>
  <c r="F2505" i="1"/>
  <c r="E2505" i="1"/>
  <c r="D2505" i="1"/>
  <c r="F2504" i="1"/>
  <c r="E2504" i="1"/>
  <c r="D2504" i="1"/>
  <c r="F2503" i="1"/>
  <c r="E2503" i="1"/>
  <c r="D2503" i="1"/>
  <c r="F2502" i="1"/>
  <c r="E2502" i="1"/>
  <c r="D2502" i="1"/>
  <c r="F2501" i="1"/>
  <c r="E2501" i="1"/>
  <c r="D2501" i="1"/>
  <c r="F2500" i="1"/>
  <c r="E2500" i="1"/>
  <c r="D2500" i="1"/>
  <c r="F2499" i="1"/>
  <c r="E2499" i="1"/>
  <c r="D2499" i="1"/>
  <c r="F2498" i="1"/>
  <c r="E2498" i="1"/>
  <c r="D2498" i="1"/>
  <c r="F2497" i="1"/>
  <c r="E2497" i="1"/>
  <c r="D2497" i="1"/>
  <c r="F2496" i="1"/>
  <c r="E2496" i="1"/>
  <c r="D2496" i="1"/>
  <c r="F2495" i="1"/>
  <c r="E2495" i="1"/>
  <c r="D2495" i="1"/>
  <c r="F2494" i="1"/>
  <c r="E2494" i="1"/>
  <c r="D2494" i="1"/>
  <c r="F2493" i="1"/>
  <c r="E2493" i="1"/>
  <c r="D2493" i="1"/>
  <c r="F2492" i="1"/>
  <c r="E2492" i="1"/>
  <c r="D2492" i="1"/>
  <c r="F2491" i="1"/>
  <c r="E2491" i="1"/>
  <c r="D2491" i="1"/>
  <c r="F2490" i="1"/>
  <c r="E2490" i="1"/>
  <c r="D2490" i="1"/>
  <c r="F2489" i="1"/>
  <c r="E2489" i="1"/>
  <c r="D2489" i="1"/>
  <c r="F2488" i="1"/>
  <c r="E2488" i="1"/>
  <c r="D2488" i="1"/>
  <c r="F2487" i="1"/>
  <c r="E2487" i="1"/>
  <c r="D2487" i="1"/>
  <c r="F2486" i="1"/>
  <c r="E2486" i="1"/>
  <c r="D2486" i="1"/>
  <c r="F2485" i="1"/>
  <c r="E2485" i="1"/>
  <c r="D2485" i="1"/>
  <c r="F2484" i="1"/>
  <c r="E2484" i="1"/>
  <c r="D2484" i="1"/>
  <c r="F2483" i="1"/>
  <c r="E2483" i="1"/>
  <c r="D2483" i="1"/>
  <c r="F2482" i="1"/>
  <c r="E2482" i="1"/>
  <c r="D2482" i="1"/>
  <c r="F2481" i="1"/>
  <c r="E2481" i="1"/>
  <c r="D2481" i="1"/>
  <c r="F2480" i="1"/>
  <c r="E2480" i="1"/>
  <c r="D2480" i="1"/>
  <c r="F2479" i="1"/>
  <c r="E2479" i="1"/>
  <c r="D2479" i="1"/>
  <c r="F2478" i="1"/>
  <c r="E2478" i="1"/>
  <c r="D2478" i="1"/>
  <c r="F2477" i="1"/>
  <c r="E2477" i="1"/>
  <c r="D2477" i="1"/>
  <c r="F2476" i="1"/>
  <c r="E2476" i="1"/>
  <c r="D2476" i="1"/>
  <c r="F2475" i="1"/>
  <c r="E2475" i="1"/>
  <c r="D2475" i="1"/>
  <c r="F2474" i="1"/>
  <c r="E2474" i="1"/>
  <c r="D2474" i="1"/>
  <c r="F2473" i="1"/>
  <c r="E2473" i="1"/>
  <c r="D2473" i="1"/>
  <c r="F2472" i="1"/>
  <c r="E2472" i="1"/>
  <c r="D2472" i="1"/>
  <c r="F2471" i="1"/>
  <c r="E2471" i="1"/>
  <c r="D2471" i="1"/>
  <c r="F2470" i="1"/>
  <c r="E2470" i="1"/>
  <c r="D2470" i="1"/>
  <c r="F2469" i="1"/>
  <c r="E2469" i="1"/>
  <c r="D2469" i="1"/>
  <c r="F2468" i="1"/>
  <c r="E2468" i="1"/>
  <c r="D2468" i="1"/>
  <c r="F2467" i="1"/>
  <c r="E2467" i="1"/>
  <c r="D2467" i="1"/>
  <c r="F2466" i="1"/>
  <c r="E2466" i="1"/>
  <c r="D2466" i="1"/>
  <c r="F2465" i="1"/>
  <c r="E2465" i="1"/>
  <c r="D2465" i="1"/>
  <c r="F2464" i="1"/>
  <c r="E2464" i="1"/>
  <c r="D2464" i="1"/>
  <c r="F2463" i="1"/>
  <c r="E2463" i="1"/>
  <c r="D2463" i="1"/>
  <c r="F2462" i="1"/>
  <c r="E2462" i="1"/>
  <c r="D2462" i="1"/>
  <c r="F2461" i="1"/>
  <c r="E2461" i="1"/>
  <c r="D2461" i="1"/>
  <c r="F2460" i="1"/>
  <c r="E2460" i="1"/>
  <c r="D2460" i="1"/>
  <c r="F2459" i="1"/>
  <c r="E2459" i="1"/>
  <c r="D2459" i="1"/>
  <c r="F2458" i="1"/>
  <c r="E2458" i="1"/>
  <c r="D2458" i="1"/>
  <c r="F2457" i="1"/>
  <c r="E2457" i="1"/>
  <c r="D2457" i="1"/>
  <c r="F2456" i="1"/>
  <c r="E2456" i="1"/>
  <c r="D2456" i="1"/>
  <c r="F2455" i="1"/>
  <c r="E2455" i="1"/>
  <c r="D2455" i="1"/>
  <c r="F2454" i="1"/>
  <c r="E2454" i="1"/>
  <c r="D2454" i="1"/>
  <c r="F2453" i="1"/>
  <c r="E2453" i="1"/>
  <c r="D2453" i="1"/>
  <c r="F2452" i="1"/>
  <c r="E2452" i="1"/>
  <c r="D2452" i="1"/>
  <c r="F2451" i="1"/>
  <c r="E2451" i="1"/>
  <c r="D2451" i="1"/>
  <c r="F2450" i="1"/>
  <c r="E2450" i="1"/>
  <c r="D2450" i="1"/>
  <c r="F2449" i="1"/>
  <c r="E2449" i="1"/>
  <c r="D2449" i="1"/>
  <c r="F2448" i="1"/>
  <c r="E2448" i="1"/>
  <c r="D2448" i="1"/>
  <c r="F2447" i="1"/>
  <c r="E2447" i="1"/>
  <c r="D2447" i="1"/>
  <c r="F2446" i="1"/>
  <c r="E2446" i="1"/>
  <c r="D2446" i="1"/>
  <c r="F2445" i="1"/>
  <c r="E2445" i="1"/>
  <c r="D2445" i="1"/>
  <c r="F2444" i="1"/>
  <c r="E2444" i="1"/>
  <c r="D2444" i="1"/>
  <c r="F2443" i="1"/>
  <c r="E2443" i="1"/>
  <c r="D2443" i="1"/>
  <c r="F2442" i="1" l="1"/>
  <c r="E2442" i="1"/>
  <c r="D2442" i="1"/>
  <c r="F2441" i="1"/>
  <c r="E2441" i="1"/>
  <c r="D2441" i="1"/>
  <c r="F2440" i="1"/>
  <c r="E2440" i="1"/>
  <c r="D2440" i="1"/>
  <c r="F2439" i="1"/>
  <c r="E2439" i="1"/>
  <c r="D2439" i="1"/>
  <c r="F2438" i="1"/>
  <c r="E2438" i="1"/>
  <c r="D2438" i="1"/>
  <c r="F2437" i="1"/>
  <c r="E2437" i="1"/>
  <c r="D2437" i="1"/>
  <c r="F2436" i="1"/>
  <c r="E2436" i="1"/>
  <c r="D2436" i="1"/>
  <c r="F2435" i="1"/>
  <c r="E2435" i="1"/>
  <c r="D2435" i="1"/>
  <c r="F2434" i="1"/>
  <c r="E2434" i="1"/>
  <c r="D2434" i="1"/>
  <c r="F2433" i="1"/>
  <c r="E2433" i="1"/>
  <c r="D2433" i="1"/>
  <c r="F2432" i="1"/>
  <c r="E2432" i="1"/>
  <c r="D2432" i="1"/>
  <c r="F2431" i="1"/>
  <c r="E2431" i="1"/>
  <c r="D2431" i="1"/>
  <c r="F2430" i="1"/>
  <c r="E2430" i="1"/>
  <c r="D2430" i="1"/>
  <c r="F2429" i="1"/>
  <c r="E2429" i="1"/>
  <c r="D2429" i="1"/>
  <c r="F2428" i="1"/>
  <c r="E2428" i="1"/>
  <c r="D2428" i="1"/>
  <c r="F2427" i="1"/>
  <c r="E2427" i="1"/>
  <c r="D2427" i="1"/>
  <c r="F2426" i="1"/>
  <c r="E2426" i="1"/>
  <c r="D2426" i="1"/>
  <c r="F2425" i="1"/>
  <c r="E2425" i="1"/>
  <c r="D2425" i="1"/>
  <c r="F2424" i="1"/>
  <c r="E2424" i="1"/>
  <c r="D2424" i="1"/>
  <c r="F2423" i="1"/>
  <c r="E2423" i="1"/>
  <c r="D2423" i="1"/>
  <c r="F2422" i="1"/>
  <c r="E2422" i="1"/>
  <c r="D2422" i="1"/>
  <c r="F2421" i="1"/>
  <c r="E2421" i="1"/>
  <c r="D2421" i="1"/>
  <c r="F2420" i="1"/>
  <c r="E2420" i="1"/>
  <c r="D2420" i="1"/>
  <c r="F2419" i="1"/>
  <c r="E2419" i="1"/>
  <c r="D2419" i="1"/>
  <c r="F2418" i="1"/>
  <c r="E2418" i="1"/>
  <c r="D2418" i="1"/>
  <c r="F2417" i="1"/>
  <c r="E2417" i="1"/>
  <c r="D2417" i="1"/>
  <c r="F2416" i="1"/>
  <c r="E2416" i="1"/>
  <c r="D2416" i="1"/>
  <c r="F2415" i="1"/>
  <c r="E2415" i="1"/>
  <c r="D2415" i="1"/>
  <c r="F2414" i="1"/>
  <c r="E2414" i="1"/>
  <c r="D2414" i="1"/>
  <c r="F2413" i="1"/>
  <c r="E2413" i="1"/>
  <c r="D2413" i="1"/>
  <c r="F2412" i="1"/>
  <c r="E2412" i="1"/>
  <c r="D2412" i="1"/>
  <c r="F2411" i="1"/>
  <c r="E2411" i="1"/>
  <c r="D2411" i="1"/>
  <c r="F2410" i="1"/>
  <c r="E2410" i="1"/>
  <c r="D2410" i="1"/>
  <c r="F2409" i="1"/>
  <c r="E2409" i="1"/>
  <c r="D2409" i="1"/>
  <c r="F2408" i="1"/>
  <c r="E2408" i="1"/>
  <c r="D2408" i="1"/>
  <c r="F2407" i="1"/>
  <c r="E2407" i="1"/>
  <c r="D2407" i="1"/>
  <c r="F2406" i="1"/>
  <c r="E2406" i="1"/>
  <c r="D2406" i="1"/>
  <c r="F2405" i="1"/>
  <c r="E2405" i="1"/>
  <c r="D2405" i="1"/>
  <c r="F2404" i="1"/>
  <c r="E2404" i="1"/>
  <c r="D2404" i="1"/>
  <c r="F2403" i="1"/>
  <c r="E2403" i="1"/>
  <c r="D2403" i="1"/>
  <c r="F2402" i="1"/>
  <c r="E2402" i="1"/>
  <c r="D2402" i="1"/>
  <c r="F2401" i="1"/>
  <c r="E2401" i="1"/>
  <c r="D2401" i="1"/>
  <c r="F2400" i="1"/>
  <c r="E2400" i="1"/>
  <c r="D2400" i="1"/>
  <c r="F2399" i="1"/>
  <c r="E2399" i="1"/>
  <c r="D2399" i="1"/>
  <c r="F2398" i="1"/>
  <c r="E2398" i="1"/>
  <c r="D2398" i="1"/>
  <c r="F2397" i="1"/>
  <c r="E2397" i="1"/>
  <c r="D2397" i="1"/>
  <c r="F2396" i="1"/>
  <c r="E2396" i="1"/>
  <c r="D2396" i="1"/>
  <c r="F2395" i="1"/>
  <c r="E2395" i="1"/>
  <c r="D2395" i="1"/>
  <c r="F2394" i="1"/>
  <c r="E2394" i="1"/>
  <c r="D2394" i="1"/>
  <c r="F2393" i="1"/>
  <c r="E2393" i="1"/>
  <c r="D2393" i="1"/>
  <c r="F2392" i="1"/>
  <c r="E2392" i="1"/>
  <c r="D2392" i="1"/>
  <c r="F2391" i="1"/>
  <c r="E2391" i="1"/>
  <c r="D2391" i="1"/>
  <c r="F2390" i="1"/>
  <c r="E2390" i="1"/>
  <c r="D2390" i="1"/>
  <c r="F2389" i="1"/>
  <c r="E2389" i="1"/>
  <c r="D2389" i="1"/>
  <c r="F2388" i="1"/>
  <c r="E2388" i="1"/>
  <c r="D2388" i="1"/>
  <c r="F2387" i="1"/>
  <c r="E2387" i="1"/>
  <c r="D2387" i="1"/>
  <c r="F2386" i="1"/>
  <c r="E2386" i="1"/>
  <c r="D2386" i="1"/>
  <c r="F2385" i="1"/>
  <c r="E2385" i="1"/>
  <c r="D2385" i="1"/>
  <c r="F2384" i="1"/>
  <c r="E2384" i="1"/>
  <c r="D2384" i="1"/>
  <c r="F2383" i="1"/>
  <c r="E2383" i="1"/>
  <c r="D2383" i="1"/>
  <c r="F2382" i="1"/>
  <c r="E2382" i="1"/>
  <c r="D2382" i="1"/>
  <c r="F2381" i="1"/>
  <c r="E2381" i="1"/>
  <c r="D2381" i="1"/>
  <c r="F2380" i="1"/>
  <c r="E2380" i="1"/>
  <c r="D2380" i="1"/>
  <c r="F2379" i="1"/>
  <c r="E2379" i="1"/>
  <c r="D2379" i="1"/>
  <c r="F2378" i="1"/>
  <c r="E2378" i="1"/>
  <c r="D2378" i="1"/>
  <c r="F2377" i="1"/>
  <c r="E2377" i="1"/>
  <c r="D2377" i="1"/>
  <c r="F2376" i="1"/>
  <c r="E2376" i="1"/>
  <c r="D2376" i="1"/>
  <c r="F2375" i="1"/>
  <c r="E2375" i="1"/>
  <c r="D2375" i="1"/>
  <c r="F2374" i="1"/>
  <c r="E2374" i="1"/>
  <c r="D2374" i="1"/>
  <c r="F2373" i="1"/>
  <c r="E2373" i="1"/>
  <c r="D2373" i="1"/>
  <c r="F2372" i="1"/>
  <c r="E2372" i="1"/>
  <c r="D2372" i="1"/>
  <c r="F2371" i="1"/>
  <c r="E2371" i="1"/>
  <c r="D2371" i="1"/>
  <c r="F2370" i="1"/>
  <c r="E2370" i="1"/>
  <c r="D2370" i="1"/>
  <c r="D2369" i="1"/>
  <c r="E2369" i="1"/>
  <c r="F2369" i="1"/>
  <c r="F2368" i="1"/>
  <c r="E2368" i="1"/>
  <c r="D2368" i="1"/>
  <c r="F2367" i="1"/>
  <c r="E2367" i="1"/>
  <c r="D2367" i="1"/>
  <c r="F2366" i="1"/>
  <c r="E2366" i="1"/>
  <c r="D2366" i="1"/>
  <c r="F2365" i="1"/>
  <c r="E2365" i="1"/>
  <c r="D2365" i="1"/>
  <c r="F2364" i="1"/>
  <c r="E2364" i="1"/>
  <c r="D2364" i="1"/>
  <c r="F2363" i="1"/>
  <c r="E2363" i="1"/>
  <c r="D2363" i="1"/>
  <c r="F2362" i="1"/>
  <c r="E2362" i="1"/>
  <c r="D2362" i="1"/>
  <c r="F2361" i="1"/>
  <c r="E2361" i="1"/>
  <c r="D2361" i="1"/>
  <c r="F2360" i="1"/>
  <c r="E2360" i="1"/>
  <c r="D2360" i="1"/>
  <c r="F2359" i="1"/>
  <c r="E2359" i="1"/>
  <c r="D2359" i="1"/>
  <c r="F2358" i="1"/>
  <c r="E2358" i="1"/>
  <c r="D2358" i="1"/>
  <c r="F2357" i="1"/>
  <c r="E2357" i="1"/>
  <c r="D2357" i="1"/>
  <c r="F2356" i="1"/>
  <c r="E2356" i="1"/>
  <c r="D2356" i="1"/>
  <c r="F2355" i="1"/>
  <c r="E2355" i="1"/>
  <c r="D2355" i="1"/>
  <c r="F2354" i="1"/>
  <c r="E2354" i="1"/>
  <c r="D2354" i="1"/>
  <c r="F2353" i="1"/>
  <c r="E2353" i="1"/>
  <c r="D2353" i="1"/>
  <c r="F2352" i="1"/>
  <c r="E2352" i="1"/>
  <c r="D2352" i="1"/>
  <c r="F2351" i="1"/>
  <c r="E2351" i="1"/>
  <c r="D2351" i="1"/>
  <c r="F2350" i="1"/>
  <c r="E2350" i="1"/>
  <c r="D2350" i="1"/>
  <c r="F2349" i="1"/>
  <c r="E2349" i="1"/>
  <c r="D2349" i="1"/>
  <c r="F2348" i="1"/>
  <c r="E2348" i="1"/>
  <c r="D2348" i="1"/>
  <c r="F2347" i="1"/>
  <c r="E2347" i="1"/>
  <c r="D2347" i="1"/>
  <c r="F2346" i="1"/>
  <c r="E2346" i="1"/>
  <c r="D2346" i="1"/>
  <c r="F2345" i="1"/>
  <c r="E2345" i="1"/>
  <c r="D2345" i="1"/>
  <c r="F2344" i="1"/>
  <c r="E2344" i="1"/>
  <c r="D2344" i="1"/>
  <c r="F2343" i="1"/>
  <c r="E2343" i="1"/>
  <c r="D2343" i="1"/>
  <c r="F2342" i="1"/>
  <c r="E2342" i="1"/>
  <c r="D2342" i="1"/>
  <c r="F2341" i="1"/>
  <c r="E2341" i="1"/>
  <c r="D2341" i="1"/>
  <c r="F2340" i="1"/>
  <c r="E2340" i="1"/>
  <c r="D2340" i="1"/>
  <c r="F2339" i="1"/>
  <c r="E2339" i="1"/>
  <c r="D2339" i="1"/>
  <c r="F2338" i="1"/>
  <c r="E2338" i="1"/>
  <c r="D2338" i="1"/>
  <c r="F2337" i="1"/>
  <c r="E2337" i="1"/>
  <c r="D2337" i="1"/>
  <c r="F2336" i="1"/>
  <c r="E2336" i="1"/>
  <c r="D2336" i="1"/>
  <c r="F2335" i="1"/>
  <c r="E2335" i="1"/>
  <c r="D2335" i="1"/>
  <c r="F2334" i="1"/>
  <c r="E2334" i="1"/>
  <c r="D2334" i="1"/>
  <c r="F2333" i="1"/>
  <c r="E2333" i="1"/>
  <c r="D2333" i="1"/>
  <c r="F2332" i="1"/>
  <c r="E2332" i="1"/>
  <c r="D2332" i="1"/>
  <c r="F2331" i="1"/>
  <c r="E2331" i="1"/>
  <c r="D2331" i="1"/>
  <c r="F2330" i="1"/>
  <c r="E2330" i="1"/>
  <c r="D2330" i="1"/>
  <c r="F2329" i="1"/>
  <c r="E2329" i="1"/>
  <c r="D2329" i="1"/>
  <c r="F2328" i="1"/>
  <c r="E2328" i="1"/>
  <c r="D2328" i="1"/>
  <c r="F2327" i="1"/>
  <c r="E2327" i="1"/>
  <c r="D2327" i="1"/>
  <c r="F2326" i="1"/>
  <c r="E2326" i="1"/>
  <c r="D2326" i="1"/>
  <c r="F2325" i="1"/>
  <c r="E2325" i="1"/>
  <c r="D2325" i="1"/>
  <c r="F2324" i="1"/>
  <c r="E2324" i="1"/>
  <c r="D2324" i="1"/>
  <c r="F2323" i="1"/>
  <c r="E2323" i="1"/>
  <c r="D2323" i="1"/>
  <c r="F2322" i="1"/>
  <c r="E2322" i="1"/>
  <c r="D2322" i="1"/>
  <c r="F2321" i="1"/>
  <c r="E2321" i="1"/>
  <c r="D2321" i="1"/>
  <c r="F2320" i="1"/>
  <c r="E2320" i="1"/>
  <c r="D2320" i="1"/>
  <c r="F2319" i="1"/>
  <c r="E2319" i="1"/>
  <c r="D2319" i="1"/>
  <c r="F2318" i="1"/>
  <c r="E2318" i="1"/>
  <c r="D2318" i="1"/>
  <c r="F2317" i="1"/>
  <c r="E2317" i="1"/>
  <c r="D2317" i="1"/>
  <c r="F2316" i="1"/>
  <c r="E2316" i="1"/>
  <c r="D2316" i="1"/>
  <c r="F2315" i="1"/>
  <c r="E2315" i="1"/>
  <c r="D2315" i="1"/>
  <c r="F2314" i="1"/>
  <c r="E2314" i="1"/>
  <c r="D2314" i="1"/>
  <c r="F2313" i="1"/>
  <c r="E2313" i="1"/>
  <c r="D2313" i="1"/>
  <c r="D2312" i="1"/>
  <c r="F2312" i="1"/>
  <c r="E2312" i="1"/>
  <c r="F2311" i="1"/>
  <c r="E2311" i="1"/>
  <c r="D2311" i="1"/>
  <c r="F2310" i="1"/>
  <c r="E2310" i="1"/>
  <c r="D2310" i="1"/>
  <c r="F2309" i="1"/>
  <c r="E2309" i="1"/>
  <c r="D2309" i="1"/>
  <c r="F2308" i="1"/>
  <c r="E2308" i="1"/>
  <c r="D2308" i="1"/>
  <c r="F2307" i="1"/>
  <c r="E2307" i="1"/>
  <c r="D2307" i="1"/>
  <c r="F2306" i="1"/>
  <c r="E2306" i="1"/>
  <c r="D2306" i="1"/>
  <c r="F2305" i="1"/>
  <c r="E2305" i="1"/>
  <c r="D2305" i="1"/>
  <c r="F2304" i="1"/>
  <c r="E2304" i="1"/>
  <c r="D2304" i="1"/>
  <c r="F2303" i="1"/>
  <c r="E2303" i="1"/>
  <c r="D2303" i="1"/>
  <c r="F2302" i="1"/>
  <c r="E2302" i="1"/>
  <c r="D2302" i="1"/>
  <c r="F2301" i="1"/>
  <c r="E2301" i="1"/>
  <c r="D2301" i="1"/>
  <c r="F2300" i="1"/>
  <c r="E2300" i="1"/>
  <c r="D2300" i="1"/>
  <c r="F2299" i="1"/>
  <c r="E2299" i="1"/>
  <c r="D2299" i="1"/>
  <c r="F2298" i="1"/>
  <c r="E2298" i="1"/>
  <c r="D2298" i="1"/>
  <c r="F2297" i="1"/>
  <c r="E2297" i="1"/>
  <c r="D2297" i="1"/>
  <c r="F2296" i="1"/>
  <c r="E2296" i="1"/>
  <c r="D2296" i="1"/>
  <c r="F2295" i="1"/>
  <c r="E2295" i="1"/>
  <c r="D2295" i="1"/>
  <c r="F2294" i="1"/>
  <c r="E2294" i="1"/>
  <c r="D2294" i="1"/>
  <c r="F2293" i="1"/>
  <c r="E2293" i="1"/>
  <c r="D2293" i="1"/>
  <c r="F2292" i="1"/>
  <c r="E2292" i="1"/>
  <c r="D2292" i="1"/>
  <c r="F2291" i="1"/>
  <c r="E2291" i="1"/>
  <c r="D2291" i="1"/>
  <c r="F2290" i="1"/>
  <c r="E2290" i="1"/>
  <c r="D2290" i="1"/>
  <c r="F2289" i="1"/>
  <c r="E2289" i="1"/>
  <c r="D2289" i="1"/>
  <c r="F2288" i="1"/>
  <c r="E2288" i="1"/>
  <c r="D2288" i="1"/>
  <c r="F2287" i="1"/>
  <c r="E2287" i="1"/>
  <c r="D2287" i="1"/>
  <c r="F2286" i="1"/>
  <c r="E2286" i="1"/>
  <c r="D2286" i="1"/>
  <c r="F2285" i="1"/>
  <c r="E2285" i="1"/>
  <c r="D2285" i="1"/>
  <c r="F2284" i="1"/>
  <c r="E2284" i="1"/>
  <c r="D2284" i="1"/>
  <c r="F2283" i="1"/>
  <c r="E2283" i="1"/>
  <c r="D2283" i="1"/>
  <c r="F2282" i="1"/>
  <c r="E2282" i="1"/>
  <c r="D2282" i="1"/>
  <c r="F2281" i="1"/>
  <c r="E2281" i="1"/>
  <c r="D2281" i="1"/>
  <c r="F2280" i="1"/>
  <c r="E2280" i="1"/>
  <c r="D2280" i="1"/>
  <c r="F2279" i="1"/>
  <c r="E2279" i="1"/>
  <c r="D2279" i="1"/>
  <c r="F2278" i="1"/>
  <c r="E2278" i="1"/>
  <c r="D2278" i="1"/>
  <c r="F2277" i="1"/>
  <c r="E2277" i="1"/>
  <c r="D2277" i="1"/>
  <c r="F2276" i="1"/>
  <c r="E2276" i="1"/>
  <c r="D2276" i="1"/>
  <c r="F2275" i="1"/>
  <c r="E2275" i="1"/>
  <c r="D2275" i="1"/>
  <c r="F2274" i="1"/>
  <c r="E2274" i="1"/>
  <c r="D2274" i="1"/>
  <c r="F2273" i="1"/>
  <c r="E2273" i="1"/>
  <c r="D2273" i="1"/>
  <c r="F2272" i="1"/>
  <c r="E2272" i="1"/>
  <c r="D2272" i="1"/>
  <c r="F2271" i="1"/>
  <c r="E2271" i="1"/>
  <c r="D2271" i="1"/>
  <c r="F2270" i="1"/>
  <c r="E2270" i="1"/>
  <c r="D2270" i="1"/>
  <c r="F2269" i="1"/>
  <c r="E2269" i="1"/>
  <c r="D2269" i="1"/>
  <c r="F2268" i="1"/>
  <c r="E2268" i="1"/>
  <c r="D2268" i="1"/>
  <c r="F2267" i="1"/>
  <c r="E2267" i="1"/>
  <c r="D2267" i="1"/>
  <c r="F2266" i="1"/>
  <c r="E2266" i="1"/>
  <c r="D2266" i="1"/>
  <c r="F2265" i="1"/>
  <c r="E2265" i="1"/>
  <c r="D2265" i="1"/>
  <c r="F2264" i="1"/>
  <c r="E2264" i="1"/>
  <c r="D2264" i="1"/>
  <c r="F2263" i="1"/>
  <c r="E2263" i="1"/>
  <c r="D2263" i="1"/>
  <c r="F2262" i="1"/>
  <c r="E2262" i="1"/>
  <c r="D2262" i="1"/>
  <c r="F2261" i="1"/>
  <c r="E2261" i="1"/>
  <c r="D2261" i="1"/>
  <c r="F2260" i="1"/>
  <c r="E2260" i="1"/>
  <c r="D2260" i="1"/>
  <c r="F2259" i="1"/>
  <c r="E2259" i="1"/>
  <c r="D2259" i="1"/>
  <c r="F2258" i="1"/>
  <c r="E2258" i="1"/>
  <c r="D2258" i="1"/>
  <c r="F2257" i="1"/>
  <c r="E2257" i="1"/>
  <c r="D2257" i="1"/>
  <c r="F2256" i="1"/>
  <c r="E2256" i="1"/>
  <c r="D2256" i="1"/>
  <c r="F2255" i="1"/>
  <c r="E2255" i="1"/>
  <c r="D2255" i="1"/>
  <c r="F2254" i="1"/>
  <c r="E2254" i="1"/>
  <c r="D2254" i="1"/>
  <c r="F2253" i="1"/>
  <c r="E2253" i="1"/>
  <c r="D2253" i="1"/>
  <c r="F2252" i="1"/>
  <c r="E2252" i="1"/>
  <c r="D2252" i="1"/>
  <c r="F2251" i="1"/>
  <c r="E2251" i="1"/>
  <c r="D2251" i="1"/>
  <c r="F2250" i="1"/>
  <c r="E2250" i="1"/>
  <c r="D2250" i="1"/>
  <c r="F2249" i="1"/>
  <c r="E2249" i="1"/>
  <c r="D2249" i="1"/>
  <c r="F2248" i="1"/>
  <c r="E2248" i="1"/>
  <c r="D2248" i="1"/>
  <c r="F2247" i="1"/>
  <c r="E2247" i="1"/>
  <c r="D2247" i="1"/>
  <c r="F2246" i="1"/>
  <c r="E2246" i="1"/>
  <c r="D2246" i="1"/>
  <c r="F2245" i="1"/>
  <c r="E2245" i="1"/>
  <c r="D2245" i="1"/>
  <c r="F2244" i="1"/>
  <c r="E2244" i="1"/>
  <c r="D2244" i="1"/>
  <c r="F2243" i="1"/>
  <c r="E2243" i="1"/>
  <c r="D2243" i="1"/>
  <c r="F2242" i="1"/>
  <c r="E2242" i="1"/>
  <c r="D2242" i="1"/>
  <c r="F2241" i="1"/>
  <c r="E2241" i="1"/>
  <c r="D2241" i="1"/>
  <c r="F2240" i="1"/>
  <c r="E2240" i="1"/>
  <c r="D2240" i="1"/>
  <c r="F2239" i="1"/>
  <c r="E2239" i="1"/>
  <c r="D2239" i="1"/>
  <c r="F2238" i="1"/>
  <c r="E2238" i="1"/>
  <c r="D2238" i="1"/>
  <c r="F2237" i="1"/>
  <c r="E2237" i="1"/>
  <c r="D2237" i="1"/>
  <c r="F2236" i="1"/>
  <c r="E2236" i="1"/>
  <c r="D2236" i="1"/>
  <c r="F2235" i="1"/>
  <c r="E2235" i="1"/>
  <c r="D2235" i="1"/>
  <c r="F2234" i="1"/>
  <c r="E2234" i="1"/>
  <c r="D2234" i="1"/>
  <c r="F2233" i="1"/>
  <c r="E2233" i="1"/>
  <c r="D2233" i="1"/>
  <c r="F2232" i="1"/>
  <c r="E2232" i="1"/>
  <c r="D2232" i="1"/>
  <c r="F2231" i="1"/>
  <c r="E2231" i="1"/>
  <c r="D2231" i="1"/>
  <c r="F2230" i="1"/>
  <c r="E2230" i="1"/>
  <c r="D2230" i="1"/>
  <c r="F2229" i="1"/>
  <c r="E2229" i="1"/>
  <c r="D2229" i="1"/>
  <c r="F2228" i="1"/>
  <c r="E2228" i="1"/>
  <c r="D2228" i="1"/>
  <c r="F2227" i="1"/>
  <c r="E2227" i="1"/>
  <c r="D2227" i="1"/>
  <c r="F2226" i="1"/>
  <c r="E2226" i="1"/>
  <c r="D2226" i="1"/>
  <c r="F2225" i="1"/>
  <c r="E2225" i="1"/>
  <c r="D2225" i="1"/>
  <c r="F2224" i="1"/>
  <c r="E2224" i="1"/>
  <c r="D2224" i="1"/>
  <c r="F2223" i="1"/>
  <c r="E2223" i="1"/>
  <c r="D2223" i="1"/>
  <c r="F2222" i="1"/>
  <c r="E2222" i="1"/>
  <c r="D2222" i="1"/>
  <c r="F2221" i="1"/>
  <c r="E2221" i="1"/>
  <c r="D2221" i="1"/>
  <c r="F2220" i="1"/>
  <c r="E2220" i="1"/>
  <c r="D2220" i="1"/>
  <c r="F2219" i="1"/>
  <c r="E2219" i="1"/>
  <c r="D2219" i="1"/>
  <c r="F2218" i="1"/>
  <c r="E2218" i="1"/>
  <c r="D2218" i="1"/>
  <c r="D2217" i="1"/>
  <c r="E2217" i="1"/>
  <c r="F2217" i="1"/>
  <c r="F2216" i="1"/>
  <c r="E2216" i="1"/>
  <c r="D2216" i="1"/>
  <c r="F2215" i="1"/>
  <c r="E2215" i="1"/>
  <c r="D2215" i="1"/>
  <c r="F2214" i="1"/>
  <c r="E2214" i="1"/>
  <c r="D2214" i="1"/>
  <c r="F2213" i="1"/>
  <c r="E2213" i="1"/>
  <c r="D2213" i="1"/>
  <c r="F2212" i="1"/>
  <c r="E2212" i="1"/>
  <c r="D2212" i="1"/>
  <c r="F2211" i="1"/>
  <c r="E2211" i="1"/>
  <c r="D2211" i="1"/>
  <c r="F2210" i="1"/>
  <c r="E2210" i="1"/>
  <c r="D2210" i="1"/>
  <c r="F2209" i="1"/>
  <c r="E2209" i="1"/>
  <c r="D2209" i="1"/>
  <c r="F2208" i="1"/>
  <c r="E2208" i="1"/>
  <c r="D2208" i="1"/>
  <c r="F2207" i="1"/>
  <c r="E2207" i="1"/>
  <c r="D2207" i="1"/>
  <c r="F2206" i="1"/>
  <c r="E2206" i="1"/>
  <c r="D2206" i="1"/>
  <c r="F2205" i="1"/>
  <c r="E2205" i="1"/>
  <c r="D2205" i="1"/>
  <c r="F2204" i="1"/>
  <c r="E2204" i="1"/>
  <c r="D2204" i="1"/>
  <c r="F2203" i="1"/>
  <c r="E2203" i="1"/>
  <c r="D2203" i="1"/>
  <c r="F2202" i="1"/>
  <c r="E2202" i="1"/>
  <c r="D2202" i="1"/>
  <c r="F2201" i="1"/>
  <c r="E2201" i="1"/>
  <c r="D2201" i="1"/>
  <c r="F2200" i="1"/>
  <c r="E2200" i="1"/>
  <c r="D2200" i="1"/>
  <c r="F2199" i="1"/>
  <c r="E2199" i="1"/>
  <c r="D2199" i="1"/>
  <c r="F2198" i="1"/>
  <c r="E2198" i="1"/>
  <c r="D2198" i="1"/>
  <c r="F2197" i="1"/>
  <c r="E2197" i="1"/>
  <c r="D2197" i="1"/>
  <c r="F2196" i="1"/>
  <c r="E2196" i="1"/>
  <c r="D2196" i="1"/>
  <c r="F2195" i="1"/>
  <c r="E2195" i="1"/>
  <c r="D2195" i="1"/>
  <c r="F2194" i="1"/>
  <c r="E2194" i="1"/>
  <c r="D2194" i="1"/>
  <c r="F2193" i="1"/>
  <c r="E2193" i="1"/>
  <c r="D2193" i="1"/>
  <c r="F2192" i="1"/>
  <c r="E2192" i="1"/>
  <c r="D2192" i="1"/>
  <c r="F2191" i="1"/>
  <c r="E2191" i="1"/>
  <c r="D2191" i="1"/>
  <c r="F2190" i="1"/>
  <c r="E2190" i="1"/>
  <c r="D2190" i="1"/>
  <c r="F2189" i="1"/>
  <c r="E2189" i="1"/>
  <c r="D2189" i="1"/>
  <c r="F2188" i="1"/>
  <c r="E2188" i="1"/>
  <c r="D2188" i="1"/>
  <c r="F2187" i="1"/>
  <c r="E2187" i="1"/>
  <c r="D2187" i="1"/>
  <c r="F2186" i="1"/>
  <c r="E2186" i="1"/>
  <c r="D2186" i="1"/>
  <c r="F2185" i="1"/>
  <c r="E2185" i="1"/>
  <c r="D2185" i="1"/>
  <c r="F2184" i="1"/>
  <c r="E2184" i="1"/>
  <c r="D2184" i="1"/>
  <c r="F2183" i="1"/>
  <c r="E2183" i="1"/>
  <c r="D2183" i="1"/>
  <c r="F2182" i="1"/>
  <c r="E2182" i="1"/>
  <c r="D2182" i="1"/>
  <c r="F2181" i="1"/>
  <c r="E2181" i="1"/>
  <c r="D2181" i="1"/>
  <c r="F2180" i="1"/>
  <c r="E2180" i="1"/>
  <c r="D2180" i="1"/>
  <c r="F2179" i="1"/>
  <c r="E2179" i="1"/>
  <c r="D2179" i="1"/>
  <c r="F2178" i="1"/>
  <c r="E2178" i="1"/>
  <c r="D2178" i="1"/>
  <c r="F2177" i="1"/>
  <c r="E2177" i="1"/>
  <c r="D2177" i="1"/>
  <c r="F2176" i="1"/>
  <c r="E2176" i="1"/>
  <c r="D2176" i="1"/>
  <c r="F2175" i="1"/>
  <c r="E2175" i="1"/>
  <c r="D2175" i="1"/>
  <c r="F2174" i="1"/>
  <c r="E2174" i="1"/>
  <c r="D2174" i="1"/>
  <c r="F2173" i="1"/>
  <c r="E2173" i="1"/>
  <c r="D2173" i="1"/>
  <c r="F2172" i="1"/>
  <c r="E2172" i="1"/>
  <c r="D2172" i="1"/>
  <c r="F2171" i="1"/>
  <c r="E2171" i="1"/>
  <c r="D2171" i="1"/>
  <c r="F2170" i="1"/>
  <c r="E2170" i="1"/>
  <c r="D2170" i="1"/>
  <c r="F2169" i="1"/>
  <c r="E2169" i="1"/>
  <c r="D2169" i="1"/>
  <c r="F2168" i="1"/>
  <c r="E2168" i="1"/>
  <c r="D2168" i="1"/>
  <c r="F2167" i="1"/>
  <c r="E2167" i="1"/>
  <c r="D2167" i="1"/>
  <c r="F2166" i="1"/>
  <c r="E2166" i="1"/>
  <c r="D2166" i="1"/>
  <c r="F2165" i="1"/>
  <c r="E2165" i="1"/>
  <c r="D2165" i="1"/>
  <c r="F2164" i="1"/>
  <c r="E2164" i="1"/>
  <c r="D2164" i="1"/>
  <c r="F2163" i="1"/>
  <c r="E2163" i="1"/>
  <c r="D2163" i="1"/>
  <c r="F2162" i="1"/>
  <c r="E2162" i="1"/>
  <c r="D2162" i="1"/>
  <c r="F2161" i="1"/>
  <c r="E2161" i="1"/>
  <c r="D2161" i="1"/>
  <c r="F2160" i="1"/>
  <c r="E2160" i="1"/>
  <c r="D2160" i="1"/>
  <c r="F2159" i="1"/>
  <c r="E2159" i="1"/>
  <c r="D2159" i="1"/>
  <c r="F2158" i="1"/>
  <c r="E2158" i="1"/>
  <c r="D2158" i="1"/>
  <c r="F2157" i="1"/>
  <c r="E2157" i="1"/>
  <c r="D2157" i="1"/>
  <c r="D2156" i="1"/>
  <c r="E2156" i="1"/>
  <c r="F2156" i="1"/>
  <c r="F2155" i="1"/>
  <c r="E2155" i="1"/>
  <c r="D2155" i="1"/>
  <c r="F2154" i="1"/>
  <c r="E2154" i="1"/>
  <c r="D2154" i="1"/>
  <c r="F2153" i="1"/>
  <c r="E2153" i="1"/>
  <c r="D2153" i="1"/>
  <c r="F2152" i="1"/>
  <c r="E2152" i="1"/>
  <c r="D2152" i="1"/>
  <c r="F2151" i="1"/>
  <c r="E2151" i="1"/>
  <c r="D2151" i="1"/>
  <c r="F2150" i="1"/>
  <c r="E2150" i="1"/>
  <c r="D2150" i="1"/>
  <c r="F2149" i="1"/>
  <c r="E2149" i="1"/>
  <c r="D2149" i="1"/>
  <c r="F2148" i="1"/>
  <c r="E2148" i="1"/>
  <c r="D2148" i="1"/>
  <c r="F2147" i="1"/>
  <c r="E2147" i="1"/>
  <c r="D2147" i="1"/>
  <c r="F2146" i="1"/>
  <c r="E2146" i="1"/>
  <c r="D2146" i="1"/>
  <c r="F2145" i="1"/>
  <c r="E2145" i="1"/>
  <c r="D2145" i="1"/>
  <c r="F2144" i="1"/>
  <c r="E2144" i="1"/>
  <c r="D2144" i="1"/>
  <c r="F2143" i="1"/>
  <c r="E2143" i="1"/>
  <c r="D2143" i="1"/>
  <c r="F2142" i="1"/>
  <c r="E2142" i="1"/>
  <c r="D2142" i="1"/>
  <c r="F2141" i="1"/>
  <c r="E2141" i="1"/>
  <c r="D2141" i="1"/>
  <c r="F2140" i="1"/>
  <c r="E2140" i="1"/>
  <c r="D2140" i="1"/>
  <c r="F2139" i="1"/>
  <c r="E2139" i="1"/>
  <c r="D2139" i="1"/>
  <c r="F2138" i="1"/>
  <c r="E2138" i="1"/>
  <c r="D2138" i="1"/>
  <c r="F2137" i="1"/>
  <c r="E2137" i="1"/>
  <c r="D2137" i="1"/>
  <c r="F2136" i="1"/>
  <c r="E2136" i="1"/>
  <c r="D2136" i="1"/>
  <c r="F2135" i="1"/>
  <c r="E2135" i="1"/>
  <c r="D2135" i="1"/>
  <c r="F2134" i="1"/>
  <c r="E2134" i="1"/>
  <c r="D2134" i="1"/>
  <c r="F2133" i="1"/>
  <c r="E2133" i="1"/>
  <c r="D2133" i="1"/>
  <c r="F2132" i="1"/>
  <c r="E2132" i="1"/>
  <c r="D2132" i="1"/>
  <c r="F2131" i="1"/>
  <c r="E2131" i="1"/>
  <c r="D2131" i="1"/>
  <c r="F2130" i="1"/>
  <c r="E2130" i="1"/>
  <c r="D2130" i="1"/>
  <c r="F2129" i="1"/>
  <c r="E2129" i="1"/>
  <c r="D2129" i="1"/>
  <c r="F2128" i="1"/>
  <c r="E2128" i="1"/>
  <c r="D2128" i="1"/>
  <c r="F2127" i="1"/>
  <c r="E2127" i="1"/>
  <c r="D2127" i="1"/>
  <c r="F2126" i="1"/>
  <c r="E2126" i="1"/>
  <c r="D2126" i="1"/>
  <c r="F2125" i="1"/>
  <c r="E2125" i="1"/>
  <c r="D2125" i="1"/>
  <c r="F2124" i="1"/>
  <c r="E2124" i="1"/>
  <c r="D2124" i="1"/>
  <c r="F2123" i="1"/>
  <c r="E2123" i="1"/>
  <c r="D2123" i="1"/>
  <c r="F2122" i="1"/>
  <c r="E2122" i="1"/>
  <c r="D2122" i="1"/>
  <c r="F2121" i="1"/>
  <c r="E2121" i="1"/>
  <c r="D2121" i="1"/>
  <c r="F2120" i="1"/>
  <c r="E2120" i="1"/>
  <c r="D2120" i="1"/>
  <c r="F2119" i="1"/>
  <c r="E2119" i="1"/>
  <c r="D2119" i="1"/>
  <c r="F2118" i="1"/>
  <c r="E2118" i="1"/>
  <c r="D2118" i="1"/>
  <c r="F2117" i="1"/>
  <c r="E2117" i="1"/>
  <c r="D2117" i="1"/>
  <c r="F2116" i="1"/>
  <c r="E2116" i="1"/>
  <c r="D2116" i="1"/>
  <c r="F2115" i="1"/>
  <c r="E2115" i="1"/>
  <c r="D2115" i="1"/>
  <c r="F2114" i="1"/>
  <c r="E2114" i="1"/>
  <c r="D2114" i="1"/>
  <c r="F2113" i="1"/>
  <c r="E2113" i="1"/>
  <c r="D2113" i="1"/>
  <c r="F2112" i="1"/>
  <c r="E2112" i="1"/>
  <c r="D2112" i="1"/>
  <c r="F2111" i="1"/>
  <c r="E2111" i="1"/>
  <c r="D2111" i="1"/>
  <c r="F2110" i="1"/>
  <c r="E2110" i="1"/>
  <c r="D2110" i="1"/>
  <c r="F2109" i="1"/>
  <c r="E2109" i="1"/>
  <c r="D2109" i="1"/>
  <c r="F2108" i="1"/>
  <c r="E2108" i="1"/>
  <c r="D2108" i="1"/>
  <c r="F2107" i="1"/>
  <c r="E2107" i="1"/>
  <c r="D2107" i="1"/>
  <c r="F2106" i="1"/>
  <c r="E2106" i="1"/>
  <c r="D2106" i="1"/>
  <c r="F2105" i="1"/>
  <c r="E2105" i="1"/>
  <c r="D2105" i="1"/>
  <c r="F2104" i="1"/>
  <c r="E2104" i="1"/>
  <c r="D2104" i="1"/>
  <c r="F2103" i="1"/>
  <c r="E2103" i="1"/>
  <c r="D2103" i="1"/>
  <c r="F2102" i="1"/>
  <c r="E2102" i="1"/>
  <c r="D2102" i="1"/>
  <c r="F2101" i="1"/>
  <c r="E2101" i="1"/>
  <c r="D2101" i="1"/>
  <c r="F2100" i="1"/>
  <c r="E2100" i="1"/>
  <c r="D2100" i="1"/>
  <c r="F2099" i="1"/>
  <c r="E2099" i="1"/>
  <c r="D2099" i="1"/>
  <c r="F2098" i="1"/>
  <c r="E2098" i="1"/>
  <c r="D2098" i="1"/>
  <c r="F2097" i="1"/>
  <c r="E2097" i="1"/>
  <c r="D2097" i="1"/>
  <c r="F2096" i="1"/>
  <c r="E2096" i="1"/>
  <c r="D2096" i="1"/>
  <c r="F2095" i="1"/>
  <c r="E2095" i="1"/>
  <c r="D2095" i="1"/>
  <c r="F2094" i="1"/>
  <c r="E2094" i="1"/>
  <c r="D2094" i="1"/>
  <c r="F2093" i="1"/>
  <c r="E2093" i="1"/>
  <c r="D2093" i="1"/>
  <c r="F2092" i="1"/>
  <c r="E2092" i="1"/>
  <c r="D2092" i="1"/>
  <c r="F2091" i="1"/>
  <c r="E2091" i="1"/>
  <c r="D2091" i="1"/>
  <c r="F2090" i="1"/>
  <c r="E2090" i="1"/>
  <c r="D2090" i="1"/>
  <c r="F2089" i="1"/>
  <c r="E2089" i="1"/>
  <c r="D2089" i="1"/>
  <c r="F2088" i="1"/>
  <c r="E2088" i="1"/>
  <c r="D2088" i="1"/>
  <c r="F2087" i="1"/>
  <c r="E2087" i="1"/>
  <c r="D2087" i="1"/>
  <c r="F2086" i="1"/>
  <c r="E2086" i="1"/>
  <c r="D2086" i="1"/>
  <c r="F2085" i="1"/>
  <c r="E2085" i="1"/>
  <c r="D2085" i="1"/>
  <c r="F2084" i="1"/>
  <c r="E2084" i="1"/>
  <c r="D2084" i="1"/>
  <c r="F2083" i="1"/>
  <c r="E2083" i="1"/>
  <c r="D2083" i="1"/>
  <c r="F2082" i="1"/>
  <c r="E2082" i="1"/>
  <c r="D2082" i="1"/>
  <c r="F2081" i="1"/>
  <c r="E2081" i="1"/>
  <c r="D2081" i="1"/>
  <c r="F2080" i="1"/>
  <c r="E2080" i="1"/>
  <c r="D2080" i="1"/>
  <c r="F2079" i="1"/>
  <c r="E2079" i="1"/>
  <c r="D2079" i="1"/>
  <c r="F2078" i="1"/>
  <c r="E2078" i="1"/>
  <c r="D2078" i="1"/>
  <c r="F2077" i="1"/>
  <c r="E2077" i="1"/>
  <c r="D2077" i="1"/>
  <c r="F2076" i="1"/>
  <c r="E2076" i="1"/>
  <c r="D2076" i="1"/>
  <c r="F2075" i="1"/>
  <c r="E2075" i="1"/>
  <c r="D2075" i="1"/>
  <c r="F2074" i="1"/>
  <c r="E2074" i="1"/>
  <c r="D2074" i="1"/>
  <c r="F2073" i="1" l="1"/>
  <c r="E2073" i="1"/>
  <c r="D2073" i="1"/>
  <c r="F2072" i="1"/>
  <c r="E2072" i="1"/>
  <c r="D2072" i="1"/>
  <c r="F2071" i="1"/>
  <c r="E2071" i="1"/>
  <c r="D2071" i="1"/>
  <c r="F2070" i="1"/>
  <c r="E2070" i="1"/>
  <c r="D2070" i="1"/>
  <c r="F2069" i="1"/>
  <c r="E2069" i="1"/>
  <c r="D2069" i="1"/>
  <c r="F2068" i="1"/>
  <c r="E2068" i="1"/>
  <c r="D2068" i="1"/>
  <c r="F2067" i="1"/>
  <c r="E2067" i="1"/>
  <c r="D2067" i="1"/>
  <c r="F2066" i="1"/>
  <c r="E2066" i="1"/>
  <c r="D2066" i="1"/>
  <c r="F2065" i="1"/>
  <c r="E2065" i="1"/>
  <c r="D2065" i="1"/>
  <c r="F2064" i="1"/>
  <c r="E2064" i="1"/>
  <c r="D2064" i="1"/>
  <c r="F2063" i="1"/>
  <c r="E2063" i="1"/>
  <c r="D2063" i="1"/>
  <c r="F2062" i="1"/>
  <c r="E2062" i="1"/>
  <c r="D2062" i="1"/>
  <c r="F2061" i="1"/>
  <c r="E2061" i="1"/>
  <c r="D2061" i="1"/>
  <c r="F2060" i="1"/>
  <c r="E2060" i="1"/>
  <c r="D2060" i="1"/>
  <c r="F2059" i="1"/>
  <c r="E2059" i="1"/>
  <c r="D2059" i="1"/>
  <c r="F2058" i="1"/>
  <c r="E2058" i="1"/>
  <c r="D2058" i="1"/>
  <c r="F2057" i="1"/>
  <c r="E2057" i="1"/>
  <c r="D2057" i="1"/>
  <c r="F2056" i="1"/>
  <c r="E2056" i="1"/>
  <c r="D2056" i="1"/>
  <c r="F2055" i="1"/>
  <c r="E2055" i="1"/>
  <c r="D2055" i="1"/>
  <c r="F2054" i="1"/>
  <c r="E2054" i="1"/>
  <c r="D2054" i="1"/>
  <c r="F2053" i="1"/>
  <c r="E2053" i="1"/>
  <c r="D2053" i="1"/>
  <c r="F2052" i="1"/>
  <c r="E2052" i="1"/>
  <c r="D2052" i="1"/>
  <c r="F2051" i="1"/>
  <c r="E2051" i="1"/>
  <c r="D2051" i="1"/>
  <c r="F2050" i="1"/>
  <c r="E2050" i="1"/>
  <c r="D2050" i="1"/>
  <c r="F2049" i="1"/>
  <c r="E2049" i="1"/>
  <c r="D2049" i="1"/>
  <c r="F2048" i="1"/>
  <c r="E2048" i="1"/>
  <c r="D2048" i="1"/>
  <c r="F2047" i="1"/>
  <c r="E2047" i="1"/>
  <c r="D2047" i="1"/>
  <c r="F2046" i="1"/>
  <c r="E2046" i="1"/>
  <c r="D2046" i="1"/>
  <c r="F2045" i="1"/>
  <c r="E2045" i="1"/>
  <c r="D2045" i="1"/>
  <c r="F2044" i="1"/>
  <c r="E2044" i="1"/>
  <c r="D2044" i="1"/>
  <c r="F2043" i="1"/>
  <c r="E2043" i="1"/>
  <c r="D2043" i="1"/>
  <c r="F2042" i="1"/>
  <c r="E2042" i="1"/>
  <c r="D2042" i="1"/>
  <c r="F2041" i="1"/>
  <c r="E2041" i="1"/>
  <c r="D2041" i="1"/>
  <c r="F2040" i="1"/>
  <c r="E2040" i="1"/>
  <c r="D2040" i="1"/>
  <c r="F2039" i="1"/>
  <c r="E2039" i="1"/>
  <c r="D2039" i="1"/>
  <c r="F2038" i="1"/>
  <c r="E2038" i="1"/>
  <c r="D2038" i="1"/>
  <c r="F2037" i="1"/>
  <c r="E2037" i="1"/>
  <c r="D2037" i="1"/>
  <c r="F2036" i="1"/>
  <c r="E2036" i="1"/>
  <c r="D2036" i="1"/>
  <c r="F2035" i="1"/>
  <c r="E2035" i="1"/>
  <c r="D2035" i="1"/>
  <c r="F2034" i="1"/>
  <c r="E2034" i="1"/>
  <c r="D2034" i="1"/>
  <c r="F2033" i="1"/>
  <c r="E2033" i="1"/>
  <c r="D2033" i="1"/>
  <c r="F2032" i="1"/>
  <c r="E2032" i="1"/>
  <c r="D2032" i="1"/>
  <c r="F2031" i="1"/>
  <c r="E2031" i="1"/>
  <c r="D2031" i="1"/>
  <c r="F2030" i="1"/>
  <c r="E2030" i="1"/>
  <c r="D2030" i="1"/>
  <c r="F2029" i="1"/>
  <c r="E2029" i="1"/>
  <c r="D2029" i="1"/>
  <c r="F2028" i="1"/>
  <c r="E2028" i="1"/>
  <c r="D2028" i="1"/>
  <c r="F2027" i="1"/>
  <c r="E2027" i="1"/>
  <c r="D2027" i="1"/>
  <c r="F2026" i="1"/>
  <c r="E2026" i="1"/>
  <c r="D2026" i="1"/>
  <c r="F2025" i="1"/>
  <c r="E2025" i="1"/>
  <c r="D2025" i="1"/>
  <c r="F2024" i="1"/>
  <c r="E2024" i="1"/>
  <c r="D2024" i="1"/>
  <c r="F2023" i="1"/>
  <c r="E2023" i="1"/>
  <c r="D2023" i="1"/>
  <c r="F2022" i="1"/>
  <c r="E2022" i="1"/>
  <c r="D2022" i="1"/>
  <c r="F2021" i="1"/>
  <c r="E2021" i="1"/>
  <c r="D2021" i="1"/>
  <c r="F2020" i="1"/>
  <c r="E2020" i="1"/>
  <c r="D2020" i="1"/>
  <c r="F2019" i="1"/>
  <c r="E2019" i="1"/>
  <c r="D2019" i="1"/>
  <c r="F2018" i="1"/>
  <c r="E2018" i="1"/>
  <c r="D2018" i="1"/>
  <c r="F2017" i="1"/>
  <c r="E2017" i="1"/>
  <c r="D2017" i="1"/>
  <c r="F2016" i="1"/>
  <c r="E2016" i="1"/>
  <c r="D2016" i="1"/>
  <c r="F2015" i="1"/>
  <c r="E2015" i="1"/>
  <c r="D2015" i="1"/>
  <c r="F2014" i="1"/>
  <c r="E2014" i="1"/>
  <c r="D2014" i="1"/>
  <c r="F2013" i="1"/>
  <c r="E2013" i="1"/>
  <c r="D2013" i="1"/>
  <c r="F2012" i="1"/>
  <c r="E2012" i="1"/>
  <c r="D2012" i="1"/>
  <c r="F2011" i="1"/>
  <c r="E2011" i="1"/>
  <c r="D2011" i="1"/>
  <c r="F2010" i="1"/>
  <c r="E2010" i="1"/>
  <c r="D2010" i="1"/>
  <c r="F2009" i="1"/>
  <c r="E2009" i="1"/>
  <c r="D2009" i="1"/>
  <c r="F2008" i="1"/>
  <c r="E2008" i="1"/>
  <c r="D2008" i="1"/>
  <c r="F2007" i="1"/>
  <c r="E2007" i="1"/>
  <c r="D2007" i="1"/>
  <c r="F2006" i="1"/>
  <c r="E2006" i="1"/>
  <c r="D2006" i="1"/>
  <c r="F2005" i="1"/>
  <c r="E2005" i="1"/>
  <c r="D2005" i="1"/>
  <c r="F2004" i="1"/>
  <c r="E2004" i="1"/>
  <c r="D2004" i="1"/>
  <c r="F2003" i="1"/>
  <c r="E2003" i="1"/>
  <c r="D2003" i="1"/>
  <c r="F2002" i="1"/>
  <c r="E2002" i="1"/>
  <c r="D2002" i="1"/>
  <c r="F2001" i="1"/>
  <c r="E2001" i="1"/>
  <c r="D2001" i="1"/>
  <c r="F2000" i="1"/>
  <c r="E2000" i="1"/>
  <c r="D2000" i="1"/>
  <c r="F1999" i="1"/>
  <c r="E1999" i="1"/>
  <c r="D1999" i="1"/>
  <c r="F1998" i="1"/>
  <c r="E1998" i="1"/>
  <c r="D1998" i="1"/>
  <c r="F1997" i="1"/>
  <c r="E1997" i="1"/>
  <c r="D1997" i="1"/>
  <c r="F1996" i="1"/>
  <c r="E1996" i="1"/>
  <c r="D1996" i="1"/>
  <c r="F1995" i="1"/>
  <c r="E1995" i="1"/>
  <c r="D1995" i="1"/>
  <c r="F1994" i="1"/>
  <c r="E1994" i="1"/>
  <c r="D1994" i="1"/>
  <c r="F1993" i="1"/>
  <c r="E1993" i="1"/>
  <c r="D1993" i="1"/>
  <c r="F1992" i="1"/>
  <c r="E1992" i="1"/>
  <c r="D1992" i="1"/>
  <c r="F1991" i="1"/>
  <c r="E1991" i="1"/>
  <c r="D1991" i="1"/>
  <c r="F1990" i="1"/>
  <c r="E1990" i="1"/>
  <c r="D1990" i="1"/>
  <c r="F1989" i="1"/>
  <c r="E1989" i="1"/>
  <c r="D1989" i="1"/>
  <c r="F1988" i="1"/>
  <c r="E1988" i="1"/>
  <c r="D1988" i="1"/>
  <c r="F1987" i="1"/>
  <c r="E1987" i="1"/>
  <c r="D1987" i="1"/>
  <c r="F1986" i="1"/>
  <c r="E1986" i="1"/>
  <c r="D1986" i="1"/>
  <c r="F1985" i="1"/>
  <c r="E1985" i="1"/>
  <c r="D1985" i="1"/>
  <c r="F1984" i="1"/>
  <c r="E1984" i="1"/>
  <c r="D1984" i="1"/>
  <c r="F1983" i="1"/>
  <c r="E1983" i="1"/>
  <c r="D1983" i="1"/>
  <c r="F1982" i="1"/>
  <c r="E1982" i="1"/>
  <c r="D1982" i="1"/>
  <c r="F1981" i="1"/>
  <c r="E1981" i="1"/>
  <c r="D1981" i="1"/>
  <c r="F1980" i="1"/>
  <c r="E1980" i="1"/>
  <c r="D1980" i="1"/>
  <c r="F1979" i="1"/>
  <c r="E1979" i="1"/>
  <c r="D1979" i="1"/>
  <c r="F1978" i="1"/>
  <c r="E1978" i="1"/>
  <c r="D1978" i="1"/>
  <c r="F1977" i="1"/>
  <c r="E1977" i="1"/>
  <c r="D1977" i="1"/>
  <c r="F1976" i="1"/>
  <c r="E1976" i="1"/>
  <c r="D1976" i="1"/>
  <c r="F1975" i="1"/>
  <c r="E1975" i="1"/>
  <c r="D1975" i="1"/>
  <c r="F1974" i="1"/>
  <c r="E1974" i="1"/>
  <c r="D1974" i="1"/>
  <c r="F1973" i="1"/>
  <c r="E1973" i="1"/>
  <c r="D1973" i="1"/>
  <c r="F1972" i="1"/>
  <c r="E1972" i="1"/>
  <c r="D1972" i="1"/>
  <c r="F1971" i="1"/>
  <c r="E1971" i="1"/>
  <c r="D1971" i="1"/>
  <c r="F1970" i="1"/>
  <c r="E1970" i="1"/>
  <c r="D1970" i="1"/>
  <c r="F1969" i="1"/>
  <c r="E1969" i="1"/>
  <c r="D1969" i="1"/>
  <c r="F1968" i="1"/>
  <c r="E1968" i="1"/>
  <c r="D1968" i="1"/>
  <c r="F1967" i="1"/>
  <c r="E1967" i="1"/>
  <c r="D1967" i="1"/>
  <c r="F1966" i="1"/>
  <c r="E1966" i="1"/>
  <c r="D1966" i="1"/>
  <c r="F1965" i="1"/>
  <c r="E1965" i="1"/>
  <c r="D1965" i="1"/>
  <c r="F1964" i="1"/>
  <c r="E1964" i="1"/>
  <c r="D1964" i="1"/>
  <c r="F1963" i="1"/>
  <c r="E1963" i="1"/>
  <c r="D1963" i="1"/>
  <c r="F1962" i="1"/>
  <c r="E1962" i="1"/>
  <c r="D1962" i="1"/>
  <c r="F1961" i="1"/>
  <c r="E1961" i="1"/>
  <c r="D1961" i="1"/>
  <c r="F1960" i="1"/>
  <c r="E1960" i="1"/>
  <c r="D1960" i="1"/>
  <c r="F1959" i="1"/>
  <c r="E1959" i="1"/>
  <c r="D1959" i="1"/>
  <c r="F1958" i="1"/>
  <c r="E1958" i="1"/>
  <c r="D1958" i="1"/>
  <c r="F1957" i="1"/>
  <c r="E1957" i="1"/>
  <c r="D1957" i="1"/>
  <c r="F1956" i="1"/>
  <c r="E1956" i="1"/>
  <c r="D1956" i="1"/>
  <c r="F1955" i="1"/>
  <c r="E1955" i="1"/>
  <c r="D1955" i="1"/>
  <c r="F1954" i="1"/>
  <c r="E1954" i="1"/>
  <c r="D1954" i="1"/>
  <c r="F1953" i="1"/>
  <c r="E1953" i="1"/>
  <c r="D1953" i="1"/>
  <c r="F1952" i="1"/>
  <c r="E1952" i="1"/>
  <c r="D1952" i="1"/>
  <c r="F1951" i="1"/>
  <c r="E1951" i="1"/>
  <c r="D1951" i="1"/>
  <c r="F1950" i="1"/>
  <c r="E1950" i="1"/>
  <c r="D1950" i="1"/>
  <c r="F1949" i="1"/>
  <c r="E1949" i="1"/>
  <c r="D1949" i="1"/>
  <c r="F1948" i="1"/>
  <c r="E1948" i="1"/>
  <c r="D1948" i="1"/>
  <c r="F1947" i="1"/>
  <c r="E1947" i="1"/>
  <c r="D1947" i="1"/>
  <c r="F1946" i="1"/>
  <c r="E1946" i="1"/>
  <c r="D1946" i="1"/>
  <c r="F1945" i="1"/>
  <c r="E1945" i="1"/>
  <c r="D1945" i="1"/>
  <c r="F1944" i="1"/>
  <c r="E1944" i="1"/>
  <c r="D1944" i="1"/>
  <c r="F1943" i="1"/>
  <c r="E1943" i="1"/>
  <c r="D1943" i="1"/>
  <c r="F1942" i="1"/>
  <c r="E1942" i="1"/>
  <c r="D1942" i="1"/>
  <c r="F1941" i="1"/>
  <c r="E1941" i="1"/>
  <c r="D1941" i="1"/>
  <c r="F1940" i="1"/>
  <c r="E1940" i="1"/>
  <c r="D1940" i="1"/>
  <c r="F1939" i="1"/>
  <c r="E1939" i="1"/>
  <c r="D1939" i="1"/>
  <c r="F1938" i="1"/>
  <c r="E1938" i="1"/>
  <c r="D1938" i="1"/>
  <c r="F1937" i="1"/>
  <c r="E1937" i="1"/>
  <c r="D1937" i="1"/>
  <c r="F1936" i="1"/>
  <c r="E1936" i="1"/>
  <c r="D1936" i="1"/>
  <c r="F1935" i="1"/>
  <c r="E1935" i="1"/>
  <c r="D1935" i="1"/>
  <c r="F1934" i="1"/>
  <c r="E1934" i="1"/>
  <c r="D1934" i="1"/>
  <c r="F1933" i="1"/>
  <c r="E1933" i="1"/>
  <c r="D1933" i="1"/>
  <c r="F1932" i="1"/>
  <c r="E1932" i="1"/>
  <c r="D1932" i="1"/>
  <c r="F1931" i="1"/>
  <c r="E1931" i="1"/>
  <c r="D1931" i="1"/>
  <c r="F1930" i="1"/>
  <c r="E1930" i="1"/>
  <c r="D1930" i="1"/>
  <c r="F1929" i="1"/>
  <c r="E1929" i="1"/>
  <c r="D1929" i="1"/>
  <c r="F1928" i="1"/>
  <c r="E1928" i="1"/>
  <c r="D1928" i="1"/>
  <c r="F1927" i="1"/>
  <c r="E1927" i="1"/>
  <c r="D1927" i="1"/>
  <c r="F1926" i="1"/>
  <c r="E1926" i="1"/>
  <c r="D1926" i="1"/>
  <c r="F1925" i="1"/>
  <c r="E1925" i="1"/>
  <c r="D1925" i="1"/>
  <c r="F1924" i="1"/>
  <c r="E1924" i="1"/>
  <c r="D1924" i="1"/>
  <c r="F1923" i="1"/>
  <c r="E1923" i="1"/>
  <c r="D1923" i="1"/>
  <c r="F1922" i="1"/>
  <c r="E1922" i="1"/>
  <c r="D1922" i="1"/>
  <c r="F1921" i="1"/>
  <c r="E1921" i="1"/>
  <c r="D1921" i="1"/>
  <c r="F1920" i="1"/>
  <c r="E1920" i="1"/>
  <c r="D1920" i="1"/>
  <c r="F1919" i="1"/>
  <c r="E1919" i="1"/>
  <c r="D1919" i="1"/>
  <c r="F1918" i="1"/>
  <c r="E1918" i="1"/>
  <c r="D1918" i="1"/>
  <c r="F1917" i="1"/>
  <c r="E1917" i="1"/>
  <c r="D1917" i="1"/>
  <c r="F1916" i="1"/>
  <c r="E1916" i="1"/>
  <c r="D1916" i="1"/>
  <c r="F1915" i="1"/>
  <c r="E1915" i="1"/>
  <c r="D1915" i="1"/>
  <c r="F1914" i="1"/>
  <c r="E1914" i="1"/>
  <c r="D1914" i="1"/>
  <c r="F1913" i="1"/>
  <c r="E1913" i="1"/>
  <c r="D1913" i="1"/>
  <c r="F1912" i="1"/>
  <c r="E1912" i="1"/>
  <c r="D1912" i="1"/>
  <c r="F1911" i="1"/>
  <c r="E1911" i="1"/>
  <c r="D1911" i="1"/>
  <c r="F1910" i="1"/>
  <c r="E1910" i="1"/>
  <c r="D1910" i="1"/>
  <c r="F1909" i="1"/>
  <c r="E1909" i="1"/>
  <c r="D1909" i="1"/>
  <c r="F1908" i="1"/>
  <c r="E1908" i="1"/>
  <c r="D1908" i="1"/>
  <c r="F1907" i="1"/>
  <c r="E1907" i="1"/>
  <c r="D1907" i="1"/>
  <c r="F1906" i="1"/>
  <c r="E1906" i="1"/>
  <c r="D1906" i="1"/>
  <c r="F1905" i="1"/>
  <c r="E1905" i="1"/>
  <c r="D1905" i="1"/>
  <c r="F1904" i="1"/>
  <c r="E1904" i="1"/>
  <c r="D1904" i="1"/>
  <c r="F1903" i="1"/>
  <c r="E1903" i="1"/>
  <c r="D1903" i="1"/>
  <c r="F1902" i="1"/>
  <c r="E1902" i="1"/>
  <c r="D1902" i="1"/>
  <c r="F1901" i="1"/>
  <c r="E1901" i="1"/>
  <c r="D1901" i="1"/>
  <c r="F1900" i="1"/>
  <c r="E1900" i="1"/>
  <c r="D1900" i="1"/>
  <c r="F1899" i="1"/>
  <c r="E1899" i="1"/>
  <c r="D1899" i="1"/>
  <c r="F1898" i="1"/>
  <c r="E1898" i="1"/>
  <c r="D1898" i="1"/>
  <c r="F1897" i="1"/>
  <c r="E1897" i="1"/>
  <c r="D1897" i="1"/>
  <c r="F1896" i="1"/>
  <c r="E1896" i="1"/>
  <c r="D1896" i="1"/>
  <c r="F1895" i="1"/>
  <c r="E1895" i="1"/>
  <c r="D1895" i="1"/>
  <c r="F1894" i="1"/>
  <c r="E1894" i="1"/>
  <c r="D1894" i="1"/>
  <c r="F1893" i="1"/>
  <c r="E1893" i="1"/>
  <c r="D1893" i="1"/>
  <c r="F1892" i="1"/>
  <c r="E1892" i="1"/>
  <c r="D1892" i="1"/>
  <c r="F1891" i="1"/>
  <c r="E1891" i="1"/>
  <c r="D1891" i="1"/>
  <c r="F1890" i="1"/>
  <c r="E1890" i="1"/>
  <c r="D1890" i="1"/>
  <c r="F1889" i="1"/>
  <c r="E1889" i="1"/>
  <c r="D1889" i="1"/>
  <c r="F1888" i="1"/>
  <c r="E1888" i="1"/>
  <c r="D1888" i="1"/>
  <c r="F1887" i="1"/>
  <c r="E1887" i="1"/>
  <c r="D1887" i="1"/>
  <c r="F1886" i="1"/>
  <c r="E1886" i="1"/>
  <c r="D1886" i="1"/>
  <c r="F1885" i="1"/>
  <c r="E1885" i="1"/>
  <c r="D1885" i="1"/>
  <c r="F1884" i="1"/>
  <c r="E1884" i="1"/>
  <c r="D1884" i="1"/>
  <c r="F1883" i="1"/>
  <c r="E1883" i="1"/>
  <c r="D1883" i="1"/>
  <c r="F1882" i="1"/>
  <c r="E1882" i="1"/>
  <c r="D1882" i="1"/>
  <c r="F1881" i="1"/>
  <c r="E1881" i="1"/>
  <c r="D1881" i="1"/>
  <c r="F1880" i="1"/>
  <c r="E1880" i="1"/>
  <c r="D1880" i="1"/>
  <c r="F1879" i="1"/>
  <c r="E1879" i="1"/>
  <c r="D1879" i="1"/>
  <c r="F1878" i="1"/>
  <c r="E1878" i="1"/>
  <c r="D1878" i="1"/>
  <c r="F1877" i="1"/>
  <c r="E1877" i="1"/>
  <c r="D1877" i="1"/>
  <c r="F1876" i="1"/>
  <c r="E1876" i="1"/>
  <c r="D1876" i="1"/>
  <c r="F1875" i="1"/>
  <c r="E1875" i="1"/>
  <c r="D1875" i="1"/>
  <c r="F1874" i="1"/>
  <c r="E1874" i="1"/>
  <c r="D1874" i="1"/>
  <c r="F1873" i="1"/>
  <c r="E1873" i="1"/>
  <c r="D1873" i="1"/>
  <c r="F1872" i="1"/>
  <c r="E1872" i="1"/>
  <c r="D1872" i="1"/>
  <c r="F1871" i="1"/>
  <c r="E1871" i="1"/>
  <c r="D1871" i="1"/>
  <c r="F1870" i="1"/>
  <c r="E1870" i="1"/>
  <c r="D1870" i="1"/>
  <c r="F1869" i="1"/>
  <c r="E1869" i="1"/>
  <c r="D1869" i="1"/>
  <c r="F1868" i="1"/>
  <c r="E1868" i="1"/>
  <c r="D1868" i="1"/>
  <c r="F1867" i="1"/>
  <c r="E1867" i="1"/>
  <c r="D1867" i="1"/>
  <c r="F1866" i="1"/>
  <c r="E1866" i="1"/>
  <c r="D1866" i="1"/>
  <c r="F1865" i="1"/>
  <c r="E1865" i="1"/>
  <c r="D1865" i="1"/>
  <c r="F1864" i="1"/>
  <c r="E1864" i="1"/>
  <c r="D1864" i="1"/>
  <c r="F1863" i="1"/>
  <c r="E1863" i="1"/>
  <c r="D1863" i="1"/>
  <c r="F1862" i="1"/>
  <c r="E1862" i="1"/>
  <c r="D1862" i="1"/>
  <c r="F1861" i="1"/>
  <c r="E1861" i="1"/>
  <c r="D1861" i="1"/>
  <c r="F1860" i="1"/>
  <c r="E1860" i="1"/>
  <c r="D1860" i="1"/>
  <c r="F1859" i="1"/>
  <c r="E1859" i="1"/>
  <c r="D1859" i="1"/>
  <c r="F1858" i="1"/>
  <c r="E1858" i="1"/>
  <c r="D1858" i="1"/>
  <c r="F1857" i="1"/>
  <c r="E1857" i="1"/>
  <c r="D1857" i="1"/>
  <c r="F1856" i="1"/>
  <c r="E1856" i="1"/>
  <c r="D1856" i="1"/>
  <c r="F1855" i="1"/>
  <c r="E1855" i="1"/>
  <c r="D1855" i="1"/>
  <c r="F1854" i="1"/>
  <c r="E1854" i="1"/>
  <c r="D1854" i="1"/>
  <c r="F1853" i="1"/>
  <c r="E1853" i="1"/>
  <c r="D1853" i="1"/>
  <c r="F1852" i="1"/>
  <c r="E1852" i="1"/>
  <c r="D1852" i="1"/>
  <c r="F1851" i="1"/>
  <c r="E1851" i="1"/>
  <c r="D1851" i="1"/>
  <c r="F1850" i="1"/>
  <c r="E1850" i="1"/>
  <c r="D1850" i="1"/>
  <c r="F1849" i="1"/>
  <c r="E1849" i="1"/>
  <c r="D1849" i="1"/>
  <c r="F1848" i="1"/>
  <c r="E1848" i="1"/>
  <c r="D1848" i="1"/>
  <c r="F1847" i="1"/>
  <c r="E1847" i="1"/>
  <c r="D1847" i="1"/>
  <c r="F1846" i="1"/>
  <c r="E1846" i="1"/>
  <c r="D1846" i="1"/>
  <c r="F1845" i="1"/>
  <c r="E1845" i="1"/>
  <c r="D1845" i="1"/>
  <c r="F1844" i="1"/>
  <c r="E1844" i="1"/>
  <c r="D1844" i="1"/>
  <c r="F1843" i="1"/>
  <c r="E1843" i="1"/>
  <c r="D1843" i="1"/>
  <c r="F1842" i="1"/>
  <c r="E1842" i="1"/>
  <c r="D1842" i="1"/>
  <c r="F1841" i="1"/>
  <c r="E1841" i="1"/>
  <c r="D1841" i="1"/>
  <c r="F1840" i="1"/>
  <c r="E1840" i="1"/>
  <c r="D1840" i="1"/>
  <c r="F1839" i="1"/>
  <c r="E1839" i="1"/>
  <c r="D1839" i="1"/>
  <c r="F1838" i="1"/>
  <c r="E1838" i="1"/>
  <c r="D1838" i="1"/>
  <c r="F1837" i="1"/>
  <c r="E1837" i="1"/>
  <c r="D1837" i="1"/>
  <c r="F1836" i="1"/>
  <c r="E1836" i="1"/>
  <c r="D1836" i="1"/>
  <c r="F1835" i="1"/>
  <c r="E1835" i="1"/>
  <c r="D1835" i="1"/>
  <c r="F1834" i="1"/>
  <c r="E1834" i="1"/>
  <c r="D1834" i="1"/>
  <c r="F1833" i="1"/>
  <c r="E1833" i="1"/>
  <c r="D1833" i="1"/>
  <c r="F1832" i="1"/>
  <c r="E1832" i="1"/>
  <c r="D1832" i="1"/>
  <c r="F1831" i="1"/>
  <c r="E1831" i="1"/>
  <c r="D1831" i="1"/>
  <c r="F1830" i="1"/>
  <c r="E1830" i="1"/>
  <c r="D1830" i="1"/>
  <c r="F1829" i="1"/>
  <c r="E1829" i="1"/>
  <c r="D1829" i="1"/>
  <c r="F1828" i="1"/>
  <c r="E1828" i="1"/>
  <c r="D1828" i="1"/>
  <c r="F1827" i="1"/>
  <c r="E1827" i="1"/>
  <c r="D1827" i="1"/>
  <c r="F1826" i="1"/>
  <c r="E1826" i="1"/>
  <c r="D1826" i="1"/>
  <c r="F1825" i="1"/>
  <c r="E1825" i="1"/>
  <c r="D1825" i="1"/>
  <c r="F1824" i="1"/>
  <c r="E1824" i="1"/>
  <c r="D1824" i="1"/>
  <c r="F1823" i="1"/>
  <c r="E1823" i="1"/>
  <c r="D1823" i="1"/>
  <c r="F1822" i="1"/>
  <c r="E1822" i="1"/>
  <c r="D1822" i="1"/>
  <c r="F1821" i="1"/>
  <c r="E1821" i="1"/>
  <c r="D1821" i="1"/>
  <c r="F1820" i="1"/>
  <c r="E1820" i="1"/>
  <c r="D1820" i="1"/>
  <c r="F1819" i="1"/>
  <c r="E1819" i="1"/>
  <c r="D1819" i="1"/>
  <c r="F1818" i="1"/>
  <c r="E1818" i="1"/>
  <c r="D1818" i="1"/>
  <c r="F1817" i="1"/>
  <c r="E1817" i="1"/>
  <c r="D1817" i="1"/>
  <c r="F1816" i="1"/>
  <c r="E1816" i="1"/>
  <c r="D1816" i="1"/>
  <c r="F1815" i="1"/>
  <c r="E1815" i="1"/>
  <c r="D1815" i="1"/>
  <c r="F1814" i="1"/>
  <c r="E1814" i="1"/>
  <c r="D1814" i="1"/>
  <c r="F1813" i="1"/>
  <c r="E1813" i="1"/>
  <c r="D1813" i="1"/>
  <c r="F1812" i="1"/>
  <c r="E1812" i="1"/>
  <c r="D1812" i="1"/>
  <c r="F1811" i="1"/>
  <c r="E1811" i="1"/>
  <c r="D1811" i="1"/>
  <c r="F1810" i="1"/>
  <c r="E1810" i="1"/>
  <c r="D1810" i="1"/>
  <c r="F1809" i="1"/>
  <c r="E1809" i="1"/>
  <c r="D1809" i="1"/>
  <c r="F1808" i="1"/>
  <c r="E1808" i="1"/>
  <c r="D1808" i="1"/>
  <c r="F1807" i="1"/>
  <c r="E1807" i="1"/>
  <c r="D1807" i="1"/>
  <c r="F1806" i="1"/>
  <c r="E1806" i="1"/>
  <c r="D1806" i="1"/>
  <c r="F1805" i="1"/>
  <c r="E1805" i="1"/>
  <c r="D1805" i="1"/>
  <c r="F1804" i="1"/>
  <c r="E1804" i="1"/>
  <c r="D1804" i="1"/>
  <c r="F1803" i="1"/>
  <c r="E1803" i="1"/>
  <c r="D1803" i="1"/>
  <c r="F1802" i="1"/>
  <c r="E1802" i="1"/>
  <c r="D1802" i="1"/>
  <c r="F1801" i="1"/>
  <c r="E1801" i="1"/>
  <c r="D1801" i="1"/>
  <c r="F1800" i="1"/>
  <c r="E1800" i="1"/>
  <c r="D1800" i="1"/>
  <c r="F1799" i="1"/>
  <c r="E1799" i="1"/>
  <c r="D1799" i="1"/>
  <c r="F1798" i="1"/>
  <c r="E1798" i="1"/>
  <c r="D1798" i="1"/>
  <c r="F1797" i="1"/>
  <c r="E1797" i="1"/>
  <c r="D1797" i="1"/>
  <c r="F1796" i="1"/>
  <c r="E1796" i="1"/>
  <c r="D1796" i="1"/>
  <c r="F1795" i="1"/>
  <c r="E1795" i="1"/>
  <c r="D1795" i="1"/>
  <c r="F1794" i="1"/>
  <c r="E1794" i="1"/>
  <c r="D1794" i="1"/>
  <c r="F1793" i="1"/>
  <c r="E1793" i="1"/>
  <c r="D1793" i="1"/>
  <c r="F1792" i="1"/>
  <c r="E1792" i="1"/>
  <c r="D1792" i="1"/>
  <c r="F1791" i="1"/>
  <c r="E1791" i="1"/>
  <c r="D1791" i="1"/>
  <c r="F1790" i="1"/>
  <c r="E1790" i="1"/>
  <c r="D1790" i="1"/>
  <c r="F1789" i="1"/>
  <c r="E1789" i="1"/>
  <c r="D1789" i="1"/>
  <c r="F1788" i="1"/>
  <c r="E1788" i="1"/>
  <c r="D1788" i="1"/>
  <c r="F1787" i="1"/>
  <c r="E1787" i="1"/>
  <c r="D1787" i="1"/>
  <c r="F1786" i="1"/>
  <c r="E1786" i="1"/>
  <c r="D1786" i="1"/>
  <c r="F1785" i="1"/>
  <c r="E1785" i="1"/>
  <c r="D1785" i="1"/>
  <c r="F1784" i="1"/>
  <c r="E1784" i="1"/>
  <c r="D1784" i="1"/>
  <c r="F1783" i="1"/>
  <c r="E1783" i="1"/>
  <c r="D1783" i="1"/>
  <c r="F1782" i="1"/>
  <c r="E1782" i="1"/>
  <c r="D1782" i="1"/>
  <c r="F1781" i="1"/>
  <c r="E1781" i="1"/>
  <c r="D1781" i="1"/>
  <c r="F1780" i="1"/>
  <c r="E1780" i="1"/>
  <c r="D1780" i="1"/>
  <c r="F1779" i="1"/>
  <c r="E1779" i="1"/>
  <c r="D1779" i="1"/>
  <c r="F1778" i="1"/>
  <c r="E1778" i="1"/>
  <c r="D1778" i="1"/>
  <c r="F1777" i="1"/>
  <c r="E1777" i="1"/>
  <c r="D1777" i="1"/>
  <c r="F1776" i="1"/>
  <c r="E1776" i="1"/>
  <c r="D1776" i="1"/>
  <c r="F1775" i="1"/>
  <c r="E1775" i="1"/>
  <c r="D1775" i="1"/>
  <c r="F1774" i="1"/>
  <c r="E1774" i="1"/>
  <c r="D1774" i="1"/>
  <c r="F1773" i="1"/>
  <c r="E1773" i="1"/>
  <c r="D1773" i="1"/>
  <c r="F1772" i="1"/>
  <c r="E1772" i="1"/>
  <c r="D1772" i="1"/>
  <c r="F1771" i="1"/>
  <c r="E1771" i="1"/>
  <c r="D1771" i="1"/>
  <c r="F1770" i="1"/>
  <c r="E1770" i="1"/>
  <c r="D1770" i="1"/>
  <c r="F1769" i="1"/>
  <c r="E1769" i="1"/>
  <c r="D1769" i="1"/>
  <c r="F1768" i="1"/>
  <c r="E1768" i="1"/>
  <c r="D1768" i="1"/>
  <c r="F1767" i="1"/>
  <c r="E1767" i="1"/>
  <c r="D1767" i="1"/>
  <c r="F1766" i="1"/>
  <c r="E1766" i="1"/>
  <c r="D1766" i="1"/>
  <c r="F1765" i="1"/>
  <c r="E1765" i="1"/>
  <c r="D1765" i="1"/>
  <c r="F1764" i="1"/>
  <c r="E1764" i="1"/>
  <c r="D1764" i="1"/>
  <c r="F1763" i="1"/>
  <c r="E1763" i="1"/>
  <c r="D1763" i="1"/>
  <c r="F1762" i="1"/>
  <c r="E1762" i="1"/>
  <c r="D1762" i="1"/>
  <c r="F1761" i="1"/>
  <c r="E1761" i="1"/>
  <c r="D1761" i="1"/>
  <c r="F1760" i="1"/>
  <c r="E1760" i="1"/>
  <c r="D1760" i="1"/>
  <c r="F1759" i="1"/>
  <c r="E1759" i="1"/>
  <c r="D1759" i="1"/>
  <c r="F1758" i="1"/>
  <c r="E1758" i="1"/>
  <c r="D1758" i="1"/>
  <c r="F1757" i="1"/>
  <c r="E1757" i="1"/>
  <c r="D1757" i="1"/>
  <c r="F1756" i="1"/>
  <c r="E1756" i="1"/>
  <c r="D1756" i="1"/>
  <c r="F1755" i="1"/>
  <c r="E1755" i="1"/>
  <c r="D1755" i="1"/>
  <c r="F1754" i="1"/>
  <c r="E1754" i="1"/>
  <c r="D1754" i="1"/>
  <c r="F1753" i="1"/>
  <c r="E1753" i="1"/>
  <c r="D1753" i="1"/>
  <c r="F1752" i="1"/>
  <c r="E1752" i="1"/>
  <c r="D1752" i="1"/>
  <c r="F1751" i="1"/>
  <c r="E1751" i="1"/>
  <c r="D1751" i="1"/>
  <c r="F1750" i="1"/>
  <c r="E1750" i="1"/>
  <c r="D1750" i="1"/>
  <c r="F1749" i="1"/>
  <c r="E1749" i="1"/>
  <c r="D1749" i="1"/>
  <c r="F1748" i="1"/>
  <c r="E1748" i="1"/>
  <c r="D1748" i="1"/>
  <c r="F1747" i="1"/>
  <c r="E1747" i="1"/>
  <c r="D1747" i="1"/>
  <c r="F1746" i="1"/>
  <c r="E1746" i="1"/>
  <c r="D1746" i="1"/>
  <c r="F1745" i="1"/>
  <c r="E1745" i="1"/>
  <c r="D1745" i="1"/>
  <c r="F1744" i="1"/>
  <c r="E1744" i="1"/>
  <c r="D1744" i="1"/>
  <c r="F1743" i="1"/>
  <c r="E1743" i="1"/>
  <c r="D1743" i="1"/>
  <c r="F1742" i="1"/>
  <c r="E1742" i="1"/>
  <c r="D1742" i="1"/>
  <c r="F1741" i="1"/>
  <c r="E1741" i="1"/>
  <c r="D1741" i="1"/>
  <c r="F1740" i="1"/>
  <c r="E1740" i="1"/>
  <c r="D1740" i="1"/>
  <c r="F1739" i="1"/>
  <c r="E1739" i="1"/>
  <c r="D1739" i="1"/>
  <c r="F1738" i="1"/>
  <c r="E1738" i="1"/>
  <c r="D1738" i="1"/>
  <c r="F1737" i="1"/>
  <c r="E1737" i="1"/>
  <c r="D1737" i="1"/>
  <c r="F1736" i="1"/>
  <c r="E1736" i="1"/>
  <c r="D1736" i="1"/>
  <c r="F1735" i="1"/>
  <c r="E1735" i="1"/>
  <c r="D1735" i="1"/>
  <c r="F1734" i="1"/>
  <c r="E1734" i="1"/>
  <c r="D1734" i="1"/>
  <c r="F1733" i="1"/>
  <c r="E1733" i="1"/>
  <c r="D1733" i="1"/>
  <c r="F1732" i="1"/>
  <c r="E1732" i="1"/>
  <c r="D1732" i="1"/>
  <c r="F1731" i="1"/>
  <c r="E1731" i="1"/>
  <c r="D1731" i="1"/>
  <c r="F1730" i="1"/>
  <c r="E1730" i="1"/>
  <c r="D1730" i="1"/>
  <c r="F1729" i="1"/>
  <c r="E1729" i="1"/>
  <c r="D1729" i="1"/>
  <c r="F1728" i="1"/>
  <c r="E1728" i="1"/>
  <c r="D1728" i="1"/>
  <c r="F1727" i="1"/>
  <c r="E1727" i="1"/>
  <c r="D1727" i="1"/>
  <c r="F1726" i="1"/>
  <c r="E1726" i="1"/>
  <c r="D1726" i="1"/>
  <c r="F1725" i="1"/>
  <c r="E1725" i="1"/>
  <c r="D1725" i="1"/>
  <c r="F1724" i="1"/>
  <c r="E1724" i="1"/>
  <c r="D1724" i="1"/>
  <c r="F1723" i="1"/>
  <c r="E1723" i="1"/>
  <c r="D1723" i="1"/>
  <c r="F1722" i="1"/>
  <c r="E1722" i="1"/>
  <c r="D1722" i="1"/>
  <c r="F1721" i="1"/>
  <c r="E1721" i="1"/>
  <c r="D1721" i="1"/>
  <c r="F1720" i="1"/>
  <c r="E1720" i="1"/>
  <c r="D1720" i="1"/>
  <c r="F1719" i="1"/>
  <c r="E1719" i="1"/>
  <c r="D1719" i="1"/>
  <c r="F1718" i="1"/>
  <c r="E1718" i="1"/>
  <c r="D1718" i="1"/>
  <c r="F1717" i="1"/>
  <c r="E1717" i="1"/>
  <c r="D1717" i="1"/>
  <c r="F1716" i="1"/>
  <c r="E1716" i="1"/>
  <c r="D1716" i="1"/>
  <c r="D1711" i="1"/>
  <c r="D1712" i="1"/>
  <c r="D1713" i="1"/>
  <c r="D1714" i="1"/>
  <c r="D1715" i="1"/>
  <c r="F1715" i="1"/>
  <c r="E1715" i="1"/>
  <c r="F1714" i="1"/>
  <c r="E1714" i="1"/>
  <c r="F1713" i="1"/>
  <c r="E1713" i="1"/>
  <c r="F1712" i="1"/>
  <c r="E1712" i="1"/>
  <c r="F1711" i="1"/>
  <c r="E1711" i="1"/>
  <c r="F1710" i="1"/>
  <c r="E1710" i="1"/>
  <c r="D1710" i="1"/>
  <c r="F1709" i="1"/>
  <c r="E1709" i="1"/>
  <c r="D1709" i="1"/>
  <c r="F1708" i="1"/>
  <c r="E1708" i="1"/>
  <c r="D1708" i="1"/>
  <c r="F1707" i="1"/>
  <c r="E1707" i="1"/>
  <c r="D1707" i="1"/>
  <c r="F1706" i="1"/>
  <c r="E1706" i="1"/>
  <c r="D1706" i="1"/>
  <c r="F1705" i="1"/>
  <c r="E1705" i="1"/>
  <c r="D1705" i="1"/>
  <c r="F1704" i="1"/>
  <c r="E1704" i="1"/>
  <c r="D1704" i="1"/>
  <c r="F1703" i="1"/>
  <c r="E1703" i="1"/>
  <c r="D1703" i="1"/>
  <c r="F1702" i="1"/>
  <c r="E1702" i="1"/>
  <c r="D1702" i="1"/>
  <c r="F1701" i="1"/>
  <c r="E1701" i="1"/>
  <c r="D1701" i="1"/>
  <c r="D1698" i="1"/>
  <c r="D1699" i="1"/>
  <c r="D1700" i="1"/>
  <c r="F1700" i="1"/>
  <c r="E1700" i="1"/>
  <c r="F1699" i="1"/>
  <c r="E1699" i="1"/>
  <c r="F1698" i="1"/>
  <c r="E1698" i="1"/>
  <c r="F1697" i="1"/>
  <c r="E1697" i="1"/>
  <c r="D1697" i="1"/>
  <c r="F1696" i="1"/>
  <c r="E1696" i="1"/>
  <c r="D1696" i="1"/>
  <c r="F1695" i="1"/>
  <c r="E1695" i="1"/>
  <c r="D1695" i="1"/>
  <c r="F1694" i="1"/>
  <c r="E1694" i="1"/>
  <c r="D1694" i="1"/>
  <c r="F1693" i="1"/>
  <c r="E1693" i="1"/>
  <c r="D1693" i="1"/>
  <c r="F1692" i="1"/>
  <c r="E1692" i="1"/>
  <c r="D1692" i="1"/>
  <c r="F1691" i="1"/>
  <c r="E1691" i="1"/>
  <c r="D1691" i="1"/>
  <c r="F1690" i="1"/>
  <c r="E1690" i="1"/>
  <c r="D1690" i="1"/>
  <c r="F1689" i="1"/>
  <c r="E1689" i="1"/>
  <c r="D1689" i="1"/>
  <c r="F1688" i="1"/>
  <c r="E1688" i="1"/>
  <c r="D1688" i="1"/>
  <c r="F1687" i="1"/>
  <c r="E1687" i="1"/>
  <c r="D1687" i="1"/>
  <c r="F1686" i="1"/>
  <c r="E1686" i="1"/>
  <c r="D1686" i="1"/>
  <c r="F1685" i="1"/>
  <c r="E1685" i="1"/>
  <c r="D1685" i="1"/>
  <c r="F1684" i="1"/>
  <c r="E1684" i="1"/>
  <c r="D1684" i="1"/>
  <c r="F1683" i="1"/>
  <c r="E1683" i="1"/>
  <c r="D1683" i="1"/>
  <c r="F1682" i="1"/>
  <c r="E1682" i="1"/>
  <c r="D1682" i="1"/>
  <c r="F1681" i="1"/>
  <c r="E1681" i="1"/>
  <c r="D1681" i="1"/>
  <c r="F1680" i="1"/>
  <c r="E1680" i="1"/>
  <c r="D1680" i="1"/>
  <c r="F1679" i="1"/>
  <c r="E1679" i="1"/>
  <c r="D1679" i="1"/>
  <c r="F1678" i="1"/>
  <c r="E1678" i="1"/>
  <c r="D1678" i="1"/>
  <c r="F1677" i="1"/>
  <c r="E1677" i="1"/>
  <c r="D1677" i="1"/>
  <c r="F1676" i="1"/>
  <c r="E1676" i="1"/>
  <c r="D1676" i="1"/>
  <c r="F1675" i="1"/>
  <c r="E1675" i="1"/>
  <c r="D1675" i="1"/>
  <c r="F1674" i="1"/>
  <c r="E1674" i="1"/>
  <c r="D1674" i="1"/>
  <c r="F1673" i="1"/>
  <c r="E1673" i="1"/>
  <c r="D1673" i="1"/>
  <c r="F1672" i="1"/>
  <c r="E1672" i="1"/>
  <c r="D1672" i="1"/>
  <c r="F1671" i="1"/>
  <c r="E1671" i="1"/>
  <c r="D1671" i="1"/>
  <c r="F1670" i="1"/>
  <c r="E1670" i="1"/>
  <c r="D1670" i="1"/>
  <c r="F1669" i="1"/>
  <c r="E1669" i="1"/>
  <c r="D1669" i="1"/>
  <c r="F1668" i="1"/>
  <c r="E1668" i="1"/>
  <c r="D1668" i="1"/>
  <c r="F1667" i="1"/>
  <c r="E1667" i="1"/>
  <c r="D1667" i="1"/>
  <c r="F1666" i="1"/>
  <c r="E1666" i="1"/>
  <c r="D1666" i="1"/>
  <c r="F1665" i="1"/>
  <c r="E1665" i="1"/>
  <c r="D1665" i="1"/>
  <c r="F1664" i="1"/>
  <c r="E1664" i="1"/>
  <c r="D1664" i="1"/>
  <c r="F1663" i="1"/>
  <c r="E1663" i="1"/>
  <c r="D1663" i="1"/>
  <c r="F1662" i="1"/>
  <c r="E1662" i="1"/>
  <c r="D1662" i="1"/>
  <c r="F1661" i="1"/>
  <c r="E1661" i="1"/>
  <c r="D1661" i="1"/>
  <c r="F1660" i="1"/>
  <c r="E1660" i="1"/>
  <c r="D1660" i="1"/>
  <c r="F1659" i="1"/>
  <c r="E1659" i="1"/>
  <c r="D1659" i="1"/>
  <c r="F1658" i="1"/>
  <c r="E1658" i="1"/>
  <c r="D1658" i="1"/>
  <c r="F1657" i="1"/>
  <c r="E1657" i="1"/>
  <c r="D1657" i="1"/>
  <c r="F1656" i="1"/>
  <c r="E1656" i="1"/>
  <c r="D1656" i="1"/>
  <c r="F1655" i="1"/>
  <c r="E1655" i="1"/>
  <c r="D1655" i="1"/>
  <c r="F1654" i="1"/>
  <c r="E1654" i="1"/>
  <c r="D1654" i="1"/>
  <c r="F1653" i="1"/>
  <c r="E1653" i="1"/>
  <c r="D1653" i="1"/>
  <c r="F1652" i="1"/>
  <c r="E1652" i="1"/>
  <c r="D1652" i="1"/>
  <c r="F1651" i="1"/>
  <c r="E1651" i="1"/>
  <c r="D1651" i="1"/>
  <c r="F1650" i="1"/>
  <c r="E1650" i="1"/>
  <c r="D1650" i="1"/>
  <c r="F1649" i="1"/>
  <c r="E1649" i="1"/>
  <c r="D1649" i="1"/>
  <c r="F1648" i="1"/>
  <c r="E1648" i="1"/>
  <c r="D1648" i="1"/>
  <c r="F1647" i="1"/>
  <c r="E1647" i="1"/>
  <c r="D1647" i="1"/>
  <c r="F1646" i="1"/>
  <c r="E1646" i="1"/>
  <c r="D1646" i="1"/>
  <c r="F1645" i="1"/>
  <c r="E1645" i="1"/>
  <c r="D1645" i="1"/>
  <c r="F1644" i="1"/>
  <c r="E1644" i="1"/>
  <c r="D1644" i="1"/>
  <c r="F1643" i="1"/>
  <c r="E1643" i="1"/>
  <c r="D1643" i="1"/>
  <c r="F1642" i="1"/>
  <c r="E1642" i="1"/>
  <c r="D1642" i="1"/>
  <c r="F1641" i="1"/>
  <c r="E1641" i="1"/>
  <c r="D1641" i="1"/>
  <c r="F1640" i="1"/>
  <c r="E1640" i="1"/>
  <c r="D1640" i="1"/>
  <c r="F1639" i="1"/>
  <c r="E1639" i="1"/>
  <c r="D1639" i="1"/>
  <c r="F1638" i="1"/>
  <c r="E1638" i="1"/>
  <c r="D1638" i="1"/>
  <c r="F1637" i="1"/>
  <c r="E1637" i="1"/>
  <c r="D1637" i="1"/>
  <c r="F1636" i="1"/>
  <c r="E1636" i="1"/>
  <c r="D1636" i="1"/>
  <c r="F1635" i="1"/>
  <c r="E1635" i="1"/>
  <c r="D1635" i="1"/>
  <c r="F1634" i="1"/>
  <c r="E1634" i="1"/>
  <c r="D1634" i="1"/>
  <c r="F1633" i="1"/>
  <c r="E1633" i="1"/>
  <c r="D1633" i="1"/>
  <c r="F1632" i="1"/>
  <c r="E1632" i="1"/>
  <c r="D1632" i="1"/>
  <c r="F1631" i="1"/>
  <c r="E1631" i="1"/>
  <c r="D1631" i="1"/>
  <c r="F1630" i="1"/>
  <c r="E1630" i="1"/>
  <c r="D1630" i="1"/>
  <c r="F1629" i="1"/>
  <c r="E1629" i="1"/>
  <c r="D1629" i="1"/>
  <c r="F1628" i="1"/>
  <c r="E1628" i="1"/>
  <c r="D1628" i="1"/>
  <c r="F1627" i="1"/>
  <c r="E1627" i="1"/>
  <c r="D1627" i="1"/>
  <c r="F1626" i="1"/>
  <c r="E1626" i="1"/>
  <c r="D1626" i="1"/>
  <c r="F1625" i="1"/>
  <c r="E1625" i="1"/>
  <c r="D1625" i="1"/>
  <c r="F1624" i="1"/>
  <c r="E1624" i="1"/>
  <c r="D1624" i="1"/>
  <c r="F1623" i="1"/>
  <c r="E1623" i="1"/>
  <c r="D1623" i="1"/>
  <c r="F1622" i="1"/>
  <c r="E1622" i="1"/>
  <c r="D1622" i="1"/>
  <c r="F1621" i="1"/>
  <c r="E1621" i="1"/>
  <c r="D1621" i="1"/>
  <c r="F1620" i="1"/>
  <c r="E1620" i="1"/>
  <c r="D1620" i="1"/>
  <c r="F1619" i="1"/>
  <c r="E1619" i="1"/>
  <c r="D1619" i="1"/>
  <c r="F1618" i="1"/>
  <c r="E1618" i="1"/>
  <c r="D1618" i="1"/>
  <c r="F1617" i="1"/>
  <c r="E1617" i="1"/>
  <c r="D1617" i="1"/>
  <c r="F1616" i="1"/>
  <c r="E1616" i="1"/>
  <c r="D1616" i="1"/>
  <c r="F1615" i="1"/>
  <c r="E1615" i="1"/>
  <c r="D1615" i="1"/>
  <c r="F1614" i="1"/>
  <c r="E1614" i="1"/>
  <c r="D1614" i="1"/>
  <c r="F1613" i="1"/>
  <c r="E1613" i="1"/>
  <c r="D1613" i="1"/>
  <c r="F1612" i="1"/>
  <c r="E1612" i="1"/>
  <c r="D1612" i="1"/>
  <c r="F1611" i="1"/>
  <c r="E1611" i="1"/>
  <c r="D1611" i="1"/>
  <c r="F1610" i="1"/>
  <c r="E1610" i="1"/>
  <c r="D1610" i="1"/>
  <c r="F1609" i="1"/>
  <c r="E1609" i="1"/>
  <c r="D1609" i="1"/>
  <c r="F1608" i="1"/>
  <c r="E1608" i="1"/>
  <c r="D1608" i="1"/>
  <c r="F1607" i="1"/>
  <c r="E1607" i="1"/>
  <c r="D1607" i="1"/>
  <c r="F1606" i="1"/>
  <c r="E1606" i="1"/>
  <c r="D1606" i="1"/>
  <c r="F1605" i="1"/>
  <c r="E1605" i="1"/>
  <c r="D1605" i="1"/>
  <c r="F1604" i="1"/>
  <c r="E1604" i="1"/>
  <c r="D1604" i="1"/>
  <c r="F1603" i="1"/>
  <c r="E1603" i="1"/>
  <c r="D1603" i="1"/>
  <c r="F1602" i="1"/>
  <c r="E1602" i="1"/>
  <c r="D1602" i="1"/>
  <c r="F1601" i="1"/>
  <c r="E1601" i="1"/>
  <c r="D1601" i="1"/>
  <c r="F1600" i="1"/>
  <c r="E1600" i="1"/>
  <c r="D1600" i="1"/>
  <c r="F1599" i="1"/>
  <c r="E1599" i="1"/>
  <c r="D1599" i="1"/>
  <c r="F1598" i="1"/>
  <c r="E1598" i="1"/>
  <c r="D1598" i="1"/>
  <c r="F1597" i="1"/>
  <c r="E1597" i="1"/>
  <c r="D1597" i="1"/>
  <c r="F1596" i="1"/>
  <c r="E1596" i="1"/>
  <c r="D1596" i="1"/>
  <c r="F1595" i="1"/>
  <c r="E1595" i="1"/>
  <c r="D1595" i="1"/>
  <c r="F1594" i="1"/>
  <c r="E1594" i="1"/>
  <c r="D1594" i="1"/>
  <c r="F1593" i="1"/>
  <c r="E1593" i="1"/>
  <c r="D1593" i="1"/>
  <c r="F1592" i="1"/>
  <c r="E1592" i="1"/>
  <c r="D1592" i="1"/>
  <c r="F1591" i="1"/>
  <c r="E1591" i="1"/>
  <c r="D1591" i="1"/>
  <c r="F1590" i="1"/>
  <c r="E1590" i="1"/>
  <c r="D1590" i="1"/>
  <c r="F1589" i="1"/>
  <c r="E1589" i="1"/>
  <c r="D1589" i="1"/>
  <c r="F1588" i="1"/>
  <c r="E1588" i="1"/>
  <c r="D1588" i="1"/>
  <c r="F1587" i="1"/>
  <c r="E1587" i="1"/>
  <c r="D1587" i="1"/>
  <c r="F1586" i="1"/>
  <c r="E1586" i="1"/>
  <c r="D1586" i="1"/>
  <c r="F1585" i="1"/>
  <c r="E1585" i="1"/>
  <c r="D1585" i="1"/>
  <c r="F1584" i="1"/>
  <c r="E1584" i="1"/>
  <c r="D1584" i="1"/>
  <c r="F1583" i="1"/>
  <c r="E1583" i="1"/>
  <c r="D1583" i="1"/>
  <c r="F1582" i="1"/>
  <c r="E1582" i="1"/>
  <c r="D1582" i="1"/>
  <c r="F1581" i="1"/>
  <c r="E1581" i="1"/>
  <c r="D1581" i="1"/>
  <c r="F1580" i="1"/>
  <c r="E1580" i="1"/>
  <c r="D1580" i="1"/>
  <c r="F1579" i="1"/>
  <c r="E1579" i="1"/>
  <c r="D1579" i="1"/>
  <c r="F1578" i="1"/>
  <c r="E1578" i="1"/>
  <c r="D1578" i="1"/>
  <c r="F1577" i="1"/>
  <c r="E1577" i="1"/>
  <c r="D1577" i="1"/>
  <c r="F1576" i="1"/>
  <c r="E1576" i="1"/>
  <c r="D1576" i="1"/>
  <c r="F1575" i="1"/>
  <c r="E1575" i="1"/>
  <c r="D1575" i="1"/>
  <c r="F1574" i="1"/>
  <c r="E1574" i="1"/>
  <c r="D1574" i="1"/>
  <c r="F1573" i="1"/>
  <c r="E1573" i="1"/>
  <c r="D1573" i="1"/>
  <c r="F1572" i="1"/>
  <c r="E1572" i="1"/>
  <c r="D1572" i="1"/>
  <c r="F1571" i="1"/>
  <c r="E1571" i="1"/>
  <c r="D1571" i="1"/>
  <c r="F1570" i="1"/>
  <c r="E1570" i="1"/>
  <c r="D1570" i="1"/>
  <c r="F1569" i="1"/>
  <c r="E1569" i="1"/>
  <c r="D1569" i="1"/>
  <c r="F1568" i="1"/>
  <c r="E1568" i="1"/>
  <c r="D1568" i="1"/>
  <c r="F1567" i="1"/>
  <c r="E1567" i="1"/>
  <c r="D1567" i="1"/>
  <c r="F1566" i="1"/>
  <c r="E1566" i="1"/>
  <c r="D1566" i="1"/>
  <c r="F1565" i="1"/>
  <c r="E1565" i="1"/>
  <c r="D1565" i="1"/>
  <c r="F1564" i="1"/>
  <c r="E1564" i="1"/>
  <c r="D1564" i="1"/>
  <c r="F1563" i="1"/>
  <c r="E1563" i="1"/>
  <c r="D1563" i="1"/>
  <c r="F1562" i="1"/>
  <c r="E1562" i="1"/>
  <c r="D1562" i="1"/>
  <c r="F1561" i="1"/>
  <c r="E1561" i="1"/>
  <c r="D1561" i="1"/>
  <c r="F1560" i="1"/>
  <c r="E1560" i="1"/>
  <c r="D1560" i="1"/>
  <c r="F1559" i="1"/>
  <c r="E1559" i="1"/>
  <c r="D1559" i="1"/>
  <c r="F1558" i="1"/>
  <c r="E1558" i="1"/>
  <c r="D1558" i="1"/>
  <c r="F1557" i="1"/>
  <c r="E1557" i="1"/>
  <c r="D1557" i="1"/>
  <c r="F1556" i="1"/>
  <c r="E1556" i="1"/>
  <c r="D1556" i="1"/>
  <c r="F1555" i="1"/>
  <c r="E1555" i="1"/>
  <c r="D1555" i="1"/>
  <c r="F1554" i="1"/>
  <c r="E1554" i="1"/>
  <c r="D1554" i="1"/>
  <c r="F1553" i="1"/>
  <c r="E1553" i="1"/>
  <c r="D1553" i="1"/>
  <c r="F1552" i="1"/>
  <c r="E1552" i="1"/>
  <c r="D1552" i="1"/>
  <c r="F1551" i="1"/>
  <c r="E1551" i="1"/>
  <c r="D1551" i="1"/>
  <c r="F1550" i="1"/>
  <c r="E1550" i="1"/>
  <c r="D1550" i="1"/>
  <c r="F1549" i="1"/>
  <c r="E1549" i="1"/>
  <c r="D1549" i="1"/>
  <c r="F1548" i="1"/>
  <c r="E1548" i="1"/>
  <c r="D1548" i="1"/>
  <c r="F1547" i="1"/>
  <c r="E1547" i="1"/>
  <c r="D1547" i="1"/>
  <c r="F1546" i="1"/>
  <c r="E1546" i="1"/>
  <c r="D1546" i="1"/>
  <c r="F1545" i="1"/>
  <c r="E1545" i="1"/>
  <c r="D1545" i="1"/>
  <c r="F1544" i="1"/>
  <c r="E1544" i="1"/>
  <c r="D1544" i="1"/>
  <c r="F1543" i="1"/>
  <c r="E1543" i="1"/>
  <c r="D1543" i="1"/>
  <c r="F1542" i="1"/>
  <c r="E1542" i="1"/>
  <c r="D1542" i="1"/>
  <c r="F1541" i="1"/>
  <c r="E1541" i="1"/>
  <c r="D1541" i="1"/>
  <c r="F1540" i="1"/>
  <c r="E1540" i="1"/>
  <c r="D1540" i="1"/>
  <c r="F1539" i="1"/>
  <c r="E1539" i="1"/>
  <c r="D1539" i="1"/>
  <c r="F1538" i="1"/>
  <c r="E1538" i="1"/>
  <c r="D1538" i="1"/>
  <c r="F1537" i="1"/>
  <c r="E1537" i="1"/>
  <c r="D1537" i="1"/>
  <c r="F1536" i="1"/>
  <c r="E1536" i="1"/>
  <c r="D1536" i="1"/>
  <c r="F1535" i="1"/>
  <c r="E1535" i="1"/>
  <c r="D1535" i="1"/>
  <c r="F1534" i="1"/>
  <c r="E1534" i="1"/>
  <c r="D1534" i="1"/>
  <c r="F1533" i="1"/>
  <c r="E1533" i="1"/>
  <c r="D1533" i="1"/>
  <c r="F1532" i="1"/>
  <c r="E1532" i="1"/>
  <c r="D1532" i="1"/>
  <c r="F1531" i="1"/>
  <c r="E1531" i="1"/>
  <c r="D1531" i="1"/>
  <c r="F1530" i="1"/>
  <c r="E1530" i="1"/>
  <c r="D1530" i="1"/>
  <c r="F1529" i="1"/>
  <c r="E1529" i="1"/>
  <c r="D1529" i="1"/>
  <c r="F1528" i="1"/>
  <c r="E1528" i="1"/>
  <c r="D1528" i="1"/>
  <c r="F1527" i="1"/>
  <c r="E1527" i="1"/>
  <c r="D1527" i="1"/>
  <c r="F1526" i="1"/>
  <c r="E1526" i="1"/>
  <c r="D1526" i="1"/>
  <c r="F1525" i="1"/>
  <c r="E1525" i="1"/>
  <c r="D1525" i="1"/>
  <c r="F1524" i="1"/>
  <c r="E1524" i="1"/>
  <c r="D1524" i="1"/>
  <c r="F1523" i="1"/>
  <c r="E1523" i="1"/>
  <c r="D1523" i="1"/>
  <c r="F1522" i="1"/>
  <c r="E1522" i="1"/>
  <c r="D1522" i="1"/>
  <c r="F1521" i="1"/>
  <c r="E1521" i="1"/>
  <c r="D1521" i="1"/>
  <c r="F1520" i="1"/>
  <c r="E1520" i="1"/>
  <c r="D1520" i="1"/>
  <c r="F1519" i="1"/>
  <c r="E1519" i="1"/>
  <c r="D1519" i="1"/>
  <c r="F1518" i="1"/>
  <c r="E1518" i="1"/>
  <c r="D1518" i="1"/>
  <c r="F1517" i="1"/>
  <c r="E1517" i="1"/>
  <c r="D1517" i="1"/>
  <c r="F1516" i="1"/>
  <c r="E1516" i="1"/>
  <c r="D1516" i="1"/>
  <c r="F1515" i="1"/>
  <c r="E1515" i="1"/>
  <c r="D1515" i="1"/>
  <c r="F1514" i="1"/>
  <c r="E1514" i="1"/>
  <c r="D1514" i="1"/>
  <c r="F1513" i="1"/>
  <c r="E1513" i="1"/>
  <c r="D1513" i="1"/>
  <c r="F1512" i="1"/>
  <c r="E1512" i="1"/>
  <c r="D1512" i="1"/>
  <c r="F1511" i="1"/>
  <c r="E1511" i="1"/>
  <c r="D1511" i="1"/>
  <c r="F1510" i="1"/>
  <c r="E1510" i="1"/>
  <c r="D1510" i="1"/>
  <c r="F1509" i="1"/>
  <c r="E1509" i="1"/>
  <c r="D1509" i="1"/>
  <c r="F1508" i="1"/>
  <c r="E1508" i="1"/>
  <c r="D1508" i="1"/>
  <c r="F1507" i="1"/>
  <c r="E1507" i="1"/>
  <c r="D1507" i="1"/>
  <c r="F1506" i="1"/>
  <c r="E1506" i="1"/>
  <c r="D1506" i="1"/>
  <c r="F1505" i="1"/>
  <c r="E1505" i="1"/>
  <c r="D1505" i="1"/>
  <c r="F1504" i="1"/>
  <c r="E1504" i="1"/>
  <c r="D1504" i="1"/>
  <c r="F1503" i="1"/>
  <c r="E1503" i="1"/>
  <c r="D1503" i="1"/>
  <c r="F1502" i="1"/>
  <c r="E1502" i="1"/>
  <c r="F1501" i="1"/>
  <c r="E1501" i="1"/>
  <c r="F1500" i="1"/>
  <c r="E1500" i="1"/>
  <c r="F1499" i="1"/>
  <c r="E1499" i="1"/>
  <c r="F1498" i="1"/>
  <c r="E1498" i="1"/>
  <c r="F1497" i="1"/>
  <c r="E1497" i="1"/>
  <c r="F1496" i="1"/>
  <c r="E1496" i="1"/>
  <c r="F1495" i="1"/>
  <c r="E1495" i="1"/>
  <c r="F1494" i="1"/>
  <c r="E1494" i="1"/>
  <c r="F1493" i="1"/>
  <c r="E1493" i="1"/>
  <c r="D1493" i="1"/>
  <c r="F1492" i="1"/>
  <c r="E1492" i="1"/>
  <c r="D1492" i="1"/>
  <c r="F1491" i="1"/>
  <c r="E1491" i="1"/>
  <c r="D1491" i="1"/>
  <c r="F1490" i="1"/>
  <c r="E1490" i="1"/>
  <c r="D1490" i="1"/>
  <c r="F1489" i="1"/>
  <c r="E1489" i="1"/>
  <c r="D1489" i="1"/>
  <c r="F1488" i="1"/>
  <c r="E1488" i="1"/>
  <c r="D1488" i="1"/>
  <c r="F1487" i="1"/>
  <c r="E1487" i="1"/>
  <c r="D1487" i="1"/>
  <c r="F1486" i="1"/>
  <c r="E1486" i="1"/>
  <c r="D1486" i="1"/>
  <c r="F1485" i="1"/>
  <c r="E1485" i="1"/>
  <c r="D1485" i="1"/>
  <c r="F1484" i="1"/>
  <c r="E1484" i="1"/>
  <c r="D1484" i="1"/>
  <c r="F1483" i="1"/>
  <c r="E1483" i="1"/>
  <c r="D1483" i="1"/>
  <c r="F1482" i="1"/>
  <c r="E1482" i="1"/>
  <c r="D1482" i="1"/>
  <c r="F1481" i="1"/>
  <c r="E1481" i="1"/>
  <c r="D1481" i="1"/>
  <c r="F1480" i="1"/>
  <c r="E1480" i="1"/>
  <c r="D1480" i="1"/>
  <c r="F1479" i="1"/>
  <c r="E1479" i="1"/>
  <c r="D1479" i="1"/>
  <c r="F1478" i="1"/>
  <c r="E1478" i="1"/>
  <c r="D1478" i="1"/>
  <c r="F1477" i="1"/>
  <c r="E1477" i="1"/>
  <c r="D1477" i="1"/>
  <c r="F1476" i="1"/>
  <c r="E1476" i="1"/>
  <c r="D1476" i="1"/>
  <c r="F1475" i="1"/>
  <c r="E1475" i="1"/>
  <c r="D1475" i="1"/>
  <c r="F1474" i="1"/>
  <c r="E1474" i="1"/>
  <c r="D1474" i="1"/>
  <c r="F1473" i="1"/>
  <c r="E1473" i="1"/>
  <c r="D1473" i="1"/>
  <c r="F1472" i="1"/>
  <c r="E1472" i="1"/>
  <c r="D1472" i="1"/>
  <c r="F1471" i="1"/>
  <c r="E1471" i="1"/>
  <c r="D1471" i="1"/>
  <c r="F1470" i="1"/>
  <c r="E1470" i="1"/>
  <c r="D1470" i="1"/>
  <c r="F1469" i="1"/>
  <c r="E1469" i="1"/>
  <c r="D1469" i="1"/>
  <c r="F1468" i="1"/>
  <c r="E1468" i="1"/>
  <c r="D1468" i="1"/>
  <c r="F1467" i="1"/>
  <c r="E1467" i="1"/>
  <c r="D1467" i="1"/>
  <c r="F1466" i="1"/>
  <c r="E1466" i="1"/>
  <c r="D1466" i="1"/>
  <c r="F1465" i="1"/>
  <c r="E1465" i="1"/>
  <c r="D1465" i="1"/>
  <c r="F1464" i="1"/>
  <c r="E1464" i="1"/>
  <c r="D1464" i="1"/>
  <c r="F1463" i="1"/>
  <c r="E1463" i="1"/>
  <c r="D1463" i="1"/>
  <c r="F1462" i="1"/>
  <c r="E1462" i="1"/>
  <c r="D1462" i="1"/>
  <c r="F1461" i="1"/>
  <c r="E1461" i="1"/>
  <c r="D1461" i="1"/>
  <c r="F1460" i="1"/>
  <c r="E1460" i="1"/>
  <c r="D1460" i="1"/>
  <c r="F1459" i="1"/>
  <c r="E1459" i="1"/>
  <c r="D1459" i="1"/>
  <c r="F1458" i="1"/>
  <c r="E1458" i="1"/>
  <c r="D1458" i="1"/>
  <c r="F1457" i="1"/>
  <c r="E1457" i="1"/>
  <c r="D1457" i="1"/>
  <c r="F1456" i="1"/>
  <c r="E1456" i="1"/>
  <c r="D1456" i="1"/>
  <c r="F1455" i="1"/>
  <c r="E1455" i="1"/>
  <c r="D1455" i="1"/>
  <c r="F1454" i="1"/>
  <c r="E1454" i="1"/>
  <c r="D1454" i="1"/>
  <c r="F1453" i="1"/>
  <c r="E1453" i="1"/>
  <c r="D1453" i="1"/>
  <c r="F1452" i="1"/>
  <c r="E1452" i="1"/>
  <c r="D1452" i="1"/>
  <c r="F1451" i="1"/>
  <c r="E1451" i="1"/>
  <c r="D1451" i="1"/>
  <c r="F1450" i="1"/>
  <c r="E1450" i="1"/>
  <c r="D1450" i="1"/>
  <c r="F1449" i="1"/>
  <c r="E1449" i="1"/>
  <c r="D1449" i="1"/>
  <c r="F1448" i="1"/>
  <c r="E1448" i="1"/>
  <c r="D1448" i="1"/>
  <c r="F1447" i="1"/>
  <c r="E1447" i="1"/>
  <c r="D1447" i="1"/>
  <c r="F1446" i="1"/>
  <c r="E1446" i="1"/>
  <c r="D1446" i="1"/>
  <c r="F1445" i="1"/>
  <c r="E1445" i="1"/>
  <c r="D1445" i="1"/>
  <c r="F1444" i="1"/>
  <c r="E1444" i="1"/>
  <c r="D1444" i="1"/>
  <c r="F1443" i="1"/>
  <c r="E1443" i="1"/>
  <c r="D1443" i="1"/>
  <c r="F1442" i="1"/>
  <c r="E1442" i="1"/>
  <c r="D1442" i="1"/>
  <c r="F1441" i="1"/>
  <c r="E1441" i="1"/>
  <c r="D1441" i="1"/>
  <c r="F1440" i="1"/>
  <c r="E1440" i="1"/>
  <c r="D1440" i="1"/>
  <c r="F1439" i="1"/>
  <c r="E1439" i="1"/>
  <c r="D1439" i="1"/>
  <c r="F1438" i="1"/>
  <c r="E1438" i="1"/>
  <c r="D1438" i="1"/>
  <c r="F1437" i="1"/>
  <c r="E1437" i="1"/>
  <c r="D1437" i="1"/>
  <c r="F1436" i="1"/>
  <c r="E1436" i="1"/>
  <c r="D1436" i="1"/>
  <c r="F1435" i="1"/>
  <c r="E1435" i="1"/>
  <c r="D1435" i="1"/>
  <c r="F1434" i="1"/>
  <c r="E1434" i="1"/>
  <c r="D1434" i="1"/>
  <c r="F1433" i="1"/>
  <c r="E1433" i="1"/>
  <c r="D1433" i="1"/>
  <c r="F1432" i="1"/>
  <c r="E1432" i="1"/>
  <c r="D1432" i="1"/>
  <c r="F1431" i="1"/>
  <c r="E1431" i="1"/>
  <c r="D1431" i="1"/>
  <c r="F1430" i="1"/>
  <c r="E1430" i="1"/>
  <c r="D1430" i="1"/>
  <c r="F1429" i="1"/>
  <c r="E1429" i="1"/>
  <c r="D1429" i="1"/>
  <c r="F1428" i="1"/>
  <c r="E1428" i="1"/>
  <c r="D1428" i="1"/>
  <c r="F1427" i="1"/>
  <c r="E1427" i="1"/>
  <c r="D1427" i="1"/>
  <c r="F1426" i="1"/>
  <c r="E1426" i="1"/>
  <c r="D1426" i="1"/>
  <c r="F1425" i="1"/>
  <c r="E1425" i="1"/>
  <c r="D1425" i="1"/>
  <c r="F1424" i="1"/>
  <c r="E1424" i="1"/>
  <c r="D1424" i="1"/>
  <c r="F1423" i="1"/>
  <c r="E1423" i="1"/>
  <c r="D1423" i="1"/>
  <c r="F1422" i="1"/>
  <c r="E1422" i="1"/>
  <c r="D1422" i="1"/>
  <c r="F1421" i="1"/>
  <c r="E1421" i="1"/>
  <c r="D1421" i="1"/>
  <c r="F1420" i="1"/>
  <c r="E1420" i="1"/>
  <c r="D1420" i="1"/>
  <c r="F1419" i="1"/>
  <c r="E1419" i="1"/>
  <c r="D1419" i="1"/>
  <c r="F1418" i="1"/>
  <c r="E1418" i="1"/>
  <c r="D1418" i="1"/>
  <c r="F1417" i="1"/>
  <c r="E1417" i="1"/>
  <c r="D1417" i="1"/>
  <c r="F1416" i="1"/>
  <c r="E1416" i="1"/>
  <c r="D1416" i="1"/>
  <c r="F1415" i="1"/>
  <c r="E1415" i="1"/>
  <c r="D1415" i="1"/>
  <c r="F1414" i="1"/>
  <c r="E1414" i="1"/>
  <c r="D1414" i="1"/>
  <c r="F1413" i="1"/>
  <c r="E1413" i="1"/>
  <c r="D1413" i="1"/>
  <c r="F1412" i="1"/>
  <c r="E1412" i="1"/>
  <c r="D1412" i="1"/>
  <c r="F1411" i="1"/>
  <c r="E1411" i="1"/>
  <c r="D1411" i="1"/>
  <c r="F1410" i="1"/>
  <c r="E1410" i="1"/>
  <c r="D1410" i="1"/>
  <c r="F1409" i="1"/>
  <c r="E1409" i="1"/>
  <c r="D1409" i="1"/>
  <c r="F1408" i="1"/>
  <c r="E1408" i="1"/>
  <c r="D1408" i="1"/>
  <c r="F1407" i="1"/>
  <c r="E1407" i="1"/>
  <c r="D1407" i="1"/>
  <c r="F1406" i="1"/>
  <c r="E1406" i="1"/>
  <c r="D1406" i="1"/>
  <c r="F1405" i="1"/>
  <c r="E1405" i="1"/>
  <c r="D1405" i="1"/>
  <c r="F1404" i="1"/>
  <c r="E1404" i="1"/>
  <c r="D1404" i="1"/>
  <c r="F1403" i="1"/>
  <c r="E1403" i="1"/>
  <c r="D1403" i="1"/>
  <c r="F1402" i="1"/>
  <c r="E1402" i="1"/>
  <c r="D1402" i="1"/>
  <c r="F1401" i="1"/>
  <c r="E1401" i="1"/>
  <c r="D1401" i="1"/>
  <c r="F1400" i="1"/>
  <c r="E1400" i="1"/>
  <c r="D1400" i="1"/>
  <c r="F1399" i="1"/>
  <c r="E1399" i="1"/>
  <c r="D1399" i="1"/>
  <c r="F1398" i="1"/>
  <c r="E1398" i="1"/>
  <c r="D1398" i="1"/>
  <c r="F1397" i="1"/>
  <c r="E1397" i="1"/>
  <c r="D1397" i="1"/>
  <c r="F1396" i="1"/>
  <c r="E1396" i="1"/>
  <c r="D1396" i="1"/>
  <c r="F1395" i="1"/>
  <c r="E1395" i="1"/>
  <c r="D1395" i="1"/>
  <c r="F1394" i="1"/>
  <c r="E1394" i="1"/>
  <c r="D1394" i="1"/>
  <c r="F1393" i="1"/>
  <c r="E1393" i="1"/>
  <c r="D1393" i="1"/>
  <c r="F1392" i="1"/>
  <c r="E1392" i="1"/>
  <c r="D1392" i="1"/>
  <c r="F1391" i="1"/>
  <c r="E1391" i="1"/>
  <c r="D1391" i="1"/>
  <c r="F1390" i="1"/>
  <c r="E1390" i="1"/>
  <c r="D1390" i="1"/>
  <c r="F1389" i="1"/>
  <c r="E1389" i="1"/>
  <c r="D1389" i="1"/>
  <c r="F1388" i="1"/>
  <c r="E1388" i="1"/>
  <c r="D1388" i="1"/>
  <c r="F1387" i="1"/>
  <c r="E1387" i="1"/>
  <c r="D1387" i="1"/>
  <c r="F1386" i="1"/>
  <c r="E1386" i="1"/>
  <c r="D1386" i="1"/>
  <c r="F1385" i="1"/>
  <c r="E1385" i="1"/>
  <c r="D1385" i="1"/>
  <c r="F1384" i="1"/>
  <c r="E1384" i="1"/>
  <c r="D1384" i="1"/>
  <c r="F1383" i="1"/>
  <c r="E1383" i="1"/>
  <c r="D1383" i="1"/>
  <c r="F1382" i="1"/>
  <c r="E1382" i="1"/>
  <c r="D1382" i="1"/>
  <c r="F1381" i="1"/>
  <c r="E1381" i="1"/>
  <c r="D1381" i="1"/>
  <c r="F1380" i="1"/>
  <c r="E1380" i="1"/>
  <c r="D1380" i="1"/>
  <c r="F1379" i="1"/>
  <c r="E1379" i="1"/>
  <c r="D1379" i="1"/>
  <c r="F1378" i="1"/>
  <c r="E1378" i="1"/>
  <c r="D1378" i="1"/>
  <c r="F1377" i="1"/>
  <c r="E1377" i="1"/>
  <c r="D1377" i="1"/>
  <c r="F1376" i="1"/>
  <c r="E1376" i="1"/>
  <c r="D1376" i="1"/>
  <c r="F1375" i="1"/>
  <c r="E1375" i="1"/>
  <c r="D1375" i="1"/>
  <c r="F1374" i="1"/>
  <c r="E1374" i="1"/>
  <c r="D1374" i="1"/>
  <c r="F1373" i="1"/>
  <c r="E1373" i="1"/>
  <c r="D1373" i="1"/>
  <c r="F1372" i="1"/>
  <c r="E1372" i="1"/>
  <c r="D1372" i="1"/>
  <c r="F1371" i="1"/>
  <c r="E1371" i="1"/>
  <c r="D1371" i="1"/>
  <c r="F1370" i="1"/>
  <c r="E1370" i="1"/>
  <c r="D1370" i="1"/>
  <c r="F1369" i="1"/>
  <c r="E1369" i="1"/>
  <c r="D1369" i="1"/>
  <c r="F1368" i="1"/>
  <c r="E1368" i="1"/>
  <c r="D1368" i="1"/>
  <c r="F1367" i="1"/>
  <c r="E1367" i="1"/>
  <c r="D1367" i="1"/>
  <c r="F1366" i="1"/>
  <c r="E1366" i="1"/>
  <c r="D1366" i="1"/>
  <c r="F1365" i="1"/>
  <c r="E1365" i="1"/>
  <c r="D1365" i="1"/>
  <c r="F1364" i="1"/>
  <c r="E1364" i="1"/>
  <c r="D1364" i="1"/>
  <c r="F1363" i="1"/>
  <c r="E1363" i="1"/>
  <c r="D1363" i="1"/>
  <c r="F1362" i="1"/>
  <c r="E1362" i="1"/>
  <c r="D1362" i="1"/>
  <c r="F1361" i="1"/>
  <c r="E1361" i="1"/>
  <c r="D1361" i="1"/>
  <c r="F1360" i="1"/>
  <c r="E1360" i="1"/>
  <c r="D1360" i="1"/>
  <c r="F1359" i="1"/>
  <c r="E1359" i="1"/>
  <c r="D1359" i="1"/>
  <c r="F1358" i="1"/>
  <c r="E1358" i="1"/>
  <c r="D1358" i="1"/>
  <c r="F1357" i="1"/>
  <c r="E1357" i="1"/>
  <c r="D1357" i="1"/>
  <c r="F1356" i="1"/>
  <c r="E1356" i="1"/>
  <c r="D1356" i="1"/>
  <c r="F1355" i="1"/>
  <c r="E1355" i="1"/>
  <c r="D1355" i="1"/>
  <c r="F1354" i="1"/>
  <c r="E1354" i="1"/>
  <c r="D1354" i="1"/>
  <c r="F1353" i="1"/>
  <c r="E1353" i="1"/>
  <c r="D1353" i="1"/>
  <c r="F1352" i="1"/>
  <c r="E1352" i="1"/>
  <c r="D1352" i="1"/>
  <c r="F1351" i="1"/>
  <c r="E1351" i="1"/>
  <c r="D1351" i="1"/>
  <c r="F1350" i="1"/>
  <c r="E1350" i="1"/>
  <c r="D1350" i="1"/>
  <c r="F1349" i="1"/>
  <c r="E1349" i="1"/>
  <c r="D1349" i="1"/>
  <c r="F1348" i="1"/>
  <c r="E1348" i="1"/>
  <c r="D1348" i="1"/>
  <c r="F1347" i="1"/>
  <c r="E1347" i="1"/>
  <c r="D1347" i="1"/>
  <c r="F1346" i="1"/>
  <c r="E1346" i="1"/>
  <c r="D1346" i="1"/>
  <c r="F1345" i="1"/>
  <c r="E1345" i="1"/>
  <c r="D1345" i="1"/>
  <c r="F1344" i="1"/>
  <c r="E1344" i="1"/>
  <c r="D1344" i="1"/>
  <c r="F1343" i="1"/>
  <c r="E1343" i="1"/>
  <c r="D1343" i="1"/>
  <c r="F1342" i="1"/>
  <c r="E1342" i="1"/>
  <c r="D1342" i="1"/>
  <c r="F1341" i="1"/>
  <c r="E1341" i="1"/>
  <c r="D1341" i="1"/>
  <c r="F1340" i="1"/>
  <c r="E1340" i="1"/>
  <c r="D1340" i="1"/>
  <c r="F1339" i="1"/>
  <c r="E1339" i="1"/>
  <c r="D1339" i="1"/>
  <c r="F1338" i="1"/>
  <c r="E1338" i="1"/>
  <c r="D1338" i="1"/>
  <c r="F1337" i="1"/>
  <c r="E1337" i="1"/>
  <c r="D1337" i="1"/>
  <c r="F1336" i="1"/>
  <c r="E1336" i="1"/>
  <c r="D1336" i="1"/>
  <c r="F1335" i="1"/>
  <c r="E1335" i="1"/>
  <c r="D1335" i="1"/>
  <c r="F1334" i="1"/>
  <c r="E1334" i="1"/>
  <c r="D1334" i="1"/>
  <c r="F1333" i="1"/>
  <c r="E1333" i="1"/>
  <c r="D1333" i="1"/>
  <c r="F1332" i="1"/>
  <c r="E1332" i="1"/>
  <c r="D1332" i="1"/>
  <c r="F1331" i="1"/>
  <c r="E1331" i="1"/>
  <c r="D1331" i="1"/>
  <c r="F1330" i="1"/>
  <c r="E1330" i="1"/>
  <c r="D1330" i="1"/>
  <c r="F1329" i="1"/>
  <c r="E1329" i="1"/>
  <c r="D1329" i="1"/>
  <c r="F1328" i="1"/>
  <c r="E1328" i="1"/>
  <c r="D1328" i="1"/>
  <c r="F1327" i="1"/>
  <c r="E1327" i="1"/>
  <c r="D1327" i="1"/>
  <c r="F1326" i="1"/>
  <c r="E1326" i="1"/>
  <c r="D1326" i="1"/>
  <c r="F1325" i="1"/>
  <c r="E1325" i="1"/>
  <c r="D1325" i="1"/>
  <c r="F1324" i="1"/>
  <c r="E1324" i="1"/>
  <c r="D1324" i="1"/>
  <c r="F1323" i="1"/>
  <c r="E1323" i="1"/>
  <c r="D1323" i="1"/>
  <c r="F1322" i="1"/>
  <c r="E1322" i="1"/>
  <c r="D1322" i="1"/>
  <c r="F1321" i="1"/>
  <c r="E1321" i="1"/>
  <c r="D1321" i="1"/>
  <c r="F1320" i="1"/>
  <c r="E1320" i="1"/>
  <c r="D1320" i="1"/>
  <c r="F1319" i="1"/>
  <c r="E1319" i="1"/>
  <c r="D1319" i="1"/>
  <c r="F1318" i="1"/>
  <c r="E1318" i="1"/>
  <c r="D1318" i="1"/>
  <c r="F1317" i="1"/>
  <c r="E1317" i="1"/>
  <c r="D1317" i="1"/>
  <c r="F1316" i="1"/>
  <c r="E1316" i="1"/>
  <c r="D1316" i="1"/>
  <c r="F1315" i="1"/>
  <c r="E1315" i="1"/>
  <c r="D1315" i="1"/>
  <c r="F1314" i="1"/>
  <c r="E1314" i="1"/>
  <c r="D1314" i="1"/>
  <c r="F1313" i="1"/>
  <c r="E1313" i="1"/>
  <c r="D1313" i="1"/>
  <c r="F1312" i="1"/>
  <c r="E1312" i="1"/>
  <c r="D1312" i="1"/>
  <c r="F1311" i="1"/>
  <c r="E1311" i="1"/>
  <c r="D1311" i="1"/>
  <c r="F1310" i="1"/>
  <c r="E1310" i="1"/>
  <c r="D1310" i="1"/>
  <c r="F1309" i="1"/>
  <c r="E1309" i="1"/>
  <c r="D1309" i="1"/>
  <c r="F1308" i="1"/>
  <c r="E1308" i="1"/>
  <c r="D1308" i="1"/>
  <c r="F1307" i="1"/>
  <c r="E1307" i="1"/>
  <c r="D1307" i="1"/>
  <c r="F1306" i="1"/>
  <c r="E1306" i="1"/>
  <c r="D1306" i="1"/>
  <c r="F1305" i="1"/>
  <c r="E1305" i="1"/>
  <c r="D1305" i="1"/>
  <c r="F1304" i="1"/>
  <c r="E1304" i="1"/>
  <c r="D1304" i="1"/>
  <c r="F1303" i="1"/>
  <c r="E1303" i="1"/>
  <c r="D1303" i="1"/>
  <c r="F1302" i="1"/>
  <c r="E1302" i="1"/>
  <c r="D1302" i="1"/>
  <c r="F1301" i="1"/>
  <c r="E1301" i="1"/>
  <c r="D1301" i="1"/>
  <c r="F1300" i="1"/>
  <c r="E1300" i="1"/>
  <c r="D1300" i="1"/>
  <c r="F1299" i="1"/>
  <c r="E1299" i="1"/>
  <c r="D1299" i="1"/>
  <c r="F1298" i="1"/>
  <c r="E1298" i="1"/>
  <c r="D1298" i="1"/>
  <c r="F1297" i="1"/>
  <c r="E1297" i="1"/>
  <c r="D1297" i="1"/>
  <c r="F1296" i="1"/>
  <c r="E1296" i="1"/>
  <c r="D1296" i="1"/>
  <c r="F1295" i="1"/>
  <c r="E1295" i="1"/>
  <c r="D1295" i="1"/>
  <c r="F1294" i="1"/>
  <c r="E1294" i="1"/>
  <c r="D1294" i="1"/>
  <c r="F1293" i="1"/>
  <c r="E1293" i="1"/>
  <c r="D1293" i="1"/>
  <c r="F1292" i="1"/>
  <c r="E1292" i="1"/>
  <c r="D1292" i="1"/>
  <c r="F1291" i="1"/>
  <c r="E1291" i="1"/>
  <c r="D1291" i="1"/>
  <c r="F1290" i="1"/>
  <c r="E1290" i="1"/>
  <c r="D1290" i="1"/>
  <c r="F1289" i="1"/>
  <c r="E1289" i="1"/>
  <c r="D1289" i="1"/>
  <c r="F1288" i="1"/>
  <c r="E1288" i="1"/>
  <c r="D1288" i="1"/>
  <c r="F1287" i="1"/>
  <c r="E1287" i="1"/>
  <c r="D1287" i="1"/>
  <c r="F1286" i="1"/>
  <c r="E1286" i="1"/>
  <c r="D1286" i="1"/>
  <c r="F1285" i="1"/>
  <c r="E1285" i="1"/>
  <c r="D1285" i="1"/>
  <c r="F1284" i="1"/>
  <c r="E1284" i="1"/>
  <c r="D1284" i="1"/>
  <c r="F1283" i="1"/>
  <c r="E1283" i="1"/>
  <c r="D1283" i="1"/>
  <c r="F1282" i="1"/>
  <c r="E1282" i="1"/>
  <c r="D1282" i="1"/>
  <c r="F1281" i="1"/>
  <c r="E1281" i="1"/>
  <c r="D1281" i="1"/>
  <c r="F1280" i="1"/>
  <c r="E1280" i="1"/>
  <c r="D1280" i="1"/>
  <c r="F1279" i="1"/>
  <c r="E1279" i="1"/>
  <c r="D1279" i="1"/>
  <c r="F1278" i="1"/>
  <c r="E1278" i="1"/>
  <c r="D1278" i="1"/>
  <c r="F1277" i="1"/>
  <c r="E1277" i="1"/>
  <c r="D1277" i="1"/>
  <c r="F1276" i="1"/>
  <c r="E1276" i="1"/>
  <c r="D1276" i="1"/>
  <c r="F1275" i="1"/>
  <c r="E1275" i="1"/>
  <c r="D1275" i="1"/>
  <c r="F1274" i="1"/>
  <c r="E1274" i="1"/>
  <c r="D1274" i="1"/>
  <c r="F1273" i="1"/>
  <c r="E1273" i="1"/>
  <c r="D1273" i="1"/>
  <c r="F1272" i="1"/>
  <c r="E1272" i="1"/>
  <c r="D1272" i="1"/>
  <c r="F1271" i="1"/>
  <c r="E1271" i="1"/>
  <c r="D1271" i="1"/>
  <c r="F1270" i="1"/>
  <c r="E1270" i="1"/>
  <c r="D1270" i="1"/>
  <c r="F1269" i="1"/>
  <c r="E1269" i="1"/>
  <c r="D1269" i="1"/>
  <c r="F1268" i="1"/>
  <c r="E1268" i="1"/>
  <c r="D1268" i="1"/>
  <c r="F1267" i="1"/>
  <c r="E1267" i="1"/>
  <c r="D1267" i="1"/>
  <c r="F1266" i="1"/>
  <c r="E1266" i="1"/>
  <c r="D1266" i="1"/>
  <c r="F1265" i="1"/>
  <c r="E1265" i="1"/>
  <c r="D1265" i="1"/>
  <c r="F1264" i="1"/>
  <c r="E1264" i="1"/>
  <c r="D1264" i="1"/>
  <c r="F1263" i="1"/>
  <c r="E1263" i="1"/>
  <c r="D1263" i="1"/>
  <c r="F1262" i="1"/>
  <c r="E1262" i="1"/>
  <c r="D1262" i="1"/>
  <c r="F1261" i="1"/>
  <c r="E1261" i="1"/>
  <c r="D1261" i="1"/>
  <c r="F1260" i="1"/>
  <c r="E1260" i="1"/>
  <c r="D1260" i="1"/>
  <c r="F1259" i="1"/>
  <c r="E1259" i="1"/>
  <c r="D1259" i="1"/>
  <c r="F1258" i="1"/>
  <c r="E1258" i="1"/>
  <c r="D1258" i="1"/>
  <c r="F1257" i="1"/>
  <c r="E1257" i="1"/>
  <c r="D1257" i="1"/>
  <c r="F1256" i="1"/>
  <c r="E1256" i="1"/>
  <c r="D1256" i="1"/>
  <c r="F1255" i="1"/>
  <c r="E1255" i="1"/>
  <c r="D1255" i="1"/>
  <c r="F1254" i="1"/>
  <c r="E1254" i="1"/>
  <c r="D1254" i="1"/>
  <c r="F1253" i="1"/>
  <c r="E1253" i="1"/>
  <c r="D1253" i="1"/>
  <c r="F1252" i="1"/>
  <c r="E1252" i="1"/>
  <c r="D1252" i="1"/>
  <c r="F1251" i="1"/>
  <c r="E1251" i="1"/>
  <c r="D1251" i="1"/>
  <c r="F1250" i="1"/>
  <c r="E1250" i="1"/>
  <c r="D1250" i="1"/>
  <c r="F1249" i="1"/>
  <c r="E1249" i="1"/>
  <c r="D1249" i="1"/>
  <c r="F1248" i="1"/>
  <c r="E1248" i="1"/>
  <c r="D1248" i="1"/>
  <c r="F1247" i="1"/>
  <c r="E1247" i="1"/>
  <c r="D1247" i="1"/>
  <c r="F1246" i="1"/>
  <c r="E1246" i="1"/>
  <c r="D1246" i="1"/>
  <c r="F1245" i="1"/>
  <c r="E1245" i="1"/>
  <c r="D1245" i="1"/>
  <c r="F1244" i="1"/>
  <c r="E1244" i="1"/>
  <c r="D1244" i="1"/>
  <c r="F1243" i="1"/>
  <c r="E1243" i="1"/>
  <c r="D1243" i="1"/>
  <c r="F1242" i="1"/>
  <c r="E1242" i="1"/>
  <c r="D1242" i="1"/>
  <c r="F1241" i="1"/>
  <c r="E1241" i="1"/>
  <c r="D1241" i="1"/>
  <c r="F1240" i="1"/>
  <c r="E1240" i="1"/>
  <c r="D1240" i="1"/>
  <c r="F1239" i="1"/>
  <c r="E1239" i="1"/>
  <c r="D1239" i="1"/>
  <c r="F1238" i="1"/>
  <c r="E1238" i="1"/>
  <c r="D1238" i="1"/>
  <c r="F1237" i="1"/>
  <c r="E1237" i="1"/>
  <c r="D1237" i="1"/>
  <c r="F1236" i="1"/>
  <c r="E1236" i="1"/>
  <c r="D1236" i="1"/>
  <c r="F1235" i="1"/>
  <c r="E1235" i="1"/>
  <c r="D1235" i="1"/>
  <c r="F1234" i="1"/>
  <c r="E1234" i="1"/>
  <c r="D1234" i="1"/>
  <c r="F1233" i="1"/>
  <c r="E1233" i="1"/>
  <c r="D1233" i="1"/>
  <c r="F1232" i="1"/>
  <c r="E1232" i="1"/>
  <c r="D1232" i="1"/>
  <c r="F1231" i="1"/>
  <c r="E1231" i="1"/>
  <c r="D1231" i="1"/>
  <c r="F1230" i="1"/>
  <c r="E1230" i="1"/>
  <c r="D1230" i="1"/>
  <c r="F1229" i="1"/>
  <c r="E1229" i="1"/>
  <c r="D1229" i="1"/>
  <c r="F1228" i="1"/>
  <c r="E1228" i="1"/>
  <c r="D1228" i="1"/>
  <c r="F1227" i="1"/>
  <c r="E1227" i="1"/>
  <c r="D1227" i="1"/>
  <c r="F1226" i="1"/>
  <c r="E1226" i="1"/>
  <c r="D1226" i="1"/>
  <c r="F1225" i="1"/>
  <c r="E1225" i="1"/>
  <c r="D1225" i="1"/>
  <c r="F1224" i="1"/>
  <c r="E1224" i="1"/>
  <c r="D1224" i="1"/>
  <c r="F1223" i="1"/>
  <c r="E1223" i="1"/>
  <c r="D1223" i="1"/>
  <c r="F1222" i="1"/>
  <c r="E1222" i="1"/>
  <c r="D1222" i="1"/>
  <c r="F1221" i="1"/>
  <c r="E1221" i="1"/>
  <c r="D1221" i="1"/>
  <c r="F1220" i="1"/>
  <c r="E1220" i="1"/>
  <c r="D1220" i="1"/>
  <c r="F1219" i="1"/>
  <c r="E1219" i="1"/>
  <c r="D1219" i="1"/>
  <c r="F1218" i="1"/>
  <c r="E1218" i="1"/>
  <c r="D1218" i="1"/>
  <c r="F1217" i="1"/>
  <c r="E1217" i="1"/>
  <c r="D1217" i="1"/>
  <c r="F1216" i="1"/>
  <c r="E1216" i="1"/>
  <c r="D1216" i="1"/>
  <c r="F1215" i="1"/>
  <c r="E1215" i="1"/>
  <c r="D1215" i="1"/>
  <c r="F1214" i="1"/>
  <c r="E1214" i="1"/>
  <c r="D1214" i="1"/>
  <c r="F1213" i="1"/>
  <c r="E1213" i="1"/>
  <c r="D1213" i="1"/>
  <c r="F1212" i="1"/>
  <c r="E1212" i="1"/>
  <c r="D1212" i="1"/>
  <c r="F1211" i="1"/>
  <c r="E1211" i="1"/>
  <c r="D1211" i="1"/>
  <c r="F1210" i="1"/>
  <c r="E1210" i="1"/>
  <c r="D1210" i="1"/>
  <c r="F1209" i="1"/>
  <c r="E1209" i="1"/>
  <c r="D1209" i="1"/>
  <c r="F1208" i="1"/>
  <c r="E1208" i="1"/>
  <c r="D1208" i="1"/>
  <c r="F1207" i="1"/>
  <c r="E1207" i="1"/>
  <c r="D1207" i="1"/>
  <c r="F1206" i="1"/>
  <c r="E1206" i="1"/>
  <c r="D1206" i="1"/>
  <c r="F1205" i="1"/>
  <c r="E1205" i="1"/>
  <c r="D1205" i="1"/>
  <c r="F1204" i="1"/>
  <c r="E1204" i="1"/>
  <c r="D1204" i="1"/>
  <c r="F1203" i="1"/>
  <c r="E1203" i="1"/>
  <c r="D1203" i="1"/>
  <c r="F1202" i="1"/>
  <c r="E1202" i="1"/>
  <c r="D1202" i="1"/>
  <c r="F1201" i="1"/>
  <c r="E1201" i="1"/>
  <c r="D1201" i="1"/>
  <c r="F1200" i="1"/>
  <c r="E1200" i="1"/>
  <c r="D1200" i="1"/>
  <c r="F1199" i="1"/>
  <c r="E1199" i="1"/>
  <c r="D1199" i="1"/>
  <c r="F1198" i="1"/>
  <c r="E1198" i="1"/>
  <c r="D1198" i="1"/>
  <c r="F1197" i="1"/>
  <c r="E1197" i="1"/>
  <c r="D1197" i="1"/>
  <c r="F1196" i="1"/>
  <c r="E1196" i="1"/>
  <c r="D1196" i="1"/>
  <c r="F1195" i="1"/>
  <c r="E1195" i="1"/>
  <c r="D1195" i="1"/>
  <c r="F1194" i="1"/>
  <c r="E1194" i="1"/>
  <c r="D1194" i="1"/>
  <c r="F1193" i="1"/>
  <c r="E1193" i="1"/>
  <c r="D1193" i="1"/>
  <c r="D1192" i="1"/>
  <c r="F1192" i="1"/>
  <c r="E1192" i="1"/>
  <c r="F1191" i="1"/>
  <c r="E1191" i="1"/>
  <c r="D1191" i="1"/>
  <c r="F1190" i="1"/>
  <c r="E1190" i="1"/>
  <c r="D1190" i="1"/>
  <c r="F1189" i="1"/>
  <c r="E1189" i="1"/>
  <c r="D1189" i="1"/>
  <c r="F1188" i="1"/>
  <c r="E1188" i="1"/>
  <c r="D1188" i="1"/>
  <c r="F1187" i="1"/>
  <c r="E1187" i="1"/>
  <c r="D1187" i="1"/>
  <c r="F1186" i="1"/>
  <c r="E1186" i="1"/>
  <c r="D1186" i="1"/>
  <c r="F1185" i="1"/>
  <c r="E1185" i="1"/>
  <c r="D1185" i="1"/>
  <c r="F1184" i="1"/>
  <c r="E1184" i="1"/>
  <c r="D1184" i="1"/>
  <c r="F1183" i="1"/>
  <c r="E1183" i="1"/>
  <c r="D1183" i="1"/>
  <c r="F1182" i="1"/>
  <c r="E1182" i="1"/>
  <c r="D1182" i="1"/>
  <c r="F1181" i="1"/>
  <c r="E1181" i="1"/>
  <c r="D1181" i="1"/>
  <c r="F1180" i="1"/>
  <c r="E1180" i="1"/>
  <c r="D1180" i="1"/>
  <c r="F1179" i="1"/>
  <c r="E1179" i="1"/>
  <c r="D1179" i="1"/>
  <c r="F1178" i="1"/>
  <c r="E1178" i="1"/>
  <c r="D1178" i="1"/>
  <c r="F1177" i="1"/>
  <c r="E1177" i="1"/>
  <c r="D1177" i="1"/>
  <c r="F1176" i="1"/>
  <c r="E1176" i="1"/>
  <c r="D1176" i="1"/>
  <c r="F1175" i="1"/>
  <c r="E1175" i="1"/>
  <c r="D1175" i="1"/>
  <c r="F1174" i="1"/>
  <c r="E1174" i="1"/>
  <c r="D1174" i="1"/>
  <c r="F1173" i="1"/>
  <c r="E1173" i="1"/>
  <c r="D1173" i="1"/>
  <c r="F1172" i="1"/>
  <c r="E1172" i="1"/>
  <c r="D1172" i="1"/>
  <c r="F1171" i="1"/>
  <c r="E1171" i="1"/>
  <c r="D1171" i="1"/>
  <c r="F1170" i="1"/>
  <c r="E1170" i="1"/>
  <c r="D1170" i="1"/>
  <c r="F1169" i="1"/>
  <c r="E1169" i="1"/>
  <c r="D1169" i="1"/>
  <c r="F1168" i="1"/>
  <c r="E1168" i="1"/>
  <c r="D1168" i="1"/>
  <c r="F1167" i="1"/>
  <c r="E1167" i="1"/>
  <c r="D1167" i="1"/>
  <c r="F1166" i="1"/>
  <c r="E1166" i="1"/>
  <c r="D1166" i="1"/>
  <c r="F1165" i="1"/>
  <c r="E1165" i="1"/>
  <c r="D1165" i="1"/>
  <c r="F1164" i="1"/>
  <c r="E1164" i="1"/>
  <c r="D1164" i="1"/>
  <c r="F1163" i="1"/>
  <c r="E1163" i="1"/>
  <c r="D1163" i="1"/>
  <c r="F1162" i="1"/>
  <c r="E1162" i="1"/>
  <c r="D1162" i="1"/>
  <c r="F1161" i="1"/>
  <c r="E1161" i="1"/>
  <c r="D1161" i="1"/>
  <c r="F1160" i="1"/>
  <c r="E1160" i="1"/>
  <c r="D1160" i="1"/>
  <c r="F1159" i="1"/>
  <c r="E1159" i="1"/>
  <c r="D1159" i="1"/>
  <c r="F1158" i="1"/>
  <c r="E1158" i="1"/>
  <c r="D1158" i="1"/>
  <c r="F1157" i="1"/>
  <c r="E1157" i="1"/>
  <c r="D1157" i="1"/>
  <c r="F1156" i="1"/>
  <c r="E1156" i="1"/>
  <c r="D1156" i="1"/>
  <c r="F1155" i="1"/>
  <c r="E1155" i="1"/>
  <c r="D1155" i="1"/>
  <c r="F1154" i="1"/>
  <c r="E1154" i="1"/>
  <c r="D1154" i="1"/>
  <c r="F1153" i="1"/>
  <c r="E1153" i="1"/>
  <c r="D1153" i="1"/>
  <c r="F1152" i="1"/>
  <c r="E1152" i="1"/>
  <c r="D1152" i="1"/>
  <c r="F1151" i="1"/>
  <c r="E1151" i="1"/>
  <c r="D1151" i="1"/>
  <c r="F1150" i="1"/>
  <c r="E1150" i="1"/>
  <c r="D1150" i="1"/>
  <c r="F1149" i="1"/>
  <c r="E1149" i="1"/>
  <c r="D1149" i="1"/>
  <c r="F1148" i="1"/>
  <c r="E1148" i="1"/>
  <c r="D1148" i="1"/>
  <c r="F1147" i="1"/>
  <c r="E1147" i="1"/>
  <c r="D1147" i="1"/>
  <c r="F1146" i="1"/>
  <c r="E1146" i="1"/>
  <c r="D1146" i="1"/>
  <c r="F1145" i="1"/>
  <c r="E1145" i="1"/>
  <c r="D1145" i="1"/>
  <c r="F1144" i="1"/>
  <c r="E1144" i="1"/>
  <c r="D1144" i="1"/>
  <c r="F1143" i="1"/>
  <c r="E1143" i="1"/>
  <c r="D1143" i="1"/>
  <c r="F1142" i="1"/>
  <c r="E1142" i="1"/>
  <c r="D1142" i="1"/>
  <c r="F1141" i="1"/>
  <c r="E1141" i="1"/>
  <c r="D1141" i="1"/>
  <c r="F1140" i="1"/>
  <c r="E1140" i="1"/>
  <c r="D1140" i="1"/>
  <c r="F1139" i="1"/>
  <c r="E1139" i="1"/>
  <c r="D1139" i="1"/>
  <c r="F1138" i="1"/>
  <c r="E1138" i="1"/>
  <c r="D1138" i="1"/>
  <c r="F1137" i="1"/>
  <c r="E1137" i="1"/>
  <c r="D1137" i="1"/>
  <c r="F1136" i="1"/>
  <c r="E1136" i="1"/>
  <c r="D1136" i="1"/>
  <c r="F1135" i="1"/>
  <c r="E1135" i="1"/>
  <c r="D1135" i="1"/>
  <c r="F1134" i="1"/>
  <c r="E1134" i="1"/>
  <c r="D1134" i="1"/>
  <c r="F1133" i="1"/>
  <c r="E1133" i="1"/>
  <c r="D1133" i="1"/>
  <c r="F1132" i="1"/>
  <c r="E1132" i="1"/>
  <c r="D1132" i="1"/>
  <c r="F1131" i="1"/>
  <c r="E1131" i="1"/>
  <c r="D1131" i="1"/>
  <c r="F1130" i="1"/>
  <c r="E1130" i="1"/>
  <c r="D1130" i="1"/>
  <c r="F1129" i="1"/>
  <c r="E1129" i="1"/>
  <c r="D1129" i="1"/>
  <c r="F1128" i="1"/>
  <c r="E1128" i="1"/>
  <c r="D1128" i="1"/>
  <c r="F1127" i="1"/>
  <c r="E1127" i="1"/>
  <c r="D1127" i="1"/>
  <c r="F1126" i="1"/>
  <c r="E1126" i="1"/>
  <c r="D1126" i="1"/>
  <c r="F1125" i="1"/>
  <c r="E1125" i="1"/>
  <c r="D1125" i="1"/>
  <c r="F1124" i="1"/>
  <c r="E1124" i="1"/>
  <c r="D1124" i="1"/>
  <c r="F1123" i="1"/>
  <c r="E1123" i="1"/>
  <c r="D1123" i="1"/>
  <c r="F1122" i="1"/>
  <c r="E1122" i="1"/>
  <c r="D1122" i="1"/>
  <c r="F1121" i="1"/>
  <c r="E1121" i="1"/>
  <c r="D1121" i="1"/>
  <c r="F1120" i="1"/>
  <c r="E1120" i="1"/>
  <c r="D1120" i="1"/>
  <c r="F1119" i="1"/>
  <c r="E1119" i="1"/>
  <c r="D1119" i="1"/>
  <c r="F1118" i="1"/>
  <c r="E1118" i="1"/>
  <c r="D1118" i="1"/>
  <c r="F1117" i="1"/>
  <c r="E1117" i="1"/>
  <c r="D1117" i="1"/>
  <c r="F1116" i="1"/>
  <c r="E1116" i="1"/>
  <c r="D1116" i="1"/>
  <c r="F1115" i="1"/>
  <c r="E1115" i="1"/>
  <c r="D1115" i="1"/>
  <c r="F1114" i="1"/>
  <c r="E1114" i="1"/>
  <c r="D1114" i="1"/>
  <c r="F1113" i="1"/>
  <c r="E1113" i="1"/>
  <c r="D1113" i="1"/>
  <c r="F1112" i="1"/>
  <c r="E1112" i="1"/>
  <c r="D1112" i="1"/>
  <c r="F1111" i="1"/>
  <c r="E1111" i="1"/>
  <c r="D1111" i="1"/>
  <c r="F1110" i="1"/>
  <c r="E1110" i="1"/>
  <c r="D1110" i="1"/>
  <c r="F1109" i="1" l="1"/>
  <c r="E1109" i="1"/>
  <c r="D1109" i="1"/>
  <c r="F1108" i="1"/>
  <c r="E1108" i="1"/>
  <c r="D1108" i="1"/>
  <c r="F1107" i="1"/>
  <c r="E1107" i="1"/>
  <c r="D1107" i="1"/>
  <c r="F1106" i="1"/>
  <c r="E1106" i="1"/>
  <c r="D1106" i="1"/>
  <c r="F1105" i="1"/>
  <c r="E1105" i="1"/>
  <c r="D1105" i="1"/>
  <c r="F1104" i="1"/>
  <c r="E1104" i="1"/>
  <c r="D1104" i="1"/>
  <c r="F1103" i="1"/>
  <c r="E1103" i="1"/>
  <c r="D1103" i="1"/>
  <c r="F1102" i="1"/>
  <c r="E1102" i="1"/>
  <c r="D1102" i="1"/>
  <c r="F1101" i="1"/>
  <c r="E1101" i="1"/>
  <c r="D1101" i="1"/>
  <c r="F1100" i="1"/>
  <c r="E1100" i="1"/>
  <c r="D1100" i="1"/>
  <c r="D1099" i="1"/>
  <c r="E1099" i="1"/>
  <c r="F1099" i="1"/>
  <c r="F1098" i="1"/>
  <c r="E1098" i="1"/>
  <c r="D1098" i="1"/>
  <c r="F1097" i="1"/>
  <c r="E1097" i="1"/>
  <c r="D1097" i="1"/>
  <c r="F1096" i="1"/>
  <c r="E1096" i="1"/>
  <c r="D1096" i="1"/>
  <c r="F1095" i="1"/>
  <c r="E1095" i="1"/>
  <c r="D1095" i="1"/>
  <c r="F1094" i="1"/>
  <c r="E1094" i="1"/>
  <c r="D1094" i="1"/>
  <c r="F1093" i="1"/>
  <c r="E1093" i="1"/>
  <c r="D1093" i="1"/>
  <c r="F1092" i="1"/>
  <c r="E1092" i="1"/>
  <c r="D1092" i="1"/>
  <c r="F1091" i="1"/>
  <c r="E1091" i="1"/>
  <c r="D1091" i="1"/>
  <c r="F1090" i="1"/>
  <c r="E1090" i="1"/>
  <c r="D1090" i="1"/>
  <c r="F1089" i="1"/>
  <c r="E1089" i="1"/>
  <c r="D1089" i="1"/>
  <c r="F1088" i="1"/>
  <c r="E1088" i="1"/>
  <c r="D1088" i="1"/>
  <c r="F1087" i="1"/>
  <c r="E1087" i="1"/>
  <c r="D1087" i="1"/>
  <c r="F1086" i="1"/>
  <c r="E1086" i="1"/>
  <c r="D1086" i="1"/>
  <c r="F1085" i="1"/>
  <c r="E1085" i="1"/>
  <c r="D1085" i="1"/>
  <c r="F1084" i="1"/>
  <c r="E1084" i="1"/>
  <c r="D1084" i="1"/>
  <c r="F1083" i="1"/>
  <c r="E1083" i="1"/>
  <c r="D1083" i="1"/>
  <c r="F1082" i="1"/>
  <c r="E1082" i="1"/>
  <c r="D1082" i="1"/>
  <c r="F1081" i="1"/>
  <c r="E1081" i="1"/>
  <c r="D1081" i="1"/>
  <c r="F1080" i="1"/>
  <c r="E1080" i="1"/>
  <c r="D1080" i="1"/>
  <c r="F1079" i="1"/>
  <c r="E1079" i="1"/>
  <c r="D1079" i="1"/>
  <c r="F1078" i="1"/>
  <c r="E1078" i="1"/>
  <c r="D1078" i="1"/>
  <c r="F1077" i="1"/>
  <c r="E1077" i="1"/>
  <c r="D1077" i="1"/>
  <c r="F1076" i="1"/>
  <c r="E1076" i="1"/>
  <c r="D1076" i="1"/>
  <c r="F1075" i="1"/>
  <c r="E1075" i="1"/>
  <c r="D1075" i="1"/>
  <c r="F1074" i="1"/>
  <c r="E1074" i="1"/>
  <c r="D1074" i="1"/>
  <c r="F1073" i="1"/>
  <c r="E1073" i="1"/>
  <c r="D1073" i="1"/>
  <c r="F1072" i="1"/>
  <c r="E1072" i="1"/>
  <c r="D1072" i="1"/>
  <c r="F1071" i="1"/>
  <c r="E1071" i="1"/>
  <c r="D1071" i="1"/>
  <c r="F1070" i="1"/>
  <c r="E1070" i="1"/>
  <c r="D1070" i="1"/>
  <c r="F1069" i="1"/>
  <c r="E1069" i="1"/>
  <c r="D1069" i="1"/>
  <c r="F1068" i="1"/>
  <c r="E1068" i="1"/>
  <c r="D1068" i="1"/>
  <c r="F1067" i="1"/>
  <c r="E1067" i="1"/>
  <c r="D1067" i="1"/>
  <c r="F1066" i="1"/>
  <c r="E1066" i="1"/>
  <c r="D1066" i="1"/>
  <c r="F1065" i="1"/>
  <c r="E1065" i="1"/>
  <c r="D1065" i="1"/>
  <c r="F1064" i="1"/>
  <c r="E1064" i="1"/>
  <c r="D1064" i="1"/>
  <c r="F1063" i="1"/>
  <c r="E1063" i="1"/>
  <c r="D1063" i="1"/>
  <c r="F1062" i="1"/>
  <c r="E1062" i="1"/>
  <c r="D1062" i="1"/>
  <c r="F1061" i="1"/>
  <c r="E1061" i="1"/>
  <c r="D1061" i="1"/>
  <c r="F1060" i="1"/>
  <c r="E1060" i="1"/>
  <c r="D1060" i="1"/>
  <c r="F1059" i="1"/>
  <c r="E1059" i="1"/>
  <c r="D1059" i="1"/>
  <c r="F1058" i="1"/>
  <c r="E1058" i="1"/>
  <c r="D1058" i="1"/>
  <c r="F1057" i="1"/>
  <c r="E1057" i="1"/>
  <c r="D1057" i="1"/>
  <c r="F1056" i="1"/>
  <c r="E1056" i="1"/>
  <c r="D1056" i="1"/>
  <c r="F1055" i="1"/>
  <c r="E1055" i="1"/>
  <c r="D1055" i="1"/>
  <c r="F1054" i="1"/>
  <c r="E1054" i="1"/>
  <c r="D1054" i="1"/>
  <c r="F1053" i="1"/>
  <c r="E1053" i="1"/>
  <c r="D1053" i="1"/>
  <c r="F1052" i="1"/>
  <c r="E1052" i="1"/>
  <c r="D1052" i="1"/>
  <c r="F1051" i="1"/>
  <c r="E1051" i="1"/>
  <c r="D1051" i="1"/>
  <c r="F1050" i="1"/>
  <c r="E1050" i="1"/>
  <c r="D1050" i="1"/>
  <c r="F1049" i="1"/>
  <c r="E1049" i="1"/>
  <c r="D1049" i="1"/>
  <c r="F1048" i="1"/>
  <c r="E1048" i="1"/>
  <c r="D1048" i="1"/>
  <c r="F1047" i="1"/>
  <c r="E1047" i="1"/>
  <c r="D1047" i="1"/>
  <c r="F1046" i="1"/>
  <c r="E1046" i="1"/>
  <c r="D1046" i="1"/>
  <c r="F1045" i="1"/>
  <c r="E1045" i="1"/>
  <c r="D1045" i="1"/>
  <c r="F1044" i="1"/>
  <c r="E1044" i="1"/>
  <c r="D1044" i="1"/>
  <c r="F1043" i="1"/>
  <c r="E1043" i="1"/>
  <c r="D1043" i="1"/>
  <c r="F1042" i="1"/>
  <c r="E1042" i="1"/>
  <c r="D1042" i="1"/>
  <c r="F1041" i="1"/>
  <c r="E1041" i="1"/>
  <c r="D1041" i="1"/>
  <c r="F1040" i="1"/>
  <c r="E1040" i="1"/>
  <c r="D1040" i="1"/>
  <c r="F1039" i="1"/>
  <c r="E1039" i="1"/>
  <c r="D1039" i="1"/>
  <c r="F1038" i="1"/>
  <c r="E1038" i="1"/>
  <c r="D1038" i="1"/>
  <c r="F1037" i="1"/>
  <c r="E1037" i="1"/>
  <c r="D1037" i="1"/>
  <c r="F1036" i="1"/>
  <c r="E1036" i="1"/>
  <c r="D1036" i="1"/>
  <c r="F1035" i="1"/>
  <c r="E1035" i="1"/>
  <c r="D1035" i="1"/>
  <c r="F1034" i="1"/>
  <c r="E1034" i="1"/>
  <c r="D1034" i="1"/>
  <c r="F1033" i="1"/>
  <c r="E1033" i="1"/>
  <c r="D1033" i="1"/>
  <c r="F1032" i="1"/>
  <c r="E1032" i="1"/>
  <c r="D1032" i="1"/>
  <c r="F1031" i="1"/>
  <c r="E1031" i="1"/>
  <c r="D1031" i="1"/>
  <c r="F1030" i="1"/>
  <c r="E1030" i="1"/>
  <c r="D1030" i="1"/>
  <c r="F1029" i="1"/>
  <c r="E1029" i="1"/>
  <c r="D1029" i="1"/>
  <c r="F1028" i="1"/>
  <c r="E1028" i="1"/>
  <c r="D1028" i="1"/>
  <c r="F1027" i="1"/>
  <c r="E1027" i="1"/>
  <c r="D1027" i="1"/>
  <c r="F1026" i="1"/>
  <c r="E1026" i="1"/>
  <c r="D1026" i="1"/>
  <c r="F1025" i="1"/>
  <c r="E1025" i="1"/>
  <c r="D1025" i="1"/>
  <c r="F1024" i="1"/>
  <c r="E1024" i="1"/>
  <c r="D1024" i="1"/>
  <c r="F1023" i="1"/>
  <c r="E1023" i="1"/>
  <c r="D1023" i="1"/>
  <c r="F1022" i="1"/>
  <c r="E1022" i="1"/>
  <c r="D1022" i="1"/>
  <c r="F1021" i="1"/>
  <c r="E1021" i="1"/>
  <c r="D1021" i="1"/>
  <c r="F1020" i="1"/>
  <c r="E1020" i="1"/>
  <c r="D1020" i="1"/>
  <c r="F1019" i="1"/>
  <c r="E1019" i="1"/>
  <c r="D1019" i="1"/>
  <c r="F1018" i="1"/>
  <c r="E1018" i="1"/>
  <c r="D1018" i="1"/>
  <c r="F1017" i="1"/>
  <c r="E1017" i="1"/>
  <c r="D1017" i="1"/>
  <c r="F1016" i="1"/>
  <c r="E1016" i="1"/>
  <c r="D1016" i="1"/>
  <c r="F1015" i="1"/>
  <c r="E1015" i="1"/>
  <c r="D1015" i="1"/>
  <c r="F1014" i="1"/>
  <c r="E1014" i="1"/>
  <c r="D1014" i="1"/>
  <c r="F1013" i="1"/>
  <c r="E1013" i="1"/>
  <c r="D1013" i="1"/>
  <c r="F1012" i="1"/>
  <c r="E1012" i="1"/>
  <c r="D1012" i="1"/>
  <c r="F1011" i="1"/>
  <c r="E1011" i="1"/>
  <c r="D1011" i="1"/>
  <c r="F1010" i="1"/>
  <c r="E1010" i="1"/>
  <c r="D1010" i="1"/>
  <c r="F1009" i="1"/>
  <c r="E1009" i="1"/>
  <c r="D1009" i="1"/>
  <c r="F1008" i="1"/>
  <c r="E1008" i="1"/>
  <c r="D1008" i="1"/>
  <c r="F1007" i="1"/>
  <c r="E1007" i="1"/>
  <c r="D1007" i="1"/>
  <c r="F1006" i="1"/>
  <c r="E1006" i="1"/>
  <c r="D1006" i="1"/>
  <c r="F1005" i="1"/>
  <c r="E1005" i="1"/>
  <c r="D1005" i="1"/>
  <c r="F1004" i="1"/>
  <c r="E1004" i="1"/>
  <c r="D1004" i="1"/>
  <c r="F1003" i="1"/>
  <c r="E1003" i="1"/>
  <c r="D1003" i="1"/>
  <c r="F1002" i="1"/>
  <c r="E1002" i="1"/>
  <c r="D1002" i="1"/>
  <c r="F1001" i="1"/>
  <c r="E1001" i="1"/>
  <c r="D1001" i="1"/>
  <c r="F1000" i="1"/>
  <c r="E1000" i="1"/>
  <c r="D1000" i="1"/>
  <c r="F999" i="1"/>
  <c r="E999" i="1"/>
  <c r="D999" i="1"/>
  <c r="F998" i="1"/>
  <c r="E998" i="1"/>
  <c r="D998" i="1"/>
  <c r="F997" i="1"/>
  <c r="E997" i="1"/>
  <c r="D997" i="1"/>
  <c r="F996" i="1"/>
  <c r="E996" i="1"/>
  <c r="D996" i="1"/>
  <c r="F995" i="1"/>
  <c r="E995" i="1"/>
  <c r="D995" i="1"/>
  <c r="F994" i="1"/>
  <c r="E994" i="1"/>
  <c r="D994" i="1"/>
  <c r="F993" i="1"/>
  <c r="E993" i="1"/>
  <c r="D993" i="1"/>
  <c r="F992" i="1"/>
  <c r="E992" i="1"/>
  <c r="D992" i="1"/>
  <c r="F991" i="1"/>
  <c r="E991" i="1"/>
  <c r="D991" i="1"/>
  <c r="F990" i="1"/>
  <c r="E990" i="1"/>
  <c r="D990" i="1"/>
  <c r="F989" i="1"/>
  <c r="E989" i="1"/>
  <c r="D989" i="1"/>
  <c r="F988" i="1"/>
  <c r="E988" i="1"/>
  <c r="D988" i="1"/>
  <c r="F987" i="1"/>
  <c r="E987" i="1"/>
  <c r="D987" i="1"/>
  <c r="F986" i="1"/>
  <c r="E986" i="1"/>
  <c r="D986" i="1"/>
  <c r="F985" i="1"/>
  <c r="E985" i="1"/>
  <c r="D985" i="1"/>
  <c r="F984" i="1"/>
  <c r="E984" i="1"/>
  <c r="D984" i="1"/>
  <c r="F983" i="1"/>
  <c r="E983" i="1"/>
  <c r="D983" i="1"/>
  <c r="F982" i="1"/>
  <c r="E982" i="1"/>
  <c r="D982" i="1"/>
  <c r="F981" i="1"/>
  <c r="E981" i="1"/>
  <c r="D981" i="1"/>
  <c r="F980" i="1"/>
  <c r="E980" i="1"/>
  <c r="D980" i="1"/>
  <c r="F979" i="1"/>
  <c r="E979" i="1"/>
  <c r="D979" i="1"/>
  <c r="F978" i="1"/>
  <c r="E978" i="1"/>
  <c r="D978" i="1"/>
  <c r="F977" i="1"/>
  <c r="E977" i="1"/>
  <c r="D977" i="1"/>
  <c r="F976" i="1"/>
  <c r="E976" i="1"/>
  <c r="D976" i="1"/>
  <c r="F975" i="1"/>
  <c r="E975" i="1"/>
  <c r="D975" i="1"/>
  <c r="F974" i="1"/>
  <c r="E974" i="1"/>
  <c r="D974" i="1"/>
  <c r="F973" i="1"/>
  <c r="E973" i="1"/>
  <c r="D973" i="1"/>
  <c r="F972" i="1" l="1"/>
  <c r="E972" i="1"/>
  <c r="D972" i="1"/>
  <c r="F971" i="1"/>
  <c r="E971" i="1"/>
  <c r="D971" i="1"/>
  <c r="F970" i="1"/>
  <c r="E970" i="1"/>
  <c r="D970" i="1"/>
  <c r="F969" i="1"/>
  <c r="E969" i="1"/>
  <c r="D969" i="1"/>
  <c r="F968" i="1"/>
  <c r="E968" i="1"/>
  <c r="D968" i="1"/>
  <c r="F967" i="1"/>
  <c r="E967" i="1"/>
  <c r="D967" i="1"/>
  <c r="F966" i="1"/>
  <c r="E966" i="1"/>
  <c r="D966" i="1"/>
  <c r="F965" i="1"/>
  <c r="E965" i="1"/>
  <c r="D965" i="1"/>
  <c r="F964" i="1"/>
  <c r="E964" i="1"/>
  <c r="D964" i="1"/>
  <c r="F963" i="1"/>
  <c r="E963" i="1"/>
  <c r="D963" i="1"/>
  <c r="F962" i="1"/>
  <c r="E962" i="1"/>
  <c r="D962" i="1"/>
  <c r="F961" i="1"/>
  <c r="E961" i="1"/>
  <c r="D961" i="1"/>
  <c r="F960" i="1"/>
  <c r="E960" i="1"/>
  <c r="D960" i="1"/>
  <c r="F959" i="1"/>
  <c r="E959" i="1"/>
  <c r="D959" i="1"/>
  <c r="F958" i="1"/>
  <c r="E958" i="1"/>
  <c r="D958" i="1"/>
  <c r="F957" i="1"/>
  <c r="E957" i="1"/>
  <c r="D957" i="1"/>
  <c r="F956" i="1"/>
  <c r="E956" i="1"/>
  <c r="D956" i="1"/>
  <c r="F955" i="1"/>
  <c r="E955" i="1"/>
  <c r="D955" i="1"/>
  <c r="F954" i="1"/>
  <c r="E954" i="1"/>
  <c r="D954" i="1"/>
  <c r="F953" i="1"/>
  <c r="E953" i="1"/>
  <c r="D953" i="1"/>
  <c r="F952" i="1"/>
  <c r="E952" i="1"/>
  <c r="D952" i="1"/>
  <c r="F951" i="1"/>
  <c r="E951" i="1"/>
  <c r="D951" i="1"/>
  <c r="F950" i="1"/>
  <c r="E950" i="1"/>
  <c r="D950" i="1"/>
  <c r="F949" i="1"/>
  <c r="E949" i="1"/>
  <c r="D949" i="1"/>
  <c r="F948" i="1"/>
  <c r="E948" i="1"/>
  <c r="D948" i="1"/>
  <c r="F947" i="1"/>
  <c r="E947" i="1"/>
  <c r="D947" i="1"/>
  <c r="F946" i="1"/>
  <c r="E946" i="1"/>
  <c r="D946" i="1"/>
  <c r="F945" i="1"/>
  <c r="E945" i="1"/>
  <c r="D945" i="1"/>
  <c r="F944" i="1"/>
  <c r="E944" i="1"/>
  <c r="D944" i="1"/>
  <c r="F943" i="1"/>
  <c r="E943" i="1"/>
  <c r="D943" i="1"/>
  <c r="F942" i="1"/>
  <c r="E942" i="1"/>
  <c r="D942" i="1"/>
  <c r="F941" i="1"/>
  <c r="E941" i="1"/>
  <c r="D941" i="1"/>
  <c r="F940" i="1"/>
  <c r="E940" i="1"/>
  <c r="D940" i="1"/>
  <c r="F939" i="1"/>
  <c r="E939" i="1"/>
  <c r="D939" i="1"/>
  <c r="F938" i="1"/>
  <c r="E938" i="1"/>
  <c r="D938" i="1"/>
  <c r="F937" i="1"/>
  <c r="E937" i="1"/>
  <c r="D937" i="1"/>
  <c r="F936" i="1"/>
  <c r="E936" i="1"/>
  <c r="D936" i="1"/>
  <c r="F935" i="1"/>
  <c r="E935" i="1"/>
  <c r="D935" i="1"/>
  <c r="F934" i="1"/>
  <c r="E934" i="1"/>
  <c r="D934" i="1"/>
  <c r="F933" i="1"/>
  <c r="E933" i="1"/>
  <c r="D933" i="1"/>
  <c r="F932" i="1"/>
  <c r="E932" i="1"/>
  <c r="D932" i="1"/>
  <c r="F931" i="1"/>
  <c r="E931" i="1"/>
  <c r="D931" i="1"/>
  <c r="F930" i="1"/>
  <c r="E930" i="1"/>
  <c r="D930" i="1"/>
  <c r="F929" i="1"/>
  <c r="E929" i="1"/>
  <c r="D929" i="1"/>
  <c r="F928" i="1"/>
  <c r="E928" i="1"/>
  <c r="D928" i="1"/>
  <c r="F927" i="1"/>
  <c r="E927" i="1"/>
  <c r="D927" i="1"/>
  <c r="F926" i="1"/>
  <c r="E926" i="1"/>
  <c r="D926" i="1"/>
  <c r="F925" i="1"/>
  <c r="E925" i="1"/>
  <c r="D925" i="1"/>
  <c r="F924" i="1"/>
  <c r="E924" i="1"/>
  <c r="D924" i="1"/>
  <c r="F923" i="1"/>
  <c r="E923" i="1"/>
  <c r="D923" i="1"/>
  <c r="F922" i="1"/>
  <c r="E922" i="1"/>
  <c r="D922" i="1"/>
  <c r="F921" i="1"/>
  <c r="E921" i="1"/>
  <c r="D921" i="1"/>
  <c r="F920" i="1"/>
  <c r="E920" i="1"/>
  <c r="D920" i="1"/>
  <c r="F919" i="1"/>
  <c r="E919" i="1"/>
  <c r="D919" i="1"/>
  <c r="F918" i="1"/>
  <c r="E918" i="1"/>
  <c r="D918" i="1"/>
  <c r="F917" i="1"/>
  <c r="E917" i="1"/>
  <c r="D917" i="1"/>
  <c r="F916" i="1"/>
  <c r="E916" i="1"/>
  <c r="D916" i="1"/>
  <c r="F915" i="1"/>
  <c r="E915" i="1"/>
  <c r="D915" i="1"/>
  <c r="F914" i="1"/>
  <c r="E914" i="1"/>
  <c r="D914" i="1"/>
  <c r="F913" i="1"/>
  <c r="E913" i="1"/>
  <c r="D913" i="1"/>
  <c r="F912" i="1"/>
  <c r="E912" i="1"/>
  <c r="D912" i="1"/>
  <c r="F911" i="1"/>
  <c r="E911" i="1"/>
  <c r="D911" i="1"/>
  <c r="F910" i="1"/>
  <c r="E910" i="1"/>
  <c r="D910" i="1"/>
  <c r="F909" i="1"/>
  <c r="E909" i="1"/>
  <c r="D909" i="1"/>
  <c r="F908" i="1"/>
  <c r="E908" i="1"/>
  <c r="D908" i="1"/>
  <c r="F907" i="1"/>
  <c r="E907" i="1"/>
  <c r="D907" i="1"/>
  <c r="D901" i="1"/>
  <c r="D902" i="1"/>
  <c r="D903" i="1"/>
  <c r="D904" i="1"/>
  <c r="D905" i="1"/>
  <c r="D906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D900" i="1"/>
  <c r="F899" i="1"/>
  <c r="E899" i="1"/>
  <c r="D899" i="1"/>
  <c r="F898" i="1"/>
  <c r="E898" i="1"/>
  <c r="D898" i="1"/>
  <c r="F897" i="1"/>
  <c r="E897" i="1"/>
  <c r="D897" i="1"/>
  <c r="F896" i="1"/>
  <c r="E896" i="1"/>
  <c r="D896" i="1"/>
  <c r="F895" i="1"/>
  <c r="E895" i="1"/>
  <c r="D895" i="1"/>
  <c r="D894" i="1"/>
  <c r="F894" i="1"/>
  <c r="E894" i="1"/>
  <c r="D883" i="1"/>
  <c r="D884" i="1"/>
  <c r="D885" i="1"/>
  <c r="D886" i="1"/>
  <c r="D887" i="1"/>
  <c r="D888" i="1"/>
  <c r="D889" i="1"/>
  <c r="D890" i="1"/>
  <c r="D891" i="1"/>
  <c r="D892" i="1"/>
  <c r="D893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D882" i="1"/>
  <c r="F881" i="1"/>
  <c r="E881" i="1"/>
  <c r="D881" i="1"/>
  <c r="F880" i="1"/>
  <c r="E880" i="1"/>
  <c r="D880" i="1"/>
  <c r="F879" i="1"/>
  <c r="E879" i="1"/>
  <c r="D879" i="1"/>
  <c r="F878" i="1"/>
  <c r="E878" i="1"/>
  <c r="D878" i="1"/>
  <c r="F877" i="1"/>
  <c r="E877" i="1"/>
  <c r="D877" i="1"/>
  <c r="F876" i="1"/>
  <c r="E876" i="1"/>
  <c r="D876" i="1"/>
  <c r="F875" i="1"/>
  <c r="E875" i="1"/>
  <c r="D875" i="1"/>
  <c r="F874" i="1"/>
  <c r="E874" i="1"/>
  <c r="D874" i="1"/>
  <c r="F873" i="1"/>
  <c r="E873" i="1"/>
  <c r="D873" i="1"/>
  <c r="F872" i="1"/>
  <c r="E872" i="1"/>
  <c r="D872" i="1"/>
  <c r="F871" i="1"/>
  <c r="E871" i="1"/>
  <c r="D871" i="1"/>
  <c r="F870" i="1"/>
  <c r="E870" i="1"/>
  <c r="D870" i="1"/>
  <c r="F869" i="1"/>
  <c r="E869" i="1"/>
  <c r="D869" i="1"/>
  <c r="F868" i="1"/>
  <c r="E868" i="1"/>
  <c r="D868" i="1"/>
  <c r="F867" i="1"/>
  <c r="E867" i="1"/>
  <c r="D867" i="1"/>
  <c r="F866" i="1"/>
  <c r="E866" i="1"/>
  <c r="D866" i="1"/>
  <c r="F865" i="1"/>
  <c r="E865" i="1"/>
  <c r="D865" i="1"/>
  <c r="F864" i="1"/>
  <c r="E864" i="1"/>
  <c r="D864" i="1"/>
  <c r="F863" i="1"/>
  <c r="E863" i="1"/>
  <c r="D863" i="1"/>
  <c r="F862" i="1"/>
  <c r="E862" i="1"/>
  <c r="D862" i="1"/>
  <c r="F861" i="1"/>
  <c r="E861" i="1"/>
  <c r="D861" i="1"/>
  <c r="F860" i="1"/>
  <c r="E860" i="1"/>
  <c r="D860" i="1"/>
  <c r="F859" i="1"/>
  <c r="E859" i="1"/>
  <c r="D859" i="1"/>
  <c r="F858" i="1"/>
  <c r="E858" i="1"/>
  <c r="D858" i="1"/>
  <c r="F857" i="1"/>
  <c r="E857" i="1"/>
  <c r="D857" i="1"/>
  <c r="F856" i="1"/>
  <c r="E856" i="1"/>
  <c r="D856" i="1"/>
  <c r="F855" i="1"/>
  <c r="E855" i="1"/>
  <c r="D855" i="1"/>
  <c r="F854" i="1"/>
  <c r="E854" i="1"/>
  <c r="D854" i="1"/>
  <c r="F853" i="1"/>
  <c r="E853" i="1"/>
  <c r="D853" i="1"/>
  <c r="F852" i="1"/>
  <c r="E852" i="1"/>
  <c r="D852" i="1"/>
  <c r="F851" i="1"/>
  <c r="E851" i="1"/>
  <c r="D851" i="1"/>
  <c r="F850" i="1"/>
  <c r="E850" i="1"/>
  <c r="D850" i="1"/>
  <c r="F849" i="1"/>
  <c r="E849" i="1"/>
  <c r="D849" i="1"/>
  <c r="F848" i="1"/>
  <c r="E848" i="1"/>
  <c r="D848" i="1"/>
  <c r="F847" i="1"/>
  <c r="E847" i="1"/>
  <c r="D847" i="1"/>
  <c r="F846" i="1"/>
  <c r="E846" i="1"/>
  <c r="D846" i="1"/>
  <c r="F845" i="1"/>
  <c r="E845" i="1"/>
  <c r="D845" i="1"/>
  <c r="F844" i="1"/>
  <c r="E844" i="1"/>
  <c r="D844" i="1"/>
  <c r="F843" i="1"/>
  <c r="E843" i="1"/>
  <c r="D843" i="1"/>
  <c r="F842" i="1"/>
  <c r="E842" i="1"/>
  <c r="D842" i="1"/>
  <c r="F841" i="1"/>
  <c r="E841" i="1"/>
  <c r="D841" i="1"/>
  <c r="F840" i="1"/>
  <c r="E840" i="1"/>
  <c r="D840" i="1"/>
  <c r="F839" i="1"/>
  <c r="E839" i="1"/>
  <c r="D839" i="1"/>
  <c r="F838" i="1"/>
  <c r="E838" i="1"/>
  <c r="D838" i="1"/>
  <c r="F837" i="1"/>
  <c r="E837" i="1"/>
  <c r="D837" i="1"/>
  <c r="F836" i="1"/>
  <c r="E836" i="1"/>
  <c r="D836" i="1"/>
  <c r="F835" i="1"/>
  <c r="E835" i="1"/>
  <c r="D835" i="1"/>
  <c r="F834" i="1"/>
  <c r="E834" i="1"/>
  <c r="D834" i="1"/>
  <c r="F833" i="1"/>
  <c r="E833" i="1"/>
  <c r="D833" i="1"/>
  <c r="F832" i="1"/>
  <c r="E832" i="1"/>
  <c r="D832" i="1"/>
  <c r="F831" i="1"/>
  <c r="E831" i="1"/>
  <c r="D831" i="1"/>
  <c r="F830" i="1"/>
  <c r="E830" i="1"/>
  <c r="D830" i="1"/>
  <c r="F829" i="1"/>
  <c r="E829" i="1"/>
  <c r="D829" i="1"/>
  <c r="F828" i="1"/>
  <c r="E828" i="1"/>
  <c r="D828" i="1"/>
  <c r="F827" i="1"/>
  <c r="E827" i="1"/>
  <c r="D827" i="1"/>
  <c r="F826" i="1"/>
  <c r="E826" i="1"/>
  <c r="D826" i="1"/>
  <c r="F825" i="1"/>
  <c r="E825" i="1"/>
  <c r="D825" i="1"/>
  <c r="F824" i="1"/>
  <c r="E824" i="1"/>
  <c r="D824" i="1"/>
  <c r="F823" i="1"/>
  <c r="E823" i="1"/>
  <c r="D823" i="1"/>
  <c r="F822" i="1"/>
  <c r="E822" i="1"/>
  <c r="D822" i="1"/>
  <c r="F821" i="1"/>
  <c r="E821" i="1"/>
  <c r="D821" i="1"/>
  <c r="F820" i="1"/>
  <c r="E820" i="1"/>
  <c r="D820" i="1"/>
  <c r="F819" i="1"/>
  <c r="E819" i="1"/>
  <c r="D819" i="1"/>
  <c r="F818" i="1"/>
  <c r="E818" i="1"/>
  <c r="D818" i="1"/>
  <c r="F817" i="1"/>
  <c r="E817" i="1"/>
  <c r="D817" i="1"/>
  <c r="F816" i="1"/>
  <c r="E816" i="1"/>
  <c r="D816" i="1"/>
  <c r="F815" i="1"/>
  <c r="E815" i="1"/>
  <c r="D815" i="1"/>
  <c r="D813" i="1"/>
  <c r="D812" i="1"/>
  <c r="F814" i="1"/>
  <c r="E814" i="1"/>
  <c r="D814" i="1"/>
  <c r="F813" i="1"/>
  <c r="E813" i="1"/>
  <c r="F812" i="1"/>
  <c r="E812" i="1"/>
  <c r="F811" i="1"/>
  <c r="E811" i="1"/>
  <c r="D811" i="1"/>
  <c r="F810" i="1"/>
  <c r="E810" i="1"/>
  <c r="D810" i="1"/>
  <c r="F809" i="1"/>
  <c r="E809" i="1"/>
  <c r="D809" i="1"/>
  <c r="F808" i="1"/>
  <c r="E808" i="1"/>
  <c r="D808" i="1"/>
  <c r="F807" i="1"/>
  <c r="E807" i="1"/>
  <c r="D807" i="1"/>
  <c r="F806" i="1"/>
  <c r="E806" i="1"/>
  <c r="D806" i="1"/>
  <c r="F805" i="1"/>
  <c r="E805" i="1"/>
  <c r="D805" i="1"/>
  <c r="F804" i="1"/>
  <c r="E804" i="1"/>
  <c r="D804" i="1"/>
  <c r="F803" i="1"/>
  <c r="E803" i="1"/>
  <c r="D803" i="1"/>
  <c r="F802" i="1"/>
  <c r="E802" i="1"/>
  <c r="D802" i="1"/>
  <c r="F801" i="1"/>
  <c r="E801" i="1"/>
  <c r="D801" i="1"/>
  <c r="F800" i="1"/>
  <c r="E800" i="1"/>
  <c r="D800" i="1"/>
  <c r="F799" i="1"/>
  <c r="E799" i="1"/>
  <c r="D799" i="1"/>
  <c r="F798" i="1"/>
  <c r="E798" i="1"/>
  <c r="D798" i="1"/>
  <c r="F797" i="1"/>
  <c r="E797" i="1"/>
  <c r="D797" i="1"/>
  <c r="F796" i="1"/>
  <c r="E796" i="1"/>
  <c r="D796" i="1"/>
  <c r="F795" i="1"/>
  <c r="E795" i="1"/>
  <c r="D795" i="1"/>
  <c r="F794" i="1"/>
  <c r="E794" i="1"/>
  <c r="D794" i="1"/>
  <c r="F793" i="1"/>
  <c r="E793" i="1"/>
  <c r="D793" i="1"/>
  <c r="F792" i="1"/>
  <c r="E792" i="1"/>
  <c r="D792" i="1"/>
  <c r="F791" i="1"/>
  <c r="E791" i="1"/>
  <c r="D791" i="1"/>
  <c r="F790" i="1"/>
  <c r="E790" i="1"/>
  <c r="D790" i="1"/>
  <c r="F789" i="1"/>
  <c r="E789" i="1"/>
  <c r="D789" i="1"/>
  <c r="F788" i="1"/>
  <c r="E788" i="1"/>
  <c r="D788" i="1"/>
  <c r="F787" i="1"/>
  <c r="E787" i="1"/>
  <c r="D787" i="1"/>
  <c r="F786" i="1"/>
  <c r="E786" i="1"/>
  <c r="D786" i="1"/>
  <c r="F785" i="1"/>
  <c r="E785" i="1"/>
  <c r="D785" i="1"/>
  <c r="F784" i="1"/>
  <c r="E784" i="1"/>
  <c r="D784" i="1"/>
  <c r="F783" i="1"/>
  <c r="E783" i="1"/>
  <c r="D783" i="1"/>
  <c r="F782" i="1"/>
  <c r="E782" i="1"/>
  <c r="D782" i="1"/>
  <c r="F781" i="1"/>
  <c r="E781" i="1"/>
  <c r="D781" i="1"/>
  <c r="F780" i="1"/>
  <c r="E780" i="1"/>
  <c r="D780" i="1"/>
  <c r="D779" i="1"/>
  <c r="F779" i="1"/>
  <c r="E779" i="1"/>
  <c r="F778" i="1"/>
  <c r="E778" i="1"/>
  <c r="D778" i="1"/>
  <c r="F777" i="1"/>
  <c r="E777" i="1"/>
  <c r="D777" i="1"/>
  <c r="F776" i="1"/>
  <c r="E776" i="1"/>
  <c r="D776" i="1"/>
  <c r="F775" i="1"/>
  <c r="E775" i="1"/>
  <c r="D775" i="1"/>
  <c r="F774" i="1"/>
  <c r="E774" i="1"/>
  <c r="D774" i="1"/>
  <c r="F773" i="1"/>
  <c r="E773" i="1"/>
  <c r="D773" i="1"/>
  <c r="F772" i="1"/>
  <c r="E772" i="1"/>
  <c r="D772" i="1"/>
  <c r="F771" i="1"/>
  <c r="E771" i="1"/>
  <c r="D771" i="1"/>
  <c r="F770" i="1"/>
  <c r="E770" i="1"/>
  <c r="D770" i="1"/>
  <c r="F769" i="1"/>
  <c r="E769" i="1"/>
  <c r="D769" i="1"/>
  <c r="F768" i="1"/>
  <c r="E768" i="1"/>
  <c r="D768" i="1"/>
  <c r="F767" i="1"/>
  <c r="E767" i="1"/>
  <c r="D767" i="1"/>
  <c r="F766" i="1"/>
  <c r="E766" i="1"/>
  <c r="D766" i="1"/>
  <c r="F765" i="1"/>
  <c r="E765" i="1"/>
  <c r="D765" i="1"/>
  <c r="F764" i="1"/>
  <c r="E764" i="1"/>
  <c r="D764" i="1"/>
  <c r="F763" i="1"/>
  <c r="E763" i="1"/>
  <c r="D763" i="1"/>
  <c r="F762" i="1"/>
  <c r="E762" i="1"/>
  <c r="D762" i="1"/>
  <c r="F761" i="1"/>
  <c r="E761" i="1"/>
  <c r="D761" i="1"/>
  <c r="F760" i="1"/>
  <c r="E760" i="1"/>
  <c r="D760" i="1"/>
  <c r="F759" i="1"/>
  <c r="E759" i="1"/>
  <c r="D759" i="1"/>
  <c r="F758" i="1"/>
  <c r="E758" i="1"/>
  <c r="D758" i="1"/>
  <c r="F757" i="1"/>
  <c r="E757" i="1"/>
  <c r="D757" i="1"/>
  <c r="F756" i="1"/>
  <c r="E756" i="1"/>
  <c r="D756" i="1"/>
  <c r="F755" i="1"/>
  <c r="E755" i="1"/>
  <c r="D755" i="1"/>
  <c r="F754" i="1"/>
  <c r="E754" i="1"/>
  <c r="D754" i="1"/>
  <c r="F753" i="1"/>
  <c r="E753" i="1"/>
  <c r="D753" i="1"/>
  <c r="F752" i="1"/>
  <c r="E752" i="1"/>
  <c r="D752" i="1"/>
  <c r="F751" i="1"/>
  <c r="E751" i="1"/>
  <c r="D751" i="1"/>
  <c r="F750" i="1"/>
  <c r="E750" i="1"/>
  <c r="D750" i="1"/>
  <c r="F749" i="1"/>
  <c r="E749" i="1"/>
  <c r="D749" i="1"/>
  <c r="F748" i="1"/>
  <c r="E748" i="1"/>
  <c r="D748" i="1"/>
  <c r="F747" i="1"/>
  <c r="E747" i="1"/>
  <c r="D747" i="1"/>
  <c r="F746" i="1"/>
  <c r="E746" i="1"/>
  <c r="D746" i="1"/>
  <c r="F745" i="1"/>
  <c r="E745" i="1"/>
  <c r="D745" i="1"/>
  <c r="F744" i="1"/>
  <c r="E744" i="1"/>
  <c r="D744" i="1"/>
  <c r="F743" i="1"/>
  <c r="E743" i="1"/>
  <c r="D743" i="1"/>
  <c r="F742" i="1"/>
  <c r="E742" i="1"/>
  <c r="D742" i="1"/>
  <c r="F741" i="1"/>
  <c r="E741" i="1"/>
  <c r="D741" i="1"/>
  <c r="F740" i="1"/>
  <c r="E740" i="1"/>
  <c r="D740" i="1"/>
  <c r="F739" i="1"/>
  <c r="E739" i="1"/>
  <c r="D739" i="1"/>
  <c r="F738" i="1"/>
  <c r="E738" i="1"/>
  <c r="D738" i="1"/>
  <c r="F737" i="1"/>
  <c r="E737" i="1"/>
  <c r="D737" i="1"/>
  <c r="F736" i="1"/>
  <c r="E736" i="1"/>
  <c r="D736" i="1"/>
  <c r="D633" i="1"/>
  <c r="D578" i="1"/>
  <c r="D521" i="1"/>
  <c r="D468" i="1"/>
  <c r="D190" i="1"/>
  <c r="D178" i="1"/>
  <c r="D5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89" i="1"/>
  <c r="D188" i="1"/>
  <c r="D187" i="1"/>
  <c r="D186" i="1"/>
  <c r="D185" i="1"/>
  <c r="D184" i="1"/>
  <c r="D183" i="1"/>
  <c r="D182" i="1"/>
  <c r="D181" i="1"/>
  <c r="D180" i="1"/>
  <c r="D179" i="1"/>
  <c r="D177" i="1"/>
  <c r="D176" i="1"/>
  <c r="D175" i="1"/>
  <c r="D174" i="1"/>
  <c r="D173" i="1"/>
  <c r="D172" i="1"/>
  <c r="D171" i="1"/>
  <c r="D170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A469" i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56" i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3171" i="1" l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B169" i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P1" i="1"/>
  <c r="A128" i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l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B863" i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R1" i="1"/>
  <c r="T1" i="1" s="1"/>
  <c r="B3171" i="1" l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</calcChain>
</file>

<file path=xl/sharedStrings.xml><?xml version="1.0" encoding="utf-8"?>
<sst xmlns="http://schemas.openxmlformats.org/spreadsheetml/2006/main" count="18441" uniqueCount="5046">
  <si>
    <t>Game</t>
  </si>
  <si>
    <t>Date</t>
  </si>
  <si>
    <t>Account Balance</t>
  </si>
  <si>
    <t>01.04.2023</t>
  </si>
  <si>
    <t>Prize Money</t>
  </si>
  <si>
    <t>Paid Entry</t>
  </si>
  <si>
    <t>Bounty</t>
  </si>
  <si>
    <t>Spin&amp;Go</t>
  </si>
  <si>
    <t>Result</t>
  </si>
  <si>
    <t>LOST</t>
  </si>
  <si>
    <t>WON</t>
  </si>
  <si>
    <t>GameID</t>
  </si>
  <si>
    <t>HH20230401 T3570601767 No Limit Hold'em $0.92 + $0.08.txt</t>
  </si>
  <si>
    <t>File</t>
  </si>
  <si>
    <t>HH20230401 T3570603921 No Limit Hold'em $0.92 + $0.08.txt</t>
  </si>
  <si>
    <t>HH20230401 T3570604907 No Limit Hold'em $0.92 + $0.08.txt</t>
  </si>
  <si>
    <t>HH20230401 T3570607894 No Limit Hold'em $0.92 + $0.08.txt</t>
  </si>
  <si>
    <t>HH20230401 T3570616045 No Limit Hold'em $0.92 + $0.08.txt</t>
  </si>
  <si>
    <t>HH20230401 T3570619089 No Limit Hold'em $0.92 + $0.08.txt</t>
  </si>
  <si>
    <t>HH20230401 T3570620651 No Limit Hold'em $0.92 + $0.08.txt</t>
  </si>
  <si>
    <t>HH20230401 T3570621296 No Limit Hold'em $0.92 + $0.08.txt</t>
  </si>
  <si>
    <t>HH20230401 T3570622290 No Limit Hold'em $0.92 + $0.08.txt</t>
  </si>
  <si>
    <t>HH20230401 T3570623729 No Limit Hold'em $0.92 + $0.08.txt</t>
  </si>
  <si>
    <t>HH20230401 T3570627039 No Limit Hold'em $0.92 + $0.08.txt</t>
  </si>
  <si>
    <t>HH20230401 T3570699289 No Limit Hold'em $0.92 + $0.08.txt</t>
  </si>
  <si>
    <t>HH20230401 T3570701054 No Limit Hold'em $0.92 + $0.08.txt</t>
  </si>
  <si>
    <t>HH20230401 T3570702431 No Limit Hold'em $0.92 + $0.08.txt</t>
  </si>
  <si>
    <t>HH20230401 T3570706373 No Limit Hold'em $0.92 + $0.08.txt</t>
  </si>
  <si>
    <t>HH20230401 T3570709435 No Limit Hold'em $0.92 + $0.08.txt</t>
  </si>
  <si>
    <t>HH20230401 T3570749037 No Limit Hold'em $0.92 + $0.08.txt</t>
  </si>
  <si>
    <t>HH20230401 T3570751572 No Limit Hold'em $0.92 + $0.08.txt</t>
  </si>
  <si>
    <t>02.04.2023</t>
  </si>
  <si>
    <t>HH20230402 T3571053343 No Limit Hold'em $0.92 + $0.08.txt</t>
  </si>
  <si>
    <t>HH20230402 T3571055119 No Limit Hold'em $0.92 + $0.08.txt</t>
  </si>
  <si>
    <t>HH20230402 T3571057698 No Limit Hold'em $0.92 + $0.08.txt</t>
  </si>
  <si>
    <t>HH20230402 T3571059662 No Limit Hold'em $0.92 + $0.08.txt</t>
  </si>
  <si>
    <t>HH20230402 T3571060379 No Limit Hold'em $0.92 + $0.08.txt</t>
  </si>
  <si>
    <t>HH20230402 T3571063257 No Limit Hold'em $0.92 + $0.08.txt</t>
  </si>
  <si>
    <t>HH20230402 T3571077637 No Limit Hold'em $0.92 + $0.08.txt</t>
  </si>
  <si>
    <t>HH20230402 T3571080108 No Limit Hold'em $0.92 + $0.08.txt</t>
  </si>
  <si>
    <t>HH20230402 T3571107282 No Limit Hold'em $0.92 + $0.08.txt</t>
  </si>
  <si>
    <t>HH20230402 T3571109385 No Limit Hold'em $0.92 + $0.08.txt</t>
  </si>
  <si>
    <t>HH20230402 T3571114757 No Limit Hold'em $0.92 + $0.08.txt</t>
  </si>
  <si>
    <t>HH20230402 T3571119710 No Limit Hold'em $0.92 + $0.08.txt</t>
  </si>
  <si>
    <t>Bounty Builder</t>
  </si>
  <si>
    <t>HH20230402 T3568745401 No Limit Hold'em $0.98 + $0.12.txt</t>
  </si>
  <si>
    <t>03.04.2023</t>
  </si>
  <si>
    <t>Road to Sunday Million</t>
  </si>
  <si>
    <t>HH20230403 T3570123568 No Limit Hold'em $9.80 + $1.20.txt</t>
  </si>
  <si>
    <t>04.04.2023</t>
  </si>
  <si>
    <t>HH20230404 T3572230728 No Limit Hold'em $0.92 + $0.08.txt</t>
  </si>
  <si>
    <t>HH20230404 T3572236754 No Limit Hold'em $0.92 + $0.08.txt</t>
  </si>
  <si>
    <t>HH20230404 T3572237702 No Limit Hold'em $0.92 + $0.08.txt</t>
  </si>
  <si>
    <t>HH20230404 T3572239755 No Limit Hold'em $0.92 + $0.08.txt</t>
  </si>
  <si>
    <t>HH20230404 T3572243240 No Limit Hold'em $0.92 + $0.08.txt</t>
  </si>
  <si>
    <t>HH20230404 T3572250724 No Limit Hold'em $0.92 + $0.08.txt</t>
  </si>
  <si>
    <t>Paid Total</t>
  </si>
  <si>
    <t>05.04.2023</t>
  </si>
  <si>
    <t>HH20230405 T3572452720 No Limit Hold'em $0.92 + $0.08.txt</t>
  </si>
  <si>
    <t>HH20230405 T3572454958 No Limit Hold'em $0.92 + $0.08.txt</t>
  </si>
  <si>
    <t>HH20230405 T3572476809 No Limit Hold'em $0.92 + $0.08.txt</t>
  </si>
  <si>
    <t>HH20230405 T3572478141 No Limit Hold'em $0.92 + $0.08.txt</t>
  </si>
  <si>
    <t>HH20230405 T3572485451 No Limit Hold'em $0.92 + $0.08.txt</t>
  </si>
  <si>
    <t>HH20230405 T3572486128 No Limit Hold'em $0.92 + $0.08.txt</t>
  </si>
  <si>
    <t>HH20230405 T3572487047 No Limit Hold'em $0.92 + $0.08.txt</t>
  </si>
  <si>
    <t>HH20230405 T3572487791 No Limit Hold'em $0.92 + $0.08.txt</t>
  </si>
  <si>
    <t>HH20230405 T3572566688 No Limit Hold'em $0.92 + $0.08.txt</t>
  </si>
  <si>
    <t>HH20230405 T3572569729 No Limit Hold'em $0.92 + $0.08.txt</t>
  </si>
  <si>
    <t>HH20230405 T3572570611 No Limit Hold'em $0.92 + $0.08.txt</t>
  </si>
  <si>
    <t>HH20230405 T3572571650 No Limit Hold'em $0.92 + $0.08.txt</t>
  </si>
  <si>
    <t>HH20230405 T3572572475 No Limit Hold'em $0.92 + $0.08.txt</t>
  </si>
  <si>
    <t>HH20230405 T3572598920 No Limit Hold'em $0.92 + $0.08.txt</t>
  </si>
  <si>
    <t>HH20230405 T3572601209 No Limit Hold'em $0.92 + $0.08.txt</t>
  </si>
  <si>
    <t>HH20230405 T3572658550 No Limit Hold'em $0.92 + $0.08.txt</t>
  </si>
  <si>
    <t>HH20230405 T3570118617 No Limit Hold'em $2.94 + $0.36.txt</t>
  </si>
  <si>
    <t>HH20230405 T3572703762 No Limit Hold'em $0.92 + $0.08.txt</t>
  </si>
  <si>
    <t>HH20230405 T3572707306 No Limit Hold'em $0.92 + $0.08.txt</t>
  </si>
  <si>
    <t>06.04.2023</t>
  </si>
  <si>
    <t>HH20230406 T3572922424 No Limit Hold'em $0.92 + $0.08.txt</t>
  </si>
  <si>
    <t>HH20230406 T3572949354 No Limit Hold'em $0.92 + $0.08.txt</t>
  </si>
  <si>
    <t>HH20230406 T3572950303 No Limit Hold'em $0.92 + $0.08.txt</t>
  </si>
  <si>
    <t>HH20230406 T3572951573 No Limit Hold'em $0.92 + $0.08.txt</t>
  </si>
  <si>
    <t>HH20230406 T3572954807 No Limit Hold'em $0.92 + $0.08.txt</t>
  </si>
  <si>
    <t>HH20230406 T3572957663 No Limit Hold'em $0.92 + $0.08.txt</t>
  </si>
  <si>
    <t>HH20230406 T3572960283 No Limit Hold'em $0.92 + $0.08.txt</t>
  </si>
  <si>
    <t>HH20230406 T3572963246 No Limit Hold'em $0.92 + $0.08.txt</t>
  </si>
  <si>
    <t>HH20230407 T3573539290 No Limit Hold'em $0.92 + $0.08.txt</t>
  </si>
  <si>
    <t>07.04.2023</t>
  </si>
  <si>
    <t>HH20230407 T3573542979 No Limit Hold'em $0.92 + $0.08.txt</t>
  </si>
  <si>
    <t>HH20230407 T3573550402 No Limit Hold'em $0.92 + $0.08.txt</t>
  </si>
  <si>
    <t>HH20230407 T3573554157 No Limit Hold'em $0.92 + $0.08.txt</t>
  </si>
  <si>
    <t>HH20230407 T3573554776 No Limit Hold'em $0.92 + $0.08.txt</t>
  </si>
  <si>
    <t>HH20230407 T3573555747 No Limit Hold'em $0.92 + $0.08.txt</t>
  </si>
  <si>
    <t>HH20230407 T3573556773 No Limit Hold'em $0.92 + $0.08.txt</t>
  </si>
  <si>
    <t>HH20230407 T3573559701 No Limit Hold'em $0.92 + $0.08.txt</t>
  </si>
  <si>
    <t>HH20230407 T3573562527 No Limit Hold'em $0.92 + $0.08.txt</t>
  </si>
  <si>
    <t>HH20230407 T3573565704 No Limit Hold'em $0.92 + $0.08.txt</t>
  </si>
  <si>
    <t>HH20230407 T3573567639 No Limit Hold'em $0.92 + $0.08.txt</t>
  </si>
  <si>
    <t>HH20230407 T3573570659 No Limit Hold'em $0.92 + $0.08.txt</t>
  </si>
  <si>
    <t>HH20230407 T3573572622 No Limit Hold'em $0.92 + $0.08.txt</t>
  </si>
  <si>
    <t>HH20230407 T3573577689 No Limit Hold'em $0.92 + $0.08.txt</t>
  </si>
  <si>
    <t>HH20230407 T3573581375 No Limit Hold'em $0.92 + $0.08.txt</t>
  </si>
  <si>
    <t>HH20230407 T3573587805 No Limit Hold'em $0.92 + $0.08.txt</t>
  </si>
  <si>
    <t>HH20230407 T3573589142 No Limit Hold'em $0.92 + $0.08.txt</t>
  </si>
  <si>
    <t>HH20230407 T3573590238 No Limit Hold'em $0.92 + $0.08.txt</t>
  </si>
  <si>
    <t>HH20230407 T3573593078 No Limit Hold'em $0.92 + $0.08.txt</t>
  </si>
  <si>
    <t>HH20230407 T3573595737 No Limit Hold'em $0.92 + $0.08.txt</t>
  </si>
  <si>
    <t>HH20230407 T3573597417 No Limit Hold'em $0.92 + $0.08.txt</t>
  </si>
  <si>
    <t>HH20230407 T3573641025 No Limit Hold'em $0.92 + $0.08.txt</t>
  </si>
  <si>
    <t>HH20230407 T3573642493 No Limit Hold'em $0.92 + $0.08.txt</t>
  </si>
  <si>
    <t>HH20230407 T3573644455 No Limit Hold'em $0.92 + $0.08.txt</t>
  </si>
  <si>
    <t>08.04.2023</t>
  </si>
  <si>
    <t>HH20230408 T3573945844 No Limit Hold'em $0.92 + $0.08.txt</t>
  </si>
  <si>
    <t>HH20230408 T3573947418 No Limit Hold'em $0.92 + $0.08.txt</t>
  </si>
  <si>
    <t>HH20230408 T3574083462 No Limit Hold'em $0.92 + $0.08.txt</t>
  </si>
  <si>
    <t>HH20230408 T3574084269 No Limit Hold'em $0.92 + $0.08.txt</t>
  </si>
  <si>
    <t>HH20230408 T3574086819 No Limit Hold'em $0.92 + $0.08.txt</t>
  </si>
  <si>
    <t>HH20230408 T3574088567 No Limit Hold'em $0.92 + $0.08.txt</t>
  </si>
  <si>
    <t>HH20230408 T3574090578 No Limit Hold'em $0.92 + $0.08.txt</t>
  </si>
  <si>
    <t>HH20230408 T3574093195 No Limit Hold'em $0.92 + $0.08.txt</t>
  </si>
  <si>
    <t>HH20230408 T3574096987 No Limit Hold'em $0.92 + $0.08.txt</t>
  </si>
  <si>
    <t>HH20230408 T3574098592 No Limit Hold'em $0.92 + $0.08.txt</t>
  </si>
  <si>
    <t>HH20230408 T3574103340 No Limit Hold'em $0.92 + $0.08.txt</t>
  </si>
  <si>
    <t>HH20230408 T3574105341 No Limit Hold'em $0.92 + $0.08.txt</t>
  </si>
  <si>
    <t>HH20230408 T3574111642 No Limit Hold'em $0.92 + $0.08.txt</t>
  </si>
  <si>
    <t>HH20230408 T3574230094 No Limit Hold'em $0.92 + $0.08.txt</t>
  </si>
  <si>
    <t>HH20230408 T3574236578 No Limit Hold'em $0.92 + $0.08.txt</t>
  </si>
  <si>
    <t>HH20230408 T3574238664 No Limit Hold'em $0.92 + $0.08.txt</t>
  </si>
  <si>
    <t>HH20230408 T3574243398 No Limit Hold'em $0.92 + $0.08.txt</t>
  </si>
  <si>
    <t>HH20230408 T3574244606 No Limit Hold'em $0.92 + $0.08.txt</t>
  </si>
  <si>
    <t>HH20230408 T3574751014 No Limit Hold'em $0.92 + $0.08.txt</t>
  </si>
  <si>
    <t>09.04.2023</t>
  </si>
  <si>
    <t>HH20230409 T3574928896 No Limit Hold'em $0.92 + $0.08.txt</t>
  </si>
  <si>
    <t>HH20230409 T3574930391 No Limit Hold'em $0.92 + $0.08.txt</t>
  </si>
  <si>
    <t>HH20230409 T3574931353 No Limit Hold'em $0.92 + $0.08.txt</t>
  </si>
  <si>
    <t>HH20230409 T3574933136 No Limit Hold'em $0.92 + $0.08.txt</t>
  </si>
  <si>
    <t>HH20230409 T3574936637 No Limit Hold'em $0.92 + $0.08.txt</t>
  </si>
  <si>
    <t>HH20230409 T3574938511 No Limit Hold'em $0.92 + $0.08.txt</t>
  </si>
  <si>
    <t>HH20230409 T3574939817 No Limit Hold'em $0.92 + $0.08.txt</t>
  </si>
  <si>
    <t>HH20230409 T3575039894 No Limit Hold'em $0.92 + $0.08.txt</t>
  </si>
  <si>
    <t>HH20230409 T3575043252 No Limit Hold'em $0.92 + $0.08.txt</t>
  </si>
  <si>
    <t>HH20230409 T3575043817 No Limit Hold'em $0.92 + $0.08.txt</t>
  </si>
  <si>
    <t>HH20230409 T3575045599 No Limit Hold'em $0.92 + $0.08.txt</t>
  </si>
  <si>
    <t>HH20230409 T3575047269 No Limit Hold'em $0.92 + $0.08.txt</t>
  </si>
  <si>
    <t>HH20230409 T3575047730 No Limit Hold'em $0.92 + $0.08.txt</t>
  </si>
  <si>
    <t>HH20230409 T3575049778 No Limit Hold'em $0.92 + $0.08.txt</t>
  </si>
  <si>
    <t>HH20230409 T3575053497 No Limit Hold'em $0.92 + $0.08.txt</t>
  </si>
  <si>
    <t>HH20230409 T3575057486 No Limit Hold'em $0.92 + $0.08.txt</t>
  </si>
  <si>
    <t>HH20230409 T3575060837 No Limit Hold'em $0.92 + $0.08.txt</t>
  </si>
  <si>
    <t>HH20230409 T3575061640 No Limit Hold'em $0.92 + $0.08.txt</t>
  </si>
  <si>
    <t>HH20230409 T3575065398 No Limit Hold'em $0.92 + $0.08.txt</t>
  </si>
  <si>
    <t>HH20230409 T3575066120 No Limit Hold'em $0.92 + $0.08.txt</t>
  </si>
  <si>
    <t>HH20230409 T3575122735 No Limit Hold'em $0.92 + $0.08.txt</t>
  </si>
  <si>
    <t>HH20230409 T3575124071 No Limit Hold'em $0.92 + $0.08.txt</t>
  </si>
  <si>
    <t>Sunday Storm</t>
  </si>
  <si>
    <t>HH20230409 T3575128108 No Limit Hold'em $0.92 + $0.08.txt</t>
  </si>
  <si>
    <t>HH20230409 T3575129014 No Limit Hold'em $0.92 + $0.08.txt</t>
  </si>
  <si>
    <t>HH20230409 T3570122658 No Limit Hold'em $9.80 + $1.20.txt</t>
  </si>
  <si>
    <t>HH20230409 T3575172885 No Limit Hold'em $0.92 + $0.08.txt</t>
  </si>
  <si>
    <t>HH20230409 T3575175597 No Limit Hold'em $0.92 + $0.08.txt</t>
  </si>
  <si>
    <t>HH20230409 T3575179796 No Limit Hold'em $0.92 + $0.08.txt</t>
  </si>
  <si>
    <t>HH20230409 T3575182481 No Limit Hold'em $0.92 + $0.08.txt</t>
  </si>
  <si>
    <t>HH20230409 T3575184181 No Limit Hold'em $0.92 + $0.08.txt</t>
  </si>
  <si>
    <t>HH20230409 T3575190285 No Limit Hold'em $0.92 + $0.08.txt</t>
  </si>
  <si>
    <t>HH20230409 T3575195220 No Limit Hold'em $0.92 + $0.08.txt</t>
  </si>
  <si>
    <t>HH20230409 T3575196723 No Limit Hold'em $0.92 + $0.08.txt</t>
  </si>
  <si>
    <t>HH20230409 T3575201830 No Limit Hold'em $0.92 + $0.08.txt</t>
  </si>
  <si>
    <t>HH20230409 T3575203297 No Limit Hold'em $0.92 + $0.08.txt</t>
  </si>
  <si>
    <t>HH20230409 T3575204657 No Limit Hold'em $0.92 + $0.08.txt</t>
  </si>
  <si>
    <t>HH20230409 T3575207772 No Limit Hold'em $0.92 + $0.08.txt</t>
  </si>
  <si>
    <t>HH20230409 T3575213949 No Limit Hold'em $0.92 + $0.08.txt</t>
  </si>
  <si>
    <t>HH20230409 T3575214667 No Limit Hold'em $0.92 + $0.08.txt</t>
  </si>
  <si>
    <t>HH20230409 T3575219741 No Limit Hold'em $0.92 + $0.08.txt</t>
  </si>
  <si>
    <t>HH20230409 T3575224864 No Limit Hold'em $0.92 + $0.08.txt</t>
  </si>
  <si>
    <t>HH20230409 T3575225954 No Limit Hold'em $0.92 + $0.08.txt</t>
  </si>
  <si>
    <t>HH20230409 T3575227909 No Limit Hold'em $0.92 + $0.08.txt</t>
  </si>
  <si>
    <t>HH20230409 T3575235683 No Limit Hold'em $0.92 + $0.08.txt</t>
  </si>
  <si>
    <t>HH20230409 T3575239116 No Limit Hold'em $0.92 + $0.08.txt</t>
  </si>
  <si>
    <t>10.04.2023</t>
  </si>
  <si>
    <t>HH20230409 T3575246182 No Limit Hold'em $0.92 + $0.08.txt</t>
  </si>
  <si>
    <t>HH20230409 T3575262478 No Limit Hold'em $0.92 + $0.08.txt</t>
  </si>
  <si>
    <t>HH20230409 T3575267487 No Limit Hold'em $0.92 + $0.08.txt</t>
  </si>
  <si>
    <t>HH20230409 T3575272421 No Limit Hold'em $0.92 + $0.08.txt</t>
  </si>
  <si>
    <t>HH20230409 T3575273976 No Limit Hold'em $0.92 + $0.08.txt</t>
  </si>
  <si>
    <t>HH20230409 T3575276855 No Limit Hold'em $0.92 + $0.08.txt</t>
  </si>
  <si>
    <t>HH20230409 T3575281127 No Limit Hold'em $0.92 + $0.08.txt</t>
  </si>
  <si>
    <t>HH20230409 T3575284750 No Limit Hold'em $0.92 + $0.08.txt</t>
  </si>
  <si>
    <t>HH20230409 T3575285359 No Limit Hold'em $0.92 + $0.08.txt</t>
  </si>
  <si>
    <t>HH20230410 T3575502365 No Limit Hold'em $0.92 + $0.08.txt</t>
  </si>
  <si>
    <t>HH20230410 T3575514756 No Limit Hold'em $0.92 + $0.08.txt</t>
  </si>
  <si>
    <t>HH20230410 T3575517703 No Limit Hold'em $0.92 + $0.08.txt</t>
  </si>
  <si>
    <t>HH20230410 T3575522502 No Limit Hold'em $9.30 + $0.70.txt</t>
  </si>
  <si>
    <t>HH20230410 T3575524016 No Limit Hold'em $0.92 + $0.08.txt</t>
  </si>
  <si>
    <t>Cash Rebate</t>
  </si>
  <si>
    <t>HH20230410 T3575525348 No Limit Hold'em $0.92 + $0.08.txt</t>
  </si>
  <si>
    <t>HH20230410 T3575531055 No Limit Hold'em $9.30 + $0.70.txt</t>
  </si>
  <si>
    <t>HH20230410 T3575532193 No Limit Hold'em $9.30 + $0.70.txt</t>
  </si>
  <si>
    <t>HH20230410 T3575538037 No Limit Hold'em $9.30 + $0.70.txt</t>
  </si>
  <si>
    <t>HH20230410 T3575612607 No Limit Hold'em $0.92 + $0.08.txt</t>
  </si>
  <si>
    <t>HH20230410 T3575618681 No Limit Hold'em $0.92 + $0.08.txt</t>
  </si>
  <si>
    <t>HH20230410 T3575624984 No Limit Hold'em $0.92 + $0.08.txt</t>
  </si>
  <si>
    <t>HH20230410 T3575626231 No Limit Hold'em $0.92 + $0.08.txt</t>
  </si>
  <si>
    <t>HH20230410 T3575627142 No Limit Hold'em $0.92 + $0.08.txt</t>
  </si>
  <si>
    <t>HH20230410 T3575629971 No Limit Hold'em $0.92 + $0.08.txt</t>
  </si>
  <si>
    <t>HH20230410 T3575632127 No Limit Hold'em $0.92 + $0.08.txt</t>
  </si>
  <si>
    <t>HH20230410 T3575635434 No Limit Hold'em $0.92 + $0.08.txt</t>
  </si>
  <si>
    <t>HH20230410 T3575640063 No Limit Hold'em $0.92 + $0.08.txt</t>
  </si>
  <si>
    <t>HH20230410 T3575644719 No Limit Hold'em $9.30 + $0.70.txt</t>
  </si>
  <si>
    <t>Withdrawal</t>
  </si>
  <si>
    <t>11.04.2023</t>
  </si>
  <si>
    <t>HH20230411 T3576004024 No Limit Hold'em $0.92 + $0.08.txt</t>
  </si>
  <si>
    <t>HH20230411 T3576011279 No Limit Hold'em $0.92 + $0.08.txt</t>
  </si>
  <si>
    <t>HH20230411 T3573540201 No Limit Hold'em $2.94 + $0.36.txt</t>
  </si>
  <si>
    <t>HH20230411 T3576053534 No Limit Hold'em $0.92 + $0.08.txt</t>
  </si>
  <si>
    <t>HH20230411 T3576054922 No Limit Hold'em $0.92 + $0.08.txt</t>
  </si>
  <si>
    <t>HH20230411 T3576061026 No Limit Hold'em $0.92 + $0.08.txt</t>
  </si>
  <si>
    <t>HH20230411 T3576065925 No Limit Hold'em $0.92 + $0.08.txt</t>
  </si>
  <si>
    <t>HH20230411 T3576071075 No Limit Hold'em $0.92 + $0.08.txt</t>
  </si>
  <si>
    <t>HH20230411 T3576075395 No Limit Hold'em $0.92 + $0.08.txt</t>
  </si>
  <si>
    <t>HH20230411 T3576079999 No Limit Hold'em $0.92 + $0.08.txt</t>
  </si>
  <si>
    <t>HH20230411 T3576083308 No Limit Hold'em $0.92 + $0.08.txt</t>
  </si>
  <si>
    <t>HH20230411 T3576090803 No Limit Hold'em $0.92 + $0.08.txt</t>
  </si>
  <si>
    <t>HH20230411 T3576094576 No Limit Hold'em $0.92 + $0.08.txt</t>
  </si>
  <si>
    <t>HH20230411 T3576097103 No Limit Hold'em $0.92 + $0.08.txt</t>
  </si>
  <si>
    <t>12.04.2023</t>
  </si>
  <si>
    <t>HH20230412 T3576298799 No Limit Hold'em $0.92 + $0.08.txt</t>
  </si>
  <si>
    <t>HH20230412 T3576299607 No Limit Hold'em $0.92 + $0.08.txt</t>
  </si>
  <si>
    <t>HH20230412 T3576300523 No Limit Hold'em $0.92 + $0.08.txt</t>
  </si>
  <si>
    <t>HH20230412 T3576301198 No Limit Hold'em $0.92 + $0.08.txt</t>
  </si>
  <si>
    <t>HH20230412 T3576302518 No Limit Hold'em $0.92 + $0.08.txt</t>
  </si>
  <si>
    <t>HH20230412 T3576348001 No Limit Hold'em $0.92 + $0.08.txt</t>
  </si>
  <si>
    <t>HH20230412 T3576349322 No Limit Hold'em $0.92 + $0.08.txt</t>
  </si>
  <si>
    <t>HH20230412 T3576350638 No Limit Hold'em $0.92 + $0.08.txt</t>
  </si>
  <si>
    <t>HH20230412 T3576354261 No Limit Hold'em $0.92 + $0.08.txt</t>
  </si>
  <si>
    <t>HH20230412 T3576355702 No Limit Hold'em $0.92 + $0.08.txt</t>
  </si>
  <si>
    <t>HH20230412 T3576400579 No Limit Hold'em $0.92 + $0.08.txt</t>
  </si>
  <si>
    <t>HH20230412 T3576403974 No Limit Hold'em $0.92 + $0.08.txt</t>
  </si>
  <si>
    <t>HH20230412 T3576408560 No Limit Hold'em $0.92 + $0.08.txt</t>
  </si>
  <si>
    <t>HH20230412 T3576412523 No Limit Hold'em $0.92 + $0.08.txt</t>
  </si>
  <si>
    <t>HH20230412 T3576412972 No Limit Hold'em $0.92 + $0.08.txt</t>
  </si>
  <si>
    <t>HH20230412 T3576415307 No Limit Hold'em $0.92 + $0.08.txt</t>
  </si>
  <si>
    <t>HH20230412 T3576436410 No Limit Hold'em $0.92 + $0.08.txt</t>
  </si>
  <si>
    <t>HH20230412 T3576438147 No Limit Hold'em $0.92 + $0.08.txt</t>
  </si>
  <si>
    <t>HH20230412 T3576440772 No Limit Hold'em $0.92 + $0.08.txt</t>
  </si>
  <si>
    <t>HH20230412 T3576442221 No Limit Hold'em $0.92 + $0.08.txt</t>
  </si>
  <si>
    <t>HH20230412 T3573540187 No Limit Hold'em $3.92 + $0.48.txt</t>
  </si>
  <si>
    <t>13.04.2023</t>
  </si>
  <si>
    <t>HH20230413 T3576997735 No Limit Hold'em $0.92 + $0.08.txt</t>
  </si>
  <si>
    <t>HH20230413 T3577001321 No Limit Hold'em $0.92 + $0.08.txt</t>
  </si>
  <si>
    <t>HH20230413 T3577004723 No Limit Hold'em $0.92 + $0.08.txt</t>
  </si>
  <si>
    <t>HH20230413 T3577008386 No Limit Hold'em $0.92 + $0.08.txt</t>
  </si>
  <si>
    <t>HH20230413 T3577010021 No Limit Hold'em $0.92 + $0.08.txt</t>
  </si>
  <si>
    <t>15.04.2023</t>
  </si>
  <si>
    <t>HH20230415 T3575889580 No Limit Hold'em $3.92 + $0.48.txt</t>
  </si>
  <si>
    <t>HH20230415 T3578019580 No Limit Hold'em $0.92 + $0.08.txt</t>
  </si>
  <si>
    <t>HH20230415 T3578023214 No Limit Hold'em $0.92 + $0.08.txt</t>
  </si>
  <si>
    <t>HH20230415 T3578027207 No Limit Hold'em $0.92 + $0.08.txt</t>
  </si>
  <si>
    <t>HH20230415 T3578028169 No Limit Hold'em $0.92 + $0.08.txt</t>
  </si>
  <si>
    <t>HH20230415 T3578034062 No Limit Hold'em $0.92 + $0.08.txt</t>
  </si>
  <si>
    <t>HH20230416 T3578271300 No Limit Hold'em $0.92 + $0.08.txt</t>
  </si>
  <si>
    <t>16.04.2023</t>
  </si>
  <si>
    <t>HH20230416 T3578272514 No Limit Hold'em $0.92 + $0.08.txt</t>
  </si>
  <si>
    <t>HH20230416 T3578275147 No Limit Hold'em $0.92 + $0.08.txt</t>
  </si>
  <si>
    <t>HH20230416 T3578341823 No Limit Hold'em $0.92 + $0.08.txt</t>
  </si>
  <si>
    <t>HH20230416 T3578342966 No Limit Hold'em $0.92 + $0.08.txt</t>
  </si>
  <si>
    <t>HH20230416 T3578346404 No Limit Hold'em $0.92 + $0.08.txt</t>
  </si>
  <si>
    <t>HH20230416 T3578347926 No Limit Hold'em $0.92 + $0.08.txt</t>
  </si>
  <si>
    <t>HH20230416 T3578348773 No Limit Hold'em $0.92 + $0.08.txt</t>
  </si>
  <si>
    <t>HH20230416 T3578349329 No Limit Hold'em $0.92 + $0.08.txt</t>
  </si>
  <si>
    <t>HH20230416 T3578353155 No Limit Hold'em $0.92 + $0.08.txt</t>
  </si>
  <si>
    <t>HH20230416 T3578423164 No Limit Hold'em $0.92 + $0.08.txt</t>
  </si>
  <si>
    <t>HH20230416 T3578432466 No Limit Hold'em $0.92 + $0.08.txt</t>
  </si>
  <si>
    <t>HH20230416 T3578436228 No Limit Hold'em $0.92 + $0.08.txt</t>
  </si>
  <si>
    <t>HH20230416 T3578501639 No Limit Hold'em $0.92 + $0.08.txt</t>
  </si>
  <si>
    <t>17.04.2023</t>
  </si>
  <si>
    <t>HH20230417 T3577336136 No Limit Hold'em $2.94 + $0.36.txt</t>
  </si>
  <si>
    <t>HH20230417 T3578927305 No Limit Hold'em $9.30 + $0.70.txt</t>
  </si>
  <si>
    <t>HH20230417 T3578929237 No Limit Hold'em $9.30 + $0.70.txt</t>
  </si>
  <si>
    <t>HH20230417 T3578930660 No Limit Hold'em $9.30 + $0.70.txt</t>
  </si>
  <si>
    <t>HH20230417 T3578933893 No Limit Hold'em $0.92 + $0.08.txt</t>
  </si>
  <si>
    <t>HH20230417 T3578936893 No Limit Hold'em $0.92 + $0.08.txt</t>
  </si>
  <si>
    <t>HH20230417 T3578938624 No Limit Hold'em $0.92 + $0.08.txt</t>
  </si>
  <si>
    <t>HH20230417 T3578941021 No Limit Hold'em $0.92 + $0.08.txt</t>
  </si>
  <si>
    <t>HH20230417 T3578947606 No Limit Hold'em $0.92 + $0.08.txt</t>
  </si>
  <si>
    <t>HH20230417 T3578948911 No Limit Hold'em $0.92 + $0.08.txt</t>
  </si>
  <si>
    <t>HH20230417 T3578950966 No Limit Hold'em $0.92 + $0.08.txt</t>
  </si>
  <si>
    <t>HH20230417 T3578954920 No Limit Hold'em $0.92 + $0.08.txt</t>
  </si>
  <si>
    <t>HH20230417 T3578955912 No Limit Hold'em $0.92 + $0.08.txt</t>
  </si>
  <si>
    <t>HH20230417 T3578960562 No Limit Hold'em $0.92 + $0.08.txt</t>
  </si>
  <si>
    <t>18.04.2023</t>
  </si>
  <si>
    <t>HH20230418 T3579328586 No Limit Hold'em $0.92 + $0.08.txt</t>
  </si>
  <si>
    <t>HH20230418 T3579331971 No Limit Hold'em $0.92 + $0.08.txt</t>
  </si>
  <si>
    <t>HH20230418 T3579333991 No Limit Hold'em $0.92 + $0.08.txt</t>
  </si>
  <si>
    <t>HH20230418 T3579340075 No Limit Hold'em $0.92 + $0.08.txt</t>
  </si>
  <si>
    <t>HH20230418 T3579344428 No Limit Hold'em $0.92 + $0.08.txt</t>
  </si>
  <si>
    <t>HH20230418 T3579349188 No Limit Hold'em $0.92 + $0.08.txt</t>
  </si>
  <si>
    <t>HH20230418 T3579351161 No Limit Hold'em $0.92 + $0.08.txt</t>
  </si>
  <si>
    <t>HH20230418 T3579356805 No Limit Hold'em $0.92 + $0.08.txt</t>
  </si>
  <si>
    <t>HH20230418 T3579359052 No Limit Hold'em $0.92 + $0.08.txt</t>
  </si>
  <si>
    <t>HH20230418 T3579394165 No Limit Hold'em $0.92 + $0.08.txt</t>
  </si>
  <si>
    <t>HH20230418 T3579399052 No Limit Hold'em $0.92 + $0.08.txt</t>
  </si>
  <si>
    <t>HH20230418 T3579402687 No Limit Hold'em $0.92 + $0.08.txt</t>
  </si>
  <si>
    <t>HH20230418 T3579404238 No Limit Hold'em $0.92 + $0.08.txt</t>
  </si>
  <si>
    <t>HH20230418 T3579407042 No Limit Hold'em $0.92 + $0.08.txt</t>
  </si>
  <si>
    <t>HH20230418 T3579432862 No Limit Hold'em $0.92 + $0.08.txt</t>
  </si>
  <si>
    <t>HH20230418 T3579434272 No Limit Hold'em $0.92 + $0.08.txt</t>
  </si>
  <si>
    <t>HH20230418 T3579437939 No Limit Hold'em $0.92 + $0.08.txt</t>
  </si>
  <si>
    <t>19.04.2023</t>
  </si>
  <si>
    <t>HH20230419 T3579609221 No Limit Hold'em $0.92 + $0.08.txt</t>
  </si>
  <si>
    <t>HH20230419 T3579609571 No Limit Hold'em $0.92 + $0.08.txt</t>
  </si>
  <si>
    <t>HH20230419 T3579610358 No Limit Hold'em $0.92 + $0.08.txt</t>
  </si>
  <si>
    <t>HH20230419 T3579611181 No Limit Hold'em $0.92 + $0.08.txt</t>
  </si>
  <si>
    <t>HH20230419 T3579611458 No Limit Hold'em $0.92 + $0.08.txt</t>
  </si>
  <si>
    <t>HH20230419 T3579612284 No Limit Hold'em $0.92 + $0.08.txt</t>
  </si>
  <si>
    <t>HH20230419 T3579629190 No Limit Hold'em $0.92 + $0.08.txt</t>
  </si>
  <si>
    <t>HH20230419 T3579629769 No Limit Hold'em $0.92 + $0.08.txt</t>
  </si>
  <si>
    <t>HH20230419 T3579631020 No Limit Hold'em $0.92 + $0.08.txt</t>
  </si>
  <si>
    <t>HH20230419 T3579632458 No Limit Hold'em $0.92 + $0.08.txt</t>
  </si>
  <si>
    <t>HH20230419 T3579634253 No Limit Hold'em $0.92 + $0.08.txt</t>
  </si>
  <si>
    <t>HH20230419 T3579634691 No Limit Hold'em $0.92 + $0.08.txt</t>
  </si>
  <si>
    <t>HH20230419 T3579635389 No Limit Hold'em $0.92 + $0.08.txt</t>
  </si>
  <si>
    <t>HH20230419 T3579636250 No Limit Hold'em $0.92 + $0.08.txt</t>
  </si>
  <si>
    <t>HH20230419 T3579636679 No Limit Hold'em $9.30 + $0.70.txt</t>
  </si>
  <si>
    <t>HH20230419 T3579652529 No Limit Hold'em $9.30 + $0.70.txt</t>
  </si>
  <si>
    <t>HH20230419 T3579654916 No Limit Hold'em $9.30 + $0.70.txt</t>
  </si>
  <si>
    <t>HH20230419 T3579668977 No Limit Hold'em $0.92 + $0.08.txt</t>
  </si>
  <si>
    <t>HH20230419 T3579671828 No Limit Hold'em $0.92 + $0.08.txt</t>
  </si>
  <si>
    <t>HH20230419 T3579674356 No Limit Hold'em $0.92 + $0.08.txt</t>
  </si>
  <si>
    <t>HH20230419 T3579677032 No Limit Hold'em $0.92 + $0.08.txt</t>
  </si>
  <si>
    <t>HH20230419 T3579677648 No Limit Hold'em $0.92 + $0.08.txt</t>
  </si>
  <si>
    <t>HH20230419 T3579681238 No Limit Hold'em $0.92 + $0.08.txt</t>
  </si>
  <si>
    <t>HH20230419 T3579703721 No Limit Hold'em $0.92 + $0.08.txt</t>
  </si>
  <si>
    <t>HH20230419 T3579705879 No Limit Hold'em $0.92 + $0.08.txt</t>
  </si>
  <si>
    <t>HH20230419 T3579707678 No Limit Hold'em $0.92 + $0.08.txt</t>
  </si>
  <si>
    <t>HH20230419 T3579710344 No Limit Hold'em $0.92 + $0.08.txt</t>
  </si>
  <si>
    <t>HH20230419 T3579712662 No Limit Hold'em $0.92 + $0.08.txt</t>
  </si>
  <si>
    <t>HH20230419 T3579714354 No Limit Hold'em $0.92 + $0.08.txt</t>
  </si>
  <si>
    <t>HH20230419 T3579744085 No Limit Hold'em $0.92 + $0.08.txt</t>
  </si>
  <si>
    <t>HH20230419 T3579745581 No Limit Hold'em $0.92 + $0.08.txt</t>
  </si>
  <si>
    <t>HH20230419 T3579745966 No Limit Hold'em $0.92 + $0.08.txt</t>
  </si>
  <si>
    <t>HH20230419 T3579748767 No Limit Hold'em $0.92 + $0.08.txt</t>
  </si>
  <si>
    <t>HH20230419 T3579753762 No Limit Hold'em $0.92 + $0.08.txt</t>
  </si>
  <si>
    <t>HH20230419 T3579758968 No Limit Hold'em $0.92 + $0.08.txt</t>
  </si>
  <si>
    <t>HH20230419 T3579759967 No Limit Hold'em $0.92 + $0.08.txt</t>
  </si>
  <si>
    <t>HH20230419 T3579766256 No Limit Hold'em $0.92 + $0.08.txt</t>
  </si>
  <si>
    <t>HH20230419 T3579767776 No Limit Hold'em $0.92 + $0.08.txt</t>
  </si>
  <si>
    <t>HH20230419 T3579774291 No Limit Hold'em $0.92 + $0.08.txt</t>
  </si>
  <si>
    <t>HH20230419 T3579774997 No Limit Hold'em $0.92 + $0.08.txt</t>
  </si>
  <si>
    <t>HH20230419 T3579821969 No Limit Hold'em $0.92 + $0.08.txt</t>
  </si>
  <si>
    <t>HH20230419 T3579837816 No Limit Hold'em $0.92 + $0.08.txt</t>
  </si>
  <si>
    <t>HH20230419 T3579838704 No Limit Hold'em $0.92 + $0.08.txt$</t>
  </si>
  <si>
    <t>HH20230419 T3579842388 No Limit Hold'em $0.92 + $0.08.txt</t>
  </si>
  <si>
    <t>HH20230419 T3579843415 No Limit Hold'em $0.92 + $0.08.txt</t>
  </si>
  <si>
    <t>HH20230419 T3579846085 No Limit Hold'em $0.92 + $0.08.txt</t>
  </si>
  <si>
    <t>HH20230420 T3580190108 No Limit Hold'em $0.92 + $0.08.txt</t>
  </si>
  <si>
    <t>20.04.2023</t>
  </si>
  <si>
    <t>HH20230420 T3580191696 No Limit Hold'em $0.92 + $0.08.txt</t>
  </si>
  <si>
    <t>HH20230420 T3580196717 No Limit Hold'em $0.92 + $0.08.txt</t>
  </si>
  <si>
    <t>HH20230420 T3580198200 No Limit Hold'em $0.92 + $0.08.txt</t>
  </si>
  <si>
    <t>HH20230420 T3580276402 No Limit Hold'em $0.92 + $0.08.txt</t>
  </si>
  <si>
    <t>HH20230420 T3580280383 No Limit Hold'em $0.92 + $0.08.txt</t>
  </si>
  <si>
    <t>HH20230420 T3580283311 No Limit Hold'em $0.92 + $0.08.txt</t>
  </si>
  <si>
    <t>HH20230420 T3580287075 No Limit Hold'em $0.92 + $0.08.txt</t>
  </si>
  <si>
    <t>HH20230420 T3580290571 No Limit Hold'em $0.92 + $0.08.txt</t>
  </si>
  <si>
    <t>HH20230420 T3580291738 No Limit Hold'em $0.92 + $0.08.txt</t>
  </si>
  <si>
    <t>HH20230420 T3580292701 No Limit Hold'em $0.92 + $0.08.txt</t>
  </si>
  <si>
    <t>HH20230420 T3580296266 No Limit Hold'em $0.92 + $0.08.txt</t>
  </si>
  <si>
    <t>HH20230420 T3580298650 No Limit Hold'em $0.92 + $0.08.txt</t>
  </si>
  <si>
    <t>HH20230420 T3580299597 No Limit Hold'em $0.92 + $0.08.txt</t>
  </si>
  <si>
    <t>HH20230420 T3580305350 No Limit Hold'em $0.92 + $0.08.txt</t>
  </si>
  <si>
    <t>21.04.2023</t>
  </si>
  <si>
    <t>HH20230421 T3580488922 No Limit Hold'em $0.92 + $0.08.txt</t>
  </si>
  <si>
    <t>HH20230421 T3580489763 No Limit Hold'em $0.92 + $0.08.txt</t>
  </si>
  <si>
    <t>HH20230421 T3580490608 No Limit Hold'em $0.92 + $0.08.txt</t>
  </si>
  <si>
    <t>HH20230421 T3580491697 No Limit Hold'em $0.92 + $0.08.txt</t>
  </si>
  <si>
    <t>HH20230421 T3580520467 No Limit Hold'em $0.92 + $0.08.txt</t>
  </si>
  <si>
    <t>HH20230421 T3580521888 No Limit Hold'em $0.92 + $0.08.txt</t>
  </si>
  <si>
    <t>HH20230421 T3580544142 No Limit Hold'em $0.92 + $0.08.txt</t>
  </si>
  <si>
    <t>HH20230421 T3580544727 No Limit Hold'em $0.92 + $0.08.txt</t>
  </si>
  <si>
    <t>HH20230421 T3580546699 No Limit Hold'em $0.92 + $0.08.txt</t>
  </si>
  <si>
    <t>HH20230421 T3580547410 No Limit Hold'em $0.92 + $0.08.txt</t>
  </si>
  <si>
    <t>HH20230421 T3580548660 No Limit Hold'em $0.92 + $0.08.txt</t>
  </si>
  <si>
    <t>HH20230421 T3580549776 No Limit Hold'em $0.92 + $0.08.txt</t>
  </si>
  <si>
    <t>HH20230421 T3580550457 No Limit Hold'em $0.92 + $0.08.txt</t>
  </si>
  <si>
    <t>HH20230421 T3580551785 No Limit Hold'em $0.92 + $0.08.txt</t>
  </si>
  <si>
    <t>HH20230421 T3580552601 No Limit Hold'em $0.92 + $0.08.txt</t>
  </si>
  <si>
    <t>HH20230421 T3580575083 No Limit Hold'em $0.92 + $0.08.txt</t>
  </si>
  <si>
    <t>HH20230421 T3580577659 No Limit Hold'em $0.92 + $0.08.txt</t>
  </si>
  <si>
    <t>HH20230421 T3580579307 No Limit Hold'em $0.92 + $0.08.txt</t>
  </si>
  <si>
    <t>HH20230421 T3580581671 No Limit Hold'em $0.92 + $0.08.txt</t>
  </si>
  <si>
    <t>HH20230421 T3580583143 No Limit Hold'em $0.92 + $0.08.txt</t>
  </si>
  <si>
    <t>HH20230421 T3580584113 No Limit Hold'em $0.92 + $0.08.txt</t>
  </si>
  <si>
    <t>HH20230421 T3580586270 No Limit Hold'em $0.92 + $0.08.txt</t>
  </si>
  <si>
    <t>HH20230421 T3580587552 No Limit Hold'em $0.92 + $0.08.txt</t>
  </si>
  <si>
    <t>HH20230421 T3580594070 No Limit Hold'em $0.92 + $0.08.txt</t>
  </si>
  <si>
    <t>HH20230421 T3580598163 No Limit Hold'em $0.92 + $0.08.txt</t>
  </si>
  <si>
    <t>HH20230421 T3580602438 No Limit Hold'em $0.92 + $0.08.txt</t>
  </si>
  <si>
    <t>HH20230421 T3580607388 No Limit Hold'em $0.92 + $0.08.txt</t>
  </si>
  <si>
    <t>HH20230421 T3580609465 No Limit Hold'em $0.92 + $0.08.txt</t>
  </si>
  <si>
    <t>HH20230421 T3580610668 No Limit Hold'em $0.92 + $0.08.txt</t>
  </si>
  <si>
    <t>HH20230421 T3580612147 No Limit Hold'em $0.92 + $0.08.txt</t>
  </si>
  <si>
    <t>HH20230421 T3580616465 No Limit Hold'em $0.92 + $0.08.txt</t>
  </si>
  <si>
    <t>HH20230421 T3580619304 No Limit Hold'em $0.92 + $0.08.txt</t>
  </si>
  <si>
    <t>HH20230421 T3580622784 No Limit Hold'em $0.92 + $0.08.txt</t>
  </si>
  <si>
    <t>HH20230421 T3580624510 No Limit Hold'em $0.92 + $0.08.txt</t>
  </si>
  <si>
    <t>HH20230421 T3580756297 No Limit Hold'em $0.92 + $0.08.txt</t>
  </si>
  <si>
    <t>HH20230421 T3580759155 No Limit Hold'em $0.92 + $0.08.txt</t>
  </si>
  <si>
    <t>HH20230421 T3580764378 No Limit Hold'em $0.92 + $0.08.txt</t>
  </si>
  <si>
    <t>HH20230421 T3580765854 No Limit Hold'em $0.92 + $0.08.txt</t>
  </si>
  <si>
    <t>HH20230421 T3580767097 No Limit Hold'em $0.92 + $0.08.txt</t>
  </si>
  <si>
    <t>HH20230421 T3580769693 No Limit Hold'em $0.92 + $0.08.txt</t>
  </si>
  <si>
    <t>HH20230421 T3580774998 No Limit Hold'em $0.92 + $0.08.txt</t>
  </si>
  <si>
    <t>HH20230421 T3580779424 No Limit Hold'em $0.92 + $0.08.txt</t>
  </si>
  <si>
    <t>HH20230421 T3580783118 No Limit Hold'em $0.92 + $0.08.txt</t>
  </si>
  <si>
    <t>HH20230421 T3580783925 No Limit Hold'em $0.92 + $0.08.txt</t>
  </si>
  <si>
    <t>HH20230421 T3580787145 No Limit Hold'em $0.92 + $0.08.txt</t>
  </si>
  <si>
    <t>HH20230421 T3580787955 No Limit Hold'em $0.92 + $0.08.txt</t>
  </si>
  <si>
    <t>HH20230421 T3580794282 No Limit Hold'em $0.92 + $0.08.txt</t>
  </si>
  <si>
    <t>HH20230421 T3580797257 No Limit Hold'em $0.92 + $0.08.txt</t>
  </si>
  <si>
    <t>HH20230421 T3580800885 No Limit Hold'em $0.92 + $0.08.txt</t>
  </si>
  <si>
    <t>HH20230421 T3580805109 No Limit Hold'em $0.92 + $0.08.txt</t>
  </si>
  <si>
    <t>HH20230422 T3580987933 No Limit Hold'em $0.92 + $0.08.txt</t>
  </si>
  <si>
    <t>22.04.2023</t>
  </si>
  <si>
    <t>HH20230422 T3580990226 No Limit Hold'em $0.92 + $0.08.txt</t>
  </si>
  <si>
    <t>HH20230422 T3580991363 No Limit Hold'em $0.92 + $0.08.txt</t>
  </si>
  <si>
    <t>HH20230422 T3580992513 No Limit Hold'em $0.92 + $0.08.txt</t>
  </si>
  <si>
    <t>HH20230422 T3581049314 No Limit Hold'em $0.92 + $0.08.txt</t>
  </si>
  <si>
    <t>HH20230422 T3581052379 No Limit Hold'em $0.92 + $0.08.txt</t>
  </si>
  <si>
    <t>HH20230422 T3581052965 No Limit Hold'em $0.92 + $0.08.txt</t>
  </si>
  <si>
    <t>HH20230422 T3581056582 No Limit Hold'em $0.92 + $0.08.txt</t>
  </si>
  <si>
    <t>HH20230422 T3581057475 No Limit Hold'em $0.92 + $0.08.txt</t>
  </si>
  <si>
    <t>HH20230422 T3581060695 No Limit Hold'em $0.92 + $0.08.txt</t>
  </si>
  <si>
    <t>HH20230422 T3581061628 No Limit Hold'em $0.92 + $0.08.txt</t>
  </si>
  <si>
    <t>HH20230422 T3581062611 No Limit Hold'em $0.92 + $0.08.txt</t>
  </si>
  <si>
    <t>HH20230422 T3581064972 No Limit Hold'em $0.92 + $0.08.txt</t>
  </si>
  <si>
    <t>HH20230422 T3581066535 No Limit Hold'em $0.92 + $0.08.txt</t>
  </si>
  <si>
    <t>HH20230422 T3581079927 No Limit Hold'em $0.92 + $0.08.txt</t>
  </si>
  <si>
    <t>HH20230422 T3581082021 No Limit Hold'em $0.92 + $0.08.txt</t>
  </si>
  <si>
    <t>HH20230422 T3581084447 No Limit Hold'em $0.92 + $0.08.txt</t>
  </si>
  <si>
    <t>HH20230422 T3581088936 No Limit Hold'em $0.92 + $0.08.txt</t>
  </si>
  <si>
    <t>HH20230422 T3581090848 No Limit Hold'em $0.92 + $0.08.txt</t>
  </si>
  <si>
    <t>HH20230422 T3581092127 No Limit Hold'em $0.92 + $0.08.txt</t>
  </si>
  <si>
    <t>HH20230422 T3581107684 No Limit Hold'em $0.92 + $0.08.txt</t>
  </si>
  <si>
    <t>HH20230422 T3581109156 No Limit Hold'em $0.92 + $0.08.txt</t>
  </si>
  <si>
    <t>HH20230422 T3581110659 No Limit Hold'em $0.92 + $0.08.txt</t>
  </si>
  <si>
    <t>23.04.2023</t>
  </si>
  <si>
    <t>HH20230423 T3581469855 No Limit Hold'em $0.92 + $0.08.txt</t>
  </si>
  <si>
    <t>HH20230423 T3581488605 No Limit Hold'em $0.92 + $0.08.txt</t>
  </si>
  <si>
    <t>HH20230423 T3581490201 No Limit Hold'em $0.92 + $0.08.txt</t>
  </si>
  <si>
    <t>HH20230423 T3581491553 No Limit Hold'em $0.92 + $0.08.txt</t>
  </si>
  <si>
    <t>HH20230423 T3581492084 No Limit Hold'em $0.92 + $0.08.txt</t>
  </si>
  <si>
    <t>HH20230423 T3581494844 No Limit Hold'em $0.92 + $0.08.txt</t>
  </si>
  <si>
    <t>HH20230423 T3581497448 No Limit Hold'em $0.92 + $0.08.txt</t>
  </si>
  <si>
    <t>HH20230423 T3581502457 No Limit Hold'em $0.92 + $0.08.txt</t>
  </si>
  <si>
    <t>HH20230423 T3581503432 No Limit Hold'em $0.92 + $0.08.txt</t>
  </si>
  <si>
    <t>HH20230423 T3581505742 No Limit Hold'em $0.92 + $0.08.txt</t>
  </si>
  <si>
    <t>HH20230423 T3581507182 No Limit Hold'em $0.92 + $0.08.txt</t>
  </si>
  <si>
    <t>HH20230423 T3581508411 No Limit Hold'em $0.92 + $0.08.txt</t>
  </si>
  <si>
    <t>HH20230423 T3581538423 No Limit Hold'em $0.92 + $0.08.txt</t>
  </si>
  <si>
    <t>HH20230423 T3581541300 No Limit Hold'em $0.92 + $0.08.txt</t>
  </si>
  <si>
    <t>HH20230423 T3579268622 No Limit Hold'em $1.96 + $0.24.txt</t>
  </si>
  <si>
    <t>HH20230423 T3581558546 No Limit Hold'em $0.92 + $0.08.txt</t>
  </si>
  <si>
    <t>HH20230423 T3581559734 No Limit Hold'em $0.92 + $0.08.txt</t>
  </si>
  <si>
    <t>HH20230423 T3581561543 No Limit Hold'em $0.92 + $0.08.txt</t>
  </si>
  <si>
    <t>HH20230423 T3581563364 No Limit Hold'em $0.92 + $0.08.txt</t>
  </si>
  <si>
    <t>HH20230423 T3581571697 No Limit Hold'em $0.92 + $0.08.txt</t>
  </si>
  <si>
    <t>HH20230423 T3581574308 No Limit Hold'em $0.92 + $0.08.txt</t>
  </si>
  <si>
    <t>HH20230423 T3581578317 No Limit Hold'em $0.92 + $0.08.txt</t>
  </si>
  <si>
    <t>HH20230423 T3581579229 No Limit Hold'em $0.92 + $0.08.txt</t>
  </si>
  <si>
    <t>HH20230423 T3581580220 No Limit Hold'em $0.92 + $0.08.txt</t>
  </si>
  <si>
    <t>HH20230423 T3581582847 No Limit Hold'em $0.92 + $0.08.txt</t>
  </si>
  <si>
    <t>HH20230423 T3581583928 No Limit Hold'em $0.92 + $0.08.txt</t>
  </si>
  <si>
    <t>HH20230423 T3581587757 No Limit Hold'em $0.92 + $0.08.txt</t>
  </si>
  <si>
    <t>HH20230423 T3581592535 No Limit Hold'em $0.92 + $0.08.txt</t>
  </si>
  <si>
    <t>HH20230423 T3581607521 No Limit Hold'em $0.92 + $0.08.txt</t>
  </si>
  <si>
    <t>HH20230423 T3581610199 No Limit Hold'em $0.92 + $0.08.txt</t>
  </si>
  <si>
    <t>HH20230423 T3581622040 No Limit Hold'em $0.92 + $0.08.txt</t>
  </si>
  <si>
    <t>HH20230423 T3581650403 No Limit Hold'em $0.92 + $0.08.txt</t>
  </si>
  <si>
    <t>HH20230423 T3581652517 No Limit Hold'em $0.92 + $0.08.txt</t>
  </si>
  <si>
    <t>HH20230423 T3581659798 No Limit Hold'em $0.92 + $0.08.txt</t>
  </si>
  <si>
    <t>HH20230423 T3581662196 No Limit Hold'em $0.92 + $0.08.txt</t>
  </si>
  <si>
    <t>HH20230423 T3581668505 No Limit Hold'em $0.92 + $0.08.txt</t>
  </si>
  <si>
    <t>HH20230423 T3581669320 No Limit Hold'em $0.92 + $0.08.txt</t>
  </si>
  <si>
    <t>HH20230423 T3581671126 No Limit Hold'em $0.92 + $0.08.txt</t>
  </si>
  <si>
    <t>HH20230423 T3581674763 No Limit Hold'em $0.92 + $0.08.txt</t>
  </si>
  <si>
    <t>HH20230423 T3581677853 No Limit Hold'em $0.92 + $0.08.txt</t>
  </si>
  <si>
    <t>HH20230423 T3581683435 No Limit Hold'em $0.92 + $0.08.txt</t>
  </si>
  <si>
    <t>HH20230423 T3581687278 No Limit Hold'em $0.92 + $0.08.txt</t>
  </si>
  <si>
    <t>HH20230423 T3581690447 No Limit Hold'em $0.92 + $0.08.txt</t>
  </si>
  <si>
    <t>HH20230423 T3581693225 No Limit Hold'em $0.92 + $0.08.txt</t>
  </si>
  <si>
    <t>HH20230423 T3581694841 No Limit Hold'em $0.92 + $0.08.txt</t>
  </si>
  <si>
    <t>HH20230423 T3581698278 No Limit Hold'em $0.92 + $0.08.txt</t>
  </si>
  <si>
    <t>HH20230423 T3581701975 No Limit Hold'em $0.92 + $0.08.txt</t>
  </si>
  <si>
    <t>HH20230423 T3581705589 No Limit Hold'em $0.92 + $0.08.txt</t>
  </si>
  <si>
    <t>HH20230423 T3581709403 No Limit Hold'em $0.92 + $0.08.txt</t>
  </si>
  <si>
    <t>HH20230423 T3581713125 No Limit Hold'em $0.92 + $0.08.txt</t>
  </si>
  <si>
    <t>HH20230423 T3581717049 No Limit Hold'em $9.30 + $0.70.txt</t>
  </si>
  <si>
    <t>HH20230423 T3581718324 No Limit Hold'em $4.60 + $0.40.txt</t>
  </si>
  <si>
    <t>HH20230423 T3581721786 No Limit Hold'em $9.30 + $0.70.txt</t>
  </si>
  <si>
    <t>24.04.2023</t>
  </si>
  <si>
    <t>HH20230424 T3582030757 No Limit Hold'em $0.92 + $0.08.txt</t>
  </si>
  <si>
    <t>HH20230424 T3582072623 No Limit Hold'em $0.92 + $0.08.txt</t>
  </si>
  <si>
    <t>HH20230424 T3582086044 No Limit Hold'em $0.92 + $0.08.txt</t>
  </si>
  <si>
    <t>HH20230424 T3582089682 No Limit Hold'em $0.92 + $0.08.txt</t>
  </si>
  <si>
    <t>HH20230424 T3582091236 No Limit Hold'em $0.92 + $0.08.txt</t>
  </si>
  <si>
    <t>HH20230424 T3582095031 No Limit Hold'em $0.92 + $0.08.txt</t>
  </si>
  <si>
    <t>HH20230424 T3582096267 No Limit Hold'em $0.92 + $0.08.txt</t>
  </si>
  <si>
    <t>HH20230424 T3582099410 No Limit Hold'em $0.92 + $0.08.txt</t>
  </si>
  <si>
    <t>HH20230424 T3582103501 No Limit Hold'em $0.92 + $0.08.txt</t>
  </si>
  <si>
    <t>HH20230424 T3582112573 No Limit Hold'em $0.92 + $0.08.txt</t>
  </si>
  <si>
    <t>HH20230424 T3582114578 No Limit Hold'em $0.92 + $0.08.txt</t>
  </si>
  <si>
    <t>HH20230424 T3582116934 No Limit Hold'em $0.92 + $0.08.txt</t>
  </si>
  <si>
    <t>28.04.2023</t>
  </si>
  <si>
    <t>HH20230428 T3583823210 No Limit Hold'em $0.92 + $0.08.txt</t>
  </si>
  <si>
    <t>HH20230428 T3583853341 No Limit Hold'em $0.92 + $0.08.txt</t>
  </si>
  <si>
    <t>Correction</t>
  </si>
  <si>
    <t>HH20230428 T3583889292 No Limit Hold'em $0.92 + $0.08.txt</t>
  </si>
  <si>
    <t>HH20230428 T3583892291 No Limit Hold'em $0.92 + $0.08.txt</t>
  </si>
  <si>
    <t>HH20230428 T3583896542 No Limit Hold'em $0.92 + $0.08.txt</t>
  </si>
  <si>
    <t>HH20230428 T3583897671 No Limit Hold'em $0.92 + $0.08.txt</t>
  </si>
  <si>
    <t>29.04.2023</t>
  </si>
  <si>
    <t>HH20230429 T3584127268 No Limit Hold'em $0.92 + $0.08.txt</t>
  </si>
  <si>
    <t>HH20230429 T3584129490 No Limit Hold'em $0.92 + $0.08.txt</t>
  </si>
  <si>
    <t>HH20230429 T3584131488 No Limit Hold'em $0.92 + $0.08.txt</t>
  </si>
  <si>
    <t>HH20230429 T3584133191 No Limit Hold'em $0.92 + $0.08.txt</t>
  </si>
  <si>
    <t>HH20230429 T3584135172 No Limit Hold'em $0.92 + $0.08.txt</t>
  </si>
  <si>
    <t>HH20230429 T3584136834 No Limit Hold'em $0.92 + $0.08.txt</t>
  </si>
  <si>
    <t>HH20230429 T3584138629 No Limit Hold'em $0.92 + $0.08.txt</t>
  </si>
  <si>
    <t>HH20230429 T3584145923 No Limit Hold'em $0.92 + $0.08.txt</t>
  </si>
  <si>
    <t>HH20230429 T3584147540 No Limit Hold'em $0.92 + $0.08.txt</t>
  </si>
  <si>
    <t>HH20230429 T3584275955 No Limit Hold'em $0.92 + $0.08.txt</t>
  </si>
  <si>
    <t>HH20230429 T3584279625 No Limit Hold'em $0.92 + $0.08.txt</t>
  </si>
  <si>
    <t>HH20230429 T3584285446 No Limit Hold'em $0.92 + $0.08.txt</t>
  </si>
  <si>
    <t>HH20230429 T3584287257 No Limit Hold'em $0.92 + $0.08.txt</t>
  </si>
  <si>
    <t>HH20230429 T3584288679 No Limit Hold'em $0.92 + $0.08.txt</t>
  </si>
  <si>
    <t>HH20230429 T3584292438 No Limit Hold'em $0.92 + $0.08.txt</t>
  </si>
  <si>
    <t>HH20230429 T3584298305 No Limit Hold'em $0.92 + $0.08.txt</t>
  </si>
  <si>
    <t>HH20230429 T3584303998 No Limit Hold'em $0.92 + $0.08.txt</t>
  </si>
  <si>
    <t>HH20230429 T3584306044 No Limit Hold'em $0.92 + $0.08.txt</t>
  </si>
  <si>
    <t>HH20230429 T3584308496 No Limit Hold'em $0.92 + $0.08.txt</t>
  </si>
  <si>
    <t>HH20230429 T3584311469 No Limit Hold'em $0.92 + $0.08.txt</t>
  </si>
  <si>
    <t>HH20230429 T3584314889 No Limit Hold'em $0.92 + $0.08.txt</t>
  </si>
  <si>
    <t>HH20230429 T3582372843 No Limit Hold'em $2.94 + $0.36.txt</t>
  </si>
  <si>
    <t>30.04.2023</t>
  </si>
  <si>
    <t>HH20230430 T3584785786 No Limit Hold'em $0.92 + $0.08.txt</t>
  </si>
  <si>
    <t>HH20230430 T3584788528 No Limit Hold'em $0.92 + $0.08.txt</t>
  </si>
  <si>
    <t>HH20230430 T3584795433 No Limit Hold'em $0.92 + $0.08.txt</t>
  </si>
  <si>
    <t>HH20230430 T3584797567 No Limit Hold'em $0.92 + $0.08.txt</t>
  </si>
  <si>
    <t>HH20230430 T3584800072 No Limit Hold'em $0.92 + $0.08.txt</t>
  </si>
  <si>
    <t>HH20230430 T3584802984 No Limit Hold'em $0.92 + $0.08.txt</t>
  </si>
  <si>
    <t>HH20230430 T3584834158 No Limit Hold'em $0.92 + $0.08.txt</t>
  </si>
  <si>
    <t>HH20230430 T3584839522 No Limit Hold'em $0.92 + $0.08.txt</t>
  </si>
  <si>
    <t>HH20230430 T3584844109 No Limit Hold'em $0.92 + $0.08.txt</t>
  </si>
  <si>
    <t>01.05.2023</t>
  </si>
  <si>
    <t>HH20230501 T3585079422 No Limit Hold'em $0.92 + $0.08.txt</t>
  </si>
  <si>
    <t>WON Netto</t>
  </si>
  <si>
    <t>HH20230501 T3585091582 No Limit Hold'em $0.92 + $0.08.txt</t>
  </si>
  <si>
    <t>HH20230501 T3585093412 No Limit Hold'em $0.92 + $0.08.txt</t>
  </si>
  <si>
    <t>HH20230501 T3585096067 No Limit Hold'em $0.92 + $0.08.txt</t>
  </si>
  <si>
    <t>HH20230501 T3585097508 No Limit Hold'em $0.92 + $0.08.txt</t>
  </si>
  <si>
    <t>HH20230501 T3585098414 No Limit Hold'em $0.92 + $0.08.txt</t>
  </si>
  <si>
    <t>HH20230501 T3585099718 No Limit Hold'em $0.92 + $0.08.txt</t>
  </si>
  <si>
    <t>HH20230501 T3585102293 No Limit Hold'em $0.92 + $0.08.txt</t>
  </si>
  <si>
    <t>02.05.2023</t>
  </si>
  <si>
    <t>HH20230502 T3585729019 No Limit Hold'em $0.92 + $0.08.txt</t>
  </si>
  <si>
    <t>HH20230502 T3585735259 No Limit Hold'em $0.92 + $0.08.txt</t>
  </si>
  <si>
    <t>HH20230502 T3585739220 No Limit Hold'em $0.92 + $0.08.txt</t>
  </si>
  <si>
    <t>HH20230502 T3585744310 No Limit Hold'em $0.92 + $0.08.txt</t>
  </si>
  <si>
    <t>HH20230502 T3585747841 No Limit Hold'em $0.92 + $0.08.txt</t>
  </si>
  <si>
    <t>03.05.2023</t>
  </si>
  <si>
    <t>HH20230503 T3586036907 No Limit Hold'em $0.92 + $0.08.txt</t>
  </si>
  <si>
    <t>HH20230503 T3586040833 No Limit Hold'em $0.92 + $0.08.txt</t>
  </si>
  <si>
    <t>HH20230503 T3586042344 No Limit Hold'em $0.92 + $0.08.txt</t>
  </si>
  <si>
    <t>HH20230503 T3586045410 No Limit Hold'em $0.92 + $0.08.txt</t>
  </si>
  <si>
    <t>HH20230503 T3586047916 No Limit Hold'em $0.92 + $0.08.txt</t>
  </si>
  <si>
    <t>HH20230503 T3586051593 No Limit Hold'em $0.92 + $0.08.txt</t>
  </si>
  <si>
    <t>HH20230503 T3586053998 No Limit Hold'em $0.92 + $0.08.txt</t>
  </si>
  <si>
    <t>HH20230503 T3586088381 No Limit Hold'em $0.92 + $0.08.txt</t>
  </si>
  <si>
    <t>HH20230503 T3586090302 No Limit Hold'em $0.92 + $0.08.txt</t>
  </si>
  <si>
    <t>HH20230503 T3586096994 No Limit Hold'em $0.92 + $0.08.txt</t>
  </si>
  <si>
    <t>HH20230503 T3586099551 No Limit Hold'em $0.92 + $0.08.txt</t>
  </si>
  <si>
    <t>HH20230503 T3586100638 No Limit Hold'em $0.92 + $0.08.txt</t>
  </si>
  <si>
    <t>HH20230503 T3586103293 No Limit Hold'em $0.92 + $0.08.txt</t>
  </si>
  <si>
    <t>HH20230503 T3586106324 No Limit Hold'em $0.92 + $0.08.txt</t>
  </si>
  <si>
    <t>HH20230503 T3586110902 No Limit Hold'em $0.92 + $0.08.txt</t>
  </si>
  <si>
    <t>HH20230503 T3586115665 No Limit Hold'em $0.92 + $0.08.txt</t>
  </si>
  <si>
    <t>HH20230503 T3586118581 No Limit Hold'em $0.92 + $0.08.txt</t>
  </si>
  <si>
    <t>HH20230503 T3586121001 No Limit Hold'em $0.92 + $0.08.txt</t>
  </si>
  <si>
    <t>04.05.2023</t>
  </si>
  <si>
    <t>HH20230504 T3586526391 No Limit Hold'em $0.92 + $0.08.txt</t>
  </si>
  <si>
    <t>HH20230504 T3586528917 No Limit Hold'em $0.92 + $0.08.txt</t>
  </si>
  <si>
    <t>HH20230504 T3586601146 No Limit Hold'em $0.92 + $0.08.txt</t>
  </si>
  <si>
    <t>HH20230504 T3586606430 No Limit Hold'em $0.92 + $0.08.txt</t>
  </si>
  <si>
    <t>HH20230504 T3586609236 No Limit Hold'em $0.92 + $0.08.txt</t>
  </si>
  <si>
    <t>HH20230504 T3586615434 No Limit Hold'em $0.92 + $0.08.txt</t>
  </si>
  <si>
    <t>26.05.2023</t>
  </si>
  <si>
    <t>HH20230526 T3596208328 No Limit Hold'em $0.92 + $0.08.txt</t>
  </si>
  <si>
    <t>HH20230526 T3596211060 No Limit Hold'em $0.92 + $0.08.txt</t>
  </si>
  <si>
    <t>HH20230526 T3596230785 No Limit Hold'em $0.92 + $0.08.txt</t>
  </si>
  <si>
    <t>HH20230526 T3596293925 No Limit Hold'em $0.92 + $0.08.txt</t>
  </si>
  <si>
    <t>27.05.2023</t>
  </si>
  <si>
    <t>HH20230527 T3596671415 No Limit Hold'em $0.92 + $0.08.txt</t>
  </si>
  <si>
    <t>HH20230527 T3596710081 No Limit Hold'em $0.92 + $0.08.txt</t>
  </si>
  <si>
    <t>HH20230527 T3596711169 No Limit Hold'em $0.92 + $0.08.txt</t>
  </si>
  <si>
    <t>HH20230527 T3596713912 No Limit Hold'em $0.92 + $0.08.txt</t>
  </si>
  <si>
    <t>HH20230527 T3596728892 No Limit Hold'em $0.92 + $0.08.txt</t>
  </si>
  <si>
    <t>HH20230527 T3596832727 No Limit Hold'em $0.92 + $0.08.txt</t>
  </si>
  <si>
    <t>28.05.2023</t>
  </si>
  <si>
    <t>HH20230528 T3597084493 No Limit Hold'em $0.92 + $0.08.txt</t>
  </si>
  <si>
    <t>HH20230528 T3597085800 No Limit Hold'em $0.92 + $0.08.txt</t>
  </si>
  <si>
    <t>HH20230528 T3597087074 No Limit Hold'em $0.92 + $0.08.txt</t>
  </si>
  <si>
    <t>HH20230528 T3597087991 No Limit Hold'em $0.92 + $0.08.txt</t>
  </si>
  <si>
    <t>HH20230528 T3597088987 No Limit Hold'em $0.92 + $0.08.txt</t>
  </si>
  <si>
    <t>HH20230528 T3597090619 No Limit Hold'em $0.92 + $0.08.txt</t>
  </si>
  <si>
    <t>HH20230528 T3597091968 No Limit Hold'em $0.92 + $0.08.txt</t>
  </si>
  <si>
    <t>HH20230528 T3597093243 No Limit Hold'em $0.92 + $0.08.txt</t>
  </si>
  <si>
    <t>HH20230528 T3597094757 No Limit Hold'em $0.92 + $0.08.txt</t>
  </si>
  <si>
    <t>HH20230528 T3593289165 No Limit Hold'em $9.80 + $1.20.txt</t>
  </si>
  <si>
    <t>29.05.2023</t>
  </si>
  <si>
    <t>HH20230529 T3597560818 No Limit Hold'em $0.92 + $0.08.txt</t>
  </si>
  <si>
    <t>HH20230529 T3597563243 No Limit Hold'em $0.92 + $0.08.txt</t>
  </si>
  <si>
    <t>HH20230529 T3597563957 No Limit Hold'em $0.92 + $0.08.txt</t>
  </si>
  <si>
    <t>HH20230529 T3597565951 No Limit Hold'em $0.92 + $0.08.txt</t>
  </si>
  <si>
    <t>HH20230529 T3597620745 No Limit Hold'em $0.92 + $0.08.txt</t>
  </si>
  <si>
    <t>HH20230529 T3597625991 No Limit Hold'em $0.92 + $0.08.txt</t>
  </si>
  <si>
    <t>HH20230529 T3597724636 No Limit Hold'em $0.92 + $0.08.txt</t>
  </si>
  <si>
    <t>30.05.2023</t>
  </si>
  <si>
    <t>HH20230530 T3598055305 No Limit Hold'em $0.92 + $0.08.txt</t>
  </si>
  <si>
    <t>HH20230530 T3598057371 No Limit Hold'em $0.92 + $0.08.txt</t>
  </si>
  <si>
    <t>HH20230530 T3598111514 No Limit Hold'em $0.92 + $0.08.txt</t>
  </si>
  <si>
    <t>HH20230530 T3598116113 No Limit Hold'em $0.92 + $0.08.txt</t>
  </si>
  <si>
    <t>HH20230530 T3598119432 No Limit Hold'em $0.92 + $0.08.txt</t>
  </si>
  <si>
    <t>HH20230530 T3598121418 No Limit Hold'em $0.92 + $0.08.txt</t>
  </si>
  <si>
    <t>HH20230530 T3598123436 No Limit Hold'em $0.92 + $0.08.txt</t>
  </si>
  <si>
    <t>HH20230530 T3598126128 No Limit Hold'em $0.92 + $0.08.txt</t>
  </si>
  <si>
    <t>31.05.2023</t>
  </si>
  <si>
    <t>HH20230531 T3598469886 No Limit Hold'em $0.92 + $0.08.txt</t>
  </si>
  <si>
    <t>HH20230531 T3598514310 No Limit Hold'em $0.92 + $0.08.txt</t>
  </si>
  <si>
    <t>HH20230531 T3598518807 No Limit Hold'em $0.92 + $0.08.txt</t>
  </si>
  <si>
    <t>HH20230531 T3598522027 No Limit Hold'em $0.92 + $0.08.txt</t>
  </si>
  <si>
    <t>HH20230531 T3598524561 No Limit Hold'em $0.92 + $0.08.txt</t>
  </si>
  <si>
    <t>HH20230531 T3598527743 No Limit Hold'em $0.92 + $0.08.txt</t>
  </si>
  <si>
    <t>01.06.2023</t>
  </si>
  <si>
    <t>HH20230601 T3598748333 No Limit Hold'em $0.92 + $0.08.txt</t>
  </si>
  <si>
    <t>HH20230601 T3598774690 No Limit Hold'em $0.92 + $0.08.txt</t>
  </si>
  <si>
    <t>HH20230601 T3598777281 No Limit Hold'em $0.92 + $0.08.txt</t>
  </si>
  <si>
    <t>HH20230601 T3598805519 No Limit Hold'em $0.92 + $0.08.txt</t>
  </si>
  <si>
    <t>HH20230601 T3598807655 No Limit Hold'em $0.92 + $0.08.txt</t>
  </si>
  <si>
    <t>HH20230601 T3598810612 No Limit Hold'em $0.92 + $0.08.txt</t>
  </si>
  <si>
    <t>HH20230601 T3598814479 No Limit Hold'em $0.92 + $0.08.txt</t>
  </si>
  <si>
    <t>HH20230601 T3598816269 No Limit Hold'em $0.92 + $0.08.txt</t>
  </si>
  <si>
    <t>HH20230601 T3598847719 No Limit Hold'em $0.92 + $0.08.txt</t>
  </si>
  <si>
    <t>HH20230601 T3598850663 No Limit Hold'em $0.92 + $0.08.txt</t>
  </si>
  <si>
    <t>HH20230601 T3598854905 No Limit Hold'em $0.92 + $0.08.txt</t>
  </si>
  <si>
    <t>HH20230601 T3598856380 No Limit Hold'em $0.92 + $0.08.txt</t>
  </si>
  <si>
    <t>HH20230601 T3598859868 No Limit Hold'em $0.92 + $0.08.txt</t>
  </si>
  <si>
    <t>HH20230601 T3598861960 No Limit Hold'em $0.92 + $0.08.txt</t>
  </si>
  <si>
    <t>HH20230601 T3598863308 No Limit Hold'em $0.92 + $0.08.txt</t>
  </si>
  <si>
    <t>HH20230601 T3598866622 No Limit Hold'em $0.92 + $0.08.txt</t>
  </si>
  <si>
    <t>HH20230601 T3598867483 No Limit Hold'em $0.92 + $0.08.txt</t>
  </si>
  <si>
    <t>HH20230601 T3598932254 No Limit Hold'em $0.92 + $0.08.txt</t>
  </si>
  <si>
    <t>HH20230601 T3598935624 No Limit Hold'em $0.92 + $0.08.txt</t>
  </si>
  <si>
    <t>HH20230601 T3598938797 No Limit Hold'em $0.92 + $0.08.txt</t>
  </si>
  <si>
    <t>HH20230601 T3598941675 No Limit Hold'em $0.92 + $0.08.txt</t>
  </si>
  <si>
    <t>02.06.2023</t>
  </si>
  <si>
    <t>HH20230602 T3598363515 No Limit Hold'em $2.94 + $0.36.txt</t>
  </si>
  <si>
    <t>03.06.2023</t>
  </si>
  <si>
    <t>HH20230603 T3599821427 No Limit Hold'em $0.92 + $0.08.txt</t>
  </si>
  <si>
    <t>HH20230603 T3599823754 No Limit Hold'em $1.38 + $0.12.txt</t>
  </si>
  <si>
    <t>HH20230603 T3599827868 No Limit Hold'em $1.38 + $0.12.txt</t>
  </si>
  <si>
    <t>HH20230603 T3599831744 No Limit Hold'em $1.38 + $0.12.txt</t>
  </si>
  <si>
    <t>HH20230603 T3599833085 No Limit Hold'em $1.38 + $0.12.txt</t>
  </si>
  <si>
    <t>HH20230603 T3599836259 No Limit Hold'em $1.38 + $0.12.txt</t>
  </si>
  <si>
    <t>HH20230603 T3599838866 No Limit Hold'em $1.38 + $0.12.txt</t>
  </si>
  <si>
    <t>HH20230603 T3599840738 No Limit Hold'em $1.38 + $0.12.txt</t>
  </si>
  <si>
    <t>04.06.2023</t>
  </si>
  <si>
    <t>HH20230604 T3600205944 No Limit Hold'em $1.38 + $0.12.txt</t>
  </si>
  <si>
    <t>HH20230604 T3600208237 No Limit Hold'em $1.38 + $0.12.txt</t>
  </si>
  <si>
    <t>HH20230604 T3596322763 No Limit Hold'em $9.80 + $1.20.txt</t>
  </si>
  <si>
    <t>HH20230605 T3600593498 No Limit Hold'em $1.38 + $0.12.txt</t>
  </si>
  <si>
    <t>05.06.2023</t>
  </si>
  <si>
    <t>HH20230605 T3600595790 No Limit Hold'em $0.92 + $0.08.txt</t>
  </si>
  <si>
    <t>HH20230605 T3600598680 No Limit Hold'em $0.92 + $0.08.txt</t>
  </si>
  <si>
    <t>HH20230605 T3600599683 No Limit Hold'em $0.92 + $0.08.txt</t>
  </si>
  <si>
    <t>HH20230605 T3600646414 No Limit Hold'em $0.92 + $0.08.txt</t>
  </si>
  <si>
    <t>06.06.2023</t>
  </si>
  <si>
    <t>HH20230606 T3601015111 No Limit Hold'em $0.92 + $0.08.txt</t>
  </si>
  <si>
    <t>HH20230606 T3601074931 No Limit Hold'em $0.92 + $0.08.txt</t>
  </si>
  <si>
    <t>HH20230606 T3601079888 No Limit Hold'em $0.92 + $0.08.txt</t>
  </si>
  <si>
    <t>HH20230606 T3601089404 No Limit Hold'em $0.92 + $0.08.txt</t>
  </si>
  <si>
    <t>HH20230606 T3601094001 No Limit Hold'em $0.92 + $0.08.txt</t>
  </si>
  <si>
    <t>07.06.2023</t>
  </si>
  <si>
    <t>HH20230607 T3601324337 No Limit Hold'em $0.92 + $0.08.txt</t>
  </si>
  <si>
    <t>HH20230607 T3601338114 No Limit Hold'em $0.92 + $0.08.txt</t>
  </si>
  <si>
    <t>HH20230607 T3601339578 No Limit Hold'em $0.92 + $0.08.txt</t>
  </si>
  <si>
    <t>HH20230607 T3601361519 No Limit Hold'em $0.92 + $0.08.txt</t>
  </si>
  <si>
    <t>HH20230607 T3601394208 No Limit Hold'em $0.92 + $0.08.txt</t>
  </si>
  <si>
    <t>HH20230607 T3601396908 No Limit Hold'em $0.92 + $0.08.txt</t>
  </si>
  <si>
    <t>HH20230607 T3601398572 No Limit Hold'em $0.92 + $0.08.txt</t>
  </si>
  <si>
    <t>08.06.2023</t>
  </si>
  <si>
    <t>HH20230608 T3601718777 No Limit Hold'em $0.92 + $0.08.txt</t>
  </si>
  <si>
    <t>HH20230608 T3601720010 No Limit Hold'em $0.92 + $0.08.txt</t>
  </si>
  <si>
    <t>11.06.2023</t>
  </si>
  <si>
    <t>HH20230611 T3603085489 No Limit Hold'em $0.92 + $0.08.txt</t>
  </si>
  <si>
    <t>HH20230611 T3603106791 No Limit Hold'em $0.92 + $0.08.txt</t>
  </si>
  <si>
    <t>HH20230611 T3603110316 No Limit Hold'em $0.92 + $0.08.txt</t>
  </si>
  <si>
    <t>HH20230611 T3603113852 No Limit Hold'em $0.92 + $0.08.txt</t>
  </si>
  <si>
    <t>HH20230611 T3603117118 No Limit Hold'em $0.92 + $0.08.txt</t>
  </si>
  <si>
    <t>HH20230611 T3603118699 No Limit Hold'em $0.92 + $0.08.txt</t>
  </si>
  <si>
    <t>HH20230611 T3603157931 No Limit Hold'em $0.92 + $0.08.txt</t>
  </si>
  <si>
    <t>HH20230611 T3603158712 No Limit Hold'em $0.92 + $0.08.txt</t>
  </si>
  <si>
    <t>HH20230611 T3599285142 No Limit Hold'em $9.80 + $1.20.txt</t>
  </si>
  <si>
    <t>HH20230612 T3602274817 No Limit Hold'em $2.94 + $0.36.txt</t>
  </si>
  <si>
    <t>12.06.2023</t>
  </si>
  <si>
    <t>HH20230612 T3603625956 No Limit Hold'em $0.92 + $0.08.txt</t>
  </si>
  <si>
    <t>13.06.2023</t>
  </si>
  <si>
    <t>HH20230613 T3602274818 No Limit Hold'em $2.94 + $0.36.txt</t>
  </si>
  <si>
    <t>HH20230613 T3604072855 No Limit Hold'em $0.92 + $0.08.txt</t>
  </si>
  <si>
    <t>HH20230613 T3604076681 No Limit Hold'em $0.92 + $0.08.txt</t>
  </si>
  <si>
    <t>HH20230613 T3604079048 No Limit Hold'em $0.92 + $0.08.txt</t>
  </si>
  <si>
    <t>14.06.2023</t>
  </si>
  <si>
    <t>HH20230614 T3604397350 No Limit Hold'em $0.92 + $0.08.txt</t>
  </si>
  <si>
    <t>HH20230614 T3604400391 No Limit Hold'em $0.92 + $0.08.txt</t>
  </si>
  <si>
    <t>HH20230614 T3604402029 No Limit Hold'em $0.92 + $0.08.txt</t>
  </si>
  <si>
    <t>HH20230614 T3604403000 No Limit Hold'em $0.92 + $0.08.txt</t>
  </si>
  <si>
    <t>16.06.2023</t>
  </si>
  <si>
    <t>HH20230616 T3605068832 No Limit Hold'em $0.92 + $0.08.txt</t>
  </si>
  <si>
    <t>HH20230616 T3605088837 No Limit Hold'em $0.92 + $0.08.txt</t>
  </si>
  <si>
    <t>HH20230616 T3605089621 No Limit Hold'em $0.92 + $0.08.txt</t>
  </si>
  <si>
    <t>HH20230616 T3605091059 No Limit Hold'em $0.92 + $0.08.txt</t>
  </si>
  <si>
    <t>HH20230616 T3605091345 No Limit Hold'em $0.92 + $0.08.txt</t>
  </si>
  <si>
    <t>HH20230616 T3605096370 No Limit Hold'em $0.92 + $0.08.txt</t>
  </si>
  <si>
    <t>HH20230616 T3605098553 No Limit Hold'em $0.92 + $0.08.txt</t>
  </si>
  <si>
    <t>HH20230616 T3605110981 No Limit Hold'em $0.92 + $0.08.txt</t>
  </si>
  <si>
    <t>17.06.2023</t>
  </si>
  <si>
    <t>HH20230617 T3605583376 No Limit Hold'em $0.92 + $0.08.txt</t>
  </si>
  <si>
    <t>HH20230617 T3605586898 No Limit Hold'em $0.92 + $0.08.txt</t>
  </si>
  <si>
    <t>HH20230617 T3605694466 No Limit Hold'em $0.92 + $0.08.txt</t>
  </si>
  <si>
    <t>HH20230617 T3605696640 No Limit Hold'em $0.92 + $0.08.txt</t>
  </si>
  <si>
    <t>18.06.2023</t>
  </si>
  <si>
    <t>HH20230618 T3606006612 No Limit Hold'em $0.92 + $0.08.txt</t>
  </si>
  <si>
    <t>HH20230618 T3606009288 No Limit Hold'em $0.92 + $0.08.txt</t>
  </si>
  <si>
    <t>HH20230618 T3606010174 No Limit Hold'em $0.92 + $0.08.txt</t>
  </si>
  <si>
    <t>HH20230618 T3606012275 No Limit Hold'em $0.92 + $0.08.txt</t>
  </si>
  <si>
    <t>HH20230618 T3606050170 No Limit Hold'em $0.92 + $0.08.txt</t>
  </si>
  <si>
    <t>HH20230618 T3606053855 No Limit Hold'em $0.92 + $0.08.txt</t>
  </si>
  <si>
    <t>HH20230618 T3606055442 No Limit Hold'em $0.92 + $0.08.txt</t>
  </si>
  <si>
    <t>HH20230618 T3606055926 No Limit Hold'em $0.92 + $0.08.txt</t>
  </si>
  <si>
    <t>HH20230618 T3602279033 No Limit Hold'em $9.80 + $1.20.txt</t>
  </si>
  <si>
    <t>HH20230619 T3606420069 No Limit Hold'em $0.92 + $0.08.txt</t>
  </si>
  <si>
    <t>19.06.2023</t>
  </si>
  <si>
    <t>HH20230619 T3606420944 No Limit Hold'em $0.92 + $0.08.txt</t>
  </si>
  <si>
    <t>HH20230619 T3606451840 No Limit Hold'em $0.92 + $0.08.txt</t>
  </si>
  <si>
    <t>HH20230619 T3606456051 No Limit Hold'em $0.92 + $0.08.txt</t>
  </si>
  <si>
    <t>HH20230619 T3606459017 No Limit Hold'em $0.92 + $0.08.txt</t>
  </si>
  <si>
    <t>HH20230619 T3606463619 No Limit Hold'em $0.92 + $0.08.txt</t>
  </si>
  <si>
    <t>HH20230619 T3606465043 No Limit Hold'em $0.92 + $0.08.txt</t>
  </si>
  <si>
    <t>HH20230619 T3606466378 No Limit Hold'em $0.92 + $0.08.txt</t>
  </si>
  <si>
    <t>20.06.2023</t>
  </si>
  <si>
    <t>HH20230620 T3606849068 No Limit Hold'em $0.92 + $0.08.txt</t>
  </si>
  <si>
    <t>HH20230620 T3606850872 No Limit Hold'em $0.92 + $0.08.txt</t>
  </si>
  <si>
    <t>HH20230620 T3606866004 No Limit Hold'em $0.92 + $0.08.txt</t>
  </si>
  <si>
    <t>HH20230620 T3606867718 No Limit Hold'em $0.92 + $0.08.txt</t>
  </si>
  <si>
    <t>HH20230620 T3606901323 No Limit Hold'em $0.92 + $0.08.txt</t>
  </si>
  <si>
    <t>22.06.2023</t>
  </si>
  <si>
    <t>HH20230622 T3607613962 No Limit Hold'em $0.92 + $0.08.txt</t>
  </si>
  <si>
    <t>HH20230622 T3607615490 No Limit Hold'em $0.92 + $0.08.txt</t>
  </si>
  <si>
    <t>HH20230622 T3607619110 No Limit Hold'em $0.92 + $0.08.txt</t>
  </si>
  <si>
    <t>HH20230622 T3607619545 No Limit Hold'em $0.92 + $0.08.txt</t>
  </si>
  <si>
    <t>HH20230622 T3607623464 No Limit Hold'em $0.92 + $0.08.txt</t>
  </si>
  <si>
    <t>HH20230622 T3607627351 No Limit Hold'em $0.92 + $0.08.txt</t>
  </si>
  <si>
    <t>HH20230622 T3607629627 No Limit Hold'em $0.92 + $0.08.txt</t>
  </si>
  <si>
    <t>HH20230622 T3607630567 No Limit Hold'em $0.92 + $0.08.txt</t>
  </si>
  <si>
    <t>HH20230622 T3607631596 No Limit Hold'em $0.92 + $0.08.txt</t>
  </si>
  <si>
    <t>HH20230622 T3607666570 No Limit Hold'em $0.92 + $0.08.txt</t>
  </si>
  <si>
    <t>HH20230622 T3607670284 No Limit Hold'em $0.92 + $0.08.txt</t>
  </si>
  <si>
    <t>23.06.2023</t>
  </si>
  <si>
    <t>HH20230623 T3608076499 No Limit Hold'em $0.92 + $0.08.txt</t>
  </si>
  <si>
    <t>24.06.2023</t>
  </si>
  <si>
    <t>HH20230624 T3608345584 No Limit Hold'em $0.92 + $0.08.txt</t>
  </si>
  <si>
    <t>HH20230624 T3608355323 No Limit Hold'em $0.92 + $0.08.txt</t>
  </si>
  <si>
    <t>HH20230624 T3606841510 No Limit Hold'em $6.69 + $0.81.txt</t>
  </si>
  <si>
    <t>HH20230624 T3608506663 No Limit Hold'em $0.92 + $0.08.txt</t>
  </si>
  <si>
    <t>HH20230624 T3608508849 No Limit Hold'em $0.92 + $0.08.txt</t>
  </si>
  <si>
    <t>HH20230624 T3608509878 No Limit Hold'em $0.92 + $0.08.txt</t>
  </si>
  <si>
    <t>HH20230624 T3608512040 No Limit Hold'em $0.92 + $0.08.txt</t>
  </si>
  <si>
    <t>HH20230624 T3608512706 No Limit Hold'em $4.60 + $0.40.txt</t>
  </si>
  <si>
    <t>HH20230624 T3608516684 No Limit Hold'em $0.92 + $0.08.txt</t>
  </si>
  <si>
    <t>HH20230624 T3608521293 No Limit Hold'em $0.92 + $0.08.txt</t>
  </si>
  <si>
    <t>HH20230624 T3608524733 No Limit Hold'em $0.92 + $0.08.txt</t>
  </si>
  <si>
    <t>25.06.2023</t>
  </si>
  <si>
    <t>HH20230625 T3608685060 No Limit Hold'em $0.92 + $0.08.txt</t>
  </si>
  <si>
    <t>HH20230625 T3605198245 No Limit Hold'em $9.80 + $1.20.txt</t>
  </si>
  <si>
    <t>26.06.2023</t>
  </si>
  <si>
    <t>HH20230626 T3609204752 No Limit Hold'em $0.92 + $0.08.txt</t>
  </si>
  <si>
    <t>HH20230626 T3609230133 No Limit Hold'em $0.92 + $0.08.txt</t>
  </si>
  <si>
    <t>HH20230626 T3609233714 No Limit Hold'em $0.92 + $0.08.txt</t>
  </si>
  <si>
    <t>HH20230626 T3609234824 No Limit Hold'em $0.92 + $0.08.txt</t>
  </si>
  <si>
    <t>HH20230626 T3609238382 No Limit Hold'em $0.92 + $0.08.txt</t>
  </si>
  <si>
    <t>Month</t>
  </si>
  <si>
    <t>Year</t>
  </si>
  <si>
    <t>Day</t>
  </si>
  <si>
    <t>Row Labels</t>
  </si>
  <si>
    <t>Grand Total</t>
  </si>
  <si>
    <t>Sum of Paid Entry</t>
  </si>
  <si>
    <t>Sum of Prize Money</t>
  </si>
  <si>
    <t>Sum of Bounty</t>
  </si>
  <si>
    <t>Sum of Total</t>
  </si>
  <si>
    <t>27.06.2023</t>
  </si>
  <si>
    <t>HH20230627 T3609623662 No Limit Hold'em $0.92 + $0.08.txt</t>
  </si>
  <si>
    <t>HH20230627 T3607965759 No Limit Hold'em $2.94 + $0.36.txt</t>
  </si>
  <si>
    <t>28.06.2023</t>
  </si>
  <si>
    <t>HH20230628 T3609884452 No Limit Hold'em $0.92 + $0.08.txt</t>
  </si>
  <si>
    <t>HH20230628 T3609885843 No Limit Hold'em $0.92 + $0.08.txt</t>
  </si>
  <si>
    <t>HH20230628 T3609905403 No Limit Hold'em $0.92 + $0.08.txt</t>
  </si>
  <si>
    <t>HH20230628 T3609906722 No Limit Hold'em $0.92 + $0.08.txt</t>
  </si>
  <si>
    <t>HH20230628 T3609907174 No Limit Hold'em $0.92 + $0.08.txt</t>
  </si>
  <si>
    <t>HH20230628 T3609909783 No Limit Hold'em $0.92 + $0.08.txt</t>
  </si>
  <si>
    <t>HH20230628 T3609910413 No Limit Hold'em $0.92 + $0.08.txt</t>
  </si>
  <si>
    <t>HH20230628 T3609913033 No Limit Hold'em $0.92 + $0.08.txt</t>
  </si>
  <si>
    <t>HH20230628 T3609914704 No Limit Hold'em $0.92 + $0.08.txt</t>
  </si>
  <si>
    <t>HH20230628 T3609916058 No Limit Hold'em $0.92 + $0.08.txt</t>
  </si>
  <si>
    <t>HH20230628 T3609942129 No Limit Hold'em $0.92 + $0.08.txt</t>
  </si>
  <si>
    <t>HH20230628 T3609943786 No Limit Hold'em $0.92 + $0.08.txt</t>
  </si>
  <si>
    <t>HH20230628 T3609944111 No Limit Hold'em $0.92 + $0.08.txt</t>
  </si>
  <si>
    <t>HH20230628 T3609948033 No Limit Hold'em $0.92 + $0.08.txt</t>
  </si>
  <si>
    <t>HH20230628 T3609951932 No Limit Hold'em $0.92 + $0.08.txt</t>
  </si>
  <si>
    <t>HH20230628 T3609955565 No Limit Hold'em $0.92 + $0.08.txt</t>
  </si>
  <si>
    <t>HH20230628 T3609956392 No Limit Hold'em $0.92 + $0.08.txt</t>
  </si>
  <si>
    <t>HH20230628 T3609957377 No Limit Hold'em $0.92 + $0.08.txt</t>
  </si>
  <si>
    <t>HH20230628 T3609958175 No Limit Hold'em $0.92 + $0.08.txt</t>
  </si>
  <si>
    <t>HH20230628 T3609960019 No Limit Hold'em $0.92 + $0.08.txt</t>
  </si>
  <si>
    <t>HH20230628 T3609962116 No Limit Hold'em $0.92 + $0.08.txt</t>
  </si>
  <si>
    <t>HH20230628 T3609966923 No Limit Hold'em $0.92 + $0.08.txt</t>
  </si>
  <si>
    <t>HH20230628 T3609967766 No Limit Hold'em $0.92 + $0.08.txt</t>
  </si>
  <si>
    <t>HH20230628 T3609968549 No Limit Hold'em $0.92 + $0.08.txt</t>
  </si>
  <si>
    <t>HH20230628 T3609969638 No Limit Hold'em $0.92 + $0.08.txt</t>
  </si>
  <si>
    <t>HH20230628 T3609970850 No Limit Hold'em $0.92 + $0.08.txt</t>
  </si>
  <si>
    <t>HH20230628 T3609973800 No Limit Hold'em $0.92 + $0.08.txt</t>
  </si>
  <si>
    <t>HH20230628 T3609975250 No Limit Hold'em $0.92 + $0.08.txt</t>
  </si>
  <si>
    <t>HH20230628 T3609975954 No Limit Hold'em $0.92 + $0.08.txt</t>
  </si>
  <si>
    <t>HH20230628 T3609978108 No Limit Hold'em $0.92 + $0.08.txt</t>
  </si>
  <si>
    <t>HH20230628 T3609978669 No Limit Hold'em $0.92 + $0.08.txt</t>
  </si>
  <si>
    <t>HH20230628 T3609980578 No Limit Hold'em $9.30 + $0.70.txt</t>
  </si>
  <si>
    <t>HH20230628 T3609982413 No Limit Hold'em $9.30 + $0.70.txt</t>
  </si>
  <si>
    <t>HH20230628 T3610074685 No Limit Hold'em $0.92 + $0.08.txt</t>
  </si>
  <si>
    <t>HH20230628 T3610081084 No Limit Hold'em $0.92 + $0.08.txt</t>
  </si>
  <si>
    <t>HH20230628 T3610087880 No Limit Hold'em $0.92 + $0.08.txt</t>
  </si>
  <si>
    <t>HH20230628 T3610091989 No Limit Hold'em $0.92 + $0.08.txt</t>
  </si>
  <si>
    <t>29.06.2023</t>
  </si>
  <si>
    <t>HH20230629 T3610506297 No Limit Hold'em $0.92 + $0.08.txt</t>
  </si>
  <si>
    <t>HH20230629 T3610508852 No Limit Hold'em $0.92 + $0.08.txt</t>
  </si>
  <si>
    <t>HH20230629 T3610516719 No Limit Hold'em $0.92 + $0.08.txt</t>
  </si>
  <si>
    <t>30.06.2023</t>
  </si>
  <si>
    <t>HH20230630 T3610844853 No Limit Hold'em $0.92 + $0.08.txt</t>
  </si>
  <si>
    <t>HH20230630 T3610846801 No Limit Hold'em $0.92 + $0.08.txt</t>
  </si>
  <si>
    <t>HH20230630 T3609538438 No Limit Hold'em $2.94 + $0.36.txt</t>
  </si>
  <si>
    <t>HH20230630 T3610919688 No Limit Hold'em $0.92 + $0.08.txt</t>
  </si>
  <si>
    <t>HH20230630 T3610921154 No Limit Hold'em $0.92 + $0.08.txt</t>
  </si>
  <si>
    <t>HH20230630 T3610922894 No Limit Hold'em $0.92 + $0.08.txt</t>
  </si>
  <si>
    <t>HH20230630 T3610923940 No Limit Hold'em $0.92 + $0.08.txt</t>
  </si>
  <si>
    <t>HH20230630 T3610928194 No Limit Hold'em $0.92 + $0.08.txt</t>
  </si>
  <si>
    <t>HH20230630 T3610930406 No Limit Hold'em $0.92 + $0.08.txt</t>
  </si>
  <si>
    <t>01.07.2023</t>
  </si>
  <si>
    <t>HH20230701 T3611190371 No Limit Hold'em $0.92 + $0.08.txt</t>
  </si>
  <si>
    <t>HH20230701 T3611192042 No Limit Hold'em $0.92 + $0.08.txt</t>
  </si>
  <si>
    <t>HH20230701 T3611194248 No Limit Hold'em $0.92 + $0.08.txt</t>
  </si>
  <si>
    <t>HH20230701 T3611196183 No Limit Hold'em $0.92 + $0.08.txt</t>
  </si>
  <si>
    <t>HH20230701 T3611197733 No Limit Hold'em $0.92 + $0.08.txt</t>
  </si>
  <si>
    <t>HH20230701 T3611200508 No Limit Hold'em $0.92 + $0.08.txt</t>
  </si>
  <si>
    <t>HH20230701 T3611201614 No Limit Hold'em $0.92 + $0.08.txt</t>
  </si>
  <si>
    <t>HH20230701 T3611202188 No Limit Hold'em $0.92 + $0.08.txt</t>
  </si>
  <si>
    <t>HH20230701 T3611205615 No Limit Hold'em $9.30 + $0.70.txt</t>
  </si>
  <si>
    <t>HH20230701 T3611209845 No Limit Hold'em $9.30 + $0.70.txt</t>
  </si>
  <si>
    <t>02.07.2023</t>
  </si>
  <si>
    <t>HH20230702 T3611600398 No Limit Hold'em $0.92 + $0.08.txt</t>
  </si>
  <si>
    <t>HH20230702 T3611602138 No Limit Hold'em $0.92 + $0.08.txt</t>
  </si>
  <si>
    <t>HH20230702 T3611604249 No Limit Hold'em $0.92 + $0.08.txt</t>
  </si>
  <si>
    <t>03.07.2023</t>
  </si>
  <si>
    <t>HH20230703 T3612128205 No Limit Hold'em $0.92 + $0.08.txt</t>
  </si>
  <si>
    <t>HH20230703 T3612132590 No Limit Hold'em $0.92 + $0.08.txt</t>
  </si>
  <si>
    <t>HH20230703 T3612134093 No Limit Hold'em $0.92 + $0.08.txt</t>
  </si>
  <si>
    <t>HH20230703 T3612135839 No Limit Hold'em $0.92 + $0.08.txt</t>
  </si>
  <si>
    <t>HH20230704 T3612563419 No Limit Hold'em $0.92 + $0.08.txt</t>
  </si>
  <si>
    <t>04.07.2023</t>
  </si>
  <si>
    <t>HH20230704 T3612565387 No Limit Hold'em $0.92 + $0.08.txt</t>
  </si>
  <si>
    <t>HH20230704 T3612645797 No Limit Hold'em $0.92 + $0.08.txt</t>
  </si>
  <si>
    <t>HH20230704 T3612650303 No Limit Hold'em $0.92 + $0.08.txt</t>
  </si>
  <si>
    <t>HH20230704 T3612652422 No Limit Hold'em $0.92 + $0.08.txt</t>
  </si>
  <si>
    <t>HH20230704 T3612653766 No Limit Hold'em $0.92 + $0.08.txt</t>
  </si>
  <si>
    <t>HH20230704 T3612660547 No Limit Hold'em $0.92 + $0.08.txt</t>
  </si>
  <si>
    <t>05.07.2023</t>
  </si>
  <si>
    <t>HH20230705 T3612829590 No Limit Hold'em $0.92 + $0.08.txt</t>
  </si>
  <si>
    <t>HH20230705 T3612832805 No Limit Hold'em $0.92 + $0.08.txt</t>
  </si>
  <si>
    <t>HH20230705 T3612833229 No Limit Hold'em $0.92 + $0.08.txt</t>
  </si>
  <si>
    <t>HH20230705 T3612834070 No Limit Hold'em $0.92 + $0.08.txt</t>
  </si>
  <si>
    <t>HH20230705 T3612852637 No Limit Hold'em $0.92 + $0.08.txt</t>
  </si>
  <si>
    <t>HH20230705 T3612855794 No Limit Hold'em $0.92 + $0.08.txt</t>
  </si>
  <si>
    <t>HH20230705 T3612856550 No Limit Hold'em $0.92 + $0.08.txt</t>
  </si>
  <si>
    <t>HH20230705 T3612858236 No Limit Hold'em $0.92 + $0.08.txt</t>
  </si>
  <si>
    <t>HH20230705 T3612858611 No Limit Hold'em $0.92 + $0.08.txt</t>
  </si>
  <si>
    <t>HH20230705 T3612859395 No Limit Hold'em $0.92 + $0.08.txt</t>
  </si>
  <si>
    <t>HH20230705 T3612984149 No Limit Hold'em $0.92 + $0.08.txt</t>
  </si>
  <si>
    <t>HH20230705 T3612985426 No Limit Hold'em $0.92 + $0.08.txt</t>
  </si>
  <si>
    <t>HH20230705 T3612990118 No Limit Hold'em $9.30 + $0.70.txt</t>
  </si>
  <si>
    <t>HH20230705 T3612992898 No Limit Hold'em $4.60 + $0.40.txt</t>
  </si>
  <si>
    <t>HH20230705 T3612994743 No Limit Hold'em $9.30 + $0.70.txt</t>
  </si>
  <si>
    <t>HH20230706 T3613418471 No Limit Hold'em $0.92 + $0.08.txt</t>
  </si>
  <si>
    <t>06.07.2023</t>
  </si>
  <si>
    <t>HH20230706 T3613475101 No Limit Hold'em $0.92 + $0.08.txt</t>
  </si>
  <si>
    <t>HH20230706 T3613478797 No Limit Hold'em $0.92 + $0.08.txt</t>
  </si>
  <si>
    <t>HH20230706 T3613480324 No Limit Hold'em $0.92 + $0.08.txt</t>
  </si>
  <si>
    <t>HH20230706 T3613481170 No Limit Hold'em $0.92 + $0.08.txt</t>
  </si>
  <si>
    <t>HH20230706 T3613483078 No Limit Hold'em $9.30 + $0.70.txt</t>
  </si>
  <si>
    <t>HH20230706 T3613487159 No Limit Hold'em $9.30 + $0.70.txt</t>
  </si>
  <si>
    <t>HH20230706 T3613491969 No Limit Hold'em $9.30 + $0.70.txt</t>
  </si>
  <si>
    <t>HH20230706 T3613493699 No Limit Hold'em $1.84 + $0.16.txt</t>
  </si>
  <si>
    <t>09.07.2023</t>
  </si>
  <si>
    <t>HH20230709 T3610811799 No Limit Hold'em $9.80 + $1.20.txt</t>
  </si>
  <si>
    <t>10.07.2023</t>
  </si>
  <si>
    <t>HH20230710 T3615206311 No Limit Hold'em $9.30 + $0.70.txt</t>
  </si>
  <si>
    <t>HH20230710 T3615210574 No Limit Hold'em $4.60 + $0.40.txt</t>
  </si>
  <si>
    <t>HH20230710 T3615213540 No Limit Hold'em $9.30 + $0.70.txt</t>
  </si>
  <si>
    <t>11.07.2023</t>
  </si>
  <si>
    <t>HH20230711 T3613779399 No Limit Hold'em $2.94 + $0.36.txt</t>
  </si>
  <si>
    <t>HH20230711 T3615654069 No Limit Hold'em $0.92 + $0.08</t>
  </si>
  <si>
    <t>HH20230711 T3615657533 No Limit Hold'em $0.92 + $0.08.txt</t>
  </si>
  <si>
    <t>HH20230711 T3615660758 No Limit Hold'em $0.92 + $0.08.txt</t>
  </si>
  <si>
    <t>HH20230711 T3615662228 No Limit Hold'em $9.30 + $0.70.txt</t>
  </si>
  <si>
    <t>12.07.2023</t>
  </si>
  <si>
    <t>HH20230712 T3615911739 No Limit Hold'em $0.92 + $0.08.txt</t>
  </si>
  <si>
    <t>HH20230712 T3615950717 No Limit Hold'em $0.92 + $0.08.txt</t>
  </si>
  <si>
    <t>HH20230712 T3615951946 No Limit Hold'em $0.92 + $0.08.txt</t>
  </si>
  <si>
    <t>HH20230712 T3615955113 No Limit Hold'em $0.92 + $0.08.txt</t>
  </si>
  <si>
    <t>HH20230712 T3616010035 No Limit Hold'em $0.92 + $0.08.txt</t>
  </si>
  <si>
    <t>HH20230712 T3616012061 No Limit Hold'em $0.92 + $0.08.txt</t>
  </si>
  <si>
    <t>HH20230712 T3616015593 No Limit Hold'em $0.92 + $0.08.txt</t>
  </si>
  <si>
    <t>HH20230712 T3616016957 No Limit Hold'em $0.92 + $0.08.txt</t>
  </si>
  <si>
    <t>HH20230712 T3616022591 No Limit Hold'em $0.92 + $0.08.txt</t>
  </si>
  <si>
    <t>HH20230712 T3616026325 No Limit Hold'em $0.92 + $0.08.txt</t>
  </si>
  <si>
    <t>HH20230712 T3616038159 No Limit Hold'em $0.92 + $0.08.txt</t>
  </si>
  <si>
    <t>HH20230712 T3616113150 No Limit Hold'em $9.30 + $0.70.txt</t>
  </si>
  <si>
    <t>HH20230712 T3616116445 No Limit Hold'em $9.30 + $0.70.txt</t>
  </si>
  <si>
    <t>HH20230712 T3616118364 No Limit Hold'em $9.30 + $0.70.txt</t>
  </si>
  <si>
    <t>HH20230712 T3616119595 No Limit Hold'em $9.30 + $0.70.txt</t>
  </si>
  <si>
    <t>HH20230712 T3616121828 No Limit Hold'em $9.30 + $0.70.txt</t>
  </si>
  <si>
    <t>27.07.2023</t>
  </si>
  <si>
    <t>HH20230727 T3623017199 No Limit Hold'em $0.92 + $0.08.txt</t>
  </si>
  <si>
    <t>HH20230727 T3623018333 No Limit Hold'em $0.92 + $0.08.txt</t>
  </si>
  <si>
    <t>HH20230727 T3623048069 No Limit Hold'em $0.92 + $0.08.txt</t>
  </si>
  <si>
    <t>HH20230727 T3623052227 No Limit Hold'em $0.92 + $0.08.txt</t>
  </si>
  <si>
    <t>HH20230727 T3623053348 No Limit Hold'em $0.92 + $0.08.txt</t>
  </si>
  <si>
    <t>HH20230727 T3623054557 No Limit Hold'em $0.92 + $0.08.txt</t>
  </si>
  <si>
    <t>HH20230727 T3623056208 No Limit Hold'em $0.92 + $0.08.txt</t>
  </si>
  <si>
    <t>HH20230727 T3623057123 No Limit Hold'em $0.92 + $0.08.txt</t>
  </si>
  <si>
    <t>HH20230727 T3623060246 No Limit Hold'em $0.92 + $0.08.txt</t>
  </si>
  <si>
    <t>HH20230727 T3622149822 No Limit Hold'em $1.96 + $0.24.txt</t>
  </si>
  <si>
    <t>HH20230727 T3623110082 No Limit Hold'em $0.92 + $0.08.txt</t>
  </si>
  <si>
    <t>HH20230727 T3623114096 No Limit Hold'em $0.92 + $0.08.txt</t>
  </si>
  <si>
    <t>HH20230727 T3623117914 No Limit Hold'em $0.92 + $0.08.txt</t>
  </si>
  <si>
    <t>HH20230727 T3623119089 No Limit Hold'em $0.92 + $0.08.txt</t>
  </si>
  <si>
    <t>HH20230727 T3623122196 No Limit Hold'em $0.92 + $0.08.txt</t>
  </si>
  <si>
    <t>HH20230729 T3623991927 No Limit Hold'em $0.92 + $0.08.txt</t>
  </si>
  <si>
    <t>28.07.2023</t>
  </si>
  <si>
    <t>HH20230729 T3623994204 No Limit Hold'em $0.92 + $0.08.txt</t>
  </si>
  <si>
    <t>HH20230729 T3623997600 No Limit Hold'em $0.92 + $0.08.txt</t>
  </si>
  <si>
    <t>HH20230729 T3624000965 No Limit Hold'em $0.92 + $0.08.txt</t>
  </si>
  <si>
    <t>HH20230729 T3624031030 No Limit Hold'em $0.92 + $0.08.txt</t>
  </si>
  <si>
    <t>HH20230729 T3624033429 No Limit Hold'em $0.92 + $0.08.txt</t>
  </si>
  <si>
    <t>HH20230730 T3624348877 No Limit Hold'em $0.92 + $0.08.txt</t>
  </si>
  <si>
    <t>HH20230730 T3624352234 No Limit Hold'em $0.92 + $0.08.txt</t>
  </si>
  <si>
    <t>HH20230730 T3624354175 No Limit Hold'em $0.92 + $0.08.txt</t>
  </si>
  <si>
    <t>HH20230730 T3624354792 No Limit Hold'em $0.92 + $0.08.txt</t>
  </si>
  <si>
    <t>HH20230730 T3624357495 No Limit Hold'em $0.92 + $0.08.txt</t>
  </si>
  <si>
    <t>HH20230730 T3624358645 No Limit Hold'em $0.92 + $0.08.txt</t>
  </si>
  <si>
    <t>HH20230730 T3624358815 No Limit Hold'em $0.92 + $0.08.txt</t>
  </si>
  <si>
    <t>HH20230730 T3624359103 No Limit Hold'em $0.92 + $0.08.txt</t>
  </si>
  <si>
    <t>HH20230730 T3624360978 No Limit Hold'em $0.92 + $0.08.txt</t>
  </si>
  <si>
    <t>HH20230730 T3624552504 No Limit Hold'em $0.92 + $0.08.txt</t>
  </si>
  <si>
    <t>30.07.2023</t>
  </si>
  <si>
    <t>31.07.2023</t>
  </si>
  <si>
    <t>HH20230731 T3624783322 No Limit Hold'em $0.92 + $0.08.txt</t>
  </si>
  <si>
    <t>HH20230731 T3624799606 No Limit Hold'em $0.92 + $0.08.txt</t>
  </si>
  <si>
    <t>HH20230731 T3624936159 No Limit Hold'em $0.92 + $0.08.txt</t>
  </si>
  <si>
    <t>HH20230731 T3624942944 No Limit Hold'em $0.92 + $0.08.txt</t>
  </si>
  <si>
    <t>HH20230731 T3624944736 No Limit Hold'em $0.92 + $0.08.txt</t>
  </si>
  <si>
    <t>HH20230731 T3624948626 No Limit Hold'em $0.92 + $0.08.txt</t>
  </si>
  <si>
    <t>01.08.2023</t>
  </si>
  <si>
    <t>HH20230801 T3625329049 No Limit Hold'em $0.92 + $0.08.txt</t>
  </si>
  <si>
    <t>HH20230801 T3623511780 No Limit Hold'em $4.90 + $0.60.txt</t>
  </si>
  <si>
    <t>HH20230803 T3626094469 No Limit Hold'em $0.92 + $0.08.txt</t>
  </si>
  <si>
    <t>HH20230803 T3626119892 No Limit Hold'em $0.92 + $0.08.txt</t>
  </si>
  <si>
    <t>HH20230803 T3626121232 No Limit Hold'em $0.92 + $0.08.txt</t>
  </si>
  <si>
    <t>HH20230803 T3626122470 No Limit Hold'em $0.92 + $0.08.txt</t>
  </si>
  <si>
    <t>HH20230803 T3626123542 No Limit Hold'em $0.92 + $0.08.txt</t>
  </si>
  <si>
    <t>HH20230803 T3626123971 No Limit Hold'em $0.92 + $0.08.txt</t>
  </si>
  <si>
    <t>03.08.2023</t>
  </si>
  <si>
    <t>HH20230803 T3626333112 No Limit Hold'em $0.92 + $0.08.txt</t>
  </si>
  <si>
    <t>HH20230803 T3626335063 No Limit Hold'em $0.92 + $0.08.txt</t>
  </si>
  <si>
    <t>HH20230803 T3626336932 No Limit Hold'em $0.92 + $0.08.txt</t>
  </si>
  <si>
    <t>04.08.2023</t>
  </si>
  <si>
    <t>HH20230804 T3626732974 No Limit Hold'em $0.92 + $0.08.txt</t>
  </si>
  <si>
    <t>HH20230804 T3626737929 No Limit Hold'em $0.92 + $0.08.txt</t>
  </si>
  <si>
    <t>HH20230804 T3625279047 No Limit Hold'em $2.94 + $0.36.txt</t>
  </si>
  <si>
    <t>HH20230804 T3626806454 No Limit Hold'em $0.92 + $0.08.txt</t>
  </si>
  <si>
    <t>HH20230804 T3626807413 No Limit Hold'em $0.92 + $0.08.txt</t>
  </si>
  <si>
    <t>HH20230804 T3626812655 No Limit Hold'em $0.92 + $0.08.txt</t>
  </si>
  <si>
    <t>HH20230804 T3626813877 No Limit Hold'em $0.92 + $0.08.txt</t>
  </si>
  <si>
    <t>05.08.2023</t>
  </si>
  <si>
    <t>HH20230805 T3627168646 No Limit Hold'em $0.92 + $0.08.txt</t>
  </si>
  <si>
    <t>HH20230805 T3627169698 No Limit Hold'em $0.92 + $0.08.txt</t>
  </si>
  <si>
    <t>HH20230805 T3627181936 No Limit Hold'em $0.92 + $0.08.txt</t>
  </si>
  <si>
    <t>HH20230805 T3625278993 No Limit Hold'em $0.98 + $0.12.txt</t>
  </si>
  <si>
    <t>HH20230805 T3627188307 No Limit Hold'em $0.92 + $0.08.txt</t>
  </si>
  <si>
    <t>HH20230805 T3627190286 No Limit Hold'em $0.92 + $0.08.txt</t>
  </si>
  <si>
    <t>HH20230805 T3627190914 No Limit Hold'em $0.92 + $0.08.txt$</t>
  </si>
  <si>
    <t>HH20230805 T3627191423 No Limit Hold'em $0.92 + $0.08.txt</t>
  </si>
  <si>
    <t>HH20230805 T3627192617 No Limit Hold'em $0.92 + $0.08.txt</t>
  </si>
  <si>
    <t>HH20230805 T3627193681 No Limit Hold'em $0.92 + $0.08.txt</t>
  </si>
  <si>
    <t>HH20230805 T3627194768 No Limit Hold'em $0.92 + $0.08.txt</t>
  </si>
  <si>
    <t>HH20230805 T3627197263 No Limit Hold'em $0.92 + $0.08.txt</t>
  </si>
  <si>
    <t>HH20230805 T3627200242 No Limit Hold'em $0.92 + $0.08.txt</t>
  </si>
  <si>
    <t>HH20230805 T3627202589 No Limit Hold'em $0.92 + $0.08.txt</t>
  </si>
  <si>
    <t>HH20230805 T3627204890 No Limit Hold'em $0.92 + $0.08.txt</t>
  </si>
  <si>
    <t>HH20230805 T3627212696 No Limit Hold'em $0.92 + $0.08.txt</t>
  </si>
  <si>
    <t>HH20230805 T3627214244 No Limit Hold'em $9.30 + $0.70.txt</t>
  </si>
  <si>
    <t>06.08.2023</t>
  </si>
  <si>
    <t>HH20230806 T3627523129 No Limit Hold'em $0.92 + $0.08.txt</t>
  </si>
  <si>
    <t>15.08.2023</t>
  </si>
  <si>
    <t>HH20230815 T3631740025 No Limit Hold'em $0.92 + $0.08.txt</t>
  </si>
  <si>
    <t>HH20230815 T3631742600 No Limit Hold'em $0.92 + $0.08.txt</t>
  </si>
  <si>
    <t>HH20230815 T3631744910 No Limit Hold'em $0.92 + $0.08.txt</t>
  </si>
  <si>
    <t>HH20230815 T3631761938 No Limit Hold'em $0.92 + $0.08.txt</t>
  </si>
  <si>
    <t>HH20230815 T3631763586 No Limit Hold'em $0.92 + $0.08.txt</t>
  </si>
  <si>
    <t>HH20230815 T3631766534 No Limit Hold'em $0.92 + $0.08.txt</t>
  </si>
  <si>
    <t>HH20230815 T3631769166 No Limit Hold'em $0.92 + $0.08.txt</t>
  </si>
  <si>
    <t>HH20230815 T3631773719 No Limit Hold'em $0.92 + $0.08.txt</t>
  </si>
  <si>
    <t>16.08.2023</t>
  </si>
  <si>
    <t>HH20230816 T3632176345 No Limit Hold'em $0.92 + $0.08.txt</t>
  </si>
  <si>
    <t>HH20230816 T3632180540 No Limit Hold'em $0.92 + $0.08.txt</t>
  </si>
  <si>
    <t>HH20230816 T3632181295 No Limit Hold'em $0.92 + $0.08.txt</t>
  </si>
  <si>
    <t>HH20230816 T3632186988 No Limit Hold'em $0.92 + $0.08.txt</t>
  </si>
  <si>
    <t>17.08.2023</t>
  </si>
  <si>
    <t>HH20230817 T3632627466 No Limit Hold'em $0.92 + $0.08.txt</t>
  </si>
  <si>
    <t>HH20230817 T3632630730 No Limit Hold'em $0.92 + $0.08.txt</t>
  </si>
  <si>
    <t>18.08.2023</t>
  </si>
  <si>
    <t>HH20230818 T3633048367 No Limit Hold'em $0.92 + $0.08.txt</t>
  </si>
  <si>
    <t>19.08.2023</t>
  </si>
  <si>
    <t>HH20230819 T3633357644 No Limit Hold'em $0.92 + $0.08.txt</t>
  </si>
  <si>
    <t>HH20230819 T3633360732 No Limit Hold'em $0.92 + $0.08.txt</t>
  </si>
  <si>
    <t>25.08.2023</t>
  </si>
  <si>
    <t>HH20230825 T3635973295 No Limit Hold'em $0.92 + $0.08.txt</t>
  </si>
  <si>
    <t>26.08.2023</t>
  </si>
  <si>
    <t>HH20230826 T3636379112 No Limit Hold'em $0.92 + $0.08.txt</t>
  </si>
  <si>
    <t>HH20230826 T3636448682 No Limit Hold'em $0.92 + $0.08.txt</t>
  </si>
  <si>
    <t>HH20230826 T3636449401 No Limit Hold'em $0.92 + $0.08.txt</t>
  </si>
  <si>
    <t>HH20230826 T3636452934 No Limit Hold'em $0.92 + $0.08.txt</t>
  </si>
  <si>
    <t>HH20230826 T3636455453 No Limit Hold'em $0.92 + $0.08.txt</t>
  </si>
  <si>
    <t>HH20230826 T3636458427 No Limit Hold'em $0.92 + $0.08.txt</t>
  </si>
  <si>
    <t>HH20230826 T3636461412 No Limit Hold'em $0.92 + $0.08.txt</t>
  </si>
  <si>
    <t>HH20230826 T3636462179 No Limit Hold'em $0.92 + $0.08.txt</t>
  </si>
  <si>
    <t>HH20230826 T3636499924 No Limit Hold'em $0.92 + $0.08.txt</t>
  </si>
  <si>
    <t>30.08.2023</t>
  </si>
  <si>
    <t>HH20230830 T3638253521 No Limit Hold'em $0.92 + $0.08.txt</t>
  </si>
  <si>
    <t>HH20230830 T3638255550 No Limit Hold'em $0.92 + $0.08.txt</t>
  </si>
  <si>
    <t>31.08.2023</t>
  </si>
  <si>
    <t>HH20230831 T3638581939 No Limit Hold'em $0.92 + $0.08.txt</t>
  </si>
  <si>
    <t>HH20230831 T3638585129 No Limit Hold'em $0.92 + $0.08.txt</t>
  </si>
  <si>
    <t>Sit&amp;Go</t>
  </si>
  <si>
    <t>HH20230831 T3638650068 No Limit Hold'em $0.88 + $0.12.txt</t>
  </si>
  <si>
    <t>HH20230831 T3638658076 No Limit Hold'em $0.92 + $0.08.txt</t>
  </si>
  <si>
    <t>HH20230831 T3638660120 No Limit Hold'em $0.92 + $0.08.txt</t>
  </si>
  <si>
    <t>HH20230831 T3638661767 No Limit Hold'em $0.92 + $0.08.txt</t>
  </si>
  <si>
    <t>HH20230831 T3638663228 No Limit Hold'em $0.92 + $0.08.txt</t>
  </si>
  <si>
    <t>HH20230831 T3638664656 No Limit Hold'em $0.92 + $0.08.txt</t>
  </si>
  <si>
    <t>02.09.2023</t>
  </si>
  <si>
    <t>HH20230902 T3639375383 No Limit Hold'em $0.92 + $0.08.txt</t>
  </si>
  <si>
    <t>HH20230902 T3639376136 No Limit Hold'em $0.92 + $0.08.txt</t>
  </si>
  <si>
    <t>HH20230902 T3639391636 No Limit Hold'em $0.92 + $0.08.txt</t>
  </si>
  <si>
    <t>HH20230902 T3639393364 No Limit Hold'em $0.92 + $0.08.txt</t>
  </si>
  <si>
    <t>HH20230902 T3639394140 No Limit Hold'em $0.92 + $0.08.txt</t>
  </si>
  <si>
    <t>HH20230902 T3639396914 No Limit Hold'em $0.92 + $0.08.txt</t>
  </si>
  <si>
    <t>HH20230902 T3639424359 No Limit Hold'em $0.92 + $0.08.txt</t>
  </si>
  <si>
    <t>HH20230902 T3639425452 No Limit Hold'em $0.92 + $0.08.txt</t>
  </si>
  <si>
    <t>HH20230902 T3639426844 No Limit Hold'em $0.92 + $0.08.txt</t>
  </si>
  <si>
    <t>HH20230902 T3639440431 No Limit Hold'em $0.92 + $0.08.txt</t>
  </si>
  <si>
    <t>HH20230902 T3639441257 No Limit Hold'em $0.92 + $0.08.txt</t>
  </si>
  <si>
    <t>HH20230902 T3639442051 No Limit Hold'em $0.92 + $0.08.txt</t>
  </si>
  <si>
    <t>HH20230902 T3639444583 No Limit Hold'em $0.92 + $0.08.txt</t>
  </si>
  <si>
    <t>HH20230902 T3639446931 No Limit Hold'em $0.92 + $0.08.txt</t>
  </si>
  <si>
    <t>HH20230902 T3639449308 No Limit Hold'em $0.92 + $0.08.txt</t>
  </si>
  <si>
    <t>HH20230902 T3639450885 No Limit Hold'em $0.92 + $0.08.txt</t>
  </si>
  <si>
    <t>HH20230902 T3639453631 No Limit Hold'em $0.92 + $0.08.txt</t>
  </si>
  <si>
    <t>HH20230902 T3639456495 No Limit Hold'em $0.92 + $0.08.txt</t>
  </si>
  <si>
    <t>HH20230902 T3639458236 No Limit Hold'em $0.92 + $0.08.txt</t>
  </si>
  <si>
    <t>HH20230902 T3639462394 No Limit Hold'em $0.92 + $0.08.txt</t>
  </si>
  <si>
    <t>HH20230902 T3639462814 No Limit Hold'em $0.92 + $0.08.txt</t>
  </si>
  <si>
    <t>HH20230902 T3639466321 No Limit Hold'em $0.92 + $0.08.txt</t>
  </si>
  <si>
    <t>HH20230902 T3639601104 No Limit Hold'em $0.92 + $0.08.txt</t>
  </si>
  <si>
    <t>HH20230902 T3639604840 No Limit Hold'em $0.92 + $0.08.txt</t>
  </si>
  <si>
    <t>HH20230902 T3639608629 No Limit Hold'em $0.92 + $0.08.txt</t>
  </si>
  <si>
    <t>HH20230902 T3639614356 No Limit Hold'em $0.92 + $0.08.txt</t>
  </si>
  <si>
    <t>HH20230902 T3639615249 No Limit Hold'em $0.92 + $0.08.txt</t>
  </si>
  <si>
    <t>HH20230902 T3639615905 No Limit Hold'em $0.92 + $0.08.txt</t>
  </si>
  <si>
    <t>HH20230903 T3639827686 No Limit Hold'em $0.92 + $0.08.txt</t>
  </si>
  <si>
    <t>03.09.2023</t>
  </si>
  <si>
    <t>HH20230903 T3639828543 No Limit Hold'em $0.92 + $0.08.txt</t>
  </si>
  <si>
    <t>HH20230903 T3639829278 No Limit Hold'em $0.92 + $0.08.txt</t>
  </si>
  <si>
    <t>HH20230903 T3639830630 No Limit Hold'em $0.92 + $0.08.txt</t>
  </si>
  <si>
    <t>HH20230903 T3639832703 No Limit Hold'em $0.92 + $0.08.txt</t>
  </si>
  <si>
    <t>HH20230903 T3639834993 No Limit Hold'em $0.92 + $0.08.txt</t>
  </si>
  <si>
    <t>HH20230903 T3639835470 No Limit Hold'em $0.92 + $0.08.txt</t>
  </si>
  <si>
    <t>HH20230903 T3639837877 No Limit Hold'em $0.92 + $0.08.txt</t>
  </si>
  <si>
    <t>HH20230903 T3639867397 No Limit Hold'em $0.92 + $0.08.txt</t>
  </si>
  <si>
    <t>HH20230903 T3639869712 No Limit Hold'em $0.92 + $0.08.txt</t>
  </si>
  <si>
    <t>HH20230903 T3639871694 No Limit Hold'em $0.92 + $0.08.txt</t>
  </si>
  <si>
    <t>HH20230903 T3639875578 No Limit Hold'em $0.92 + $0.08.txt</t>
  </si>
  <si>
    <t>HH20230903 T3640051694 No Limit Hold'em $0.92 + $0.08.txt</t>
  </si>
  <si>
    <t>HH20230903 T3640052821 No Limit Hold'em $0.92 + $0.08.txt</t>
  </si>
  <si>
    <t>HH20230903 T3640054407 No Limit Hold'em $0.92 + $0.08.txt</t>
  </si>
  <si>
    <t>HH20230903 T3640058619 No Limit Hold'em $0.92 + $0.08.txt</t>
  </si>
  <si>
    <t>HH20230904 T3640420887 No Limit Hold'em $0.92 + $0.08.txt</t>
  </si>
  <si>
    <t>04.09.2023</t>
  </si>
  <si>
    <t>HH20230904 T3640422936 No Limit Hold'em $0.92 + $0.08.txt</t>
  </si>
  <si>
    <t>HH20230904 T3640425345 No Limit Hold'em $0.92 + $0.08.txt</t>
  </si>
  <si>
    <t>HH20230904 T3640430884 No Limit Hold'em $0.92 + $0.08.txt</t>
  </si>
  <si>
    <t>HH20230904 T3640434393 No Limit Hold'em $0.92 + $0.08.txt</t>
  </si>
  <si>
    <t>HH20230904 T3640438873 No Limit Hold'em $0.92 + $0.08.txt</t>
  </si>
  <si>
    <t>HH20230904 T3640442094 No Limit Hold'em $0.92 + $0.08.txt</t>
  </si>
  <si>
    <t>HH20230904 T3640471810 No Limit Hold'em $0.92 + $0.08.txt</t>
  </si>
  <si>
    <t>HH20230904 T3640474725 No Limit Hold'em $0.92 + $0.08.txt</t>
  </si>
  <si>
    <t>HH20230904 T3640478845 No Limit Hold'em $0.92 + $0.08.txt</t>
  </si>
  <si>
    <t>HH20230904 T3640483150 No Limit Hold'em $0.92 + $0.08.txt</t>
  </si>
  <si>
    <t>HH20230904 T3640487004 No Limit Hold'em $0.92 + $0.08.txt</t>
  </si>
  <si>
    <t>HH20230904 T3640489892 No Limit Hold'em $0.92 + $0.08.txt</t>
  </si>
  <si>
    <t>HH20230904 T3640492546 No Limit Hold'em $9.30 + $0.70.txt</t>
  </si>
  <si>
    <t>HH20230904 T3640494902 No Limit Hold'em $9.30 + $0.70.txt</t>
  </si>
  <si>
    <t>HH20230904 T3640498596 No Limit Hold'em $1.84 + $0.16.txt</t>
  </si>
  <si>
    <t>HH20230905 T3640881677 No Limit Hold'em $0.92 + $0.08.txt</t>
  </si>
  <si>
    <t>05.09.2023</t>
  </si>
  <si>
    <t>HH20230905 T3640884283 No Limit Hold'em $0.92 + $0.08.txt</t>
  </si>
  <si>
    <t>HH20230905 T3640886671 No Limit Hold'em $0.92 + $0.08.txt</t>
  </si>
  <si>
    <t>HH20230905 T3640890740 No Limit Hold'em $0.92 + $0.08.txt</t>
  </si>
  <si>
    <t>HH20230905 T3640893810 No Limit Hold'em $0.92 + $0.08.txt</t>
  </si>
  <si>
    <t>HH20230905 T3640895347 No Limit Hold'em $0.92 + $0.08.txt</t>
  </si>
  <si>
    <t>HH20230905 T3640896551 No Limit Hold'em $0.92 + $0.08.txt</t>
  </si>
  <si>
    <t>HH20230905 T3640932246 No Limit Hold'em $0.92 + $0.08.txt</t>
  </si>
  <si>
    <t>HH20230905 T3640948056 No Limit Hold'em $0.92 + $0.08.txt</t>
  </si>
  <si>
    <t>HH20230905 T3640954759 No Limit Hold'em $0.92 + $0.08.txt</t>
  </si>
  <si>
    <t>HH20230905 T3640957288 No Limit Hold'em $0.92 + $0.08.txt</t>
  </si>
  <si>
    <t>HH20230905 T3640961510 No Limit Hold'em $0.92 + $0.08.txt</t>
  </si>
  <si>
    <t>12.09.2023</t>
  </si>
  <si>
    <t>HH20230912 T3644090177 No Limit Hold'em $0.92 + $0.08.txt</t>
  </si>
  <si>
    <t>HH20230912 T3644091707 No Limit Hold'em $0.92 + $0.08.txt</t>
  </si>
  <si>
    <t>HH20230912 T3644096251 No Limit Hold'em $0.92 + $0.08.txt</t>
  </si>
  <si>
    <t>HH20230912 T3644103123 No Limit Hold'em $0.92 + $0.08.txt</t>
  </si>
  <si>
    <t>HH20230915 T3645426636 No Limit Hold'em $0.92 + $0.08.txt</t>
  </si>
  <si>
    <t>15.09.2023</t>
  </si>
  <si>
    <t>HH20230915 T3645430908 No Limit Hold'em $0.92 + $0.08.txt</t>
  </si>
  <si>
    <t>16.09.2023</t>
  </si>
  <si>
    <t>HH20230916 T3645845189 No Limit Hold'em $0.92 + $0.08.txt</t>
  </si>
  <si>
    <t>HH20230916 T3645848304 No Limit Hold'em $0.92 + $0.08.txt</t>
  </si>
  <si>
    <t>HH20230917 T3646193133 No Limit Hold'em $0.92 + $0.08.txt</t>
  </si>
  <si>
    <t>HH20230917 T3646195558 No Limit Hold'em $0.92 + $0.08.txt</t>
  </si>
  <si>
    <t>17.09.2023</t>
  </si>
  <si>
    <t>21.09.2023</t>
  </si>
  <si>
    <t>HH20230921 T3648163758 No Limit Hold'em $0.92 + $0.08.txt</t>
  </si>
  <si>
    <t>HH20230921 T3648166216 No Limit Hold'em $0.92 + $0.08.txt</t>
  </si>
  <si>
    <t>HH20230921 T3648169375 No Limit Hold'em $0.92 + $0.08.txt</t>
  </si>
  <si>
    <t>HH20230923 T3648889636 No Limit Hold'em $0.92 + $0.08.txt</t>
  </si>
  <si>
    <t>23.09.2023</t>
  </si>
  <si>
    <t>HH20230923 T3648890860 No Limit Hold'em $0.92 + $0.08.txt</t>
  </si>
  <si>
    <t>HH20230923 T3649114772 No Limit Hold'em $0.92 + $0.08.txt</t>
  </si>
  <si>
    <t>HH20230923 T3649120364 No Limit Hold'em $0.92 + $0.08.txt</t>
  </si>
  <si>
    <t>HH20230923 T3649143478 No Limit Hold'em $0.92 + $0.08.txt</t>
  </si>
  <si>
    <t>HH20230923 T3649145862 No Limit Hold'em $0.92 + $0.08.txt</t>
  </si>
  <si>
    <t>24.09.2023</t>
  </si>
  <si>
    <t>HH20230924 T3649338993 No Limit Hold'em $0.92 + $0.08.txt</t>
  </si>
  <si>
    <t>HH20230924 T3649339801 No Limit Hold'em $0.92 + $0.08.txt</t>
  </si>
  <si>
    <t>HH20230924 T3649341347 No Limit Hold'em $0.92 + $0.08.txt</t>
  </si>
  <si>
    <t>HH20230902 T3639452625 No Limit Hold'em $0.92 + $0.08.txt</t>
  </si>
  <si>
    <t>HH20230924 T3649392460 No Limit Hold'em $0.92 + $0.08.txt</t>
  </si>
  <si>
    <t>HH20230924 T3649404643 No Limit Hold'em $0.92 + $0.08.txt</t>
  </si>
  <si>
    <t>HH20230924 T3649435148 No Limit Hold'em $0.92 + $0.08.txt</t>
  </si>
  <si>
    <t>HH20230924 T3649456343 No Limit Hold'em $0.92 + $0.08.txt</t>
  </si>
  <si>
    <t>HH20230924 T3649478141 No Limit Hold'em $0.92 + $0.08.txt</t>
  </si>
  <si>
    <t>HH20230924 T3649515439 No Limit Hold'em $0.92 + $0.08.txt</t>
  </si>
  <si>
    <t>HH20230924 T3649517128 No Limit Hold'em $0.92 + $0.08.txt</t>
  </si>
  <si>
    <t>HH20230924 T3649521039 No Limit Hold'em $0.92 + $0.08.txt</t>
  </si>
  <si>
    <t>HH20230924 T3649521602 No Limit Hold'em $0.92 + $0.08.txt</t>
  </si>
  <si>
    <t>25.09.2023</t>
  </si>
  <si>
    <t>HH20230925 T3649934301 No Limit Hold'em $0.92 + $0.08.txt</t>
  </si>
  <si>
    <t>HH20230925 T3649939076 No Limit Hold'em $0.92 + $0.08.txt</t>
  </si>
  <si>
    <t>HH20230925 T3649940985 No Limit Hold'em $0.92 + $0.08.txt</t>
  </si>
  <si>
    <t>HH20230925 T3649941800 No Limit Hold'em $0.92 + $0.08.txt</t>
  </si>
  <si>
    <t>HH20230925 T3649944929 No Limit Hold'em $0.92 + $0.08.txt</t>
  </si>
  <si>
    <t>HH20230925 T3649950796 No Limit Hold'em $0.92 + $0.08.txt</t>
  </si>
  <si>
    <t>HH20230925 T3649953267 No Limit Hold'em $0.92 + $0.08.txt</t>
  </si>
  <si>
    <t>28.09.2023</t>
  </si>
  <si>
    <t>HH20230928 T3651164515 No Limit Hold'em $0.92 + $0.08.txt</t>
  </si>
  <si>
    <t>HH20230928 T3651166219 No Limit Hold'em $0.92 + $0.08.txt</t>
  </si>
  <si>
    <t>HH20230928 T3651167792 No Limit Hold'em $0.92 + $0.08.txt</t>
  </si>
  <si>
    <t>03.10.2023</t>
  </si>
  <si>
    <t>HH20231003 T3653483624 No Limit Hold'em $0.92 + $0.08.txt</t>
  </si>
  <si>
    <t>HH20231003 T3653487958 No Limit Hold'em $0.92 + $0.08.txt</t>
  </si>
  <si>
    <t>HH20231003 T3653491261 No Limit Hold'em $0.92 + $0.08.txt</t>
  </si>
  <si>
    <t>HH20231003 T3653492644 No Limit Hold'em $9.30 + $0.70.txt</t>
  </si>
  <si>
    <t>HH20231003 T3653495411 No Limit Hold'em $9.30 + $0.70.txt</t>
  </si>
  <si>
    <t>HH20231003 T3653499174 No Limit Hold'em $9.30 + $0.70.txt</t>
  </si>
  <si>
    <t>HH20231003 T3653600629 No Limit Hold'em $9.30 + $0.70.txt</t>
  </si>
  <si>
    <t>HH20231003 T3653605094 No Limit Hold'em $9.30 + $0.70.txt</t>
  </si>
  <si>
    <t>HH20231003 T3653612617 No Limit Hold'em $9.30 + $0.70.txt</t>
  </si>
  <si>
    <t>HH20231003 T3653615780 No Limit Hold'em $4.60 + $0.40.txt</t>
  </si>
  <si>
    <t>HH20231003 T3653617302 No Limit Hold'em $9.30 + $0.70.txt</t>
  </si>
  <si>
    <t>HH20231003 T3653619992 No Limit Hold'em $9.30 + $0.70.txt</t>
  </si>
  <si>
    <t>07.10.2023</t>
  </si>
  <si>
    <t>HH20231007 T3655302351 No Limit Hold'em $0.92 + $0.08.txt</t>
  </si>
  <si>
    <t>HH20231007 T3655304512 No Limit Hold'em $0.92 + $0.08.txt</t>
  </si>
  <si>
    <t>HH20231007 T3655366086 No Limit Hold'em $0.92 + $0.08.txt</t>
  </si>
  <si>
    <t>HH20231007 T3655368058 No Limit Hold'em $0.92 + $0.08.txt</t>
  </si>
  <si>
    <t>HH20231007 T3655370132 No Limit Hold'em $0.92 + $0.08.txt</t>
  </si>
  <si>
    <t>HH20231007 T3655374067 No Limit Hold'em $0.92 + $0.08.txt</t>
  </si>
  <si>
    <t>HH20231007 T3655377543 No Limit Hold'em $0.92 + $0.08.txt</t>
  </si>
  <si>
    <t>08.10.2023</t>
  </si>
  <si>
    <t>HH20231008 T3655631834 No Limit Hold'em $0.92 + $0.08.txt</t>
  </si>
  <si>
    <t>HH20231008 T3655632490 No Limit Hold'em $0.92 + $0.08.txt</t>
  </si>
  <si>
    <t>HH20231008 T3655635812 No Limit Hold'em $0.92 + $0.08.txt</t>
  </si>
  <si>
    <t>HH20231008 T3655636808 No Limit Hold'em $0.92 + $0.08.txt</t>
  </si>
  <si>
    <t>HH20231008 T3655638889 No Limit Hold'em $0.92 + $0.08.txt</t>
  </si>
  <si>
    <t>HH20231008 T3655759144 No Limit Hold'em $0.92 + $0.08.txt</t>
  </si>
  <si>
    <t>HH20231008 T3655760425 No Limit Hold'em $0.92 + $0.08.txt</t>
  </si>
  <si>
    <t>HH20231008 T3655762660 No Limit Hold'em $0.92 + $0.08.txt</t>
  </si>
  <si>
    <t>HH20231008 T3655764752 No Limit Hold'em $0.92 + $0.08.txt</t>
  </si>
  <si>
    <t>HH20231008 T3655767476 No Limit Hold'em $0.92 + $0.08.txt</t>
  </si>
  <si>
    <t>HH20231008 T3655770119 No Limit Hold'em $0.92 + $0.08.txt</t>
  </si>
  <si>
    <t>HH20231008 T3655774681 No Limit Hold'em $0.92 + $0.08.txt</t>
  </si>
  <si>
    <t>09.10.2023</t>
  </si>
  <si>
    <t>HH20231009 T3656223592 No Limit Hold'em $0.92 + $0.08.txt</t>
  </si>
  <si>
    <t>HH20231009 T3656259724 No Limit Hold'em $0.92 + $0.08.txt</t>
  </si>
  <si>
    <t>10.10.2023</t>
  </si>
  <si>
    <t>HH20231010 T3656579365 No Limit Hold'em $0.92 + $0.08.txt</t>
  </si>
  <si>
    <t>11.10.2023</t>
  </si>
  <si>
    <t>HH20231011 T3657087783 No Limit Hold'em $0.92 + $0.08.txt</t>
  </si>
  <si>
    <t>HH20231012 T3657516215 No Limit Hold'em $0.92 + $0.08.txt</t>
  </si>
  <si>
    <t>HH20231012 T3657520460 No Limit Hold'em $0.92 + $0.08.txt</t>
  </si>
  <si>
    <t>12.10.2023</t>
  </si>
  <si>
    <t>13.10.2023</t>
  </si>
  <si>
    <t>HH20231013 T3657776350 No Limit Hold'em $0.92 + $0.08.txt</t>
  </si>
  <si>
    <t>HH20231013 T3657777192 No Limit Hold'em $0.92 + $0.08.txt</t>
  </si>
  <si>
    <t>HH20231013 T3657778159 No Limit Hold'em $0.92 + $0.08.txt</t>
  </si>
  <si>
    <t>HH20231013 T3657778313 No Limit Hold'em $0.92 + $0.08.txt</t>
  </si>
  <si>
    <t>HH20231013 T3657779842 No Limit Hold'em $0.92 + $0.08.txt</t>
  </si>
  <si>
    <t>HH20231013 T3658310023 No Limit Hold'em $0.92 + $0.08.txt</t>
  </si>
  <si>
    <t>HH20231013 T3658370708 No Limit Hold'em $0.92 + $0.08.txt</t>
  </si>
  <si>
    <t>HH20231013 T3658524290 No Limit Hold'em $0.92 + $0.08.txt</t>
  </si>
  <si>
    <t>HH20231013 T3658525386 No Limit Hold'em $0.92 + $0.08.txt</t>
  </si>
  <si>
    <t>HH20231013 T3658527653 No Limit Hold'em $0.92 + $0.08.txt</t>
  </si>
  <si>
    <t>HH20231013 T3658542798 No Limit Hold'em $0.92 + $0.08.txt</t>
  </si>
  <si>
    <t>15.10.2023</t>
  </si>
  <si>
    <t>HH20231015 T3659198981 No Limit Hold'em $0.92 + $0.08.txt</t>
  </si>
  <si>
    <t>HH20231015 T3659200406 No Limit Hold'em $0.92 + $0.08.txt</t>
  </si>
  <si>
    <t>HH20231015 T3659200933 No Limit Hold'em $0.92 + $0.08.txt</t>
  </si>
  <si>
    <t>HH20231015 T3659201402 No Limit Hold'em $0.92 + $0.08.txt</t>
  </si>
  <si>
    <t>HH20231015 T3659203082 No Limit Hold'em $0.92 + $0.08.txt</t>
  </si>
  <si>
    <t>HH20231015 T3659203889 No Limit Hold'em $0.92 + $0.08.txt</t>
  </si>
  <si>
    <t>HH20231015 T3659204772 No Limit Hold'em $0.92 + $0.08.txt</t>
  </si>
  <si>
    <t>HH20231015 T3659205522 No Limit Hold'em $0.92 + $0.08.txt</t>
  </si>
  <si>
    <t>HH20231015 T3659208033 No Limit Hold'em $0.92 + $0.08.txt</t>
  </si>
  <si>
    <t>HH20231015 T3659298420 No Limit Hold'em $0.92 + $0.08.txt</t>
  </si>
  <si>
    <t>HH20231015 T3657324672 No Limit Hold'em $14.70 + $1.80.txt</t>
  </si>
  <si>
    <t>HH20231015 T3659322863 No Limit Hold'em $0.92 + $0.08.txt</t>
  </si>
  <si>
    <t>HH20231015 T3659380349 No Limit Hold'em $0.92 + $0.08.txt</t>
  </si>
  <si>
    <t>HH20231015 T3659428683 No Limit Hold'em $0.92 + $0.08.txt</t>
  </si>
  <si>
    <t>HH20231015 T3659433604 No Limit Hold'em $0.92 + $0.08.txt</t>
  </si>
  <si>
    <t>HH20231015 T3659435377 No Limit Hold'em $0.92 + $0.08.txt</t>
  </si>
  <si>
    <t>HH20231015 T3659437693 No Limit Hold'em $0.92 + $0.08.txt</t>
  </si>
  <si>
    <t>HH20231015 T3659438229 No Limit Hold'em $0.92 + $0.08.txt</t>
  </si>
  <si>
    <t>HH20231015 T3659439336 No Limit Hold'em $9.30 + $0.70.txt</t>
  </si>
  <si>
    <t>HH20231015 T3659454794 No Limit Hold'em $0.92 + $0.08.txt</t>
  </si>
  <si>
    <t>HH20231015 T3659456050 No Limit Hold'em $0.92 + $0.08.txt</t>
  </si>
  <si>
    <t>HH20231015 T3659457149 No Limit Hold'em $0.92 + $0.08.txt</t>
  </si>
  <si>
    <t>HH20231015 T3659461366 No Limit Hold'em $0.92 + $0.08.txt</t>
  </si>
  <si>
    <t>16.10.2023</t>
  </si>
  <si>
    <t>HH20231016 T3659630520 No Limit Hold'em $0.92 + $0.08.txt</t>
  </si>
  <si>
    <t>HH20231016 T3659631197 No Limit Hold'em $0.92 + $0.08.txt</t>
  </si>
  <si>
    <t>HH20231016 T3659634683 No Limit Hold'em $0.92 + $0.08.txt</t>
  </si>
  <si>
    <t>HH20231016 T3659646346 No Limit Hold'em $0.92 + $0.08.txt</t>
  </si>
  <si>
    <t>HH20231016 T3659647256 No Limit Hold'em $0.92 + $0.08.txt</t>
  </si>
  <si>
    <t>HH20231016 T3659647599 No Limit Hold'em $0.92 + $0.08.txt</t>
  </si>
  <si>
    <t>HH20231016 T3659651373 No Limit Hold'em $0.92 + $0.08.txt</t>
  </si>
  <si>
    <t>HH20231016 T3659651753 No Limit Hold'em $0.92 + $0.08.txt</t>
  </si>
  <si>
    <t>HH20231016 T3659653003 No Limit Hold'em $0.92 + $0.08.txt</t>
  </si>
  <si>
    <t>HH20231016 T3659654485 No Limit Hold'em $0.92 + $0.08.txt</t>
  </si>
  <si>
    <t>HH20231016 T3659676974 No Limit Hold'em $0.92 + $0.08.txt</t>
  </si>
  <si>
    <t>HH20231016 T3659702149 No Limit Hold'em $0.92 + $0.08.txt</t>
  </si>
  <si>
    <t>HH20231016 T3659704015 No Limit Hold'em $0.92 + $0.08.txt</t>
  </si>
  <si>
    <t>HH20231016 T3659705681 No Limit Hold'em $0.92 + $0.08.txt</t>
  </si>
  <si>
    <t>HH20231016 T3659707447 No Limit Hold'em $0.92 + $0.08.txt</t>
  </si>
  <si>
    <t>HH20231016 T3659710275 No Limit Hold'em $0.92 + $0.08.txt</t>
  </si>
  <si>
    <t>HH20231016 T3659759859 No Limit Hold'em $0.92 + $0.08.txt</t>
  </si>
  <si>
    <t>HH20231016 T3659801189 No Limit Hold'em $0.92 + $0.08.txt</t>
  </si>
  <si>
    <t>HH20231016 T3659802104 No Limit Hold'em $0.92 + $0.08.txt</t>
  </si>
  <si>
    <t>18.10.2023</t>
  </si>
  <si>
    <t>HH20231018 T3660754759 No Limit Hold'em $0.92 + $0.08.txt</t>
  </si>
  <si>
    <t>HH20231018 T3660757510 No Limit Hold'em $0.92 + $0.08.txt</t>
  </si>
  <si>
    <t>HH20231018 T3660759741 No Limit Hold'em $0.92 + $0.08.txt</t>
  </si>
  <si>
    <t>HH20231018 T3660760778 No Limit Hold'em $0.92 + $0.08.txt</t>
  </si>
  <si>
    <t>19.10.2023</t>
  </si>
  <si>
    <t>HH20231019 T3661126276 No Limit Hold'em $0.92 + $0.08.txt</t>
  </si>
  <si>
    <t>HH20231019 T3660168842 No Limit Hold'em $2.94 + $0.36.txt</t>
  </si>
  <si>
    <t>HH20231019 T3661157533 No Limit Hold'em $0.92 + $0.08.txt</t>
  </si>
  <si>
    <t>HH20231019 T3661162480 No Limit Hold'em $0.92 + $0.08.txt</t>
  </si>
  <si>
    <t>HH20231021 T3661896900 No Limit Hold'em $0.92 + $0.08.txt</t>
  </si>
  <si>
    <t>21.10.2023</t>
  </si>
  <si>
    <t>HH20231021 T3661904408 No Limit Hold'em $0.92 + $0.08.txt</t>
  </si>
  <si>
    <t>HH20231021 T3662046055 No Limit Hold'em $0.92 + $0.08.txt</t>
  </si>
  <si>
    <t>HH20231021 T3662047615 No Limit Hold'em $0.92 + $0.08.txt</t>
  </si>
  <si>
    <t>23.10.2023</t>
  </si>
  <si>
    <t>HH20231023 T3661060792 No Limit Hold'em $2.94 + $0.36.txt</t>
  </si>
  <si>
    <t>HH20231023 T3662964057 No Limit Hold'em $0.92 + $0.08.txt</t>
  </si>
  <si>
    <t>HH20231023 T3662964637 No Limit Hold'em $0.92 + $0.08.txt</t>
  </si>
  <si>
    <t>HH20231023 T3662965792 No Limit Hold'em $0.92 + $0.08.txt</t>
  </si>
  <si>
    <t>HH20231023 T3662968829 No Limit Hold'em $0.92 + $0.08.txt</t>
  </si>
  <si>
    <t>HH20231023 T3662972935 No Limit Hold'em $0.92 + $0.08.txt</t>
  </si>
  <si>
    <t>HH20231023 T3662977149 No Limit Hold'em $0.92 + $0.08.txt</t>
  </si>
  <si>
    <t>24.10.2023</t>
  </si>
  <si>
    <t>HH20231024 T3663321240 No Limit Hold'em $0.92 + $0.08.txt</t>
  </si>
  <si>
    <t>HH20231024 T3663324528 No Limit Hold'em $0.92 + $0.08.txt</t>
  </si>
  <si>
    <t>HH20231025 T3663745563 No Limit Hold'em $0.92 + $0.08.txt</t>
  </si>
  <si>
    <t>HH20231025 T3663813680 No Limit Hold'em $0.92 + $0.08.txt</t>
  </si>
  <si>
    <t>HH20231025 T3663816376 No Limit Hold'em $0.92 + $0.08.txt</t>
  </si>
  <si>
    <t>25.10.2023</t>
  </si>
  <si>
    <t>HH20231025 T3663822446 No Limit Hold'em $0.92 + $0.08.txt</t>
  </si>
  <si>
    <t>HH20231025 T3663841125 No Limit Hold'em $0.92 + $0.08.txt</t>
  </si>
  <si>
    <t>HH20231026 T3664131552 No Limit Hold'em $0.92 + $0.08.txt</t>
  </si>
  <si>
    <t>26.10.2023</t>
  </si>
  <si>
    <t>HH20231026 T3664141362 No Limit Hold'em $0.92 + $0.08.txt</t>
  </si>
  <si>
    <t>HH20231026 T3664144875 No Limit Hold'em $0.92 + $0.08.txt</t>
  </si>
  <si>
    <t>WON Brutto</t>
  </si>
  <si>
    <t>HH20231026 T3664154540 No Limit Hold'em $0.92 + $0.08.txt</t>
  </si>
  <si>
    <t>HH20231026 T3664157653 No Limit Hold'em $0.92 + $0.08.txt</t>
  </si>
  <si>
    <t>HH20231026 T3664158405 No Limit Hold'em $4.60 + $0.40.txt</t>
  </si>
  <si>
    <t>HH20231026 T3664160030 No Limit Hold'em $4.60 + $0.40.txt</t>
  </si>
  <si>
    <t>HH20231026 T3664162199 No Limit Hold'em $4.60 + $0.40.txt</t>
  </si>
  <si>
    <t>HH20231026 T3664164120 No Limit Hold'em $4.60 + $0.40.txt</t>
  </si>
  <si>
    <t>HH20231026 T3664167017 No Limit Hold'em $4.60 + $0.40.txt</t>
  </si>
  <si>
    <t>HH20231026 T3664169452 No Limit Hold'em $4.60 + $0.40.txt</t>
  </si>
  <si>
    <t>HH20231026 T3664171317 No Limit Hold'em $4.60 + $0.40.txt</t>
  </si>
  <si>
    <t>HH20231026 T3663274405 No Limit Hold'em $4.90 + $0.60.txt</t>
  </si>
  <si>
    <t>HH20231026 T3663274427 No Limit Hold'em $3.92 + $0.48.txt</t>
  </si>
  <si>
    <t>HH20231026 T3664267304 No Limit Hold'em $0.92 + $0.08.txt</t>
  </si>
  <si>
    <t>HH20231026 T3664272553 No Limit Hold'em $9.30 + $0.70.txt</t>
  </si>
  <si>
    <t>HH20231026 T3664278102 No Limit Hold'em $0.92 + $0.08.txt</t>
  </si>
  <si>
    <t>HH20231026 T3664279284 No Limit Hold'em $9.30 + $0.70.txt</t>
  </si>
  <si>
    <t>27.10.2023</t>
  </si>
  <si>
    <t>HH20231027 T3664474435 No Limit Hold'em $0.92 + $0.08.txt</t>
  </si>
  <si>
    <t>HH20231027 T3664475678 No Limit Hold'em $0.92 + $0.08.txt</t>
  </si>
  <si>
    <t>HH20231027 T3664476291 No Limit Hold'em $0.92 + $0.08.txt</t>
  </si>
  <si>
    <t>HH20231027 T3664501532 No Limit Hold'em $0.92 + $0.08.txt</t>
  </si>
  <si>
    <t>HH20231027 T3664501862 No Limit Hold'em $0.92 + $0.08.txt</t>
  </si>
  <si>
    <t>HH20231027 T3664503624 No Limit Hold'em $0.92 + $0.08.txt</t>
  </si>
  <si>
    <t>HH20231027 T3664505169 No Limit Hold'em $0.92 + $0.08.txt</t>
  </si>
  <si>
    <t>HH20231027 T3664506334 No Limit Hold'em $0.92 + $0.08.txt</t>
  </si>
  <si>
    <t>HH20231027 T3664509886 No Limit Hold'em $0.92 + $0.08.txt</t>
  </si>
  <si>
    <t>HH20231027 T3664522357 No Limit Hold'em $0.92 + $0.08.txt</t>
  </si>
  <si>
    <t>HH20231027 T3664524008 No Limit Hold'em $0.92 + $0.08.txt</t>
  </si>
  <si>
    <t>HH20231027 T3664554896 No Limit Hold'em $0.92 + $0.08.txt</t>
  </si>
  <si>
    <t>HH20231027 T3664556686 No Limit Hold'em $1.84 + $0.16.txt</t>
  </si>
  <si>
    <t>HH20231027 T3664558512 No Limit Hold'em $1.84 + $0.16.txt</t>
  </si>
  <si>
    <t>HH20231028 T3665060349 No Limit Hold'em $1.84 + $0.16.txt</t>
  </si>
  <si>
    <t>28.10.2023</t>
  </si>
  <si>
    <t>HH20231028 T3665065456 No Limit Hold'em $1.84 + $0.16.txt</t>
  </si>
  <si>
    <t>HH20231028 T3663274408 No Limit Hold'em $4.90 + $0.60.txt</t>
  </si>
  <si>
    <t>HH20231028 T3665110020 No Limit Hold'em $1.84 + $0.16.txt</t>
  </si>
  <si>
    <t>HH20231028 T3665110446 No Limit Hold'em $1.84 + $0.16.txt</t>
  </si>
  <si>
    <t>HH20231028 T3665112019 No Limit Hold'em $1.84 + $0.16.txt</t>
  </si>
  <si>
    <t>HH20231028 T3665115101 No Limit Hold'em $1.84 + $0.16.txt</t>
  </si>
  <si>
    <t>HH20231028 T3665116782 No Limit Hold'em $1.84 + $0.16.txt</t>
  </si>
  <si>
    <t>HH20231028 T3665118753 No Limit Hold'em $1.84 + $0.16.txt</t>
  </si>
  <si>
    <t>HH20231028 T3665122836 No Limit Hold'em $1.84 + $0.16.txt</t>
  </si>
  <si>
    <t>HH20231030 T3665991906 No Limit Hold'em $1.84 + $0.16.txt</t>
  </si>
  <si>
    <t>30.10.2023</t>
  </si>
  <si>
    <t>HH20231030 T3665996483 No Limit Hold'em $1.84 + $0.16.txt</t>
  </si>
  <si>
    <t>HH20231030 T3665998056 No Limit Hold'em $1.84 + $0.16.txt</t>
  </si>
  <si>
    <t>HH20231030 T3666002172 No Limit Hold'em $1.84 + $0.16.txt</t>
  </si>
  <si>
    <t>HH20231030 T3666089390 No Limit Hold'em $1.84 + $0.16.txt</t>
  </si>
  <si>
    <t>01.11.2023</t>
  </si>
  <si>
    <t>HH20231101 T3666859921 No Limit Hold'em $1.84 + $0.16.txt</t>
  </si>
  <si>
    <t>HH20231101 T3666864161 No Limit Hold'em $1.84 + $0.16.txt</t>
  </si>
  <si>
    <t>Table</t>
  </si>
  <si>
    <t>HH20231101 Halley - $0.01-$0.02 - USD No Limit Hold'em.txt</t>
  </si>
  <si>
    <t>HH20231101 Halley - $0.01-$0.02 - USD No Limit Hold'em 2.txt</t>
  </si>
  <si>
    <t>HH20231101 T3666928596 No Limit Hold'em $1.84 + $0.16.txt</t>
  </si>
  <si>
    <t>HH20231101 T3666935673 No Limit Hold'em $1.84 + $0.16.txt</t>
  </si>
  <si>
    <t>02.11.2023</t>
  </si>
  <si>
    <t>HH20231102 T3667176345 No Limit Hold'em $1.84 + $0.16.txt</t>
  </si>
  <si>
    <t>HH20231102 T3667177964 No Limit Hold'em $1.84 + $0.16.txt</t>
  </si>
  <si>
    <t>HH20231102 T3667187986 No Limit Hold'em $1.84 + $0.16.txt</t>
  </si>
  <si>
    <t>HH20231102 T3667189488 No Limit Hold'em $1.84 + $0.16.txt</t>
  </si>
  <si>
    <t>HH20231102 T3667191206 No Limit Hold'em $1.84 + $0.16.txt</t>
  </si>
  <si>
    <t>HH20231102 T3667204906 No Limit Hold'em $1.84 + $0.16.txt</t>
  </si>
  <si>
    <t>HH20231102 T3667206451 No Limit Hold'em $1.84 + $0.16.txt</t>
  </si>
  <si>
    <t>HH20231102 T3667220826 No Limit Hold'em $1.84 + $0.16.txt</t>
  </si>
  <si>
    <t>HH20231102 T3667222279 No Limit Hold'em $1.84 + $0.16.txt</t>
  </si>
  <si>
    <t>HH20231102 T3667290452 No Limit Hold'em $1.84 + $0.16.txt</t>
  </si>
  <si>
    <t>HH20231102 T3667294196 No Limit Hold'em $1.84 + $0.16.txt</t>
  </si>
  <si>
    <t>HH20231102 T3667295995 No Limit Hold'em $1.84 + $0.16.txt</t>
  </si>
  <si>
    <t>HH20231102 T3667296743 No Limit Hold'em $1.84 + $0.16.txt</t>
  </si>
  <si>
    <t>HH20231102 T3667299985 No Limit Hold'em $1.84 + $0.16.txt</t>
  </si>
  <si>
    <t>HH20231102 T3667301499 No Limit Hold'em $1.84 + $0.16.txt</t>
  </si>
  <si>
    <t>HH20231102 T3667303506 No Limit Hold'em $1.84 + $0.16.txt</t>
  </si>
  <si>
    <t>HH20231102 T3667306844 No Limit Hold'em $1.84 + $0.16.txt</t>
  </si>
  <si>
    <t>HH20231102 T3667307374 No Limit Hold'em $1.84 + $0.16.txt</t>
  </si>
  <si>
    <t>HH20231102 T3667403062 No Limit Hold'em $1.84 + $0.16.txt</t>
  </si>
  <si>
    <t>HH20231102 T3667405862 No Limit Hold'em $1.84 + $0.16.txt</t>
  </si>
  <si>
    <t>HH20231102 T3667410927 No Limit Hold'em $1.84 + $0.16.txt</t>
  </si>
  <si>
    <t>HH20231102 T3667413961 No Limit Hold'em $1.84 + $0.16.txt</t>
  </si>
  <si>
    <t>HH20231102 T3667426422 No Limit Hold'em $1.84 + $0.16.txt</t>
  </si>
  <si>
    <t>HH20231102 T3667429801 No Limit Hold'em $1.84 + $0.16.txt</t>
  </si>
  <si>
    <t>HH20231102 T3667433400 No Limit Hold'em $1.84 + $0.16.txt</t>
  </si>
  <si>
    <t>HH20231102 T3667439937 No Limit Hold'em $1.84 + $0.16.txt</t>
  </si>
  <si>
    <t>03.11.2023</t>
  </si>
  <si>
    <t>HH20231103 T3667648543 No Limit Hold'em $1.84 + $0.16.txt</t>
  </si>
  <si>
    <t>HH20231103 T3667649952 No Limit Hold'em $1.84 + $0.16.txt</t>
  </si>
  <si>
    <t>04.11.2023</t>
  </si>
  <si>
    <t>HH20231104 T3668234880 No Limit Hold'em $1.84 + $0.16.txt</t>
  </si>
  <si>
    <t>HH20231104 T3668238303 No Limit Hold'em $1.84 + $0.16.txt</t>
  </si>
  <si>
    <t>HH20231104 T3668241255 No Limit Hold'em $1.84 + $0.16.txt</t>
  </si>
  <si>
    <t>HH20231104 T3668243663 No Limit Hold'em $1.84 + $0.16.txt</t>
  </si>
  <si>
    <t>05.11.2023</t>
  </si>
  <si>
    <t>HH20231105 T3668608353 No Limit Hold'em $1.84 + $0.16.txt</t>
  </si>
  <si>
    <t>HH20231105 T3668608807 No Limit Hold'em $1.84 + $0.16.txt</t>
  </si>
  <si>
    <t>HH20231105 T3668609782 No Limit Hold'em $1.84 + $0.16.txt</t>
  </si>
  <si>
    <t>HH20231105 T3668627585 No Limit Hold'em $1.84 + $0.16.txt</t>
  </si>
  <si>
    <t>HH20231105 T3668661960 No Limit Hold'em $1.84 + $0.16.txt</t>
  </si>
  <si>
    <t>HH20231105 T3668664881 No Limit Hold'em $1.84 + $0.16.txt</t>
  </si>
  <si>
    <t>HH20231105 T3668709154 No Limit Hold'em $1.84 + $0.16.txt</t>
  </si>
  <si>
    <t>HH20231105 T3668712186 No Limit Hold'em $1.84 + $0.16.txt</t>
  </si>
  <si>
    <t>HH20231105 T3668735480 No Limit Hold'em $1.84 + $0.16.txt</t>
  </si>
  <si>
    <t>HH20231105 T3668792942 No Limit Hold'em $1.84 + $0.16.txt</t>
  </si>
  <si>
    <t>HH20231105 T3668822201 No Limit Hold'em $1.84 + $0.16.txt</t>
  </si>
  <si>
    <t>HH20231105 T3668824849 No Limit Hold'em $1.84 + $0.16.txt</t>
  </si>
  <si>
    <t>HH20231105 T3668829587 No Limit Hold'em $1.84 + $0.16.txt</t>
  </si>
  <si>
    <t>HH20231105 T3668857780 No Limit Hold'em $1.84 + $0.16.txt</t>
  </si>
  <si>
    <t>06.11.2023</t>
  </si>
  <si>
    <t>HH20231106 T3669082180 No Limit Hold'em $1.84 + $0.16.txt</t>
  </si>
  <si>
    <t>HH20231106 T3669086212 No Limit Hold'em $1.84 + $0.16.txt</t>
  </si>
  <si>
    <t>HH20231106 T3669088669 No Limit Hold'em $1.84 + $0.16.txt</t>
  </si>
  <si>
    <t>HH20231106 T3669089861 No Limit Hold'em $1.84 + $0.16.txt</t>
  </si>
  <si>
    <t>HH20231106 T3669092703 No Limit Hold'em $1.84 + $0.16.txt</t>
  </si>
  <si>
    <t>HH20231106 T3669094890 No Limit Hold'em $1.84 + $0.16.txt</t>
  </si>
  <si>
    <t>HH20231106 T3669100565 No Limit Hold'em $1.84 + $0.16.txt</t>
  </si>
  <si>
    <t>HH20231106 T3669102390 No Limit Hold'em $1.84 + $0.16.txt</t>
  </si>
  <si>
    <t>HH20231106 T3669155335 No Limit Hold'em $1.84 + $0.16.txt</t>
  </si>
  <si>
    <t>HH20231106 T3669156359 No Limit Hold'em $1.84 + $0.16.txt</t>
  </si>
  <si>
    <t>HH20231106 T3669168254 No Limit Hold'em $1.84 + $0.16.txt</t>
  </si>
  <si>
    <t>HH20231106 T3669170572 No Limit Hold'em $1.84 + $0.16.txt</t>
  </si>
  <si>
    <t>HH20231106 T3669174681 No Limit Hold'em $1.84 + $0.16.txt</t>
  </si>
  <si>
    <t>HH20231106 T3669177676 No Limit Hold'em $1.84 + $0.16.txt</t>
  </si>
  <si>
    <t>HH20231106 T3669179704 No Limit Hold'em $1.84 + $0.16.txt</t>
  </si>
  <si>
    <t>HH20231106 T3669182231 No Limit Hold'em $1.84 + $0.16.txt</t>
  </si>
  <si>
    <t>HH20231106 T3669198860 No Limit Hold'em $1.84 + $0.16.txt</t>
  </si>
  <si>
    <t>HH20231106 T3669201449 No Limit Hold'em $1.84 + $0.16.txt</t>
  </si>
  <si>
    <t>HH20231106 T3669202012 No Limit Hold'em $1.84 + $0.16.txt</t>
  </si>
  <si>
    <t>HH20231106 T3669284385 No Limit Hold'em $1.84 + $0.16.txt</t>
  </si>
  <si>
    <t>07.11.2023</t>
  </si>
  <si>
    <t>HH20231107 T3669510307 No Limit Hold'em $1.84 + $0.16.txt</t>
  </si>
  <si>
    <t>HH20231107 T3669513368 No Limit Hold'em $1.84 + $0.16.txt</t>
  </si>
  <si>
    <t>HH20231107 T3669515043 No Limit Hold'em $1.84 + $0.16.txt</t>
  </si>
  <si>
    <t>HH20231107 T3669517830 No Limit Hold'em $9.30 + $0.70.txt</t>
  </si>
  <si>
    <t>HH20231107 T3669518573 No Limit Hold'em $9.30 + $0.70.txt</t>
  </si>
  <si>
    <t>HH20231107 T3669519079 No Limit Hold'em $9.30 + $0.70.txt</t>
  </si>
  <si>
    <t>HH20231107 T3669520389 No Limit Hold'em $9.30 + $0.70.txt</t>
  </si>
  <si>
    <t>HH20231107 T3669521406 No Limit Hold'em $9.30 + $0.70.txt</t>
  </si>
  <si>
    <t>HH20231107 T3669521876 No Limit Hold'em $9.30 + $0.70.txt</t>
  </si>
  <si>
    <t>HH20231107 T3669525511 No Limit Hold'em $9.30 + $0.70.txt</t>
  </si>
  <si>
    <t>HH20231107 T3669529150 No Limit Hold'em $9.30 + $0.70.txt</t>
  </si>
  <si>
    <t>HH20231107 T3669531026 No Limit Hold'em $4.60 + $0.40.txt</t>
  </si>
  <si>
    <t>HH20231107 T3669558271 No Limit Hold'em $4.60 + $0.40.txt</t>
  </si>
  <si>
    <t>HH20231107 T3669561558 No Limit Hold'em $4.60 + $0.40.txt</t>
  </si>
  <si>
    <t>HH20231107 T3669562520 No Limit Hold'em $4.60 + $0.40.txt</t>
  </si>
  <si>
    <t>HH20231107 T3669563663 No Limit Hold'em $4.60 + $0.40.txt</t>
  </si>
  <si>
    <t>HH20231107 T3669567280 No Limit Hold'em $4.60 + $0.40.txt</t>
  </si>
  <si>
    <t>HH20231107 T3669568542 No Limit Hold'em $4.60 + $0.40.txt</t>
  </si>
  <si>
    <t>HH20231107 T3669575272 No Limit Hold'em $4.60 + $0.40.txt</t>
  </si>
  <si>
    <t>HH20231107 T3669578859 No Limit Hold'em $4.60 + $0.40.txt</t>
  </si>
  <si>
    <t>HH20231107 T3669579251 No Limit Hold'em $4.60 + $0.40.txt</t>
  </si>
  <si>
    <t>HH20231107 T3669580358 No Limit Hold'em $4.60 + $0.40.txt</t>
  </si>
  <si>
    <t>HH20231107 T3669585382 No Limit Hold'em $4.60 + $0.40.txt</t>
  </si>
  <si>
    <t>HH20231107 T3669590945 No Limit Hold'em $4.60 + $0.40.txt</t>
  </si>
  <si>
    <t>HH20231107 T3669594085 No Limit Hold'em $4.60 + $0.40.txt</t>
  </si>
  <si>
    <t>HH20231107 T3669595118 No Limit Hold'em $4.60 + $0.40.txt</t>
  </si>
  <si>
    <t>HH20231107 T3669599559 No Limit Hold'em $4.60 + $0.40.txt</t>
  </si>
  <si>
    <t>HH20231107 T3669600884 No Limit Hold'em $1.84 + $0.16.txt</t>
  </si>
  <si>
    <t>HH20231107 T3669604927 No Limit Hold'em $1.84 + $0.16.txt</t>
  </si>
  <si>
    <t>HH20231107 T3669631676 No Limit Hold'em $1.84 + $0.16.txt</t>
  </si>
  <si>
    <t>HH20231107 T3669633935 No Limit Hold'em $1.84 + $0.16.txt</t>
  </si>
  <si>
    <t>HH20231107 T3669635277 No Limit Hold'em $1.84 + $0.16.txt</t>
  </si>
  <si>
    <t>HH20231107 T3669639659 No Limit Hold'em $1.84 + $0.16.txt</t>
  </si>
  <si>
    <t>HH20231107 T3669658924 No Limit Hold'em $1.84 + $0.16.txt</t>
  </si>
  <si>
    <t>HH20231107 T3669677893 No Limit Hold'em $1.84 + $0.16.txt</t>
  </si>
  <si>
    <t>HH20231107 T3669681702 No Limit Hold'em $1.84 + $0.16.txt</t>
  </si>
  <si>
    <t>HH20231107 T3669729956 No Limit Hold'em $1.84 + $0.16.txt</t>
  </si>
  <si>
    <t>HH20231107 T3669732575 No Limit Hold'em $1.84 + $0.16.txt</t>
  </si>
  <si>
    <t>HH20231107 T3669735571 No Limit Hold'em $1.84 + $0.16.txt</t>
  </si>
  <si>
    <t>08.11.2023</t>
  </si>
  <si>
    <t>HH20231108 T3670146705 No Limit Hold'em $1.84 + $0.16.txt</t>
  </si>
  <si>
    <t>HH20231108 T3670149849 No Limit Hold'em $1.84 + $0.16.txt</t>
  </si>
  <si>
    <t>HH20231108 T3670152886 No Limit Hold'em $1.84 + $0.16.txt</t>
  </si>
  <si>
    <t>09.11.2023</t>
  </si>
  <si>
    <t>HH20231109 T3670390897 No Limit Hold'em $1.84 + $0.16.txt</t>
  </si>
  <si>
    <t>HH20231109 T3670397093 No Limit Hold'em $1.84 + $0.16.txt</t>
  </si>
  <si>
    <t>HH20231109 T3670398857 No Limit Hold'em $1.84 + $0.16.txt</t>
  </si>
  <si>
    <t>HH20231109 T3670402545 No Limit Hold'em $1.84 + $0.16.txt</t>
  </si>
  <si>
    <t>HH20231109 T3670443570 No Limit Hold'em $1.84 + $0.16.txt</t>
  </si>
  <si>
    <t>HH20231109 T3669571536 No Limit Hold'em $2.94 + $0.36.txt</t>
  </si>
  <si>
    <t>HH20231109 T3670459331 No Limit Hold'em $1.84 + $0.16.txt</t>
  </si>
  <si>
    <t>HH20231109 Halley - $0.01-$0.02 - USD No Limit Hold'em.txt</t>
  </si>
  <si>
    <t>HH20231109 T3670492659 No Limit Hold'em $1.84 + $0.16.txt</t>
  </si>
  <si>
    <t>HH20231109 T3670493372 No Limit Hold'em $1.84 + $0.16.txt</t>
  </si>
  <si>
    <t>HH20231109 T3670496105 No Limit Hold'em $1.84 + $0.16.txt</t>
  </si>
  <si>
    <t>HH20231109 T3670499350 No Limit Hold'em $1.84 + $0.16.txt</t>
  </si>
  <si>
    <t>HH20231109 T3670501910 No Limit Hold'em $1.84 + $0.16.txt</t>
  </si>
  <si>
    <t>HH20231109 T3670503706 No Limit Hold'em $1.84 + $0.16.txt</t>
  </si>
  <si>
    <t>HH20231109 T3670506447 No Limit Hold'em $1.84 + $0.16.txt</t>
  </si>
  <si>
    <t>HH20231109 T3670509134 No Limit Hold'em $1.84 + $0.16.txt</t>
  </si>
  <si>
    <t>HH20231109 T3670511931 No Limit Hold'em $1.84 + $0.16.txt</t>
  </si>
  <si>
    <t>HH20231109 T3670516877 No Limit Hold'em $1.84 + $0.16.txt</t>
  </si>
  <si>
    <t>HH20231109 T3670518288 No Limit Hold'em $1.84 + $0.16.txt</t>
  </si>
  <si>
    <t>10.11.2023</t>
  </si>
  <si>
    <t>HH20231110 T3671181921 No Limit Hold'em $1.84 + $0.16.txt</t>
  </si>
  <si>
    <t>HH20231110 Halley - $0.01-$0.02 - USD No Limit Hold'em.txt</t>
  </si>
  <si>
    <t>HH20231110 T3671185629 No Limit Hold'em $1.84 + $0.16.txt</t>
  </si>
  <si>
    <t>HH20231110 T3671237046 No Limit Hold'em $1.84 + $0.16.txt</t>
  </si>
  <si>
    <t>HH20231110 T3671284022 No Limit Hold'em $1.84 + $0.16.txt</t>
  </si>
  <si>
    <t>HH20231110 T3671285860 No Limit Hold'em $1.84 + $0.16.txt</t>
  </si>
  <si>
    <t>HH20231110 T3671288566 No Limit Hold'em $1.84 + $0.16.txt</t>
  </si>
  <si>
    <t>HH20231110 T3671291379 No Limit Hold'em $1.84 + $0.16.txt</t>
  </si>
  <si>
    <t>HH20231110 T3671293103 No Limit Hold'em $1.84 + $0.16.txt</t>
  </si>
  <si>
    <t>HH20231110 T3671298428 No Limit Hold'em $1.84 + $0.16.txt</t>
  </si>
  <si>
    <t>HH20231110 T3671302757 No Limit Hold'em $1.84 + $0.16.txt</t>
  </si>
  <si>
    <t>HH20231110 T3671303385 No Limit Hold'em $1.84 + $0.16.txt</t>
  </si>
  <si>
    <t>HH20231110 T3671306551 No Limit Hold'em $1.84 + $0.16.txt</t>
  </si>
  <si>
    <t>HH20231110 T3671310013 No Limit Hold'em $1.84 + $0.16.txt</t>
  </si>
  <si>
    <t>HH20231110 T3671311702 No Limit Hold'em $1.84 + $0.16.txt</t>
  </si>
  <si>
    <t>HH20231110 T3671313320 No Limit Hold'em $1.84 + $0.16.txt</t>
  </si>
  <si>
    <t>HH20231110 T3671316563 No Limit Hold'em $1.84 + $0.16.txt</t>
  </si>
  <si>
    <t>HH20231110 T3671318064 No Limit Hold'em $1.84 + $0.16.txt</t>
  </si>
  <si>
    <t>HH20231110 T3671321651 No Limit Hold'em $1.84 + $0.16.txt</t>
  </si>
  <si>
    <t>HH20231110 T3671324456 No Limit Hold'em $1.84 + $0.16.txt</t>
  </si>
  <si>
    <t>HH20231110 T3671327973 No Limit Hold'em $1.84 + $0.16.txt</t>
  </si>
  <si>
    <t>HH20231110 T3671331107 No Limit Hold'em $1.84 + $0.16.txt</t>
  </si>
  <si>
    <t>HH20231110 T3671334182 No Limit Hold'em $1.84 + $0.16.txt</t>
  </si>
  <si>
    <t>HH20231110 T3671339485 No Limit Hold'em $1.84 + $0.16.txt</t>
  </si>
  <si>
    <t>HH20231110 T3671343748 No Limit Hold'em $1.84 + $0.16.txt</t>
  </si>
  <si>
    <t>HH20231110 T3671501524 No Limit Hold'em $1.84 + $0.16.txt</t>
  </si>
  <si>
    <t>HH20231110 T3671508191 No Limit Hold'em $1.84 + $0.16.txt</t>
  </si>
  <si>
    <t>HH20231110 T3671513653 No Limit Hold'em $1.84 + $0.16.txt</t>
  </si>
  <si>
    <t>HH20231110 T3671518071 No Limit Hold'em $1.84 + $0.16.txt</t>
  </si>
  <si>
    <t>HH20231110 T3671521280 No Limit Hold'em $1.84 + $0.16.txt</t>
  </si>
  <si>
    <t>11.11.2023</t>
  </si>
  <si>
    <t>HH20231111 T3671887822 No Limit Hold'em $1.84 + $0.16.txt</t>
  </si>
  <si>
    <t>HH20231111 T3671891216 No Limit Hold'em $1.84 + $0.16.txt</t>
  </si>
  <si>
    <t>HH20231111 T3671892728 No Limit Hold'em $1.84 + $0.16.txt</t>
  </si>
  <si>
    <t>HH20231111 T3671895850 No Limit Hold'em $1.84 + $0.16.txt</t>
  </si>
  <si>
    <t>HH20231111 T3671897594 No Limit Hold'em $1.84 + $0.16.txt</t>
  </si>
  <si>
    <t>HH20231111 T3671902028 No Limit Hold'em $1.84 + $0.16.txt</t>
  </si>
  <si>
    <t>HH20231111 T3671904762 No Limit Hold'em $1.84 + $0.16.txt</t>
  </si>
  <si>
    <t>HH20231111 T3671908823 No Limit Hold'em $1.84 + $0.16.txt</t>
  </si>
  <si>
    <t>HH20231111 Halley - $0.01-$0.02 - USD No Limit Hold'em.txt</t>
  </si>
  <si>
    <t>HH20231111 T3671964447 No Limit Hold'em $1.84 + $0.16.txt</t>
  </si>
  <si>
    <t>HH20231111 T3671969437 No Limit Hold'em $1.84 + $0.16.txt</t>
  </si>
  <si>
    <t>HH20231111 T3671971065 No Limit Hold'em $1.84 + $0.16.txt</t>
  </si>
  <si>
    <t>HH20231111 T3671974437 No Limit Hold'em $1.84 + $0.16.txt</t>
  </si>
  <si>
    <t>HH20231111 T3671975612 No Limit Hold'em $1.84 + $0.16.txt</t>
  </si>
  <si>
    <t>HH20231111 T3671977933 No Limit Hold'em $1.84 + $0.16.txt</t>
  </si>
  <si>
    <t>HH20231111 T3671979348 No Limit Hold'em $1.84 + $0.16.txt</t>
  </si>
  <si>
    <t>HH20231111 T3671981277 No Limit Hold'em $1.84 + $0.16.txt</t>
  </si>
  <si>
    <t>HH20231111 T3671987967 No Limit Hold'em $1.84 + $0.16.txt</t>
  </si>
  <si>
    <t>12.11.2023</t>
  </si>
  <si>
    <t>HH20231112 T3672264096 No Limit Hold'em $1.84 + $0.16.txt</t>
  </si>
  <si>
    <t>HH20231112 T3672265669 No Limit Hold'em $1.84 + $0.16.txt</t>
  </si>
  <si>
    <t>HH20231112 T3672268865 No Limit Hold'em $1.84 + $0.16.txt</t>
  </si>
  <si>
    <t>HH20231112 T3672269844 No Limit Hold'em $1.84 + $0.16.txt</t>
  </si>
  <si>
    <t>HH20231112 Halley - $0.01-$0.02 - USD No Limit Hold'em.txt</t>
  </si>
  <si>
    <t>HH20231112 T3672278150 No Limit Hold'em $1.84 + $0.16.txt</t>
  </si>
  <si>
    <t>HH20231112 T3672280912 No Limit Hold'em $1.84 + $0.16.txt</t>
  </si>
  <si>
    <t>HH20231112 T3672283975 No Limit Hold'em $1.84 + $0.16.txt</t>
  </si>
  <si>
    <t>HH20231112 T3672287221 No Limit Hold'em $1.84 + $0.16.txt</t>
  </si>
  <si>
    <t>HH20231112 T3672289711 No Limit Hold'em $1.84 + $0.16.txt</t>
  </si>
  <si>
    <t>HH20231112 T3667745777 No Limit Hold'em $9.80 + $1.20.txt</t>
  </si>
  <si>
    <t>HH20231112 T3672441399 No Limit Hold'em $1.84 + $0.16.txt</t>
  </si>
  <si>
    <t>HH20231112 T3672444809 No Limit Hold'em $1.84 + $0.16.txt</t>
  </si>
  <si>
    <t>HH20231112 T3672445940 No Limit Hold'em $4.60 + $0.40.txt</t>
  </si>
  <si>
    <t>HH20231113 T3672571635 No Limit Hold'em $1.84 + $0.16.txt</t>
  </si>
  <si>
    <t>13.11.2023</t>
  </si>
  <si>
    <t>HH20231113 T3672578103 No Limit Hold'em $1.84 + $0.16.txt</t>
  </si>
  <si>
    <t>HH20231113 T3672578284 No Limit Hold'em $1.84 + $0.16.txt</t>
  </si>
  <si>
    <t>HH20231113 Halley - $0.01-$0.02 - USD No Limit Hold'em.txt</t>
  </si>
  <si>
    <t>HH20231113 T3672588085 No Limit Hold'em $0.23 + $0.02.txt</t>
  </si>
  <si>
    <t>HH20231113 T3672589254 No Limit Hold'em $0.23 + $0.02.txt</t>
  </si>
  <si>
    <t>HH20231113 T3672590321 No Limit Hold'em $1.84 + $0.16.txt</t>
  </si>
  <si>
    <t>HH20231113 T3672590883 No Limit Hold'em $1.84 + $0.16.txt</t>
  </si>
  <si>
    <t>HH20231113 T3672591222 No Limit Hold'em $1.84 + $0.16.txt</t>
  </si>
  <si>
    <t>HH20231113 T3672591886 No Limit Hold'em $1.84 + $0.16.txt</t>
  </si>
  <si>
    <t>HH20231113 T3672595197 No Limit Hold'em $1.84 + $0.16.txt</t>
  </si>
  <si>
    <t>HH20231113 T3672596914 No Limit Hold'em $1.84 + $0.16.txt</t>
  </si>
  <si>
    <t>HH20231113 T3672597842 No Limit Hold'em $1.84 + $0.16.txt</t>
  </si>
  <si>
    <t>HH20231113 T3672606015 No Limit Hold'em $1.84 + $0.16.txt</t>
  </si>
  <si>
    <t>HH20231113 T3672608286 No Limit Hold'em $1.84 + $0.16.txt</t>
  </si>
  <si>
    <t>HH20231113 T3672611096 No Limit Hold'em $1.84 + $0.16.txt</t>
  </si>
  <si>
    <t>HH20231113 T3672613648 No Limit Hold'em $1.84 + $0.16.txt</t>
  </si>
  <si>
    <t>HH20231113 T3672614935 No Limit Hold'em $1.84 + $0.16.txt</t>
  </si>
  <si>
    <t>HH20231113 T3672615986 No Limit Hold'em $1.84 + $0.16.txt</t>
  </si>
  <si>
    <t>HH20231113 T3672616230 No Limit Hold'em $23.50 + $1.50.txt</t>
  </si>
  <si>
    <t>HH20231113 T3672619291 No Limit Hold'em $1.84 + $0.16.txt</t>
  </si>
  <si>
    <t>HH20231113 T3672620568 No Limit Hold'em $4.60 + $0.40.txt</t>
  </si>
  <si>
    <t>HH20231113 T3672622468 No Limit Hold'em $1.84 + $0.16.txt</t>
  </si>
  <si>
    <t>HH20231113 T3672622948 No Limit Hold'em $1.84 + $0.16.txt</t>
  </si>
  <si>
    <t>HH20231113 T3672623947 No Limit Hold'em $4.60 + $0.40.txt</t>
  </si>
  <si>
    <t>HH20231113 T3672624276 No Limit Hold'em $1.84 + $0.16.txt</t>
  </si>
  <si>
    <t>HH20231113 T3672626348 No Limit Hold'em $0.92 + $0.08.txt</t>
  </si>
  <si>
    <t>14.11.2023</t>
  </si>
  <si>
    <t>HH20231114 T3673173832 No Limit Hold'em $1.84 + $0.16.txt</t>
  </si>
  <si>
    <t>HH20231114 T3673227844 No Limit Hold'em $1.84 + $0.16.txt</t>
  </si>
  <si>
    <t>HH20231114 T3673232274 No Limit Hold'em $1.84 + $0.16.txt</t>
  </si>
  <si>
    <t>HH20231114 T3673235612 No Limit Hold'em $1.84 + $0.16.txt</t>
  </si>
  <si>
    <t>HH20231114 T3673239027 No Limit Hold'em $1.84 + $0.16.txt</t>
  </si>
  <si>
    <t>HH20231114 T3673244183 No Limit Hold'em $1.84 + $0.16.txt</t>
  </si>
  <si>
    <t>HH20231114 T3673246851 No Limit Hold'em $1.84 + $0.16.txt</t>
  </si>
  <si>
    <t>HH20231114 T3673249284 No Limit Hold'em $1.84 + $0.16.txt</t>
  </si>
  <si>
    <t>HH20231115 T3673651172 No Limit Hold'em $1.84 + $0.16.txt</t>
  </si>
  <si>
    <t>HH20231115 T3673651767 No Limit Hold'em $1.84 + $0.16.txt</t>
  </si>
  <si>
    <t>15.11.2023</t>
  </si>
  <si>
    <t>HH20231115 T3673655521 No Limit Hold'em $1.84 + $0.16.txt</t>
  </si>
  <si>
    <t>HH20231115 T3673658449 No Limit Hold'em $1.84 + $0.16.txt</t>
  </si>
  <si>
    <t>HH20231115 T3673660541 No Limit Hold'em $1.84 + $0.16.txt</t>
  </si>
  <si>
    <t>HH20231115 T3673661307 No Limit Hold'em $1.84 + $0.16.txt</t>
  </si>
  <si>
    <t>HH20231115 T3673664949 No Limit Hold'em $9.30 + $0.70.txt</t>
  </si>
  <si>
    <t>HH20231115 T3673672398 No Limit Hold'em $9.30 + $0.70.txt</t>
  </si>
  <si>
    <t>HH20231115 T3673676789 No Limit Hold'em $9.30 + $0.70.txt</t>
  </si>
  <si>
    <t>HH20231115 T3673681571 No Limit Hold'em $9.30 + $0.70.txt</t>
  </si>
  <si>
    <t>HH20231116 T3674049578 No Limit Hold'em $9.30 + $0.70.txt</t>
  </si>
  <si>
    <t>HH20231116 T3673075636 No Limit Hold'em $9.80 + $1.20.txt</t>
  </si>
  <si>
    <t>HH20231116 T3674072584 No Limit Hold'em $9.30 + $0.70.txt</t>
  </si>
  <si>
    <t>HH20231116 T3674074651 No Limit Hold'em $9.30 + $0.70.txt</t>
  </si>
  <si>
    <t>HH20231116 T3674076042 No Limit Hold'em $9.30 + $0.70.txt</t>
  </si>
  <si>
    <t>HH20231116 T3674079804 No Limit Hold'em $9.30 + $0.70.txt</t>
  </si>
  <si>
    <t>HH20231116 T3674083517 No Limit Hold'em $9.30 + $0.70.txt</t>
  </si>
  <si>
    <t>HH20231116 T3674087785 No Limit Hold'em $9.30 + $0.70.txt</t>
  </si>
  <si>
    <t>HH20231116 Donati - $0.02-$0.05 - USD No Limit Hold'em.txt</t>
  </si>
  <si>
    <t>04.12.2023</t>
  </si>
  <si>
    <t>HH20231204 T3681922338 No Limit Hold'em $1.84 + $0.16.txt</t>
  </si>
  <si>
    <t>HH20231204 T3681926210 No Limit Hold'em $1.84 + $0.16.txt</t>
  </si>
  <si>
    <t>HH20231204 T3681929352 No Limit Hold'em $1.84 + $0.16.txt</t>
  </si>
  <si>
    <t>HH20231204 T3681943797 No Limit Hold'em $1.84 + $0.16.txt</t>
  </si>
  <si>
    <t>HH20231204 T3681947786 No Limit Hold'em $1.84 + $0.16.txt</t>
  </si>
  <si>
    <t>HH20231204 T3681950713 No Limit Hold'em $1.84 + $0.16.txt</t>
  </si>
  <si>
    <t>HH20231204 T3681954326 No Limit Hold'em $1.84 + $0.16.txt</t>
  </si>
  <si>
    <t>HH20231204 T3681974833 No Limit Hold'em $1.84 + $0.16.txt</t>
  </si>
  <si>
    <t>HH20231204 T3682090785 No Limit Hold'em $1.84 + $0.16.txt</t>
  </si>
  <si>
    <t>05.12.2023</t>
  </si>
  <si>
    <t>HH20231205 T3682382149 No Limit Hold'em $1.84 + $0.16.txt</t>
  </si>
  <si>
    <t>HH20231205 T3682384245 No Limit Hold'em $1.84 + $0.16.txt</t>
  </si>
  <si>
    <t>HH20231205 T3682415430 No Limit Hold'em $1.84 + $0.16.txt</t>
  </si>
  <si>
    <t>HH20231205 T3682461673 No Limit Hold'em $1.84 + $0.16.txt</t>
  </si>
  <si>
    <t>HH20231205 T3682464045 No Limit Hold'em $1.84 + $0.16.txt</t>
  </si>
  <si>
    <t>06.12.2023</t>
  </si>
  <si>
    <t>HH20231206 T3682832537 No Limit Hold'em $1.84 + $0.16.txt</t>
  </si>
  <si>
    <t>HH20231206 T3682842565 No Limit Hold'em $1.84 + $0.16.txt</t>
  </si>
  <si>
    <t>HH20231206 T3682845961 No Limit Hold'em $1.84 + $0.16.txt</t>
  </si>
  <si>
    <t>HH20231206 T3680634452 No Limit Hold'em $9.80 + $1.20.txt</t>
  </si>
  <si>
    <t>HH20231206 T3682933904 No Limit Hold'em $1.84 + $0.16.txt</t>
  </si>
  <si>
    <t>07.12.2023</t>
  </si>
  <si>
    <t>HH20231207 T3683142800 No Limit Hold'em $1.84 + $0.16.txt</t>
  </si>
  <si>
    <t>HH20231207 T3683169159 No Limit Hold'em $1.84 + $0.16.txt</t>
  </si>
  <si>
    <t>HH20231207 T3683171823 No Limit Hold'em $1.84 + $0.16.txt</t>
  </si>
  <si>
    <t>HH20231207 T3683176805 No Limit Hold'em $1.84 + $0.16.txt</t>
  </si>
  <si>
    <t>HH20231207 T3683181222 No Limit Hold'em $1.84 + $0.16.txt</t>
  </si>
  <si>
    <t>HH20231207 T3683182402 No Limit Hold'em $1.84 + $0.16.txt</t>
  </si>
  <si>
    <t>HH20231207 T3683182899 No Limit Hold'em $1.84 + $0.16.txt</t>
  </si>
  <si>
    <t>HH20231207 T3683187732 No Limit Hold'em $1.84 + $0.16.txt</t>
  </si>
  <si>
    <t>HH20231207 T3683188920 No Limit Hold'em $1.84 + $0.16.txt</t>
  </si>
  <si>
    <t>HH20231207 T3683190987 No Limit Hold'em $1.84 + $0.16.txt</t>
  </si>
  <si>
    <t>HH20231207 T3683388905 No Limit Hold'em $1.84 + $0.16.txt</t>
  </si>
  <si>
    <t>HH20231207 T3683390730 No Limit Hold'em $1.84 + $0.16.txt</t>
  </si>
  <si>
    <t>HH20231207 T3683392895 No Limit Hold'em $1.84 + $0.16.txt</t>
  </si>
  <si>
    <t>HH20231207 T3683394248 No Limit Hold'em $1.84 + $0.16.txt</t>
  </si>
  <si>
    <t>HH20231207 T3683394999 No Limit Hold'em $1.84 + $0.16.txt</t>
  </si>
  <si>
    <t>HH20231207 T3683399284 No Limit Hold'em $1.84 + $0.16.txt</t>
  </si>
  <si>
    <t>HH20231207 T3683404819 No Limit Hold'em $1.84 + $0.16.txt</t>
  </si>
  <si>
    <t>HH20231207 T3683409977 No Limit Hold'em $1.84 + $0.16.txt</t>
  </si>
  <si>
    <t>08.12.2023</t>
  </si>
  <si>
    <t>HH20231208 T3683802575 No Limit Hold'em $1.84 + $0.16.txt</t>
  </si>
  <si>
    <t>HH20231208 T3683807663 No Limit Hold'em $1.84 + $0.16.txt</t>
  </si>
  <si>
    <t>HH20231208 T3683808762 No Limit Hold'em $1.84 + $0.16.txt</t>
  </si>
  <si>
    <t>HH20231208 T3683811488 No Limit Hold'em $1.84 + $0.16.txt</t>
  </si>
  <si>
    <t>HH20231208 T3683815695 No Limit Hold'em $1.84 + $0.16.txt</t>
  </si>
  <si>
    <t>HH20231208 T3683819247 No Limit Hold'em $1.84 + $0.16.txt</t>
  </si>
  <si>
    <t>HH20231208 T3683819823 No Limit Hold'em $1.84 + $0.16.txt</t>
  </si>
  <si>
    <t>HH20231208 T3683852497 No Limit Hold'em $1.84 + $0.16.txt</t>
  </si>
  <si>
    <t>HH20231208 T3683855045 No Limit Hold'em $1.84 + $0.16.txt</t>
  </si>
  <si>
    <t>HH20231208 T3683858434 No Limit Hold'em $1.84 + $0.16.txt</t>
  </si>
  <si>
    <t>HH20231208 T3683863386 No Limit Hold'em $1.84 + $0.16.txt</t>
  </si>
  <si>
    <t>HH20231208 T3683865729 No Limit Hold'em $1.84 + $0.16.txt</t>
  </si>
  <si>
    <t>HH20231208 T3683868035 No Limit Hold'em $1.84 + $0.16.txt</t>
  </si>
  <si>
    <t>HH20231208 T3683869868 No Limit Hold'em $1.84 + $0.16.txt</t>
  </si>
  <si>
    <t>HH20231208 T3683870985 No Limit Hold'em $1.84 + $0.16.txt</t>
  </si>
  <si>
    <t>HH20231208 T3683872468 No Limit Hold'em $1.84 + $0.16.txt</t>
  </si>
  <si>
    <t>HH20231208 T3683875312 No Limit Hold'em $1.84 + $0.16.txt</t>
  </si>
  <si>
    <t>09.12.2023</t>
  </si>
  <si>
    <t>HH20231209 T3684056169 No Limit Hold'em $1.84 + $0.16.txt</t>
  </si>
  <si>
    <t>HH20231209 T3684057549 No Limit Hold'em $1.84 + $0.16.txt</t>
  </si>
  <si>
    <t>HH20231209 T3684058839 No Limit Hold'em $1.84 + $0.16.txt</t>
  </si>
  <si>
    <t>HH20231209 T3684059801 No Limit Hold'em $1.84 + $0.16.txt</t>
  </si>
  <si>
    <t>HH20231209 T3684061014 No Limit Hold'em $1.84 + $0.16.txt</t>
  </si>
  <si>
    <t>HH20231209 T3684062206 No Limit Hold'em $1.84 + $0.16.txt</t>
  </si>
  <si>
    <t>HH20231209 T3684062990 No Limit Hold'em $1.84 + $0.16.txt</t>
  </si>
  <si>
    <t>HH20231209 T3684064112 No Limit Hold'em $1.84 + $0.16.txt</t>
  </si>
  <si>
    <t>HH20231209 T3684190905 No Limit Hold'em $1.84 + $0.16.txt</t>
  </si>
  <si>
    <t>HH20231209 T3684191827 No Limit Hold'em $1.84 + $0.16.txt</t>
  </si>
  <si>
    <t>HH20231209 T3684192356 No Limit Hold'em $1.84 + $0.16.txt</t>
  </si>
  <si>
    <t>HH20231209 T3684194143 No Limit Hold'em $1.84 + $0.16.txt</t>
  </si>
  <si>
    <t>HH20231209 T3684198336 No Limit Hold'em $1.84 + $0.16.txt</t>
  </si>
  <si>
    <t>HH20231209 T3684201904 No Limit Hold'em $1.84 + $0.16.txt</t>
  </si>
  <si>
    <t>HH20231209 T3684203617 No Limit Hold'em $1.84 + $0.16.txt</t>
  </si>
  <si>
    <t>HH20231209 T3684205053 No Limit Hold'em $1.84 + $0.16.txt</t>
  </si>
  <si>
    <t>HH20231209 T3684207917 No Limit Hold'em $1.84 + $0.16.txt</t>
  </si>
  <si>
    <t>HH20231209 T3682342504 No Limit Hold'em $2.94 + $0.36.txt</t>
  </si>
  <si>
    <t>HH20231209 T3684278497 No Limit Hold'em $1.84 + $0.16.txt</t>
  </si>
  <si>
    <t>HH20231209 T3684280737 No Limit Hold'em $1.84 + $0.16.txt</t>
  </si>
  <si>
    <t>HH20231209 T3684285096 No Limit Hold'em $1.84 + $0.16.txt</t>
  </si>
  <si>
    <t>HH20231209 T3684289792 No Limit Hold'em $1.84 + $0.16.txt</t>
  </si>
  <si>
    <t>HH20231209 T3684291044 No Limit Hold'em $1.84 + $0.16.txt</t>
  </si>
  <si>
    <t>HH20231209 T3684295457 No Limit Hold'em $1.84 + $0.16.txt</t>
  </si>
  <si>
    <t>HH20231209 T3684297296 No Limit Hold'em $1.84 + $0.16.txt</t>
  </si>
  <si>
    <t>HH20231209 T3684299495 No Limit Hold'em $1.84 + $0.16.txt</t>
  </si>
  <si>
    <t>HH20231209 T3684301082 No Limit Hold'em $1.84 + $0.16.txt</t>
  </si>
  <si>
    <t>10.12.2023</t>
  </si>
  <si>
    <t>HH20231210 T3684506706 No Limit Hold'em $1.84 + $0.16.txt</t>
  </si>
  <si>
    <t>HH20231210 T3684507751 No Limit Hold'em $1.84 + $0.16.txt</t>
  </si>
  <si>
    <t>HH20231210 T3684508869 No Limit Hold'em $1.84 + $0.16.txt</t>
  </si>
  <si>
    <t>HH20231210 T3684509495 No Limit Hold'em $1.84 + $0.16.txt</t>
  </si>
  <si>
    <t>HH20231210 T3684649170 No Limit Hold'em $1.84 + $0.16.txt</t>
  </si>
  <si>
    <t>HH20231210 T3684653043 No Limit Hold'em $1.84 + $0.16.txt</t>
  </si>
  <si>
    <t>HH20231210 T3684653963 No Limit Hold'em $1.84 + $0.16.txt</t>
  </si>
  <si>
    <t>HH20231210 T3684656920 No Limit Hold'em $1.84 + $0.16.txt</t>
  </si>
  <si>
    <t>HH20231210 T3684717993 No Limit Hold'em $1.84 + $0.16.txt</t>
  </si>
  <si>
    <t>HH20231210 T3680637831 No Limit Hold'em $9.80 + $1.20.txt</t>
  </si>
  <si>
    <t>HH20231210 T3684758776 No Limit Hold'em $1.84 + $0.16.txt</t>
  </si>
  <si>
    <t>HH20231210 T3684762208 No Limit Hold'em $1.84 + $0.16.txt</t>
  </si>
  <si>
    <t>HH20231210 T3684766541 No Limit Hold'em $1.84 + $0.16.txt</t>
  </si>
  <si>
    <t>11.12.2023</t>
  </si>
  <si>
    <t>HH20231211 T3684986356 No Limit Hold'em $1.84 + $0.16.txt</t>
  </si>
  <si>
    <t>HH20231211 T3684987720 No Limit Hold'em $1.84 + $0.16.txt</t>
  </si>
  <si>
    <t>HH20231211 T3684989489 No Limit Hold'em $1.84 + $0.16.txt</t>
  </si>
  <si>
    <t>HH20231211 T3685095315 No Limit Hold'em $1.84 + $0.16.txt</t>
  </si>
  <si>
    <t>HH20231211 T3685098256 No Limit Hold'em $1.84 + $0.16.txt</t>
  </si>
  <si>
    <t>HH20231211 T3685100077 No Limit Hold'em $1.84 + $0.16.txt</t>
  </si>
  <si>
    <t>HH20231211 T3685105251 No Limit Hold'em $1.84 + $0.16.txt</t>
  </si>
  <si>
    <t>HH20231211 T3685106763 No Limit Hold'em $1.84 + $0.16.txt</t>
  </si>
  <si>
    <t>HH20231211 T3685191352 No Limit Hold'em $1.84 + $0.16.txt</t>
  </si>
  <si>
    <t>HH20231211 T3685196113 No Limit Hold'em $1.84 + $0.16.txt</t>
  </si>
  <si>
    <t>12.12.2023</t>
  </si>
  <si>
    <t>HH20231212 T3685556020 No Limit Hold'em $1.84 + $0.16.txt</t>
  </si>
  <si>
    <t>HH20231212 T3685560238 No Limit Hold'em $1.84 + $0.16.txt</t>
  </si>
  <si>
    <t>HH20231212 T3685595759 No Limit Hold'em $1.84 + $0.16.txt</t>
  </si>
  <si>
    <t>HH20231212 T3685598564 No Limit Hold'em $1.84 + $0.16.txt</t>
  </si>
  <si>
    <t>HH20231212 T3685603470 No Limit Hold'em $1.84 + $0.16.txt</t>
  </si>
  <si>
    <t>HH20231212 T3685606799 No Limit Hold'em $1.84 + $0.16.txt</t>
  </si>
  <si>
    <t>HH20231212 T3685611905 No Limit Hold'em $1.84 + $0.16.txt</t>
  </si>
  <si>
    <t>13.12.2023</t>
  </si>
  <si>
    <t>HH20231213 T3685934222 No Limit Hold'em $1.84 + $0.16.txt</t>
  </si>
  <si>
    <t>HH20231213 T3685935521 No Limit Hold'em $1.84 + $0.16.txt</t>
  </si>
  <si>
    <t>14.12.2023</t>
  </si>
  <si>
    <t>HH20231214 T3686367507 No Limit Hold'em $1.84 + $0.16.txt</t>
  </si>
  <si>
    <t>HH20231214 T3686370038 No Limit Hold'em $1.84 + $0.16.txt</t>
  </si>
  <si>
    <t>HH20231214 T3686372508 No Limit Hold'em $1.84 + $0.16.txt</t>
  </si>
  <si>
    <t>HH20231214 T3686469709 No Limit Hold'em $1.84 + $0.16.txt</t>
  </si>
  <si>
    <t>HH20231214 T3686475941 No Limit Hold'em $1.84 + $0.16.txt</t>
  </si>
  <si>
    <t>HH20231214 T3686476766 No Limit Hold'em $1.84 + $0.16.txt</t>
  </si>
  <si>
    <t>HH20231215 T3686682836 No Limit Hold'em $1.84 + $0.16.txt</t>
  </si>
  <si>
    <t>15.12.2023</t>
  </si>
  <si>
    <t>HH20231215 T3686685092 No Limit Hold'em $1.84 + $0.16.txt</t>
  </si>
  <si>
    <t>HH20231215 T3686685841 No Limit Hold'em $1.84 + $0.16.txt</t>
  </si>
  <si>
    <t>HH20231215 T3686700338 No Limit Hold'em $1.84 + $0.16.txt</t>
  </si>
  <si>
    <t>HH20231215 T3686702930 No Limit Hold'em $1.84 + $0.16.txt</t>
  </si>
  <si>
    <t>HH20231215 T3686706715 No Limit Hold'em $1.84 + $0.16.txt</t>
  </si>
  <si>
    <t>HH20231215 T3686708663 No Limit Hold'em $1.84 + $0.16.txt</t>
  </si>
  <si>
    <t>HH20231215 T3686710526 No Limit Hold'em $1.84 + $0.16.txt</t>
  </si>
  <si>
    <t>HH20231215 T3686713779 No Limit Hold'em $1.84 + $0.16.txt</t>
  </si>
  <si>
    <t>HH20231215 T3686714889 No Limit Hold'em $1.84 + $0.16.txt</t>
  </si>
  <si>
    <t>HH20231215 T3686715840 No Limit Hold'em $1.84 + $0.16.txt</t>
  </si>
  <si>
    <t>HH20231215 T3686778792 No Limit Hold'em $1.84 + $0.16.txt</t>
  </si>
  <si>
    <t>HH20231215 T3686781351 No Limit Hold'em $1.84 + $0.16.txt</t>
  </si>
  <si>
    <t>HH20231215 T3686782878 No Limit Hold'em $1.84 + $0.16.txt</t>
  </si>
  <si>
    <t>HH20231215 T3686783858 No Limit Hold'em $1.84 + $0.16.txt</t>
  </si>
  <si>
    <t>HH20231215 T3686784860 No Limit Hold'em $1.84 + $0.16.txt</t>
  </si>
  <si>
    <t>HH20231215 T3686787618 No Limit Hold'em $1.84 + $0.16.txt</t>
  </si>
  <si>
    <t>HH20231215 T3686788351 No Limit Hold'em $1.84 + $0.16.txt</t>
  </si>
  <si>
    <t>HH20231215 T3686789998 No Limit Hold'em $1.84 + $0.16.txt</t>
  </si>
  <si>
    <t>HH20231215 T3686791719 No Limit Hold'em $1.84 + $0.16.txt</t>
  </si>
  <si>
    <t>16.12.2023</t>
  </si>
  <si>
    <t>HH20231216 T3687276117 No Limit Hold'em $1.84 + $0.16.txt</t>
  </si>
  <si>
    <t>HH20231216 T3687280400 No Limit Hold'em $1.84 + $0.16.txt</t>
  </si>
  <si>
    <t>HH20231216 T3687283945 No Limit Hold'em $1.84 + $0.16.txt</t>
  </si>
  <si>
    <t>HH20231216 T3687285881 No Limit Hold'em $1.84 + $0.16.txt</t>
  </si>
  <si>
    <t>HH20231216 T3687288098 No Limit Hold'em $1.84 + $0.16.txt</t>
  </si>
  <si>
    <t>HH20231216 T3687289163 No Limit Hold'em $1.84 + $0.16.txt</t>
  </si>
  <si>
    <t>HH20231216 T3687294166 No Limit Hold'em $1.84 + $0.16.txt</t>
  </si>
  <si>
    <t>HH20231216 T3687295374 No Limit Hold'em $1.84 + $0.16.txt</t>
  </si>
  <si>
    <t>HH20231216 T3687297922 No Limit Hold'em $1.84 + $0.16.txt</t>
  </si>
  <si>
    <t>HH20231216 T3687302141 No Limit Hold'em $1.84 + $0.16.txt</t>
  </si>
  <si>
    <t>HH20231216 T3687304203 No Limit Hold'em $1.84 + $0.16.txt</t>
  </si>
  <si>
    <t>HH20231216 T3687309803 No Limit Hold'em $1.84 + $0.16.txt</t>
  </si>
  <si>
    <t>HH20231216 T3687313799 No Limit Hold'em $1.84 + $0.16.txt</t>
  </si>
  <si>
    <t>HH20231217 T3687581431 No Limit Hold'em $1.84 + $0.16.txt</t>
  </si>
  <si>
    <t>17.12.2023</t>
  </si>
  <si>
    <t>HH20231217 T3687582886 No Limit Hold'em $1.84 + $0.16.txt</t>
  </si>
  <si>
    <t>18.12.2023</t>
  </si>
  <si>
    <t>HH20231218 T3688176957 No Limit Hold'em $1.84 + $0.16.txt</t>
  </si>
  <si>
    <t>HH20231218 T3688258853 No Limit Hold'em $1.84 + $0.16.txt</t>
  </si>
  <si>
    <t>HH20231218 T3688260190 No Limit Hold'em $1.84 + $0.16.txt</t>
  </si>
  <si>
    <t>HH20231218 T3688260941 No Limit Hold'em $1.84 + $0.16.txt</t>
  </si>
  <si>
    <t>HH20231218 T3688263387 No Limit Hold'em $1.84 + $0.16.txt</t>
  </si>
  <si>
    <t>HH20231218 T3688264838 No Limit Hold'em $1.84 + $0.16.txt</t>
  </si>
  <si>
    <t>HH20231218 T3688267068 No Limit Hold'em $1.84 + $0.16.txt</t>
  </si>
  <si>
    <t>19.12.2023</t>
  </si>
  <si>
    <t>HH20231219 T3688656389 No Limit Hold'em $1.84 + $0.16.txt</t>
  </si>
  <si>
    <t>HH20231219 T3688658800 No Limit Hold'em $1.84 + $0.16.txt</t>
  </si>
  <si>
    <t>HH20231219 T3688661953 No Limit Hold'em $1.84 + $0.16.txt</t>
  </si>
  <si>
    <t>HH20231219 T3688669750 No Limit Hold'em $1.84 + $0.16.txt</t>
  </si>
  <si>
    <t>HH20231219 T3688672147 No Limit Hold'em $1.84 + $0.16.txt</t>
  </si>
  <si>
    <t>HH20231219 T3688673400 No Limit Hold'em $1.84 + $0.16.txt</t>
  </si>
  <si>
    <t>HH20231219 T3688675256 No Limit Hold'em $1.84 + $0.16.txt</t>
  </si>
  <si>
    <t>HH20231219 T3688685387 No Limit Hold'em $1.84 + $0.16.txt</t>
  </si>
  <si>
    <t>HH20231219 T3688689370 No Limit Hold'em $1.84 + $0.16.txt</t>
  </si>
  <si>
    <t>HH20231219 T3688690984 No Limit Hold'em $1.84 + $0.16.txt</t>
  </si>
  <si>
    <t>HH20231219 T3688703783 No Limit Hold'em $1.84 + $0.16.txt</t>
  </si>
  <si>
    <t>20.12.2023</t>
  </si>
  <si>
    <t>HH20231220 T3688941238 No Limit Hold'em $1.84 + $0.16.txt</t>
  </si>
  <si>
    <t>HH20231220 T3688948120 No Limit Hold'em $1.84 + $0.16.txt</t>
  </si>
  <si>
    <t>HH20231220 T3688951675 No Limit Hold'em $1.84 + $0.16.txt</t>
  </si>
  <si>
    <t>HH20231220 T3688954914 No Limit Hold'em $1.84 + $0.16.txt</t>
  </si>
  <si>
    <t>HH20231220 T3689130715 No Limit Hold'em $1.84 + $0.16.txt</t>
  </si>
  <si>
    <t>HH20231220 T3689135793 No Limit Hold'em $1.84 + $0.16.txt</t>
  </si>
  <si>
    <t>HH20231220 T3689143187 No Limit Hold'em $1.84 + $0.16.txt</t>
  </si>
  <si>
    <t>21.12.2023</t>
  </si>
  <si>
    <t>HH20231221 T3689374288 No Limit Hold'em $1.84 + $0.16.txt</t>
  </si>
  <si>
    <t>HH20231221 T3689376649 No Limit Hold'em $1.84 + $0.16.txt</t>
  </si>
  <si>
    <t>HH20231221 T3689377496 No Limit Hold'em $1.84 + $0.16.txt</t>
  </si>
  <si>
    <t>HH20231221 T3689378664 No Limit Hold'em $1.84 + $0.16.txt</t>
  </si>
  <si>
    <t>HH20231221 T3689379739 No Limit Hold'em $1.84 + $0.16.txt</t>
  </si>
  <si>
    <t>HH20231221 T3689381172 No Limit Hold'em $1.84 + $0.16.txt</t>
  </si>
  <si>
    <t>HH20231221 T3689382910 No Limit Hold'em $1.84 + $0.16.txt</t>
  </si>
  <si>
    <t>HH20231221 T3689491301 No Limit Hold'em $1.84 + $0.16.txt</t>
  </si>
  <si>
    <t>HH20231221 T3689492963 No Limit Hold'em $1.84 + $0.16.txt</t>
  </si>
  <si>
    <t>HH20231221 T3689493801 No Limit Hold'em $1.84 + $0.16.txt</t>
  </si>
  <si>
    <t>HH20231221 T3689497947 No Limit Hold'em $1.84 + $0.16.txt</t>
  </si>
  <si>
    <t>HH20231221 T3689502206 No Limit Hold'em $1.84 + $0.16.txt</t>
  </si>
  <si>
    <t>HH20231221 T3689503205 No Limit Hold'em $1.84 + $0.16.txt</t>
  </si>
  <si>
    <t>HH20231221 T3689506160 No Limit Hold'em $1.84 + $0.16.txt</t>
  </si>
  <si>
    <t>HH20231221 T3689508033 No Limit Hold'em $1.84 + $0.16.txt</t>
  </si>
  <si>
    <t>HH20231221 T3689561860 No Limit Hold'em $1.84 + $0.16.txt</t>
  </si>
  <si>
    <t>HH20231221 T3689564902 No Limit Hold'em $1.84 + $0.16.txt</t>
  </si>
  <si>
    <t>HH20231221 T3689567003 No Limit Hold'em $1.84 + $0.16.txt</t>
  </si>
  <si>
    <t>22.12.2023</t>
  </si>
  <si>
    <t>HH20231222 T3689953649 No Limit Hold'em $1.84 + $0.16.txt</t>
  </si>
  <si>
    <t>HH20231222 T3690036374 No Limit Hold'em $1.84 + $0.16.txt</t>
  </si>
  <si>
    <t>23.12.2023</t>
  </si>
  <si>
    <t>HH20231223 T3690297777 No Limit Hold'em $1.84 + $0.16.txt</t>
  </si>
  <si>
    <t>HH20231223 T3690300363 No Limit Hold'em $1.84 + $0.16.txt</t>
  </si>
  <si>
    <t>HH20231223 T3690346604 No Limit Hold'em $1.84 + $0.16.txt</t>
  </si>
  <si>
    <t>HH20231223 T3690349392 No Limit Hold'em $1.84 + $0.16.txt</t>
  </si>
  <si>
    <t>24.12.2023</t>
  </si>
  <si>
    <t>HH20231224 T3690955337 No Limit Hold'em $1.84 + $0.16.txt</t>
  </si>
  <si>
    <t>HH20231224 T3690957686 No Limit Hold'em $1.84 + $0.16.txt</t>
  </si>
  <si>
    <t>HH20231224 T3690959165 No Limit Hold'em $1.84 + $0.16.txt</t>
  </si>
  <si>
    <t>HH20231224 T3690961000 No Limit Hold'em $1.84 + $0.16.txt</t>
  </si>
  <si>
    <t>HH20231226 T3691693671 No Limit Hold'em $1.84 + $0.16.txt</t>
  </si>
  <si>
    <t>HH20231226 T3691696479 No Limit Hold'em $1.84 + $0.16.txt</t>
  </si>
  <si>
    <t>HH20231226 T3691710363 No Limit Hold'em $1.84 + $0.16.txt</t>
  </si>
  <si>
    <t>HH20231226 T3691716058 No Limit Hold'em $1.84 + $0.16.txt</t>
  </si>
  <si>
    <t>26.12.2023</t>
  </si>
  <si>
    <t>HH20231226 T3691735091 No Limit Hold'em $1.84 + $0.16.txt</t>
  </si>
  <si>
    <t>HH20231226 T3691737100 No Limit Hold'em $1.84 + $0.16.txt</t>
  </si>
  <si>
    <t>27.12.2023</t>
  </si>
  <si>
    <t>HH20231227 T3692082612 No Limit Hold'em $1.84 + $0.16.txt</t>
  </si>
  <si>
    <t>HH20231227 T3692084417 No Limit Hold'em $1.84 + $0.16.txt</t>
  </si>
  <si>
    <t>HH20231227 T3692168982 No Limit Hold'em $1.84 + $0.16.txt</t>
  </si>
  <si>
    <t>HH20231227 T3692171503 No Limit Hold'em $1.84 + $0.16.txt</t>
  </si>
  <si>
    <t>HH20231227 T3692176383 No Limit Hold'em $1.84 + $0.16.txt</t>
  </si>
  <si>
    <t>HH20231227 T3692178798 No Limit Hold'em $1.84 + $0.16.txt</t>
  </si>
  <si>
    <t>28.12.2023</t>
  </si>
  <si>
    <t>HH20231228 T3692572584 No Limit Hold'em $1.84 + $0.16.txt</t>
  </si>
  <si>
    <t>HH20231228 T3692575300 No Limit Hold'em $1.84 + $0.16.txt</t>
  </si>
  <si>
    <t>HH20231228 T3692635925 No Limit Hold'em $1.84 + $0.16.txt</t>
  </si>
  <si>
    <t>HH20231228 T3692641748 No Limit Hold'em $1.84 + $0.16.txt</t>
  </si>
  <si>
    <t>HH20231228 T3692646461 No Limit Hold'em $1.84 + $0.16.txt</t>
  </si>
  <si>
    <t>HH20231228 T3692648165 No Limit Hold'em $1.84 + $0.16.txt</t>
  </si>
  <si>
    <t>HH20231228 T3692649990 No Limit Hold'em $1.84 + $0.16.txt</t>
  </si>
  <si>
    <t>HH20231228 T3692652630 No Limit Hold'em $1.84 + $0.16.txt</t>
  </si>
  <si>
    <t>29.12.2023</t>
  </si>
  <si>
    <t>HH20231229 T3693051679 No Limit Hold'em $1.84 + $0.16.txt</t>
  </si>
  <si>
    <t>HH20231229 T3693055524 No Limit Hold'em $1.84 + $0.16.txt</t>
  </si>
  <si>
    <t>HH20231229 T3693056988 No Limit Hold'em $1.84 + $0.16.txt</t>
  </si>
  <si>
    <t>HH20231229 T3693242111 No Limit Hold'em $1.84 + $0.16.txt</t>
  </si>
  <si>
    <t>HH20231229 T3693244635 No Limit Hold'em $1.84 + $0.16.txt</t>
  </si>
  <si>
    <t>HH20231229 T3693246338 No Limit Hold'em $1.84 + $0.16.txt</t>
  </si>
  <si>
    <t>HH20231229 T3693250553 No Limit Hold'em $1.84 + $0.16.txt</t>
  </si>
  <si>
    <t>30.12.2023</t>
  </si>
  <si>
    <t>HH20231230 T3693672743 No Limit Hold'em $1.84 + $0.16.txt</t>
  </si>
  <si>
    <t>HH20231230 T3693675966 No Limit Hold'em $1.84 + $0.16.txt</t>
  </si>
  <si>
    <t>HH20231230 T3693678819 No Limit Hold'em $1.84 + $0.16.txt</t>
  </si>
  <si>
    <t>HH20231230 T3693717989 No Limit Hold'em $1.84 + $0.16.txt</t>
  </si>
  <si>
    <t>HH20231230 T3693857434 No Limit Hold'em $1.84 + $0.16.txt</t>
  </si>
  <si>
    <t>HH20231230 T3693859977 No Limit Hold'em $1.84 + $0.16.txt</t>
  </si>
  <si>
    <t>31.12.2023</t>
  </si>
  <si>
    <t>HH20231231 T3694076784 No Limit Hold'em $1.84 + $0.16.txt</t>
  </si>
  <si>
    <t>HH20231231 T3694077619 No Limit Hold'em $1.84 + $0.16.txt</t>
  </si>
  <si>
    <t>HH20231231 T3694079090 No Limit Hold'em $1.84 + $0.16.txt</t>
  </si>
  <si>
    <t>HH20231231 T3694081567 No Limit Hold'em $1.84 + $0.16.txt</t>
  </si>
  <si>
    <t>HH20231231 T3694083759 No Limit Hold'em $1.84 + $0.16.txt</t>
  </si>
  <si>
    <t>HH20231231 T3694084760 No Limit Hold'em $1.84 + $0.16.txt</t>
  </si>
  <si>
    <t>HH20231231 T3694086691 No Limit Hold'em $1.84 + $0.16.txt</t>
  </si>
  <si>
    <t>HH20231231 T3694088035 No Limit Hold'em $1.84 + $0.16.txt</t>
  </si>
  <si>
    <t>HH20231231 T3694088717 No Limit Hold'em $1.84 + $0.16.txt</t>
  </si>
  <si>
    <t>HH20231231 T3694125362 No Limit Hold'em $1.84 + $0.16.txt</t>
  </si>
  <si>
    <t>HH20231231 T3694127282 No Limit Hold'em $1.84 + $0.16.txt</t>
  </si>
  <si>
    <t>HH20231231 T3694130588 No Limit Hold'em $1.84 + $0.16.txt</t>
  </si>
  <si>
    <t>HH20231231 T3694159112 No Limit Hold'em $1.84 + $0.16.txt</t>
  </si>
  <si>
    <t>HH20231231 T3694171537 No Limit Hold'em $1.84 + $0.16.txt</t>
  </si>
  <si>
    <t>01.01.2024</t>
  </si>
  <si>
    <t>HH20240101 T3694557902 No Limit Hold'em $1.84 + $0.16.txt</t>
  </si>
  <si>
    <t>HH20240101 T3694559214 No Limit Hold'em $1.84 + $0.16.txt</t>
  </si>
  <si>
    <t>HH20240101 T3694563197 No Limit Hold'em $1.84 + $0.16.txt</t>
  </si>
  <si>
    <t>HH20240101 T3694566319 No Limit Hold'em $1.84 + $0.16.txt</t>
  </si>
  <si>
    <t>HH20240101 T3694644324 No Limit Hold'em $1.84 + $0.16.txt</t>
  </si>
  <si>
    <t>HH20240101 T3694647584 No Limit Hold'em $1.84 + $0.16.txt</t>
  </si>
  <si>
    <t>HH20240101 T3694649588 No Limit Hold'em $1.84 + $0.16.txt</t>
  </si>
  <si>
    <t>HH20240101 T3694650374 No Limit Hold'em $1.84 + $0.16.txt</t>
  </si>
  <si>
    <t>HH20240101 T3694653417 No Limit Hold'em $1.84 + $0.16.txt</t>
  </si>
  <si>
    <t>HH20240101 T3694658123 No Limit Hold'em $1.84 + $0.16.txt</t>
  </si>
  <si>
    <t>HH20240101 T3694659034 No Limit Hold'em $1.84 + $0.16.txt</t>
  </si>
  <si>
    <t>HH20240101 T3694661474 No Limit Hold'em $1.84 + $0.16.txt</t>
  </si>
  <si>
    <t>HH20240101 T3694668989 No Limit Hold'em $1.84 + $0.16.txt</t>
  </si>
  <si>
    <t>02.01.2024</t>
  </si>
  <si>
    <t>HH20240102 T3693155126 No Limit Hold'em $6.69 + $0.81.txt</t>
  </si>
  <si>
    <t>03.01.2024</t>
  </si>
  <si>
    <t>HH20240103 T3695535348 No Limit Hold'em $1.84 + $0.16.txt</t>
  </si>
  <si>
    <t>HH20240103 T3695536250 No Limit Hold'em $1.84 + $0.16.txt</t>
  </si>
  <si>
    <t>HH20240103 T3695538054 No Limit Hold'em $1.84 + $0.16.txt</t>
  </si>
  <si>
    <t>HH20240103 T3695541547 No Limit Hold'em $1.84 + $0.16.txt</t>
  </si>
  <si>
    <t>HH20240103 T3695542928 No Limit Hold'em $1.84 + $0.16.txt</t>
  </si>
  <si>
    <t>HH20240103 T3695548033 No Limit Hold'em $1.84 + $0.16.txt</t>
  </si>
  <si>
    <t>04.01.2024</t>
  </si>
  <si>
    <t>HH20240104 T3696048127 No Limit Hold'em $1.84 + $0.16.txt</t>
  </si>
  <si>
    <t>05.01.2024</t>
  </si>
  <si>
    <t>HH20240105 T3696353725 No Limit Hold'em $1.84 + $0.16.txt</t>
  </si>
  <si>
    <t>HH20240105 T3696355208 No Limit Hold'em $1.84 + $0.16.txt</t>
  </si>
  <si>
    <t>HH20240105 T3696355909 No Limit Hold'em $1.84 + $0.16.txt</t>
  </si>
  <si>
    <t>HH20240105 T3696358319 No Limit Hold'em $1.84 + $0.16.txt</t>
  </si>
  <si>
    <t>HH20240105 T3696395835 No Limit Hold'em $1.84 + $0.16.txt</t>
  </si>
  <si>
    <t>HH20240105 T3696397416 No Limit Hold'em $1.84 + $0.16.txt</t>
  </si>
  <si>
    <t>HH20240105 T3696398510 No Limit Hold'em $1.84 + $0.16.txt</t>
  </si>
  <si>
    <t>HH20240105 T3696400115 No Limit Hold'em $1.84 + $0.16.txt</t>
  </si>
  <si>
    <t>HH20240105 T3696401269 No Limit Hold'em $1.84 + $0.16.txt</t>
  </si>
  <si>
    <t>HH20240105 T3696402235 No Limit Hold'em $1.84 + $0.16.txt</t>
  </si>
  <si>
    <t>HH20240105 T3696403054 No Limit Hold'em $1.84 + $0.16.txt</t>
  </si>
  <si>
    <t>HH20240105 T3696405883 No Limit Hold'em $1.84 + $0.16.txt</t>
  </si>
  <si>
    <t>HH20240105 T3696406835 No Limit Hold'em $1.84 + $0.16.txt</t>
  </si>
  <si>
    <t>HH20240105 T3696410054 No Limit Hold'em $1.84 + $0.16.txt</t>
  </si>
  <si>
    <t>HH20240105 T3696413124 No Limit Hold'em $4.60 + $0.40.txt</t>
  </si>
  <si>
    <t>HH20240105 T3696414038 No Limit Hold'em $4.60 + $0.40.txt</t>
  </si>
  <si>
    <t>HH20240105 T3696416457 No Limit Hold'em $4.60 + $0.40.txt</t>
  </si>
  <si>
    <t>HH20240105 T3696417512 No Limit Hold'em $4.60 + $0.40.txt</t>
  </si>
  <si>
    <t>HH20240105 T3696421669 No Limit Hold'em $4.60 + $0.40.txt</t>
  </si>
  <si>
    <t>HH20240105 T3696424110 No Limit Hold'em $4.60 + $0.40.txt</t>
  </si>
  <si>
    <t>HH20240105 T3696570340 No Limit Hold'em $1.84 + $0.16.txt</t>
  </si>
  <si>
    <t>HH20240105 T3696574043 No Limit Hold'em $1.84 + $0.16.txt</t>
  </si>
  <si>
    <t>HH20240105 T3696578877 No Limit Hold'em $1.84 + $0.16.txt</t>
  </si>
  <si>
    <t>HH20240105 T3696590030 No Limit Hold'em $1.84 + $0.16.txt</t>
  </si>
  <si>
    <t>HH20240105 T3696595243 No Limit Hold'em $1.84 + $0.16.txt</t>
  </si>
  <si>
    <t>HH20240105 T3696596676 No Limit Hold'em $1.84 + $0.16.txt</t>
  </si>
  <si>
    <t>HH20240105 T3696598969 No Limit Hold'em $1.84 + $0.16.txt</t>
  </si>
  <si>
    <t>HH20240105 T3696604411 No Limit Hold'em $1.84 + $0.16.txt</t>
  </si>
  <si>
    <t>HH20240105 T3696609533 No Limit Hold'em $1.84 + $0.16.txt</t>
  </si>
  <si>
    <t>HH20240105 T3696612285 No Limit Hold'em $1.84 + $0.16.txt</t>
  </si>
  <si>
    <t>HH20240105 T3696621571 No Limit Hold'em $1.84 + $0.16.txt</t>
  </si>
  <si>
    <t>HH20240105 T3696626308 No Limit Hold'em $1.84 + $0.16.txt</t>
  </si>
  <si>
    <t>HH20240105 T3696627723 No Limit Hold'em $1.84 + $0.16.txt</t>
  </si>
  <si>
    <t>HH20240105 T3696630110 No Limit Hold'em $1.84 + $0.16.txt</t>
  </si>
  <si>
    <t>HH20240105 T3696631999 No Limit Hold'em $1.84 + $0.16.txt</t>
  </si>
  <si>
    <t>HH20240105 T3696635962 No Limit Hold'em $1.84 + $0.16.txt</t>
  </si>
  <si>
    <t>HH20240105 T3696638019 No Limit Hold'em $1.84 + $0.16.txt</t>
  </si>
  <si>
    <t>06.01.2024</t>
  </si>
  <si>
    <t>HH20240106 T3694939405 No Limit Hold'em $4.90 + $0.60.txt</t>
  </si>
  <si>
    <t>HH20240106 T3697072669 No Limit Hold'em $1.84 + $0.16.txt</t>
  </si>
  <si>
    <t>HH20240106 T3697087430 No Limit Hold'em $1.84 + $0.16.txt</t>
  </si>
  <si>
    <t>HH20240106 T3697088314 No Limit Hold'em $1.84 + $0.16.txt</t>
  </si>
  <si>
    <t>HH20240106 T3697094046 No Limit Hold'em $1.84 + $0.16.txt</t>
  </si>
  <si>
    <t>HH20240106 T3697095626 No Limit Hold'em $1.84 + $0.16.txt</t>
  </si>
  <si>
    <t>07.01.2024</t>
  </si>
  <si>
    <t>HH20240107 T3697414806 No Limit Hold'em $1.84 + $0.16.txt</t>
  </si>
  <si>
    <t>HH20240107 T3697611899 No Limit Hold'em $1.84 + $0.16.txt</t>
  </si>
  <si>
    <t>HH20240107 T3697615975 No Limit Hold'em $1.84 + $0.16.txt</t>
  </si>
  <si>
    <t>HH20240107 T3697618486 No Limit Hold'em $1.84 + $0.16.txt</t>
  </si>
  <si>
    <t>HH20240107 T3697619831 No Limit Hold'em $1.84 + $0.16.txt</t>
  </si>
  <si>
    <t>HH20240107 T3697622596 No Limit Hold'em $1.84 + $0.16.txt</t>
  </si>
  <si>
    <t>08.01.2024</t>
  </si>
  <si>
    <t>HH20240108 T3698012888 No Limit Hold'em $1.84 + $0.16.txt</t>
  </si>
  <si>
    <t>HH20240108 T3698014479 No Limit Hold'em $1.84 + $0.16.txt</t>
  </si>
  <si>
    <t>HH20240108 T3698018153 No Limit Hold'em $1.84 + $0.16.txt</t>
  </si>
  <si>
    <t>09.01.2024</t>
  </si>
  <si>
    <t>HH20240109 T3698358137 No Limit Hold'em $1.84 + $0.16.txt</t>
  </si>
  <si>
    <t>HH20240109 T3698360091 No Limit Hold'em $1.84 + $0.16.txt</t>
  </si>
  <si>
    <t>HH20240109 T3698363000 No Limit Hold'em $1.84 + $0.16.txt</t>
  </si>
  <si>
    <t>HH20240109 T3698405426 No Limit Hold'em $1.84 + $0.16.txt</t>
  </si>
  <si>
    <t>HH20240109 T3698409402 No Limit Hold'em $1.84 + $0.16.txt</t>
  </si>
  <si>
    <t>HH20240109 T3698456124 No Limit Hold'em $1.84 + $0.16.txt</t>
  </si>
  <si>
    <t>HH20240109 T3698526330 No Limit Hold'em $1.84 + $0.16.txt</t>
  </si>
  <si>
    <t>HH20240109 T3698529178 No Limit Hold'em $1.84 + $0.16.txt</t>
  </si>
  <si>
    <t>HH20240109 T3698530605 No Limit Hold'em $1.84 + $0.16.txt</t>
  </si>
  <si>
    <t>10.01.2024</t>
  </si>
  <si>
    <t>HH20240110 T3699035468 No Limit Hold'em $1.84 + $0.16.txt</t>
  </si>
  <si>
    <t>HH20240110 T3699039644 No Limit Hold'em $1.84 + $0.16.txt</t>
  </si>
  <si>
    <t>HH20240110 T3699042604 No Limit Hold'em $1.84 + $0.16.txt</t>
  </si>
  <si>
    <t>11.01.2024</t>
  </si>
  <si>
    <t>HH20240111 T3699439259 No Limit Hold'em $1.84 + $0.16.txt</t>
  </si>
  <si>
    <t>HH20240111 T3699442387 No Limit Hold'em $1.84 + $0.16.txt</t>
  </si>
  <si>
    <t>HH20240111 T3699447178 No Limit Hold'em $1.84 + $0.16.txt</t>
  </si>
  <si>
    <t>HH20240111 T3699451894 No Limit Hold'em $1.84 + $0.16.txt</t>
  </si>
  <si>
    <t>HH20240111 T3699455253 No Limit Hold'em $1.84 + $0.16.txt</t>
  </si>
  <si>
    <t>HH20240111 T3699460462 No Limit Hold'em $1.84 + $0.16.txt</t>
  </si>
  <si>
    <t>HH20240111 T3699465517 No Limit Hold'em $1.84 + $0.16.txt</t>
  </si>
  <si>
    <t>HH20240111 T3699468629 No Limit Hold'em $1.84 + $0.16.txt</t>
  </si>
  <si>
    <t>HH20240111 T3699471833 No Limit Hold'em $1.84 + $0.16.txt</t>
  </si>
  <si>
    <t>HH20240111 T3699472585 No Limit Hold'em $1.84 + $0.16.txt</t>
  </si>
  <si>
    <t>HH20240111 T3699475130 No Limit Hold'em $1.84 + $0.16.txt</t>
  </si>
  <si>
    <t>HH20240111 T3699521843 No Limit Hold'em $1.84 + $0.16.txt</t>
  </si>
  <si>
    <t>HH20240111 T3699524255 No Limit Hold'em $1.84 + $0.16.txt</t>
  </si>
  <si>
    <t>HH20240111 T3699527145 No Limit Hold'em $1.84 + $0.16.txt</t>
  </si>
  <si>
    <t>HH20240111 T3699580069 No Limit Hold'em $1.84 + $0.16.txt</t>
  </si>
  <si>
    <t>HH20240111 T3699586849 No Limit Hold'em $1.84 + $0.16.txt</t>
  </si>
  <si>
    <t>12.01.2024</t>
  </si>
  <si>
    <t>HH20240112 T3699803195 No Limit Hold'em $1.84 + $0.16.txt</t>
  </si>
  <si>
    <t>HH20240112 T3699804624 No Limit Hold'em $1.84 + $0.16.txt</t>
  </si>
  <si>
    <t>HH20240112 T3699806907 No Limit Hold'em $1.84 + $0.16.txt</t>
  </si>
  <si>
    <t>HH20240112 T3699808632 No Limit Hold'em $1.84 + $0.16.txt</t>
  </si>
  <si>
    <t>HH20240112 T3699810784 No Limit Hold'em $1.84 + $0.16.txt</t>
  </si>
  <si>
    <t>13.01.2024</t>
  </si>
  <si>
    <t>HH20240113 T3700393651 No Limit Hold'em $1.84 + $0.16.txt</t>
  </si>
  <si>
    <t>HH20240113 T3700397175 No Limit Hold'em $1.84 + $0.16.txt</t>
  </si>
  <si>
    <t>HH20240113 T3700427469 No Limit Hold'em $1.84 + $0.16.txt</t>
  </si>
  <si>
    <t>HH20240113 T3700430360 No Limit Hold'em $1.84 + $0.16.txt</t>
  </si>
  <si>
    <t>HH20240113 T3700436310 No Limit Hold'em $1.84 + $0.16.txt</t>
  </si>
  <si>
    <t>HH20240113 T3700439479 No Limit Hold'em $1.84 + $0.16.txt</t>
  </si>
  <si>
    <t>HH20240113 T3700637710 No Limit Hold'em $1.84 + $0.16.txt</t>
  </si>
  <si>
    <t>HH20240113 T3700643926 No Limit Hold'em $1.84 + $0.16.txt</t>
  </si>
  <si>
    <t>14.01.2024</t>
  </si>
  <si>
    <t>HH20240114 T3700858544 No Limit Hold'em $1.84 + $0.16.txt</t>
  </si>
  <si>
    <t>HH20240114 T3700863630 No Limit Hold'em $1.84 + $0.16.txt</t>
  </si>
  <si>
    <t>HH20240114 T3700864874 No Limit Hold'em $1.84 + $0.16.txt</t>
  </si>
  <si>
    <t>HH20240114 T3700867984 No Limit Hold'em $1.84 + $0.16.txt</t>
  </si>
  <si>
    <t>HH20240114 T3700945698 No Limit Hold'em $1.84 + $0.16.txt</t>
  </si>
  <si>
    <t>HH20240114 T3700988584 No Limit Hold'em $1.84 + $0.16.txt</t>
  </si>
  <si>
    <t>HH20240114 T3700991421 No Limit Hold'em $1.84 + $0.16.txt</t>
  </si>
  <si>
    <t>HH20240114 T3700992702 No Limit Hold'em $1.84 + $0.16.txt</t>
  </si>
  <si>
    <t>HH20240114 T3700997192 No Limit Hold'em $1.84 + $0.16.txt</t>
  </si>
  <si>
    <t>HH20240114 T3701022206 No Limit Hold'em $1.84 + $0.16.txt</t>
  </si>
  <si>
    <t>HH20240114 T3701025733 No Limit Hold'em $1.84 + $0.16.txt</t>
  </si>
  <si>
    <t>HH20240114 T3701028314 No Limit Hold'em $1.84 + $0.16.txt</t>
  </si>
  <si>
    <t>HH20240114 T3701031213 No Limit Hold'em $1.84 + $0.16.txt</t>
  </si>
  <si>
    <t>HH20240114 T3701034511 No Limit Hold'em $1.84 + $0.16.txt</t>
  </si>
  <si>
    <t>HH20240114 T3701037035 No Limit Hold'em $1.84 + $0.16.txt</t>
  </si>
  <si>
    <t>HH20240114 T3701041251 No Limit Hold'em $1.84 + $0.16.txt</t>
  </si>
  <si>
    <t>HH20240114 T3701044072 No Limit Hold'em $1.84 + $0.16.txt</t>
  </si>
  <si>
    <t>HH20240114 T3696520001 No Limit Hold'em $9.80 + $1.20.txt</t>
  </si>
  <si>
    <t>HH20240114 T3701111672 No Limit Hold'em $1.84 + $0.16.txt</t>
  </si>
  <si>
    <t>HH20240114 T3701115681 No Limit Hold'em $1.84 + $0.16.txt</t>
  </si>
  <si>
    <t>HH20240115 T3701613867 No Limit Hold'em $1.84 + $0.16.txt</t>
  </si>
  <si>
    <t>15.01.2024</t>
  </si>
  <si>
    <t>HH20240116 T3702083586 No Limit Hold'em $1.84 + $0.16.txt</t>
  </si>
  <si>
    <t>HH20240116 T3702085991 No Limit Hold'em $1.84 + $0.16.txt</t>
  </si>
  <si>
    <t>16.01.2024</t>
  </si>
  <si>
    <t>17.01.2024</t>
  </si>
  <si>
    <t>HH20240117 T3702383775 No Limit Hold'em $1.84 + $0.16.txt</t>
  </si>
  <si>
    <t>HH20240117 T3702442904 No Limit Hold'em $1.84 + $0.16.txt</t>
  </si>
  <si>
    <t>HH20240117 T3702450134 No Limit Hold'em $1.84 + $0.16.txt</t>
  </si>
  <si>
    <t>HH20240118 T3702947583 No Limit Hold'em $1.84 + $0.16.txt</t>
  </si>
  <si>
    <t>18.01.2024</t>
  </si>
  <si>
    <t>HH20240118 T3702967110 No Limit Hold'em $1.84 + $0.16.txt</t>
  </si>
  <si>
    <t>HH20240120 T3703725120 No Limit Hold'em $1.84 + $0.16.txt</t>
  </si>
  <si>
    <t>20.01.2024</t>
  </si>
  <si>
    <t>HH20240120 T3703726191 No Limit Hold'em $1.84 + $0.16.txt</t>
  </si>
  <si>
    <t>HH20240120 T3703727544 No Limit Hold'em $1.84 + $0.16.txt</t>
  </si>
  <si>
    <t>HH20240120 T3703730552 No Limit Hold'em $1.84 + $0.16.txt</t>
  </si>
  <si>
    <t>HH20240120 T3703732068 No Limit Hold'em $1.84 + $0.16.txt</t>
  </si>
  <si>
    <t>HH20240120 T3703742082 No Limit Hold'em $1.84 + $0.16.txt</t>
  </si>
  <si>
    <t>HH20240120 T3703754956 No Limit Hold'em $1.84 + $0.16.txt</t>
  </si>
  <si>
    <t>HH20240120 T3703756964 No Limit Hold'em $1.84 + $0.16.txt</t>
  </si>
  <si>
    <t>HH20240120 T3703798606 No Limit Hold'em $1.84 + $0.16.txt</t>
  </si>
  <si>
    <t>HH20240120 T3702309750 No Limit Hold'em $6.69 + $0.81.txt</t>
  </si>
  <si>
    <t>HH20240120 T3703813110 No Limit Hold'em $1.84 + $0.16.txt</t>
  </si>
  <si>
    <t>HH20240120 T3703814931 No Limit Hold'em $1.84 + $0.16.txt</t>
  </si>
  <si>
    <t>HH20240120 T3703818209 No Limit Hold'em $1.84 + $0.16.txt</t>
  </si>
  <si>
    <t>HH20240120 T3703899289 No Limit Hold'em $1.84 + $0.16.txt</t>
  </si>
  <si>
    <t>HH20240120 T3703953298 No Limit Hold'em $1.84 + $0.16.txt</t>
  </si>
  <si>
    <t>HH20240120 T3703958592 No Limit Hold'em $1.84 + $0.16.txt</t>
  </si>
  <si>
    <t>HH20240120 T3703962594 No Limit Hold'em $1.84 + $0.16.txt</t>
  </si>
  <si>
    <t>HH20240120 T3703981312 No Limit Hold'em $1.84 + $0.16.txt</t>
  </si>
  <si>
    <t>HH20240120 T3703986132 No Limit Hold'em $1.84 + $0.16.txt</t>
  </si>
  <si>
    <t>HH20240120 T3703990259 No Limit Hold'em $1.84 + $0.16.txt</t>
  </si>
  <si>
    <t>21.01.2024</t>
  </si>
  <si>
    <t>HH20240121 T3704200967 No Limit Hold'em $1.84 + $0.16.txt</t>
  </si>
  <si>
    <t>HH20240121 T3704203189 No Limit Hold'em $1.84 + $0.16.txt</t>
  </si>
  <si>
    <t>HH20240121 T3704203471 No Limit Hold'em $1.84 + $0.16.txt</t>
  </si>
  <si>
    <t>HH20240121 T3704204403 No Limit Hold'em $1.84 + $0.16.txt</t>
  </si>
  <si>
    <t>HH20240121 T3704206048 No Limit Hold'em $1.84 + $0.16.txt</t>
  </si>
  <si>
    <t>HH20240121 T3704208533 No Limit Hold'em $1.84 + $0.16.txt</t>
  </si>
  <si>
    <t>HH20240121 T3704210170 No Limit Hold'em $1.84 + $0.16.txt</t>
  </si>
  <si>
    <t>HH20240121 T3704210750 No Limit Hold'em $1.84 + $0.16.txt</t>
  </si>
  <si>
    <t>HH20240121 T3704211939 No Limit Hold'em $1.84 + $0.16.txt</t>
  </si>
  <si>
    <t>HH20240121 T3704213232 No Limit Hold'em $1.84 + $0.16.txt</t>
  </si>
  <si>
    <t>HH20240121 T3704215076 No Limit Hold'em $1.84 + $0.16.txt</t>
  </si>
  <si>
    <t>HH20240121 T3704217056 No Limit Hold'em $1.84 + $0.16.txt</t>
  </si>
  <si>
    <t>HH20240121 T3704336078 No Limit Hold'em $1.84 + $0.16.txt</t>
  </si>
  <si>
    <t>HH20240121 T3704339505 No Limit Hold'em $1.84 + $0.16.txt</t>
  </si>
  <si>
    <t>HH20240121 T3704343066 No Limit Hold'em $1.84 + $0.16.txt</t>
  </si>
  <si>
    <t>HH20240121 T3704344458 No Limit Hold'em $1.84 + $0.16.txt</t>
  </si>
  <si>
    <t>HH20240121 T3704349131 No Limit Hold'em $1.84 + $0.16.txt</t>
  </si>
  <si>
    <t>HH20240121 T3704351627 No Limit Hold'em $1.84 + $0.16.txt</t>
  </si>
  <si>
    <t>HH20240121 T3704356751 No Limit Hold'em $1.84 + $0.16.txt</t>
  </si>
  <si>
    <t>HH20240121 T3704359446 No Limit Hold'em $1.84 + $0.16.txt</t>
  </si>
  <si>
    <t>HH20240121 T3704359820 No Limit Hold'em $1.84 + $0.16.txt</t>
  </si>
  <si>
    <t>HH20240121 T3704364952 No Limit Hold'em $1.84 + $0.16.txt</t>
  </si>
  <si>
    <t>HH20240121 T3704366307 No Limit Hold'em $1.84 + $0.16.txt</t>
  </si>
  <si>
    <t>HH20240121 T3704367532 No Limit Hold'em $1.84 + $0.16.txt</t>
  </si>
  <si>
    <t>HH20240121 T3704481694 No Limit Hold'em $1.84 + $0.16.txt</t>
  </si>
  <si>
    <t>22.01.2024</t>
  </si>
  <si>
    <t>HH20240122 T3704829123 No Limit Hold'em $1.84 + $0.16.txt</t>
  </si>
  <si>
    <t>HH20240122 T3704833655 No Limit Hold'em $1.84 + $0.16.txt</t>
  </si>
  <si>
    <t>HH20240122 T3704892647 No Limit Hold'em $1.84 + $0.16.txt</t>
  </si>
  <si>
    <t>HH20240122 T3704924850 No Limit Hold'em $1.84 + $0.16.txt</t>
  </si>
  <si>
    <t>HH20240122 T3704927518 No Limit Hold'em $1.84 + $0.16.txt</t>
  </si>
  <si>
    <t>23.01.2024</t>
  </si>
  <si>
    <t>HH20240123 T3705270620 No Limit Hold'em $1.84 + $0.16.txt</t>
  </si>
  <si>
    <t>HH20240123 T3705271591 No Limit Hold'em $1.84 + $0.16.txt</t>
  </si>
  <si>
    <t>HH20240123 T3705273269 No Limit Hold'em $1.84 + $0.16.txt</t>
  </si>
  <si>
    <t>HH20240123 T3705826340 No Limit Hold'em $1.84 + $0.16.txt</t>
  </si>
  <si>
    <t>24.01.2024</t>
  </si>
  <si>
    <t>HH20240124 T3706146757 No Limit Hold'em $1.84 + $0.16.txt</t>
  </si>
  <si>
    <t>HH20240124 T3706147773 No Limit Hold'em $1.84 + $0.16.txt</t>
  </si>
  <si>
    <t>HH20240124 T3706150335 No Limit Hold'em $1.84 + $0.16.txt</t>
  </si>
  <si>
    <t>HH20240124 T3706151293 No Limit Hold'em $1.84 + $0.16.txt</t>
  </si>
  <si>
    <t>HH20240124 T3706152235 No Limit Hold'em $1.84 + $0.16.txt</t>
  </si>
  <si>
    <t>HH20240124 T3706153115 No Limit Hold'em $1.84 + $0.16.txt</t>
  </si>
  <si>
    <t>HH20240124 T3706252159 No Limit Hold'em $1.84 + $0.16.txt</t>
  </si>
  <si>
    <t>HH20240124 T3706254912 No Limit Hold'em $1.84 + $0.16.txt</t>
  </si>
  <si>
    <t>HH20240124 T3706258508 No Limit Hold'em $1.84 + $0.16.txt</t>
  </si>
  <si>
    <t>HH20240124 T3706260905 No Limit Hold'em $1.84 + $0.16.txt</t>
  </si>
  <si>
    <t>HH20240124 T3706265416 No Limit Hold'em $1.84 + $0.16.txt</t>
  </si>
  <si>
    <t>HH20240124 T3706269537 No Limit Hold'em $1.84 + $0.16.txt</t>
  </si>
  <si>
    <t>HH20240124 T3706272598 No Limit Hold'em $4.60 + $0.40.txt</t>
  </si>
  <si>
    <t>HH20240124 T3706273932 No Limit Hold'em $4.60 + $0.40.txt</t>
  </si>
  <si>
    <t>HH20240124 T3706278405 No Limit Hold'em $4.60 + $0.40.txt</t>
  </si>
  <si>
    <t>HH20240124 T3706278949 No Limit Hold'em $9.30 + $0.70.txt</t>
  </si>
  <si>
    <t>26.01.2024</t>
  </si>
  <si>
    <t>HH20240126 T3706999269 No Limit Hold'em $1.84 + $0.16.txt</t>
  </si>
  <si>
    <t>HH20240126 T3707002105 No Limit Hold'em $1.84 + $0.16.txt</t>
  </si>
  <si>
    <t>HH20240126 T3707004741 No Limit Hold'em $1.84 + $0.16.txt</t>
  </si>
  <si>
    <t>HH20240126 T3707072995 No Limit Hold'em $1.84 + $0.16.txt</t>
  </si>
  <si>
    <t>HH20240126 T3707074636 No Limit Hold'em $1.84 + $0.16.txt</t>
  </si>
  <si>
    <t>27.01.2024</t>
  </si>
  <si>
    <t>HH20240127 T3707466279 No Limit Hold'em $1.84 + $0.16.txt</t>
  </si>
  <si>
    <t>HH20240127 T3707471265 No Limit Hold'em $1.84 + $0.16.txt</t>
  </si>
  <si>
    <t>HH20240127 T3707475756 No Limit Hold'em $1.84 + $0.16.txt</t>
  </si>
  <si>
    <t>28.01.2024</t>
  </si>
  <si>
    <t>HH20240128 T3707864547 No Limit Hold'em $1.84 + $0.16.txt</t>
  </si>
  <si>
    <t>HH20240128 T3707867583 No Limit Hold'em $1.84 + $0.16.txt</t>
  </si>
  <si>
    <t>HH20240128 T3707870074 No Limit Hold'em $1.84 + $0.16.txt</t>
  </si>
  <si>
    <t>HH20240128 T3707900200 No Limit Hold'em $1.84 + $0.16.txt</t>
  </si>
  <si>
    <t>HH20240128 T3707903436 No Limit Hold'em $1.84 + $0.16.txt</t>
  </si>
  <si>
    <t>HH20240128 T3707906196 No Limit Hold'em $1.84 + $0.16.txt</t>
  </si>
  <si>
    <t>HH20240128 T3707928882 No Limit Hold'em $1.84 + $0.16.txt</t>
  </si>
  <si>
    <t>HH20240128 T3708003453 No Limit Hold'em $1.84 + $0.16.txt</t>
  </si>
  <si>
    <t>HH20240128 T3708092806 No Limit Hold'em $1.84 + $0.16.txt</t>
  </si>
  <si>
    <t>HH20240128 T3708156231 No Limit Hold'em $1.84 + $0.16.txt</t>
  </si>
  <si>
    <t>29.01.2024</t>
  </si>
  <si>
    <t>HH20240129 T3708287385 No Limit Hold'em $1.84 + $0.16.txt</t>
  </si>
  <si>
    <t>HH20240129 T3708288058 No Limit Hold'em $1.84 + $0.16.txt</t>
  </si>
  <si>
    <t>HH20240129 T3708319691 No Limit Hold'em $1.84 + $0.16.txt</t>
  </si>
  <si>
    <t>HH20240129 T3708345942 No Limit Hold'em $1.84 + $0.16.txt</t>
  </si>
  <si>
    <t>HH20240129 T3708346189 No Limit Hold'em $1.84 + $0.16.txt</t>
  </si>
  <si>
    <t>HH20240129 T3708395637 No Limit Hold'em $1.84 + $0.16.txt</t>
  </si>
  <si>
    <t>HH20240129 T3708397106 No Limit Hold'em $1.84 + $0.16.txt</t>
  </si>
  <si>
    <t>HH20240129 T3708398269 No Limit Hold'em $1.84 + $0.16.txt</t>
  </si>
  <si>
    <t>HH20240129 T3708399153 No Limit Hold'em $1.84 + $0.16.txt</t>
  </si>
  <si>
    <t>HH20240129 T3708402444 No Limit Hold'em $1.84 + $0.16.txt</t>
  </si>
  <si>
    <t>HH20240129 T3708405334 No Limit Hold'em $1.84 + $0.16.txt</t>
  </si>
  <si>
    <t>HH20240129 T3708441777 No Limit Hold'em $1.84 + $0.16.txt</t>
  </si>
  <si>
    <t>HH20240129 T3708444805 No Limit Hold'em $1.84 + $0.16.txt</t>
  </si>
  <si>
    <t>HH20240129 T3708545602 No Limit Hold'em $1.84 + $0.16.txt</t>
  </si>
  <si>
    <t>30.01.2024</t>
  </si>
  <si>
    <t>HH20240130 T3708848204 No Limit Hold'em $1.84 + $0.16.txt</t>
  </si>
  <si>
    <t>HH20240130 T3708849959 No Limit Hold'em $1.84 + $0.16.txt</t>
  </si>
  <si>
    <t>HH20240130 T3708921650 No Limit Hold'em $1.84 + $0.16.txt</t>
  </si>
  <si>
    <t>HH20240130 T3708988271 No Limit Hold'em $1.84 + $0.16.txt</t>
  </si>
  <si>
    <t>HH20240131 T3709284081 No Limit Hold'em $1.84 + $0.16.txt</t>
  </si>
  <si>
    <t>31.01.2024</t>
  </si>
  <si>
    <t>HH20240131 T3709292788 No Limit Hold'em $1.84 + $0.16.txt</t>
  </si>
  <si>
    <t>HH20240131 T3709379410 No Limit Hold'em $1.84 + $0.16.txt</t>
  </si>
  <si>
    <t>HH20240131 T3709383160 No Limit Hold'em $1.84 + $0.16.txt</t>
  </si>
  <si>
    <t>01.02.2024</t>
  </si>
  <si>
    <t>HH20240201 T3709789751 No Limit Hold'em $1.84 + $0.16.txt</t>
  </si>
  <si>
    <t>HH20240201 T3709795137 No Limit Hold'em $1.84 + $0.16.txt</t>
  </si>
  <si>
    <t>HH20240201 T3709798314 No Limit Hold'em $1.84 + $0.16.txt</t>
  </si>
  <si>
    <t>HH20240203 T3710562414 No Limit Hold'em $1.84 + $0.16.txt</t>
  </si>
  <si>
    <t>03.02.2024</t>
  </si>
  <si>
    <t>HH20240203 T3710565571 No Limit Hold'em $1.84 + $0.16.txt</t>
  </si>
  <si>
    <t>HH20240203 T3710587005 No Limit Hold'em $1.84 + $0.16.txt</t>
  </si>
  <si>
    <t>HH20240203 T3710650039 No Limit Hold'em $1.84 + $0.16.txt</t>
  </si>
  <si>
    <t>HH20240203 T3710778627 No Limit Hold'em $1.84 + $0.16.txt</t>
  </si>
  <si>
    <t>HH20240203 T3710783195 No Limit Hold'em $1.84 + $0.16.txt</t>
  </si>
  <si>
    <t>04.02.2024</t>
  </si>
  <si>
    <t>HH20240204 T3711020285 No Limit Hold'em $1.84 + $0.16.txt</t>
  </si>
  <si>
    <t>HH20240204 T3711021971 No Limit Hold'em $1.84 + $0.16.txt</t>
  </si>
  <si>
    <t>HH20240204 T3711047346 No Limit Hold'em $1.84 + $0.16.txt</t>
  </si>
  <si>
    <t>HH20240204 T3711048440 No Limit Hold'em $1.84 + $0.16.txt</t>
  </si>
  <si>
    <t>HH20240204 T3711049613 No Limit Hold'em $1.84 + $0.16.txt</t>
  </si>
  <si>
    <t>Carnival Series 46-L</t>
  </si>
  <si>
    <t>HH20240204 T3704781640 No Limit Hold'em $9.80 + $1.20.txt</t>
  </si>
  <si>
    <t>07.02.2024</t>
  </si>
  <si>
    <t>HH20240207 T3712449329 No Limit Hold'em $1.84 + $0.16.txt</t>
  </si>
  <si>
    <t>HH20240207 T3712452861 No Limit Hold'em $1.84 + $0.16.txt</t>
  </si>
  <si>
    <t>HH20240207 T3712453660 No Limit Hold'em $1.84 + $0.16.txt</t>
  </si>
  <si>
    <t>HH20240207 T3712456475 No Limit Hold'em $1.84 + $0.16.txt</t>
  </si>
  <si>
    <t>HH20240207 T3712461221 No Limit Hold'em $1.84 + $0.16.txt</t>
  </si>
  <si>
    <t>HH20240207 T3712465046 No Limit Hold'em $1.84 + $0.16.txt</t>
  </si>
  <si>
    <t>HH20240207 T3712466884 No Limit Hold'em $1.84 + $0.16.txt</t>
  </si>
  <si>
    <t>HH20240207 T3712467374 No Limit Hold'em $1.84 + $0.16.txt</t>
  </si>
  <si>
    <t>HH20240207 T3712468782 No Limit Hold'em $1.84 + $0.16.txt</t>
  </si>
  <si>
    <t>HH20240207 T3712472409 No Limit Hold'em $1.84 + $0.16.txt</t>
  </si>
  <si>
    <t>HH20240207 T3712473780 No Limit Hold'em $1.84 + $0.16.txt</t>
  </si>
  <si>
    <t>08.02.2024</t>
  </si>
  <si>
    <t>HH20240208 T3712800132 No Limit Hold'em $1.84 + $0.16.txt</t>
  </si>
  <si>
    <t>HH20240208 T3712801035 No Limit Hold'em $1.84 + $0.16.txt</t>
  </si>
  <si>
    <t>HH20240208 T3712802387 No Limit Hold'em $1.84 + $0.16.txt</t>
  </si>
  <si>
    <t>HH20240208 T3712804458 No Limit Hold'em $1.84 + $0.16.txt</t>
  </si>
  <si>
    <t>HH20240208 T3712806994 No Limit Hold'em $1.84 + $0.16.txt</t>
  </si>
  <si>
    <t>HH20240208 T3712809303 No Limit Hold'em $1.84 + $0.16.txt</t>
  </si>
  <si>
    <t>HH20240208 T3712811839 No Limit Hold'em $1.84 + $0.16.txt</t>
  </si>
  <si>
    <t>HH20240208 T3712812724 No Limit Hold'em $1.84 + $0.16.txt</t>
  </si>
  <si>
    <t>09.02.2024</t>
  </si>
  <si>
    <t>HH20240209 T3713278051 No Limit Hold'em $1.84 + $0.16.txt</t>
  </si>
  <si>
    <t>HH20240209 T3713280715 No Limit Hold'em $1.84 + $0.16.txt</t>
  </si>
  <si>
    <t>HH20240209 T3713282287 No Limit Hold'em $1.84 + $0.16.txt</t>
  </si>
  <si>
    <t>HH20240209 T3713354593 No Limit Hold'em $1.84 + $0.16.txt</t>
  </si>
  <si>
    <t>HH20240209 T3713517660 No Limit Hold'em $1.84 + $0.16.txt</t>
  </si>
  <si>
    <t>HH20240209 T3713521822 No Limit Hold'em $1.84 + $0.16.txt</t>
  </si>
  <si>
    <t>HH20240209 T3713523272 No Limit Hold'em $1.84 + $0.16.txt</t>
  </si>
  <si>
    <t>HH20240209 T3713525905 No Limit Hold'em $1.84 + $0.16.txt</t>
  </si>
  <si>
    <t>HH20240209 T3713527481 No Limit Hold'em $1.84 + $0.16.txt</t>
  </si>
  <si>
    <t>HH20240209 T3713528563 No Limit Hold'em $1.84 + $0.16.txt</t>
  </si>
  <si>
    <t>HH20240209 T3713533245 No Limit Hold'em $1.84 + $0.16.txt</t>
  </si>
  <si>
    <t>HH20240209 T3713536179 No Limit Hold'em $1.84 + $0.16.txt</t>
  </si>
  <si>
    <t>11.02.2024</t>
  </si>
  <si>
    <t>HH20240211 T3714230386 No Limit Hold'em $1.84 + $0.16.txt</t>
  </si>
  <si>
    <t>HH20240211 T3714231741 No Limit Hold'em $1.84 + $0.16.txt</t>
  </si>
  <si>
    <t>HH20240211 T3714233449 No Limit Hold'em $1.84 + $0.16.txt</t>
  </si>
  <si>
    <t>HH20240211 T3714235574 No Limit Hold'em $1.84 + $0.16.txt</t>
  </si>
  <si>
    <t>HH20240211 T3714238813 No Limit Hold'em $1.84 + $0.16.txt</t>
  </si>
  <si>
    <t>HH20240211 T3714248194 No Limit Hold'em $1.84 + $0.16.txt</t>
  </si>
  <si>
    <t>HH20240211 T3714250220 No Limit Hold'em $1.84 + $0.16.txt</t>
  </si>
  <si>
    <t>HH20240211 T3714251186 No Limit Hold'em $1.84 + $0.16.txt</t>
  </si>
  <si>
    <t>HH20240211 T3714251850 No Limit Hold'em $1.84 + $0.16.txt</t>
  </si>
  <si>
    <t>HH20240211 T3714252625 No Limit Hold'em $1.84 + $0.16.txt</t>
  </si>
  <si>
    <t>HH20240211 T3714253057 No Limit Hold'em $1.84 + $0.16.txt</t>
  </si>
  <si>
    <t>HH20240211 T3714288064 No Limit Hold'em $1.84 + $0.16.txt</t>
  </si>
  <si>
    <t>HH20240211 T3714290652 No Limit Hold'em $1.84 + $0.16.txt</t>
  </si>
  <si>
    <t>HH20240211 T3714294848 No Limit Hold'em $1.84 + $0.16.txt</t>
  </si>
  <si>
    <t>HH20240211 T3714345653 No Limit Hold'em $1.84 + $0.16.txt</t>
  </si>
  <si>
    <t>HH20240211 T3714348973 No Limit Hold'em $1.84 + $0.16.txt</t>
  </si>
  <si>
    <t>HH20240211 T3714351439 No Limit Hold'em $1.84 + $0.16.txt</t>
  </si>
  <si>
    <t>HH20240211 T3714357527 No Limit Hold'em $1.84 + $0.16.txt</t>
  </si>
  <si>
    <t>HH20240211 T3714360788 No Limit Hold'em $1.84 + $0.16.txt</t>
  </si>
  <si>
    <t>HH20240211 T3714363488 No Limit Hold'em $1.84 + $0.16.txt</t>
  </si>
  <si>
    <t>HH20240211 T3714364165 No Limit Hold'em $1.84 + $0.16.txt</t>
  </si>
  <si>
    <t>HH20240211 T3714366054 No Limit Hold'em $1.84 + $0.16.txt</t>
  </si>
  <si>
    <t>HH20240211 T3714368129 No Limit Hold'em $1.84 + $0.16.txt</t>
  </si>
  <si>
    <t>HH20240211 T3714371995 No Limit Hold'em $1.84 + $0.16.txt</t>
  </si>
  <si>
    <t>HH20240211 T3714378379 No Limit Hold'em $1.84 + $0.16.txt</t>
  </si>
  <si>
    <t>HH20240211 T3714383793 No Limit Hold'em $1.84 + $0.16.txt</t>
  </si>
  <si>
    <t>12.02.2024</t>
  </si>
  <si>
    <t>HH20240212 T3714776066 No Limit Hold'em $1.84 + $0.16.txt</t>
  </si>
  <si>
    <t>HH20240212 T3714778308 No Limit Hold'em $1.84 + $0.16.txt</t>
  </si>
  <si>
    <t>13.02.2024</t>
  </si>
  <si>
    <t>HH20240213 T3715329139 No Limit Hold'em $1.84 + $0.16.txt</t>
  </si>
  <si>
    <t>HH20240213 T3715329974 No Limit Hold'em $1.84 + $0.16.txt</t>
  </si>
  <si>
    <t>HH20240213 T3715335878 No Limit Hold'em $1.84 + $0.16.txt</t>
  </si>
  <si>
    <t>HH20240213 T3715341164 No Limit Hold'em $1.84 + $0.16.txt</t>
  </si>
  <si>
    <t>14.02.2024</t>
  </si>
  <si>
    <t>HH20240214 T3715591715 No Limit Hold'em $1.84 + $0.16.txt</t>
  </si>
  <si>
    <t>HH20240214 T3715592842 No Limit Hold'em $4.60 + $0.40.txt</t>
  </si>
  <si>
    <t>HH20240214 T3715595295 No Limit Hold'em $4.60 + $0.40.txt</t>
  </si>
  <si>
    <t>HH20240214 T3715597713 No Limit Hold'em $4.60 + $0.40.txt</t>
  </si>
  <si>
    <t>HH20240214 T3715653167 No Limit Hold'em $4.60 + $0.40.txt</t>
  </si>
  <si>
    <t>HH20240214 T3715655554 No Limit Hold'em $4.60 + $0.40.txt</t>
  </si>
  <si>
    <t>HH20240214 T3715656512 No Limit Hold'em $4.60 + $0.40.txt</t>
  </si>
  <si>
    <t>15.02.2024</t>
  </si>
  <si>
    <t>HH20240215 T3716030685 No Limit Hold'em $1.84 + $0.16.txt</t>
  </si>
  <si>
    <t>HH20240215 T3716032516 No Limit Hold'em $1.84 + $0.16.txt</t>
  </si>
  <si>
    <t>HH20240215 T3716034684 No Limit Hold'em $1.84 + $0.16.txt</t>
  </si>
  <si>
    <t>HH20240215 T3716036540 No Limit Hold'em $1.84 + $0.16.txt</t>
  </si>
  <si>
    <t>HH20240215 T3716038991 No Limit Hold'em $1.84 + $0.16.txt</t>
  </si>
  <si>
    <t>HH20240216 T3716444654 No Limit Hold'em $1.84 + $0.16.txt</t>
  </si>
  <si>
    <t>16.02.2024</t>
  </si>
  <si>
    <t>HH20240216 T3716447664 No Limit Hold'em $1.84 + $0.16.txt</t>
  </si>
  <si>
    <t>HH20240216 T3716462718 No Limit Hold'em $1.84 + $0.16.txt</t>
  </si>
  <si>
    <t>HH20240216 T3716465785 No Limit Hold'em $1.84 + $0.16.txt</t>
  </si>
  <si>
    <t>HH20240216 T3716467105 No Limit Hold'em $1.84 + $0.16.txt</t>
  </si>
  <si>
    <t>HH20240216 T3716468440 No Limit Hold'em $1.84 + $0.16.txt</t>
  </si>
  <si>
    <t>HH20240216 T3716469864 No Limit Hold'em $1.84 + $0.16.txt</t>
  </si>
  <si>
    <t>17.02.2024</t>
  </si>
  <si>
    <t>HH20240217 T3716971092 No Limit Hold'em $1.84 + $0.16.txt</t>
  </si>
  <si>
    <t>HH20240217 T3715151503 No Limit Hold'em $14.70 + $1.80.txt</t>
  </si>
  <si>
    <t>18.02.2024</t>
  </si>
  <si>
    <t>HH20240218 T3717337747 No Limit Hold'em $1.84 + $0.16.txt</t>
  </si>
  <si>
    <t>HH20240218 T3717338901 No Limit Hold'em $1.84 + $0.16.txt</t>
  </si>
  <si>
    <t>HH20240218 T3717341045 No Limit Hold'em $1.84 + $0.16.txt</t>
  </si>
  <si>
    <t>HH20240218 T3717341375 No Limit Hold'em $1.84 + $0.16.txt</t>
  </si>
  <si>
    <t>HH20240218 T3717401277 No Limit Hold'em $1.84 + $0.16.txt</t>
  </si>
  <si>
    <t>HH20240218 T3717403965 No Limit Hold'em $1.84 + $0.16.txt</t>
  </si>
  <si>
    <t>HH20240218 T3717405398 No Limit Hold'em $1.84 + $0.16.txt</t>
  </si>
  <si>
    <t>19.02.2024</t>
  </si>
  <si>
    <t>HH20240219 T3717921249 No Limit Hold'em $1.84 + $0.16.txt</t>
  </si>
  <si>
    <t>HH20240219 T3717926470 No Limit Hold'em $1.84 + $0.16.txt</t>
  </si>
  <si>
    <t>HH20240219 T3718016648 No Limit Hold'em $1.84 + $0.16.txt</t>
  </si>
  <si>
    <t>21.02.2024</t>
  </si>
  <si>
    <t>HH20240221 T3718698070 No Limit Hold'em $1.84 + $0.16.txt</t>
  </si>
  <si>
    <t>HH20240221 T3718699505 No Limit Hold'em $1.84 + $0.16.txt</t>
  </si>
  <si>
    <t>HH20240221 T3718702246 No Limit Hold'em $1.84 + $0.16.txt</t>
  </si>
  <si>
    <t>HH20240221 T3718705099 No Limit Hold'em $1.84 + $0.16.txt</t>
  </si>
  <si>
    <t>HH20240221 T3718707152 No Limit Hold'em $1.84 + $0.16.txt</t>
  </si>
  <si>
    <t>HH20240221 T3718708333 No Limit Hold'em $1.84 + $0.16.txt</t>
  </si>
  <si>
    <t>HH20240221 T3719273417 No Limit Hold'em $1.84 + $0.16.txt</t>
  </si>
  <si>
    <t>HH20240221 T3719276451 No Limit Hold'em $1.84 + $0.16.txt</t>
  </si>
  <si>
    <t>HH20240221 T3719277535 No Limit Hold'em $1.84 + $0.16.txt</t>
  </si>
  <si>
    <t>HH20240221 T3719279085 No Limit Hold'em $1.84 + $0.16.txt</t>
  </si>
  <si>
    <t>HH20240221 T3719280215 No Limit Hold'em $1.84 + $0.16.txt</t>
  </si>
  <si>
    <t>HH20240221 T3719282509 No Limit Hold'em $1.84 + $0.16.txt</t>
  </si>
  <si>
    <t>HH20240221 T3719284588 No Limit Hold'em $1.84 + $0.16.txt</t>
  </si>
  <si>
    <t>HH20240221 T3719314503 No Limit Hold'em $1.84 + $0.16.txt</t>
  </si>
  <si>
    <t>HH20240221 T3719315940 No Limit Hold'em $1.84 + $0.16.txt</t>
  </si>
  <si>
    <t>HH20240221 T3719320048 No Limit Hold'em $1.84 + $0.16.txt</t>
  </si>
  <si>
    <t>HH20240221 T3719322193 No Limit Hold'em $1.84 + $0.16.txt</t>
  </si>
  <si>
    <t>22.02.2024</t>
  </si>
  <si>
    <t>HH20240222 T3719575556 No Limit Hold'em $1.84 + $0.16.txt</t>
  </si>
  <si>
    <t>HH20240222 T3719576806 No Limit Hold'em $1.84 + $0.16.txt</t>
  </si>
  <si>
    <t>HH20240222 T3719578465 No Limit Hold'em $1.84 + $0.16.txt</t>
  </si>
  <si>
    <t>HH20240222 T3719582034 No Limit Hold'em $1.84 + $0.16.txt</t>
  </si>
  <si>
    <t>HH20240222 T3719582651 No Limit Hold'em $1.84 + $0.16.txt</t>
  </si>
  <si>
    <t>HH20240222 T3719583382 No Limit Hold'em $1.84 + $0.16.txt</t>
  </si>
  <si>
    <t>HH20240222 T3719585477 No Limit Hold'em $1.84 + $0.16.txt</t>
  </si>
  <si>
    <t>HH20240222 T3719590503 No Limit Hold'em $1.84 + $0.16.txt</t>
  </si>
  <si>
    <t>HH20240222 T3719592500 No Limit Hold'em $1.84 + $0.16.txt</t>
  </si>
  <si>
    <t>HH20240222 T3719621903 No Limit Hold'em $1.84 + $0.16.txt</t>
  </si>
  <si>
    <t>HH20240222 T3719622981 No Limit Hold'em $1.84 + $0.16.txt</t>
  </si>
  <si>
    <t>HH20240222 T3719625307 No Limit Hold'em $1.84 + $0.16.txt</t>
  </si>
  <si>
    <t>HH20240222 T3719626556 No Limit Hold'em $1.84 + $0.16.txt</t>
  </si>
  <si>
    <t>HH20240222 T3719628484 No Limit Hold'em $1.84 + $0.16.txt</t>
  </si>
  <si>
    <t>HH20240222 T3719629146 No Limit Hold'em $1.84 + $0.16.txt</t>
  </si>
  <si>
    <t>HH20240222 T3719633383 No Limit Hold'em $1.84 + $0.16.txt</t>
  </si>
  <si>
    <t>HH20240222 T3719634742 No Limit Hold'em $1.84 + $0.16.txt</t>
  </si>
  <si>
    <t>HH20240222 T3719636916 No Limit Hold'em $1.84 + $0.16.txt</t>
  </si>
  <si>
    <t>HH20240222 T3719637902 No Limit Hold'em $1.84 + $0.16.txt</t>
  </si>
  <si>
    <t>HH20240222 T3719640738 No Limit Hold'em $1.84 + $0.16.txt</t>
  </si>
  <si>
    <t>HH20240222 T3719667393 No Limit Hold'em $1.84 + $0.16.txt</t>
  </si>
  <si>
    <t>HH20240222 T3719783824 No Limit Hold'em $1.84 + $0.16.txt</t>
  </si>
  <si>
    <t>HH20240222 T3719788239 No Limit Hold'em $1.84 + $0.16.txt</t>
  </si>
  <si>
    <t>HH20240222 T3719789623 No Limit Hold'em $1.84 + $0.16.txt</t>
  </si>
  <si>
    <t>HH20240222 T3719793163 No Limit Hold'em $1.84 + $0.16.txt</t>
  </si>
  <si>
    <t>HH20240222 T3719794693 No Limit Hold'em $1.84 + $0.16.txt</t>
  </si>
  <si>
    <t>23.02.2024</t>
  </si>
  <si>
    <t>HH20240223 T3720279576 No Limit Hold'em $1.84 + $0.16.txt</t>
  </si>
  <si>
    <t>HH20240223 T3720282430 No Limit Hold'em $4.60 + $0.40.txt</t>
  </si>
  <si>
    <t>HH20240224 T3720528845 No Limit Hold'em $1.84 + $0.16.txt</t>
  </si>
  <si>
    <t>24.02.2024</t>
  </si>
  <si>
    <t>HH20240224 T3720530135 No Limit Hold'em $1.84 + $0.16.txt</t>
  </si>
  <si>
    <t>HH20240224 T3720531041 No Limit Hold'em $1.84 + $0.16.txt</t>
  </si>
  <si>
    <t>HH20240224 T3720532813 No Limit Hold'em $1.84 + $0.16.txt</t>
  </si>
  <si>
    <t>HH20240224 T3720533861 No Limit Hold'em $1.84 + $0.16.txt</t>
  </si>
  <si>
    <t>HH20240224 T3720536133 No Limit Hold'em $1.84 + $0.16.txt</t>
  </si>
  <si>
    <t>HH20240224 T3720678508 No Limit Hold'em $1.84 + $0.16.txt</t>
  </si>
  <si>
    <t>25.02.2024</t>
  </si>
  <si>
    <t>HH20240225 T3720973966 No Limit Hold'em $1.84 + $0.16.txt</t>
  </si>
  <si>
    <t>HH20240225 T3720989039 No Limit Hold'em $1.84 + $0.16.txt</t>
  </si>
  <si>
    <t>HH20240225 T3720991511 No Limit Hold'em $1.84 + $0.16.txt</t>
  </si>
  <si>
    <t>HH20240225 T3720993672 No Limit Hold'em $1.84 + $0.16.txt</t>
  </si>
  <si>
    <t>HH20240225 T3720994902 No Limit Hold'em $1.84 + $0.16.txt</t>
  </si>
  <si>
    <t>HH20240225 T3720995954 No Limit Hold'em $1.84 + $0.16.txt</t>
  </si>
  <si>
    <t>HH20240225 T3720996665 No Limit Hold'em $1.84 + $0.16.txt</t>
  </si>
  <si>
    <t>HH20240225 T3720999072 No Limit Hold'em $1.84 + $0.16.txt</t>
  </si>
  <si>
    <t>HH20240225 T3721003654 No Limit Hold'em $1.84 + $0.16.txt</t>
  </si>
  <si>
    <t>HH20240225 T3721005982 No Limit Hold'em $1.84 + $0.16.txt</t>
  </si>
  <si>
    <t>HH20240225 T3721007361 No Limit Hold'em $1.84 + $0.16.txt</t>
  </si>
  <si>
    <t>HH20240225 T3721011074 No Limit Hold'em $1.84 + $0.16.txt</t>
  </si>
  <si>
    <t>HH20240225 T3721012525 No Limit Hold'em $1.84 + $0.16.txt</t>
  </si>
  <si>
    <t>HH20240225 T3721035307 No Limit Hold'em $1.84 + $0.16.txt</t>
  </si>
  <si>
    <t>HH20240225 T3721037045 No Limit Hold'em $1.84 + $0.16.txt</t>
  </si>
  <si>
    <t>HH20240225 T3721037781 No Limit Hold'em $1.84 + $0.16.txt</t>
  </si>
  <si>
    <t>HH20240225 T3721040292 No Limit Hold'em $1.84 + $0.16.txt</t>
  </si>
  <si>
    <t>HH20240225 T3721042628 No Limit Hold'em $4.60 + $0.40.txt</t>
  </si>
  <si>
    <t>HH20240225 T3721043956 No Limit Hold'em $4.60 + $0.40.txt</t>
  </si>
  <si>
    <t>HH20240225 T3721045389 No Limit Hold'em $4.60 + $0.40.txt</t>
  </si>
  <si>
    <t>HH20240225 T3721047733 No Limit Hold'em $4.60 + $0.40.txt</t>
  </si>
  <si>
    <t>HH20240225 T3721050862 No Limit Hold'em $4.60 + $0.40.txt</t>
  </si>
  <si>
    <t>HH20240225 T3721053983 No Limit Hold'em $4.60 + $0.40.txt</t>
  </si>
  <si>
    <t>HH20240225 T3721058338 No Limit Hold'em $4.60 + $0.40.txt</t>
  </si>
  <si>
    <t>HH20240225 T3721060844 No Limit Hold'em $4.60 + $0.40.txt</t>
  </si>
  <si>
    <t>HH20240225 T3721080239 No Limit Hold'em $4.60 + $0.40.txt</t>
  </si>
  <si>
    <t>HH20240225 T3721083636 No Limit Hold'em $4.60 + $0.40.txt</t>
  </si>
  <si>
    <t>HH20240225 T3721085289 No Limit Hold'em $1.84 + $0.16.txt</t>
  </si>
  <si>
    <t>HH20240225 T3721089729 No Limit Hold'em $1.84 + $0.16.txt</t>
  </si>
  <si>
    <t>HH20240225 T3721091910 No Limit Hold'em $1.84 + $0.16.txt</t>
  </si>
  <si>
    <t>HH20240225 T3721098492 No Limit Hold'em $1.84 + $0.16.txt</t>
  </si>
  <si>
    <t>HH20240225 T3721099082 No Limit Hold'em $1.84 + $0.16.txt</t>
  </si>
  <si>
    <t>HH20240225 T3721101197 No Limit Hold'em $1.84 + $0.16.txt</t>
  </si>
  <si>
    <t>HH20240225 T3721104313 No Limit Hold'em $1.84 + $0.16.txt</t>
  </si>
  <si>
    <t>HH20240225 T3721106953 No Limit Hold'em $1.84 + $0.16.txt</t>
  </si>
  <si>
    <t>HH20240225 T3721111261 No Limit Hold'em $1.84 + $0.16.txt</t>
  </si>
  <si>
    <t>HH20240225 T3721115112 No Limit Hold'em $1.84 + $0.16.txt</t>
  </si>
  <si>
    <t>HH20240225 T3721116626 No Limit Hold'em $1.84 + $0.16.txt</t>
  </si>
  <si>
    <t>HH20240225 T3721118929 No Limit Hold'em $1.84 + $0.16.txt</t>
  </si>
  <si>
    <t>HH20240225 T3721121536 No Limit Hold'em $4.60 + $0.40.txt</t>
  </si>
  <si>
    <t>HH20240225 T3721126856 No Limit Hold'em $4.60 + $0.40.txt</t>
  </si>
  <si>
    <t>HH20240225 T3721134304 No Limit Hold'em $4.60 + $0.40.txt</t>
  </si>
  <si>
    <t>HH20240225 T3721138630 No Limit Hold'em $4.60 + $0.40.txt</t>
  </si>
  <si>
    <t>HH20240225 T3721141203 No Limit Hold'em $4.60 + $0.40.txt</t>
  </si>
  <si>
    <t>HH20240225 T3721144853 No Limit Hold'em $4.60 + $0.40.txt</t>
  </si>
  <si>
    <t>HH20240225 T3721201748 No Limit Hold'em $4.60 + $0.40.txt</t>
  </si>
  <si>
    <t>HH20240225 T3721204897 No Limit Hold'em $4.60 + $0.40.txt</t>
  </si>
  <si>
    <t>26.02.2024</t>
  </si>
  <si>
    <t>HH20240226 T3721379783 No Limit Hold'em $1.84 + $0.16.txt</t>
  </si>
  <si>
    <t>HH20240226 T3721381903 No Limit Hold'em $1.84 + $0.16.txt</t>
  </si>
  <si>
    <t>HH20240226 T3721382540 No Limit Hold'em $1.84 + $0.16.txt</t>
  </si>
  <si>
    <t>HH20240226 T3721383687 No Limit Hold'em $1.84 + $0.16.txt</t>
  </si>
  <si>
    <t>HH20240226 T3721385492 No Limit Hold'em $1.84 + $0.16.txt</t>
  </si>
  <si>
    <t>HH20240226 T3721386433 No Limit Hold'em $1.84 + $0.16.txt</t>
  </si>
  <si>
    <t>HH20240226 T3721387257 No Limit Hold'em $1.84 + $0.16.txt</t>
  </si>
  <si>
    <t>HH20240226 T3721388076 No Limit Hold'em $1.84 + $0.16.txt</t>
  </si>
  <si>
    <t>HH20240226 T3721389464 No Limit Hold'em $1.84 + $0.16.txt</t>
  </si>
  <si>
    <t>HH20240226 T3721458451 No Limit Hold'em $1.84 + $0.16.txt</t>
  </si>
  <si>
    <t>HH20240226 T3721460701 No Limit Hold'em $1.84 + $0.16.txt</t>
  </si>
  <si>
    <t>HH20240226 T3721465214 No Limit Hold'em $1.84 + $0.16.txt</t>
  </si>
  <si>
    <t>HH20240226 T3721467721 No Limit Hold'em $1.84 + $0.16.txt</t>
  </si>
  <si>
    <t>HH20240226 T3721471680 No Limit Hold'em $1.84 + $0.16.txt</t>
  </si>
  <si>
    <t>HH20240226 T3721472857 No Limit Hold'em $1.84 + $0.16.txt</t>
  </si>
  <si>
    <t>HH20240226 T3721476514 No Limit Hold'em $1.84 + $0.16.txt</t>
  </si>
  <si>
    <t>HH20240226 T3721603819 No Limit Hold'em $1.84 + $0.16.txt</t>
  </si>
  <si>
    <t>Count of GameID</t>
  </si>
  <si>
    <t>28.02.2024</t>
  </si>
  <si>
    <t>HH20240228 T3722463252 No Limit Hold'em $1.84 + $0.16.txt</t>
  </si>
  <si>
    <t>HH20240228 T3722469858 No Limit Hold'em $1.84 + $0.16.txt</t>
  </si>
  <si>
    <t>HH20240229 T3721995007 No Limit Hold'em $3.92 + $0.48.txt</t>
  </si>
  <si>
    <t>29.02.2024</t>
  </si>
  <si>
    <t>HH20240229 T3722744162 No Limit Hold'em $1.84 + $0.16.txt</t>
  </si>
  <si>
    <t>HH20240229 T3722777100 No Limit Hold'em $1.84 + $0.16.txt</t>
  </si>
  <si>
    <t>HH20240229 T3722780674 No Limit Hold'em $1.84 + $0.16.txt</t>
  </si>
  <si>
    <t>HH20240229 T3722781422 No Limit Hold'em $1.84 + $0.16.txt</t>
  </si>
  <si>
    <t>HH20240229 T3722784594 No Limit Hold'em $1.84 + $0.16.txt</t>
  </si>
  <si>
    <t>HH20240229 T3722792741 No Limit Hold'em $1.84 + $0.16.txt</t>
  </si>
  <si>
    <t>HH20240229 T3722796604 No Limit Hold'em $1.84 + $0.16.txt</t>
  </si>
  <si>
    <t>HH20240229 T3722800432 No Limit Hold'em $1.84 + $0.16.txt</t>
  </si>
  <si>
    <t>HH20240229 T3722806992 No Limit Hold'em $1.84 + $0.16.txt</t>
  </si>
  <si>
    <t>HH20240229 T3722824889 No Limit Hold'em $1.84 + $0.16.txt</t>
  </si>
  <si>
    <t>01.03.2024</t>
  </si>
  <si>
    <t>HH20240301 T3722985891 No Limit Hold'em $1.84 + $0.16.txt</t>
  </si>
  <si>
    <t>HH20240301 T3723027870 No Limit Hold'em $1.84 + $0.16.txt</t>
  </si>
  <si>
    <t>HH20240301 T3723033658 No Limit Hold'em $1.84 + $0.16.txt</t>
  </si>
  <si>
    <t>HH20240301 T3723035730 No Limit Hold'em $1.84 + $0.16.txt</t>
  </si>
  <si>
    <t>HH20240301 T3723036287 No Limit Hold'em $1.84 + $0.16.txt</t>
  </si>
  <si>
    <t>HH20240301 T3723038665 No Limit Hold'em $1.84 + $0.16.txt</t>
  </si>
  <si>
    <t>HH20240301 T3723039928 No Limit Hold'em $1.84 + $0.16.txt</t>
  </si>
  <si>
    <t>HH20240301 T3723139971 No Limit Hold'em $1.84 + $0.16.txt</t>
  </si>
  <si>
    <t>HH20240301 T3723143551 No Limit Hold'em $1.84 + $0.16.txt</t>
  </si>
  <si>
    <t>HH20240301 T3723146405 No Limit Hold'em $1.84 + $0.16.txt</t>
  </si>
  <si>
    <t>HH20240301 T3723150129 No Limit Hold'em $1.84 + $0.16.txt</t>
  </si>
  <si>
    <t>HH20240302 T3723510325 No Limit Hold'em $1.84 + $0.16.txt</t>
  </si>
  <si>
    <t>HH20240302 T3723511576 No Limit Hold'em $1.84 + $0.16.txt</t>
  </si>
  <si>
    <t>02.03.2024</t>
  </si>
  <si>
    <t>HH20240302 T3723513898 No Limit Hold'em $1.84 + $0.16.txt</t>
  </si>
  <si>
    <t>HH20240302 T3723557755 No Limit Hold'em $1.84 + $0.16.txt</t>
  </si>
  <si>
    <t>HH20240302 T3723559217 No Limit Hold'em $1.84 + $0.16.txt</t>
  </si>
  <si>
    <t>HH20240302 T3723562266 No Limit Hold'em $1.84 + $0.16.txt</t>
  </si>
  <si>
    <t>HH20240302 T3723565864 No Limit Hold'em $1.84 + $0.16.txt</t>
  </si>
  <si>
    <t>HH20240302 T3723568972 No Limit Hold'em $1.84 + $0.16.txt</t>
  </si>
  <si>
    <t>HH20240302 T3723639210 No Limit Hold'em $1.84 + $0.16.txt</t>
  </si>
  <si>
    <t>04.03.2024</t>
  </si>
  <si>
    <t>HH20240304 T3724339650 No Limit Hold'em $1.84 + $0.16.txt</t>
  </si>
  <si>
    <t>HH20240304 T3724339997 No Limit Hold'em $1.84 + $0.16.txt</t>
  </si>
  <si>
    <t>HH20240304 T3724378637 No Limit Hold'em $1.84 + $0.16.txt</t>
  </si>
  <si>
    <t>HH20240304 T3724380678 No Limit Hold'em $1.84 + $0.16.txt</t>
  </si>
  <si>
    <t>HH20240304 T3724409691 No Limit Hold'em $1.84 + $0.16.txt</t>
  </si>
  <si>
    <t>HH20240304 T3724412823 No Limit Hold'em $1.84 + $0.16.txt</t>
  </si>
  <si>
    <t>HH20240304 T3724414662 No Limit Hold'em $1.84 + $0.16.txt</t>
  </si>
  <si>
    <t>HH20240305 T3724779295 No Limit Hold'em $1.84 + $0.16.txt</t>
  </si>
  <si>
    <t>06.03.2024</t>
  </si>
  <si>
    <t>HH20240306 T3725401784 No Limit Hold'em $1.84 + $0.16.txt</t>
  </si>
  <si>
    <t>HH20240306 T3725406215 No Limit Hold'em $1.84 + $0.16.txt</t>
  </si>
  <si>
    <t>HH20240306 T3725408319 No Limit Hold'em $1.84 + $0.16.txt</t>
  </si>
  <si>
    <t>HH20240306 T3725411636 No Limit Hold'em $1.84 + $0.16.txt</t>
  </si>
  <si>
    <t>HH20240306 T3725417640 No Limit Hold'em $1.84 + $0.16.txt</t>
  </si>
  <si>
    <t>07.03.2024</t>
  </si>
  <si>
    <t>HH20240307 T3725674141 No Limit Hold'em $1.84 + $0.16.txt</t>
  </si>
  <si>
    <t>HH20240307 T3725676389 No Limit Hold'em $1.84 + $0.16.txt</t>
  </si>
  <si>
    <t>HH20240307 T3725678090 No Limit Hold'em $1.84 + $0.16.txt</t>
  </si>
  <si>
    <t>HH20240307 T3725680574 No Limit Hold'em $1.84 + $0.16.txt</t>
  </si>
  <si>
    <t>HH20240307 T3725680901 No Limit Hold'em $1.84 + $0.16.txt</t>
  </si>
  <si>
    <t>HH20240307 T3725683550 No Limit Hold'em $1.84 + $0.16.txt</t>
  </si>
  <si>
    <t>HH20240307 T3725684300 No Limit Hold'em $1.84 + $0.16.txt</t>
  </si>
  <si>
    <t>HH20240307 T3725685619 No Limit Hold'em $1.84 + $0.16.txt</t>
  </si>
  <si>
    <t>HH20240307 T3725688375 No Limit Hold'em $1.84 + $0.16.txt</t>
  </si>
  <si>
    <t>HH20240307 T3725688812 No Limit Hold'em $1.84 + $0.16.txt</t>
  </si>
  <si>
    <t>HH20240307 T3725691022 No Limit Hold'em $1.84 + $0.16.txt</t>
  </si>
  <si>
    <t>HH20240307 T3725694094 No Limit Hold'em $1.84 + $0.16.txt</t>
  </si>
  <si>
    <t>HH20240307 T3725696675 No Limit Hold'em $1.84 + $0.16.txt</t>
  </si>
  <si>
    <t>HH20240307 T3725763407 No Limit Hold'em $1.84 + $0.16.txt</t>
  </si>
  <si>
    <t>HH20240307 T3725765564 No Limit Hold'em $1.84 + $0.16.txt</t>
  </si>
  <si>
    <t>HH20240307 T3725766836 No Limit Hold'em $1.84 + $0.16.txt</t>
  </si>
  <si>
    <t>HH20240309 T3726556270 No Limit Hold'em $1.84 + $0.16.txt</t>
  </si>
  <si>
    <t>HH20240309 T3726559399 No Limit Hold'em $1.84 + $0.16.txt</t>
  </si>
  <si>
    <t>09.03.2024</t>
  </si>
  <si>
    <t>HH20240309 T3726562117 No Limit Hold'em $1.84 + $0.16.txt</t>
  </si>
  <si>
    <t>HH20240309 T3726563870 No Limit Hold'em $1.84 + $0.16.txt</t>
  </si>
  <si>
    <t>HH20240309 T3726566426 No Limit Hold'em $1.84 + $0.16.txt</t>
  </si>
  <si>
    <t>HH20240309 T3726569147 No Limit Hold'em $1.84 + $0.16.txt</t>
  </si>
  <si>
    <t>HH20240309 T3726625638 No Limit Hold'em $1.84 + $0.16.txt</t>
  </si>
  <si>
    <t>HH20240309 T3726627695 No Limit Hold'em $1.84 + $0.16.txt</t>
  </si>
  <si>
    <t>HH20240309 T3726629606 No Limit Hold'em $1.84 + $0.16.txt</t>
  </si>
  <si>
    <t>HH20240309 T3726633637 No Limit Hold'em $1.84 + $0.16.txt</t>
  </si>
  <si>
    <t>10.03.2024</t>
  </si>
  <si>
    <t>HH20240310 T3726981982 No Limit Hold'em $1.84 + $0.16.txt</t>
  </si>
  <si>
    <t>HH20240310 T3726985386 No Limit Hold'em $1.84 + $0.16.txt</t>
  </si>
  <si>
    <t>HH20240310 T3726992878 No Limit Hold'em $1.84 + $0.16.txt</t>
  </si>
  <si>
    <t>11.03.2024</t>
  </si>
  <si>
    <t>HH20240311 T3727462199 No Limit Hold'em $1.84 + $0.16.txt</t>
  </si>
  <si>
    <t>HH20240311 T3727466532 No Limit Hold'em $1.84 + $0.16.txt</t>
  </si>
  <si>
    <t>HH20240311 T3727563376 No Limit Hold'em $1.84 + $0.16.txt</t>
  </si>
  <si>
    <t>HH20240311 T3727571405 No Limit Hold'em $1.84 + $0.16.txt</t>
  </si>
  <si>
    <t>HH20240313 T3728352135 No Limit Hold'em $1.84 + $0.16.txt</t>
  </si>
  <si>
    <t>HH20240313 T3728356009 No Limit Hold'em $1.84 + $0.16.txt</t>
  </si>
  <si>
    <t>HH20240313 T3728357344 No Limit Hold'em $1.84 + $0.16.txt</t>
  </si>
  <si>
    <t>HH20240313 T3728359956 No Limit Hold'em $1.84 + $0.16.txt</t>
  </si>
  <si>
    <t>13.03.2024</t>
  </si>
  <si>
    <t>HH20240313 T3728363287 No Limit Hold'em $1.84 + $0.16.txt</t>
  </si>
  <si>
    <t>HH20240313 T3728367872 No Limit Hold'em $1.84 + $0.16.txt</t>
  </si>
  <si>
    <t>HH20240313 T3728393924 No Limit Hold'em $1.84 + $0.16.txt</t>
  </si>
  <si>
    <t>HH20240313 T3728396286 No Limit Hold'em $1.84 + $0.16.txt</t>
  </si>
  <si>
    <t>HH20240313 T3728398261 No Limit Hold'em $1.84 + $0.16.txt</t>
  </si>
  <si>
    <t>HH20240313 T3728401148 No Limit Hold'em $1.84 + $0.16.txt</t>
  </si>
  <si>
    <t>HH20240313 T3728405101 No Limit Hold'em $1.84 + $0.16.txt</t>
  </si>
  <si>
    <t>HH20240313 T3728415849 No Limit Hold'em $1.84 + $0.16.txt</t>
  </si>
  <si>
    <t>HH20240313 T3728420242 No Limit Hold'em $1.84 + $0.16.txt</t>
  </si>
  <si>
    <t>HH20240313 T3728424518 No Limit Hold'em $1.84 + $0.16.txt</t>
  </si>
  <si>
    <t>HH20240313 T3728426055 No Limit Hold'em $1.84 + $0.16.txt</t>
  </si>
  <si>
    <t>HH20240313 T3728431682 No Limit Hold'em $1.84 + $0.16.txt</t>
  </si>
  <si>
    <t>HH20240313 T3728436528 No Limit Hold'em $1.84 + $0.16.txt</t>
  </si>
  <si>
    <t>14.03.2024</t>
  </si>
  <si>
    <t>HH20240314 T3728756935 No Limit Hold'em $1.84 + $0.16.txt</t>
  </si>
  <si>
    <t>HH20240314 T3728815478 No Limit Hold'em $1.84 + $0.16.txt</t>
  </si>
  <si>
    <t>HH20240314 T3728819011 No Limit Hold'em $1.84 + $0.16.txt</t>
  </si>
  <si>
    <t>HH20240314 T3728822612 No Limit Hold'em $1.84 + $0.16.txt</t>
  </si>
  <si>
    <t>HH20240314 T3728823427 No Limit Hold'em $1.84 + $0.16.txt</t>
  </si>
  <si>
    <t>HH20240314 T3728826293 No Limit Hold'em $1.84 + $0.16.txt</t>
  </si>
  <si>
    <t>HH20240314 T3728829055 No Limit Hold'em $1.84 + $0.16.txt</t>
  </si>
  <si>
    <t>HH20240315 T3729131161 No Limit Hold'em $1.84 + $0.16.txt</t>
  </si>
  <si>
    <t>15.03.2024</t>
  </si>
  <si>
    <t>HH20240315 T3729134775 No Limit Hold'em $1.84 + $0.16.txt</t>
  </si>
  <si>
    <t>HH20240315 T3729139251 No Limit Hold'em $1.84 + $0.16.txt</t>
  </si>
  <si>
    <t>HH20240315 T3729142589 No Limit Hold'em $1.84 + $0.16.txt</t>
  </si>
  <si>
    <t>HH20240315 T3729146889 No Limit Hold'em $1.84 + $0.16.txt</t>
  </si>
  <si>
    <t>HH20240315 T3729149311 No Limit Hold'em $1.84 + $0.16.txt</t>
  </si>
  <si>
    <t>HH20240315 T3729150605 No Limit Hold'em $1.84 + $0.16.txt</t>
  </si>
  <si>
    <t>HH20240315 T3729152997 No Limit Hold'em $1.84 + $0.16.txt</t>
  </si>
  <si>
    <t>HH20240315 T3729153897 No Limit Hold'em $1.84 + $0.16.txt</t>
  </si>
  <si>
    <t>HH20240315 T3729155243 No Limit Hold'em $1.84 + $0.16.txt</t>
  </si>
  <si>
    <t>HH20240315 T3729156878 No Limit Hold'em $1.84 + $0.16.txt</t>
  </si>
  <si>
    <t>HH20240315 T3729160399 No Limit Hold'em $1.84 + $0.16.txt</t>
  </si>
  <si>
    <t>16.03.2024</t>
  </si>
  <si>
    <t>HH20240316 T3729487207 No Limit Hold'em $1.84 + $0.16.txt</t>
  </si>
  <si>
    <t>17.03.2024</t>
  </si>
  <si>
    <t>HH20240317 T3729925472 No Limit Hold'em $1.84 + $0.16.txt</t>
  </si>
  <si>
    <t>HH20240317 T3729926928 No Limit Hold'em $1.84 + $0.16.txt</t>
  </si>
  <si>
    <t>HH20240317 T3729927567 No Limit Hold'em $1.84 + $0.16.txt</t>
  </si>
  <si>
    <t>HH20240317 T3729956953 No Limit Hold'em $1.84 + $0.16.txt</t>
  </si>
  <si>
    <t>HH20240317 T3729958882 No Limit Hold'em $1.84 + $0.16.txt</t>
  </si>
  <si>
    <t>HH20240317 T3729959726 No Limit Hold'em $1.84 + $0.16.txt</t>
  </si>
  <si>
    <t>HH20240317 T3729962085 No Limit Hold'em $1.84 + $0.16.txt</t>
  </si>
  <si>
    <t>HH20240317 T3730011663 No Limit Hold'em $1.84 + $0.16.txt</t>
  </si>
  <si>
    <t>HH20240317 T3730013492 No Limit Hold'em $1.84 + $0.16.txt</t>
  </si>
  <si>
    <t>HH20240317 T3730014242 No Limit Hold'em $1.84 + $0.16.txt</t>
  </si>
  <si>
    <t>HH20240317 T3730017289 No Limit Hold'em $1.84 + $0.16.txt</t>
  </si>
  <si>
    <t>HH20240317 T3730019390 No Limit Hold'em $1.84 + $0.16.txt</t>
  </si>
  <si>
    <t>HH20240317 T3730021951 No Limit Hold'em $1.84 + $0.16.txt</t>
  </si>
  <si>
    <t>HH20240317 T3730023714 No Limit Hold'em $1.84 + $0.16.txt</t>
  </si>
  <si>
    <t>HH20240317 T3730027262 No Limit Hold'em $1.84 + $0.16.txt</t>
  </si>
  <si>
    <t>HH20240317 T3730028765 No Limit Hold'em $1.84 + $0.16.txt</t>
  </si>
  <si>
    <t>HH20240317 T3730029444 No Limit Hold'em $1.84 + $0.16.txt</t>
  </si>
  <si>
    <t>HH20240317 T3730029724 No Limit Hold'em $1.84 + $0.16.txt</t>
  </si>
  <si>
    <t>HH20240317 T3730033456 No Limit Hold'em $1.84 + $0.16.txt</t>
  </si>
  <si>
    <t>HH20240317 T3730074790 No Limit Hold'em $1.84 + $0.16.txt</t>
  </si>
  <si>
    <t>HH20240317 T3730078923 No Limit Hold'em $1.84 + $0.16.txt</t>
  </si>
  <si>
    <t>HH20240317 T3730081372 No Limit Hold'em $1.84 + $0.16.txt</t>
  </si>
  <si>
    <t>HH20240317 T3730083988 No Limit Hold'em $1.84 + $0.16.txt</t>
  </si>
  <si>
    <t>HH20240317 T3730092572 No Limit Hold'em $1.84 + $0.16.txt</t>
  </si>
  <si>
    <t>HH20240317 T3730159788 No Limit Hold'em $1.84 + $0.16.txt</t>
  </si>
  <si>
    <t>18.03.2024</t>
  </si>
  <si>
    <t>HH20240318 T3730505129 No Limit Hold'em $1.84 + $0.16.txt</t>
  </si>
  <si>
    <t>HH20240318 T3730600038 No Limit Hold'em $1.84 + $0.16.txt</t>
  </si>
  <si>
    <t>05.03.2024</t>
  </si>
  <si>
    <t>HH20240319 T3730954387 No Limit Hold'em $1.84 + $0.16.txt</t>
  </si>
  <si>
    <t>19.03.2024</t>
  </si>
  <si>
    <t>HH20240319 T3730957683 No Limit Hold'em $1.84 + $0.16.txt</t>
  </si>
  <si>
    <t>HH20240319 T3730961594 No Limit Hold'em $1.84 + $0.16.txt</t>
  </si>
  <si>
    <t>HH20240319 T3730966440 No Limit Hold'em $1.84 + $0.16.txt</t>
  </si>
  <si>
    <t>HH20240319 T3730969258 No Limit Hold'em $1.84 + $0.16.txt</t>
  </si>
  <si>
    <t>HH20240319 T3730973279 No Limit Hold'em $1.84 + $0.16.txt</t>
  </si>
  <si>
    <t>HH20240319 T3730974602 No Limit Hold'em $1.84 + $0.16.txt</t>
  </si>
  <si>
    <t>HH20240319 T3730978612 No Limit Hold'em $1.84 + $0.16.txt</t>
  </si>
  <si>
    <t>HH20240319 T3730980466 No Limit Hold'em $1.84 + $0.16.txt</t>
  </si>
  <si>
    <t>HH20240319 T3730982189 No Limit Hold'em $1.84 + $0.16.txt</t>
  </si>
  <si>
    <t>20.03.2024</t>
  </si>
  <si>
    <t>HH20240320 T3731325060 No Limit Hold'em $1.84 + $0.16.txt</t>
  </si>
  <si>
    <t>HH20240320 T3731326755 No Limit Hold'em $1.84 + $0.16.txt</t>
  </si>
  <si>
    <t>HH20240320 T3731329503 No Limit Hold'em $1.84 + $0.16.txt</t>
  </si>
  <si>
    <t>HH20240320 T3731378332 No Limit Hold'em $1.84 + $0.16.txt</t>
  </si>
  <si>
    <t>HH20240320 T3731380866 No Limit Hold'em $1.84 + $0.16.txt</t>
  </si>
  <si>
    <t>HH20240320 T3731382513 No Limit Hold'em $1.84 + $0.16.txt</t>
  </si>
  <si>
    <t>22.03.2024</t>
  </si>
  <si>
    <t>HH20240322 T3732012529 No Limit Hold'em $1.84 + $0.16.txt</t>
  </si>
  <si>
    <t>HH20240322 T3732030558 No Limit Hold'em $1.84 + $0.16.txt</t>
  </si>
  <si>
    <t>HH20240322 T3732031873 No Limit Hold'em $1.84 + $0.16.txt</t>
  </si>
  <si>
    <t>HH20240322 T3732034165 No Limit Hold'em $1.84 + $0.16.txt</t>
  </si>
  <si>
    <t>HH20240322 T3732086410 No Limit Hold'em $1.84 + $0.16.txt</t>
  </si>
  <si>
    <t>HH20240322 T3732087841 No Limit Hold'em $1.84 + $0.16.txt</t>
  </si>
  <si>
    <t>HH20240322 T3732088304 No Limit Hold'em $1.84 + $0.16.txt</t>
  </si>
  <si>
    <t>HH20240322 T3732089264 No Limit Hold'em $1.84 + $0.16.txt</t>
  </si>
  <si>
    <t>HH20240322 T3732092292 No Limit Hold'em $1.84 + $0.16.txt</t>
  </si>
  <si>
    <t>HH20240322 T3732094179 No Limit Hold'em $1.84 + $0.16.txt</t>
  </si>
  <si>
    <t>HH20240322 T3732098210 No Limit Hold'em $1.84 + $0.16.txt</t>
  </si>
  <si>
    <t>HH20240322 T3732099099 No Limit Hold'em $1.84 + $0.16.txt</t>
  </si>
  <si>
    <t>HH20240322 T3732100891 No Limit Hold'em $1.84 + $0.16.txt</t>
  </si>
  <si>
    <t>HH20240322 T3732108989 No Limit Hold'em $1.84 + $0.16.txt</t>
  </si>
  <si>
    <t>HH20240322 T3732135375 No Limit Hold'em $1.84 + $0.16.txt</t>
  </si>
  <si>
    <t>HH20240322 T3732141412 No Limit Hold'em $1.84 + $0.16.txt</t>
  </si>
  <si>
    <t>HH20240322 T3732143797 No Limit Hold'em $1.84 + $0.16.txt</t>
  </si>
  <si>
    <t>HH20240322 T3732147334 No Limit Hold'em $1.84 + $0.16.txt</t>
  </si>
  <si>
    <t>HH20240322 T3732149031 No Limit Hold'em $1.84 + $0.16.txt</t>
  </si>
  <si>
    <t>HH20240322 T3732249680 No Limit Hold'em $1.84 + $0.16.txt</t>
  </si>
  <si>
    <t>HH20240322 T3732253847 No Limit Hold'em $1.84 + $0.16.txt</t>
  </si>
  <si>
    <t>HH20240322 T3732255065 No Limit Hold'em $1.84 + $0.16.txt</t>
  </si>
  <si>
    <t>23.03.2024</t>
  </si>
  <si>
    <t>HH20240323 T3732527262 No Limit Hold'em $1.84 + $0.16.txt</t>
  </si>
  <si>
    <t>HH20240323 T3732535411 No Limit Hold'em $1.84 + $0.16.txt</t>
  </si>
  <si>
    <t>HH20240323 T3732556019 No Limit Hold'em $1.84 + $0.16.txt</t>
  </si>
  <si>
    <t>HH20240323 T3732557861 No Limit Hold'em $1.84 + $0.16.txt</t>
  </si>
  <si>
    <t>HH20240323 T3732559640 No Limit Hold'em $1.84 + $0.16.txt</t>
  </si>
  <si>
    <t>HH20240323 T3732562797 No Limit Hold'em $1.84 + $0.16.txt</t>
  </si>
  <si>
    <t>HH20240323 T3732566149 No Limit Hold'em $1.84 + $0.16.txt</t>
  </si>
  <si>
    <t>HH20240323 T3732603424 No Limit Hold'em $1.84 + $0.16.txt</t>
  </si>
  <si>
    <t>HH20240323 T3732606427 No Limit Hold'em $1.84 + $0.16.txt</t>
  </si>
  <si>
    <t>HH20240323 T3730408957 No Limit Hold'em $2.94 + $0.36.txt</t>
  </si>
  <si>
    <t>HH20240323 T3732690330 No Limit Hold'em $1.84 + $0.16.txt</t>
  </si>
  <si>
    <t>HH20240323 T3732694159 No Limit Hold'em $1.84 + $0.16.txt</t>
  </si>
  <si>
    <t>HH20240323 T3732697080 No Limit Hold'em $1.84 + $0.16.txt</t>
  </si>
  <si>
    <t>HH20240323 T3732699314 No Limit Hold'em $1.84 + $0.16.txt</t>
  </si>
  <si>
    <t>24.03.2024</t>
  </si>
  <si>
    <t>HH20240324 T3732917069 No Limit Hold'em $1.84 + $0.16.txt</t>
  </si>
  <si>
    <t>HH20240324 T3732938935 No Limit Hold'em $1.84 + $0.16.txt</t>
  </si>
  <si>
    <t>HH20240324 T3732940759 No Limit Hold'em $1.84 + $0.16.txt</t>
  </si>
  <si>
    <t>HH20240324 T3732942869 No Limit Hold'em $1.84 + $0.16.txt</t>
  </si>
  <si>
    <t>HH20240324 T3732945074 No Limit Hold'em $1.84 + $0.16.txt</t>
  </si>
  <si>
    <t>HH20240324 T3732945497 No Limit Hold'em $1.84 + $0.16.txt</t>
  </si>
  <si>
    <t>HH20240324 T3732946558 No Limit Hold'em $1.84 + $0.16.txt</t>
  </si>
  <si>
    <t>HH20240324 T3732948511 No Limit Hold'em $1.84 + $0.16.txt</t>
  </si>
  <si>
    <t>HH20240324 T3732950403 No Limit Hold'em $1.84 + $0.16.txt</t>
  </si>
  <si>
    <t>HH20240324 T3732952819 No Limit Hold'em $1.84 + $0.16.txt</t>
  </si>
  <si>
    <t>HH20240324 T3732954274 No Limit Hold'em $1.84 + $0.16.txt</t>
  </si>
  <si>
    <t>HH20240324 T3732956522 No Limit Hold'em $1.84 + $0.16.txt</t>
  </si>
  <si>
    <t>HH20240324 T3732958847 No Limit Hold'em $1.84 + $0.16.txt</t>
  </si>
  <si>
    <t>HH20240324 T3732961317 No Limit Hold'em $4.60 + $0.40.txt</t>
  </si>
  <si>
    <t>HH20240324 T3732963187 No Limit Hold'em $1.84 + $0.16.txt</t>
  </si>
  <si>
    <t>HH20240324 T3732964501 No Limit Hold'em $9.30 + $0.70.txt</t>
  </si>
  <si>
    <t>HH20240324 T3732966724 No Limit Hold'em $9.30 + $0.70.txt</t>
  </si>
  <si>
    <t>HH20240324 T3732990493 No Limit Hold'em $9.30 + $0.70.txt</t>
  </si>
  <si>
    <t>HH20240324 T3732994214 No Limit Hold'em $9.30 + $0.70.txt</t>
  </si>
  <si>
    <t>HH20240324 T3732995634 No Limit Hold'em $9.30 + $0.70.txt</t>
  </si>
  <si>
    <t>HH20240324 T3732996721 No Limit Hold'em $9.30 + $0.70.txt</t>
  </si>
  <si>
    <t>HH20240324 T3732999926 No Limit Hold'em $23.50 + $1.50.txt</t>
  </si>
  <si>
    <t>HH20240324 T3733003376 No Limit Hold'em $4.60 + $0.40.txt</t>
  </si>
  <si>
    <t>HH20240324 T3733005764 No Limit Hold'em $1.84 + $0.16.txt</t>
  </si>
  <si>
    <t>28.03.2024</t>
  </si>
  <si>
    <t>HH20240328 T3734565797 No Limit Hold'em $1.84 + $0.16.txt</t>
  </si>
  <si>
    <t>HH20240328 T3734567595 No Limit Hold'em $1.84 + $0.16.txt</t>
  </si>
  <si>
    <t>HH20240328 T3734788902 No Limit Hold'em $1.84 + $0.16.txt</t>
  </si>
  <si>
    <t>HH20240329 T3735013481 No Limit Hold'em $1.84 + $0.16.txt</t>
  </si>
  <si>
    <t>HH20240329 T3735015554 No Limit Hold'em $1.84 + $0.16.txt</t>
  </si>
  <si>
    <t>HH20240329 T3735023208 No Limit Hold'em $1.84 + $0.16.txt</t>
  </si>
  <si>
    <t>HH20240329 T3735031002 No Limit Hold'em $1.84 + $0.16.txt</t>
  </si>
  <si>
    <t>HH20240329 T3735033876 No Limit Hold'em $1.84 + $0.16.txt</t>
  </si>
  <si>
    <t>HH20240329 T3735035759 No Limit Hold'em $1.84 + $0.16.txt</t>
  </si>
  <si>
    <t>HH20240329 T3735036792 No Limit Hold'em $1.84 + $0.16.txt</t>
  </si>
  <si>
    <t>HH20240329 T3735038313 No Limit Hold'em $1.84 + $0.16.txt</t>
  </si>
  <si>
    <t>HH20240329 T3735038644 No Limit Hold'em $1.84 + $0.16.txt</t>
  </si>
  <si>
    <t>HH20240329 T3735059527 No Limit Hold'em $1.84 + $0.16.txt</t>
  </si>
  <si>
    <t>HH20240329 T3735061165 No Limit Hold'em $1.84 + $0.16.txt</t>
  </si>
  <si>
    <t>HH20240329 T3735063610 No Limit Hold'em $1.84 + $0.16.txt</t>
  </si>
  <si>
    <t>HH20240329 T3735065276 No Limit Hold'em $1.84 + $0.16.txt</t>
  </si>
  <si>
    <t>HH20240329 T3735068369 No Limit Hold'em $1.84 + $0.16.txt</t>
  </si>
  <si>
    <t>29.03.2024</t>
  </si>
  <si>
    <t>HH20240330 T3735425969 No Limit Hold'em $1.84 + $0.16.txt</t>
  </si>
  <si>
    <t>HH20240330 T3735426971 No Limit Hold'em $1.84 + $0.16.txt</t>
  </si>
  <si>
    <t>HH20240330 T3735429252 No Limit Hold'em $1.84 + $0.16.txt</t>
  </si>
  <si>
    <t>HH20240330 T3735443462 No Limit Hold'em $1.84 + $0.16.txt</t>
  </si>
  <si>
    <t>HH20240330 T3735450315 No Limit Hold'em $1.84 + $0.16.txt</t>
  </si>
  <si>
    <t>HH20240330 T3735472986 No Limit Hold'em $1.84 + $0.16.txt</t>
  </si>
  <si>
    <t>HH20240330 T3735482232 No Limit Hold'em $1.84 + $0.16.txt</t>
  </si>
  <si>
    <t>30.03.2024</t>
  </si>
  <si>
    <t>HH20240330 T3735585383 No Limit Hold'em $1.84 + $0.16.txt</t>
  </si>
  <si>
    <t>HH20240330 T3735586453 No Limit Hold'em $1.84 + $0.16.txt</t>
  </si>
  <si>
    <t>HH20240330 T3735587490 No Limit Hold'em $1.84 + $0.16.txt</t>
  </si>
  <si>
    <t>HH20240330 T3735588724 No Limit Hold'em $4.60 + $0.40.txt</t>
  </si>
  <si>
    <t>HH20240330 T3735592464 No Limit Hold'em $9.30 + $0.70.txt</t>
  </si>
  <si>
    <t>HH20240330 T3735596495 No Limit Hold'em $9.30 + $0.70.txt</t>
  </si>
  <si>
    <t>HH20240330 T3735639408 No Limit Hold'em $9.30 + $0.70.txt</t>
  </si>
  <si>
    <t>HH20240330 T3735643583 No Limit Hold'em $9.30 + $0.70.txt</t>
  </si>
  <si>
    <t>31.03.2024</t>
  </si>
  <si>
    <t>HH20240331 T3735851775 No Limit Hold'em $1.84 + $0.16.txt</t>
  </si>
  <si>
    <t>HH20240331 T3735852424 No Limit Hold'em $1.84 + $0.16.txt</t>
  </si>
  <si>
    <t>HH20240331 T3735854496 No Limit Hold'em $1.84 + $0.16.txt</t>
  </si>
  <si>
    <t>HH20240331 T3735856520 No Limit Hold'em $1.84 + $0.16.txt</t>
  </si>
  <si>
    <t>HH20240331 T3735857152 No Limit Hold'em $1.84 + $0.16.txt</t>
  </si>
  <si>
    <t>HH20240331 T3735915483 No Limit Hold'em $1.84 + $0.16.txt</t>
  </si>
  <si>
    <t>HH20240331 T3735916910 No Limit Hold'em $1.84 + $0.16.txt</t>
  </si>
  <si>
    <t>HH20240331 T3735918829 No Limit Hold'em $1.84 + $0.16.txt</t>
  </si>
  <si>
    <t>HH20240331 T3735919387 No Limit Hold'em $1.84 + $0.16.txt</t>
  </si>
  <si>
    <t>HH20240331 T3735921353 No Limit Hold'em $1.84 + $0.16.txt</t>
  </si>
  <si>
    <t>HH20240331 T3735923678 No Limit Hold'em $1.84 + $0.16.txt</t>
  </si>
  <si>
    <t>HH20240331 T3735973708 No Limit Hold'em $1.84 + $0.16.txt</t>
  </si>
  <si>
    <t>HH20240331 T3735974912 No Limit Hold'em $1.84 + $0.16.txt</t>
  </si>
  <si>
    <t>HH20240331 T3735977885 No Limit Hold'em $1.84 + $0.16.txt</t>
  </si>
  <si>
    <t>HH20240331 T3735978092 No Limit Hold'em $1.84 + $0.16.txt</t>
  </si>
  <si>
    <t>HH20240331 T3736040936 No Limit Hold'em $1.84 + $0.16.txt</t>
  </si>
  <si>
    <t>HH20240331 T3736105933 No Limit Hold'em $1.84 + $0.16.txt</t>
  </si>
  <si>
    <t>HH20240331 T3736109116 No Limit Hold'em $1.84 + $0.16.txt</t>
  </si>
  <si>
    <t>01.04.2024</t>
  </si>
  <si>
    <t>HH20240401 T3736354143 No Limit Hold'em $1.84 + $0.16.txt</t>
  </si>
  <si>
    <t>HH20240401 T3736354602 No Limit Hold'em $1.84 + $0.16.txt</t>
  </si>
  <si>
    <t>HH20240401 T3736356107 No Limit Hold'em $1.84 + $0.16.txt</t>
  </si>
  <si>
    <t>HH20240401 T3736359568 No Limit Hold'em $1.84 + $0.16.txt</t>
  </si>
  <si>
    <t>HH20240401 T3736362781 No Limit Hold'em $9.30 + $0.70.txt</t>
  </si>
  <si>
    <t>HH20240401 T3736365213 No Limit Hold'em $9.30 + $0.70.txt</t>
  </si>
  <si>
    <t>HH20240401 T3736446952 No Limit Hold'em $1.84 + $0.16.txt</t>
  </si>
  <si>
    <t>HH20240401 T3736480658 No Limit Hold'em $1.84 + $0.16.txt</t>
  </si>
  <si>
    <t>HH20240401 T3736483622 No Limit Hold'em $1.84 + $0.16.txt</t>
  </si>
  <si>
    <t>HH20240402 T3736856971 No Limit Hold'em $1.84 + $0.16.txt</t>
  </si>
  <si>
    <t>02.04.2024</t>
  </si>
  <si>
    <t>HH20240402 T3736861042 No Limit Hold'em $1.84 + $0.16.txt</t>
  </si>
  <si>
    <t>03.04.2024</t>
  </si>
  <si>
    <t>HH20240403 T3737111540 No Limit Hold'em $1.84 + $0.16.txt</t>
  </si>
  <si>
    <t>HH20240403 T3737199131 No Limit Hold'em $1.84 + $0.16.txt</t>
  </si>
  <si>
    <t>HH20240403 T3737202353 No Limit Hold'em $1.84 + $0.16.txt</t>
  </si>
  <si>
    <t>04.04.2024</t>
  </si>
  <si>
    <t>HH20240404 T3737544453 No Limit Hold'em $1.84 + $0.16.txt</t>
  </si>
  <si>
    <t>HH20240404 T3737548242 No Limit Hold'em $1.84 + $0.16.txt</t>
  </si>
  <si>
    <t>05.04.2024</t>
  </si>
  <si>
    <t>HH20240405 T3737802679 No Limit Hold'em $1.84 + $0.16.txt</t>
  </si>
  <si>
    <t>HH20240405 T3737803250 No Limit Hold'em $1.84 + $0.16.txt</t>
  </si>
  <si>
    <t>HH20240405 T3737804498 No Limit Hold'em $1.84 + $0.16.txt</t>
  </si>
  <si>
    <t>06.04.2024</t>
  </si>
  <si>
    <t>HH20240406 T3738368821 No Limit Hold'em $1.84 + $0.16.txt</t>
  </si>
  <si>
    <t>HH20240406 T3738370077 No Limit Hold'em $1.84 + $0.16.txt</t>
  </si>
  <si>
    <t>HH20240406 T3738370712 No Limit Hold'em $1.84 + $0.16.txt</t>
  </si>
  <si>
    <t>HH20240406 T3738371285 No Limit Hold'em $1.84 + $0.16.txt</t>
  </si>
  <si>
    <t>HH20240406 T3738373095 No Limit Hold'em $1.84 + $0.16.txt</t>
  </si>
  <si>
    <t>HH20240406 T3738375178 No Limit Hold'em $1.84 + $0.16.txt</t>
  </si>
  <si>
    <t>HH20240406 T3738377231 No Limit Hold'em $1.84 + $0.16.txt</t>
  </si>
  <si>
    <t>HH20240406 T3738384002 No Limit Hold'em $1.84 + $0.16.txt</t>
  </si>
  <si>
    <t>HH20240406 T3738396985 No Limit Hold'em $1.84 + $0.16.txt</t>
  </si>
  <si>
    <t>HH20240406 T3738399863 No Limit Hold'em $1.84 + $0.16.txt</t>
  </si>
  <si>
    <t>07.04.2024</t>
  </si>
  <si>
    <t>HH20240407 T3738721991 No Limit Hold'em $1.84 + $0.16.txt</t>
  </si>
  <si>
    <t>HH20240407 T3738723167 No Limit Hold'em $1.84 + $0.16.txt</t>
  </si>
  <si>
    <t>HH20240407 T3738723673 No Limit Hold'em $1.84 + $0.16.txt</t>
  </si>
  <si>
    <t>HH20240407 T3738878236 No Limit Hold'em $1.84 + $0.16.txt</t>
  </si>
  <si>
    <t>HH20240407 T3738879786 No Limit Hold'em $1.84 + $0.16.txt</t>
  </si>
  <si>
    <t>HH20240407 T3738882698 No Limit Hold'em $1.84 + $0.16.txt</t>
  </si>
  <si>
    <t>HH20240407 T3738883502 No Limit Hold'em $1.84 + $0.16.txt</t>
  </si>
  <si>
    <t>08.04.2024</t>
  </si>
  <si>
    <t>HH20240408 T3739311269 No Limit Hold'em $1.84 + $0.16.txt</t>
  </si>
  <si>
    <t>HH20240408 T3739391075 No Limit Hold'em $1.84 + $0.16.txt</t>
  </si>
  <si>
    <t>HH20240408 T3739391942 No Limit Hold'em $1.84 + $0.16.txt</t>
  </si>
  <si>
    <t>HH20240408 T3739393117 No Limit Hold'em $1.84 + $0.16.txt</t>
  </si>
  <si>
    <t>09.04.2024</t>
  </si>
  <si>
    <t>HH20240409 T3739627008 No Limit Hold'em $1.84 + $0.16.txt</t>
  </si>
  <si>
    <t>HH20240409 T3739731027 No Limit Hold'em $1.84 + $0.16.txt</t>
  </si>
  <si>
    <t>HH20240409 T3739734697 No Limit Hold'em $1.84 + $0.16.txt</t>
  </si>
  <si>
    <t>HH20240409 T3739738470 No Limit Hold'em $1.84 + $0.16.txt</t>
  </si>
  <si>
    <t>HH20240409 T3739743145 No Limit Hold'em $1.84 + $0.16.txt</t>
  </si>
  <si>
    <t>HH20240409 T3739746078 No Limit Hold'em $1.84 + $0.16.txt</t>
  </si>
  <si>
    <t>HH20240409 T3739748590 No Limit Hold'em $1.84 + $0.16.txt</t>
  </si>
  <si>
    <t>HH20240409 T3739769334 No Limit Hold'em $1.84 + $0.16.txt</t>
  </si>
  <si>
    <t>HH20240409 T3739770401 No Limit Hold'em $1.84 + $0.16.txt</t>
  </si>
  <si>
    <t>(Multiple Items)</t>
  </si>
  <si>
    <t>10.04.2024</t>
  </si>
  <si>
    <t>HH20240410 T3740201761 No Limit Hold'em $1.84 + $0.16.txt</t>
  </si>
  <si>
    <t>15.04.2024</t>
  </si>
  <si>
    <t>HH20240415 T3742252566 No Limit Hold'em $1.84 + $0.16.txt</t>
  </si>
  <si>
    <t>HH20240417 T3743082259 No Limit Hold'em $1.84 + $0.16.txt</t>
  </si>
  <si>
    <t>HH20240417 T3743085036 No Limit Hold'em $1.84 + $0.16.txt</t>
  </si>
  <si>
    <t>17.04.2024</t>
  </si>
  <si>
    <t>18.04.2024</t>
  </si>
  <si>
    <t>HH20240418 T3743440180 No Limit Hold'em $1.84 + $0.16.txt</t>
  </si>
  <si>
    <t>HH20240418 T3743441257 No Limit Hold'em $1.84 + $0.16.txt</t>
  </si>
  <si>
    <t>HH20240418 T3743444605 No Limit Hold'em $1.84 + $0.16.txt</t>
  </si>
  <si>
    <t>HH20240418 T3743447913 No Limit Hold'em $1.84 + $0.16.txt</t>
  </si>
  <si>
    <t>HH20240418 T3743453652 No Limit Hold'em $9.30 + $0.70.txt</t>
  </si>
  <si>
    <t>19.04.2024</t>
  </si>
  <si>
    <t>HH20240419 T3743716673 No Limit Hold'em $1.84 + $0.16.txt</t>
  </si>
  <si>
    <t>HH20240419 T3743723763 No Limit Hold'em $1.84 + $0.16.txt</t>
  </si>
  <si>
    <t>20.04.2024</t>
  </si>
  <si>
    <t>HH20240420 T3744306205 No Limit Hold'em $1.84 + $0.16.txt</t>
  </si>
  <si>
    <t>HH20240420 T3744309293 No Limit Hold'em $1.84 + $0.16.txt</t>
  </si>
  <si>
    <t>22.04.2024</t>
  </si>
  <si>
    <t>HH20240422 T3745142515 No Limit Hold'em $1.84 + $0.16.txt</t>
  </si>
  <si>
    <t>HH20240422 T3745146480 No Limit Hold'em $1.84 + $0.16.txt</t>
  </si>
  <si>
    <t>HH20240422 T3745149829 No Limit Hold'em $1.84 + $0.16.txt</t>
  </si>
  <si>
    <t>23.04.2024</t>
  </si>
  <si>
    <t>HH20240423 T3745494667 No Limit Hold'em $1.84 + $0.16.txt</t>
  </si>
  <si>
    <t>HH20240423 T3745499211 No Limit Hold'em $1.84 + $0.16.txt</t>
  </si>
  <si>
    <t>HH20240423 T3745502139 No Limit Hold'em $1.84 + $0.16.txt</t>
  </si>
  <si>
    <t>24.04.2024</t>
  </si>
  <si>
    <t>HH20240424 T3746380292 No Limit Hold'em $1.84 + $0.16.txt</t>
  </si>
  <si>
    <t>HH20240424 T3746382975 No Limit Hold'em $1.84 + $0.16.txt</t>
  </si>
  <si>
    <t>HH20240424 T3746388254 No Limit Hold'em $1.84 + $0.16.txt</t>
  </si>
  <si>
    <t>HH20240424 T3746391545 No Limit Hold'em $1.84 + $0.16.txt</t>
  </si>
  <si>
    <t>HH20240424 T3746397737 No Limit Hold'em $1.84 + $0.16.txt</t>
  </si>
  <si>
    <t>HH20240424 T3746400502 No Limit Hold'em $1.84 + $0.16.txt</t>
  </si>
  <si>
    <t>HH20240424 T3746405426 No Limit Hold'em $1.84 + $0.16.txt</t>
  </si>
  <si>
    <t>26.04.2024</t>
  </si>
  <si>
    <t>HH20240426 T3747096688 No Limit Hold'em $1.84 + $0.16.txt</t>
  </si>
  <si>
    <t>HH20240426 T3747097788 No Limit Hold'em $1.84 + $0.16.txt</t>
  </si>
  <si>
    <t>HH20240426 T3747100801 No Limit Hold'em $1.84 + $0.16.txt</t>
  </si>
  <si>
    <t>HH20240426 T3747140761 No Limit Hold'em $1.84 + $0.16.txt</t>
  </si>
  <si>
    <t>HH20240426 T3747184771 No Limit Hold'em $1.84 + $0.16.txt</t>
  </si>
  <si>
    <t>HH20240426 T3747186121 No Limit Hold'em $1.84 + $0.16.txt</t>
  </si>
  <si>
    <t>HH20240426 T3747189553 No Limit Hold'em $1.84 + $0.16.txt</t>
  </si>
  <si>
    <t>HH20240426 T3747191143 No Limit Hold'em $1.84 + $0.16.txt</t>
  </si>
  <si>
    <t>HH20240426 T3747194027 No Limit Hold'em $1.84 + $0.16.txt</t>
  </si>
  <si>
    <t>27.04.2024</t>
  </si>
  <si>
    <t>HH20240427 T3747450524 No Limit Hold'em $1.84 + $0.16.txt</t>
  </si>
  <si>
    <t>HH20240427 T3747451148 No Limit Hold'em $1.84 + $0.16.txt</t>
  </si>
  <si>
    <t>28.04.2024</t>
  </si>
  <si>
    <t>HH20240428 T3747844682 No Limit Hold'em $1.84 + $0.16.txt</t>
  </si>
  <si>
    <t>HH20240428 T3747846111 No Limit Hold'em $1.84 + $0.16.txt</t>
  </si>
  <si>
    <t>HH20240428 T3747846922 No Limit Hold'em $1.84 + $0.16.txt</t>
  </si>
  <si>
    <t>01.05.2024</t>
  </si>
  <si>
    <t>HH20240501 T3749009327 No Limit Hold'em $1.84 + $0.16.txt</t>
  </si>
  <si>
    <t>HH20240501 T3749011836 No Limit Hold'em $1.84 + $0.16.txt</t>
  </si>
  <si>
    <t>HH20240501 T3749223773 No Limit Hold'em $1.84 + $0.16.txt</t>
  </si>
  <si>
    <t>06.05.2024</t>
  </si>
  <si>
    <t>HH20240506 T3751172091 No Limit Hold'em $1.84 + $0.16.txt</t>
  </si>
  <si>
    <t>HH20240506 T3751174009 No Limit Hold'em $1.84 + $0.16.txt</t>
  </si>
  <si>
    <t>HH20240506 T3751177821 No Limit Hold'em $1.84 + $0.16.txt</t>
  </si>
  <si>
    <t>09.05.2024</t>
  </si>
  <si>
    <t>HH20240509 T3752232236 No Limit Hold'em $1.84 + $0.16.txt</t>
  </si>
  <si>
    <t>HH20240509 T3752232760 No Limit Hold'em $1.84 + $0.16.txt</t>
  </si>
  <si>
    <t>HH20240509 T3752233791 No Limit Hold'em $1.84 + $0.16.txt</t>
  </si>
  <si>
    <t>HH20240509 T3752234524 No Limit Hold'em $1.84 + $0.16.txt</t>
  </si>
  <si>
    <t>HH20240510 T3752804588 No Limit Hold'em $1.84 + $0.16.txt</t>
  </si>
  <si>
    <t>10.05.2024</t>
  </si>
  <si>
    <t>HH20240510 T3752806313 No Limit Hold'em $1.84 + $0.16.txt</t>
  </si>
  <si>
    <t>HH20240510 T3752811277 No Limit Hold'em $1.84 + $0.16.txt</t>
  </si>
  <si>
    <t>HH20240511 T3753122710 No Limit Hold'em $1.84 + $0.16.txt</t>
  </si>
  <si>
    <t>11.05.2024</t>
  </si>
  <si>
    <t>HH20240511 T3753123678 No Limit Hold'em $1.84 + $0.16.txt</t>
  </si>
  <si>
    <t>12.05.2024</t>
  </si>
  <si>
    <t>HH20240512 T3753550073 No Limit Hold'em $1.84 + $0.16.txt</t>
  </si>
  <si>
    <t>HH20240512 T3753552565 No Limit Hold'em $1.84 + $0.16.txt</t>
  </si>
  <si>
    <t>HH20240512 T3753554834 No Limit Hold'em $1.84 + $0.16.txt</t>
  </si>
  <si>
    <t>HH20240512 T3753558076 No Limit Hold'em $1.84 + $0.16.txt</t>
  </si>
  <si>
    <t>HH20240514 T3754437519 No Limit Hold'em $1.84 + $0.16.txt</t>
  </si>
  <si>
    <t>14.05.2024</t>
  </si>
  <si>
    <t>HH20240514 T3754442645 No Limit Hold'em $0.46 + $0.04.txt</t>
  </si>
  <si>
    <t>HH20240514 T3754443579 No Limit Hold'em $0.46 + $0.04.txt</t>
  </si>
  <si>
    <t>HH20240514 T3754446957 No Limit Hold'em $1.84 + $0.16.txt</t>
  </si>
  <si>
    <t>HH20240514 T3754450951 No Limit Hold'em $1.84 + $0.16.txt</t>
  </si>
  <si>
    <t>15.05.2024</t>
  </si>
  <si>
    <t>HH20240515 T3754620366 No Limit Hold'em $1.84 + $0.16.txt</t>
  </si>
  <si>
    <t>HH20240515 T3754620690 No Limit Hold'em $1.84 + $0.16.txt</t>
  </si>
  <si>
    <t>HH20240515 T3754621529 No Limit Hold'em $1.84 + $0.16.txt</t>
  </si>
  <si>
    <t>HH20240515 T3754656437 No Limit Hold'em $1.84 + $0.16.txt</t>
  </si>
  <si>
    <t>HH20240515 T3754658056 No Limit Hold'em $1.84 + $0.16.txt</t>
  </si>
  <si>
    <t>HH20240515 T3754676708 No Limit Hold'em $1.84 + $0.16.txt</t>
  </si>
  <si>
    <t>HH20240515 T3754679294 No Limit Hold'em $1.84 + $0.16.txt</t>
  </si>
  <si>
    <t>HH20240515 T3754680530 No Limit Hold'em $1.84 + $0.16.txt</t>
  </si>
  <si>
    <t>HH20240515 T3754747661 No Limit Hold'em $1.84 + $0.16.txt</t>
  </si>
  <si>
    <t>HH20240515 T3754750800 No Limit Hold'em $1.84 + $0.16.txt</t>
  </si>
  <si>
    <t>HH20240515 T3754751472 No Limit Hold'em $1.84 + $0.16.txt</t>
  </si>
  <si>
    <t>HH20240515 T3754752989 No Limit Hold'em $9.30 + $0.70.txt</t>
  </si>
  <si>
    <t>HH20240516 T3755015285 No Limit Hold'em $1.84 + $0.16.txt</t>
  </si>
  <si>
    <t>16.05.2024</t>
  </si>
  <si>
    <t>HH20240516 T3755050358 No Limit Hold'em $1.84 + $0.16.txt</t>
  </si>
  <si>
    <t>HH20240516 T3755052215 No Limit Hold'em $1.84 + $0.16.txt</t>
  </si>
  <si>
    <t>17.05.2024</t>
  </si>
  <si>
    <t>HH20240517 T3755430666 No Limit Hold'em $1.84 + $0.16.txt</t>
  </si>
  <si>
    <t>HH20240517 T3755537170 No Limit Hold'em $1.84 + $0.16.txt</t>
  </si>
  <si>
    <t>HH20240517 T3755539438 No Limit Hold'em $1.84 + $0.16.txt</t>
  </si>
  <si>
    <t>HH20240517 T3755542390 No Limit Hold'em $1.84 + $0.16.txt</t>
  </si>
  <si>
    <t>HH20240517 T3755545849 No Limit Hold'em $1.84 + $0.16.txt</t>
  </si>
  <si>
    <t>HH20240517 T3755548873 No Limit Hold'em $1.84 + $0.16.txt</t>
  </si>
  <si>
    <t>20.05.2024</t>
  </si>
  <si>
    <t>HH20240520 T3756652925 No Limit Hold'em $1.84 + $0.16.txt</t>
  </si>
  <si>
    <t>HH20240520 T3756654783 No Limit Hold'em $0.46 + $0.04.txt</t>
  </si>
  <si>
    <t>HH20240520 T3756655759 No Limit Hold'em $0.46 + $0.04.txt</t>
  </si>
  <si>
    <t>22.05.2024</t>
  </si>
  <si>
    <t>HH20240522 T3757598156 No Limit Hold'em $0.46 + $0.04.txt</t>
  </si>
  <si>
    <t>HH20240522 T3757601366 No Limit Hold'em $1.84 + $0.16.txt</t>
  </si>
  <si>
    <t>HH20240522 T3757602898 No Limit Hold'em $0.46 + $0.04.txt</t>
  </si>
  <si>
    <t>31.05.2024</t>
  </si>
  <si>
    <t>HH20240531 T3760970905 No Limit Hold'em $1.84 + $0.16.txt</t>
  </si>
  <si>
    <t>HH20240531 T3760974716 No Limit Hold'em $0.46 + $0.04.txt</t>
  </si>
  <si>
    <t>HH20240531 T3760975675 No Limit Hold'em $1.84 + $0.16.txt</t>
  </si>
  <si>
    <t>HH20240531 T3760977403 No Limit Hold'em $1.84 + $0.16.txt</t>
  </si>
  <si>
    <t>HH20240531 T3760978766 No Limit Hold'em $1.84 + $0.16.txt</t>
  </si>
  <si>
    <t>HH20240531 T3760982631 No Limit Hold'em $1.84 + $0.16.txt</t>
  </si>
  <si>
    <t>22.06.2024</t>
  </si>
  <si>
    <t>HH20240622 T3769769208 No Limit Hold'em $1.84 + $0.16.txt</t>
  </si>
  <si>
    <t>HH20240622 T3769770864 No Limit Hold'em $0.46 + $0.04.txt</t>
  </si>
  <si>
    <t>HH20240622 T3769771497 No Limit Hold'em $1.84 + $0.16.txt</t>
  </si>
  <si>
    <t>HH20240622 T3769773166 No Limit Hold'em $1.84 + $0.16.txt</t>
  </si>
  <si>
    <t>27.06.2024</t>
  </si>
  <si>
    <t>HH20240627 T3771647681 No Limit Hold'em $1.84 + $0.16.txt</t>
  </si>
  <si>
    <t>HH20240627 T3771650005 No Limit Hold'em $0.46 + $0.04.txt</t>
  </si>
  <si>
    <t>HH20240627 T3771651691 No Limit Hold'em $1.84 + $0.16.txt</t>
  </si>
  <si>
    <t>HH20240627 T3771653537 No Limit Hold'em $1.84 + $0.16.txt</t>
  </si>
  <si>
    <t>HH20240627 T3771655616 No Limit Hold'em $1.84 + $0.16.txt</t>
  </si>
  <si>
    <t>29.06.2024</t>
  </si>
  <si>
    <t>HH20240629 T3772394986 No Limit Hold'em $1.84 + $0.16.txt</t>
  </si>
  <si>
    <t>HH20240629 T3772397570 No Limit Hold'em $0.46 + $0.04.txt</t>
  </si>
  <si>
    <t>HH20240629 T3772398295 No Limit Hold'em $1.84 + $0.16.txt</t>
  </si>
  <si>
    <t>HH20240629 T3772400312 No Limit Hold'em $1.84 + $0.16.txt</t>
  </si>
  <si>
    <t>HH20240629 T3772402998 No Limit Hold'em $1.84 + $0.16.txt</t>
  </si>
  <si>
    <t>HH20240629 T3772404536 No Limit Hold'em $1.84 + $0.16.txt</t>
  </si>
  <si>
    <t>HH20240629 T3772408057 No Limit Hold'em $1.84 + $0.16.txt</t>
  </si>
  <si>
    <t>HH20240629 T3772412970 No Limit Hold'em $1.84 + $0.16.txt</t>
  </si>
  <si>
    <t>HH20240629 T3772416052 No Limit Hold'em $1.84 + $0.16.txt</t>
  </si>
  <si>
    <t>30.06.2024</t>
  </si>
  <si>
    <t>HH20240630 T3772588728 No Limit Hold'em $1.84 + $0.16.txt</t>
  </si>
  <si>
    <t>HH20240630 T3772590409 No Limit Hold'em $0.46 + $0.04.txt</t>
  </si>
  <si>
    <t>HH20240630 T3772591120 No Limit Hold'em $1.84 + $0.16.txt</t>
  </si>
  <si>
    <t>05.07.2024</t>
  </si>
  <si>
    <t>HH20240705 T3774398813 No Limit Hold'em $1.84 + $0.16.txt</t>
  </si>
  <si>
    <t>HH20240705 T3774399890 No Limit Hold'em $0.46 + $0.04.txt</t>
  </si>
  <si>
    <t>HH20240706 T3774785258 No Limit Hold'em $1.84 + $0.16.txt</t>
  </si>
  <si>
    <t>06.07.2024</t>
  </si>
  <si>
    <t>HH20240706 T3774786861 No Limit Hold'em $0.46 + $0.04.txt</t>
  </si>
  <si>
    <t>HH20240706 T3772266732 No Limit Hold'em $1.40 + $0.10.txt</t>
  </si>
  <si>
    <t>Power Path Step 2</t>
  </si>
  <si>
    <t>07.07.2024</t>
  </si>
  <si>
    <t>HH20240707 T3775215842 No Limit Hold'em $1.84 + $0.16.txt</t>
  </si>
  <si>
    <t>HH20240707 T3775217621 No Limit Hold'em $0.46 + $0.04.txt</t>
  </si>
  <si>
    <t>HH20240707 T3775218393 No Limit Hold'em $1.84 + $0.16.txt</t>
  </si>
  <si>
    <t>HH20240707 T3775219387 No Limit Hold'em $1.84 + $0.16.txt</t>
  </si>
  <si>
    <t>08.07.2024</t>
  </si>
  <si>
    <t>HH20240709 T3775978237 No Limit Hold'em $1.84 + $0.16.txt</t>
  </si>
  <si>
    <t>HH20240709 T3775982772 No Limit Hold'em $1.84 + $0.16.txt</t>
  </si>
  <si>
    <t>HH20240709 T3775984254 No Limit Hold'em $0.46 + $0.04.txt</t>
  </si>
  <si>
    <t>HH20240709 T3775984692 No Limit Hold'em $1.84 + $0.16.txt</t>
  </si>
  <si>
    <t>HH20240709 T3775987531 No Limit Hold'em $1.84 + $0.16.txt</t>
  </si>
  <si>
    <t>11.07.2024</t>
  </si>
  <si>
    <t>HH20240711 T3776720723 No Limit Hold'em $1.84 + $0.16.txt</t>
  </si>
  <si>
    <t>HH20240711 T3776733397 No Limit Hold'em $0.46 + $0.04.txt</t>
  </si>
  <si>
    <t>HH20240711 T3776736414 No Limit Hold'em $1.84 + $0.16.txt</t>
  </si>
  <si>
    <t>HH20240711 T3776734483 No Limit Hold'em $0.96 + $0.04.txt</t>
  </si>
  <si>
    <t>HH20240711 T3776738755 No Limit Hold'em $1.84 + $0.16.txt</t>
  </si>
  <si>
    <t>HH20240711 T3776743429 No Limit Hold'em $1.84 + $0.16.txt</t>
  </si>
  <si>
    <t>HH20240711 T3776744511 No Limit Hold'em $1.84 + $0.16.txt</t>
  </si>
  <si>
    <t>HH20240711 T3776746265 No Limit Hold'em $1.84 + $0.16.txt</t>
  </si>
  <si>
    <t>HH20240711 T3776748764 No Limit Hold'em $1.84 + $0.16.txt</t>
  </si>
  <si>
    <t>HH20240712 T3776934562 No Limit Hold'em $1.84 + $0.16.txt</t>
  </si>
  <si>
    <t>HH20240712 T3776936115 No Limit Hold'em $0.46 + $0.04.txt</t>
  </si>
  <si>
    <t>12.07.2024</t>
  </si>
  <si>
    <t>HH20240712 T3776962505 No Limit Hold'em $1.84 + $0.16.txt</t>
  </si>
  <si>
    <t>HH20240712 T3776964294 No Limit Hold'em $1.84 + $0.16.txt</t>
  </si>
  <si>
    <t>HH20240712 T3776965274 No Limit Hold'em $1.84 + $0.16.txt</t>
  </si>
  <si>
    <t>HH20240712 T3775177211 No Limit Hold'em $1.40 + $0.10.txt</t>
  </si>
  <si>
    <t>HH20240712 T3775177099 No Limit Hold'em $10.27 + $0.73.txt</t>
  </si>
  <si>
    <t>HH20240712 T3777078291 No Limit Hold'em $1.84 + $0.16.txt</t>
  </si>
  <si>
    <t>HH20240712 T3777083183 No Limit Hold'em $1.84 + $0.16.txt</t>
  </si>
  <si>
    <t>HH20240712 T3777084196 No Limit Hold'em $1.84 + $0.16.txt</t>
  </si>
  <si>
    <t>HH20240712 T3777085143 No Limit Hold'em $1.84 + $0.16.txt</t>
  </si>
  <si>
    <t>HH20240712 T3777087850 No Limit Hold'em $1.84 + $0.16.txt</t>
  </si>
  <si>
    <t>HH20240712 T3777100369 No Limit Hold'em $1.84 + $0.16.txt</t>
  </si>
  <si>
    <t>HH20240712 T3777116199 No Limit Hold'em $1.84 + $0.16.txt</t>
  </si>
  <si>
    <t>HH20240712 T3777117524 No Limit Hold'em $1.84 + $0.16.txt</t>
  </si>
  <si>
    <t>HH20240712 T3777121823 No Limit Hold'em $1.84 + $0.16.txt</t>
  </si>
  <si>
    <t>HH20240712 T3777123552 No Limit Hold'em $1.84 + $0.16.txt</t>
  </si>
  <si>
    <t>HH20240712 T3777126985 No Limit Hold'em $1.84 + $0.16.txt</t>
  </si>
  <si>
    <t>HH20240712 T3777129121 No Limit Hold'em $1.84 + $0.16.txt</t>
  </si>
  <si>
    <t>HH20240712 T3777132079 No Limit Hold'em $1.84 + $0.16.txt</t>
  </si>
  <si>
    <t>HH20240712 T3777135111 No Limit Hold'em $1.84 + $0.16.txt</t>
  </si>
  <si>
    <t>HH20240712 T3777135758 No Limit Hold'em $1.84 + $0.16.txt</t>
  </si>
  <si>
    <t>HH20240712 T3777137286 No Limit Hold'em $1.84 + $0.16.txt</t>
  </si>
  <si>
    <t>14.07.2024</t>
  </si>
  <si>
    <t>HH20240714 T3777692935 No Limit Hold'em $1.84 + $0.16.txt</t>
  </si>
  <si>
    <t>HH20240714 T3777694360 No Limit Hold'em $0.46 + $0.04.txt</t>
  </si>
  <si>
    <t>HH20240714 T3777694633 No Limit Hold'em $1.84 + $0.16.txt</t>
  </si>
  <si>
    <t>HH20240714 T3777695806 No Limit Hold'em $1.84 + $0.16.txt</t>
  </si>
  <si>
    <t>HH20240714 T3777776942 No Limit Hold'em $1.84 + $0.16.txt</t>
  </si>
  <si>
    <t>HH20240714 T3777777398 No Limit Hold'em $1.84 + $0.16.txt</t>
  </si>
  <si>
    <t>HH20240714 T3777778193 No Limit Hold'em $1.84 + $0.16.txt</t>
  </si>
  <si>
    <t>HH20240714 T3777780728 No Limit Hold'em $1.84 + $0.16.txt</t>
  </si>
  <si>
    <t>HH20240714 T3777782995 No Limit Hold'em $1.84 + $0.16.txt</t>
  </si>
  <si>
    <t>HH20240714 T3777784017 No Limit Hold'em $1.84 + $0.16.txt</t>
  </si>
  <si>
    <t>HH20240714 T3777784961 No Limit Hold'em $1.84 + $0.16.txt</t>
  </si>
  <si>
    <t>HH20240714 T3777797442 No Limit Hold'em $1.84 + $0.16.txt</t>
  </si>
  <si>
    <t>16.07.2024</t>
  </si>
  <si>
    <t>HH20240716 T3778564283 No Limit Hold'em $1.84 + $0.16.txt</t>
  </si>
  <si>
    <t>HH20240716 T3778569575 No Limit Hold'em $0.46 + $0.04.txt</t>
  </si>
  <si>
    <t>HH20240716 T3778570122 No Limit Hold'em $1.84 + $0.16.txt</t>
  </si>
  <si>
    <t>HH20240717 T3778880149 No Limit Hold'em $1.84 + $0.16.txt</t>
  </si>
  <si>
    <t>HH20240717 T3778883652 No Limit Hold'em $0.46 + $0.04.txt</t>
  </si>
  <si>
    <t>17.07.2024</t>
  </si>
  <si>
    <t>HH20240717 T3777816608 No Limit Hold'em $1.40 + $0.10.txt</t>
  </si>
  <si>
    <t>HH20240717 T3778919483 No Limit Hold'em $1.84 + $0.16.txt</t>
  </si>
  <si>
    <t>HH20240717 T3778920663 No Limit Hold'em $1.84 + $0.16.txt</t>
  </si>
  <si>
    <t>HH20240717 T3778925044 No Limit Hold'em $1.84 + $0.16.txt</t>
  </si>
  <si>
    <t>Power Path Step 1</t>
  </si>
  <si>
    <t>Power Path Step 3</t>
  </si>
  <si>
    <t>HH20240717 T3778936202 No Limit Hold'em $1.84 + $0.16.txt</t>
  </si>
  <si>
    <t>HH20240717 T3778940217 No Limit Hold'em $1.84 + $0.16.txt</t>
  </si>
  <si>
    <t>HH20240717 T3778942747 No Limit Hold'em $1.84 + $0.16.txt</t>
  </si>
  <si>
    <t>18.07.2024</t>
  </si>
  <si>
    <t>HH20240718 T3779218689 No Limit Hold'em $1.84 + $0.16.txt</t>
  </si>
  <si>
    <t>HH20240718 T3779219494 No Limit Hold'em $0.46 + $0.04.txt</t>
  </si>
  <si>
    <t>HH20240718 T3779219752 No Limit Hold'em $1.84 + $0.16.txt</t>
  </si>
  <si>
    <t>HH20240718 T3779222219 No Limit Hold'em $1.84 + $0.16.txt</t>
  </si>
  <si>
    <t>HH20240718 T3779224016 No Limit Hold'em $1.84 + $0.16.txt</t>
  </si>
  <si>
    <t>HH20240718 T3779226498 No Limit Hold'em $1.84 + $0.16.txt</t>
  </si>
  <si>
    <t>HH20240718 T3779227826 No Limit Hold'em $1.84 + $0.16.txt</t>
  </si>
  <si>
    <t>HH20240718 T3779230526 No Limit Hold'em $1.84 + $0.16.txt</t>
  </si>
  <si>
    <t>HH20240718 T3779232192 No Limit Hold'em $1.84 + $0.16.txt</t>
  </si>
  <si>
    <t>HH20240718 T3779235494 No Limit Hold'em $1.84 + $0.16.txt</t>
  </si>
  <si>
    <t>HH20240718 T3779239719 No Limit Hold'em $1.84 + $0.16.txt</t>
  </si>
  <si>
    <t>HH20240718 T3779244838 No Limit Hold'em $1.84 + $0.16.txt</t>
  </si>
  <si>
    <t>HH20240718 T3779245903 No Limit Hold'em $1.84 + $0.16.txt</t>
  </si>
  <si>
    <t>HH20240718 T3779247382 No Limit Hold'em $1.84 + $0.16.txt</t>
  </si>
  <si>
    <t>HH20240719 T3779501189 No Limit Hold'em $1.84 + $0.16.txt</t>
  </si>
  <si>
    <t>HH20240719 T3779503633 No Limit Hold'em $0.46 + $0.04.txt</t>
  </si>
  <si>
    <t>HH20240720 T3779924097 No Limit Hold'em $1.84 + $0.16.txt</t>
  </si>
  <si>
    <t>HH20240720 T3779926238 No Limit Hold'em $0.46 + $0.04.txt</t>
  </si>
  <si>
    <t>HH20240720 T3779927122 No Limit Hold'em $1.84 + $0.16.txt</t>
  </si>
  <si>
    <t>HH20240720 T3779971576 No Limit Hold'em $1.84 + $0.16.txt</t>
  </si>
  <si>
    <t>19.07.2024</t>
  </si>
  <si>
    <t>20.07.2024</t>
  </si>
  <si>
    <t>HH20240720 T3779996218 No Limit Hold'em $1.84 + $0.16.txt</t>
  </si>
  <si>
    <t>21.07.2024</t>
  </si>
  <si>
    <t>HH20240721 T3780208434 No Limit Hold'em $1.84 + $0.16.txt</t>
  </si>
  <si>
    <t>HH20240721 T3780210897 No Limit Hold'em $0.46 + $0.04.txt</t>
  </si>
  <si>
    <t>HH20240721 T3780212662 No Limit Hold'em $0.96 + $0.04.txt</t>
  </si>
  <si>
    <t>HH20240721 T3780214643 No Limit Hold'em $1.84 + $0.16.txt</t>
  </si>
  <si>
    <t>HH20240721 T3780216621 No Limit Hold'em $1.84 + $0.16.txt</t>
  </si>
  <si>
    <t>HH20240721 T3780225077 No Limit Hold'em $1.84 + $0.16.txt</t>
  </si>
  <si>
    <t>HH20240721 T3780297270 No Limit Hold'em $1.84 + $0.16.txt</t>
  </si>
  <si>
    <t>HH20240721 T3780302435 No Limit Hold'em $1.84 + $0.16.txt</t>
  </si>
  <si>
    <t>HH20240721 T3780305655 No Limit Hold'em $1.84 + $0.16.txt</t>
  </si>
  <si>
    <t>HH20240721 T3780310276 No Limit Hold'em $1.84 + $0.16.txt</t>
  </si>
  <si>
    <t>HH20240721 T3780310589 No Limit Hold'em $1.84 + $0.16.txt</t>
  </si>
  <si>
    <t>HH20240721 T3780312352 No Limit Hold'em $9.30 + $0.70.txt</t>
  </si>
  <si>
    <t>HH20240721 T3780313195 No Limit Hold'em $9.30 + $0.70.txt</t>
  </si>
  <si>
    <t>HH20240721 T3780316652 No Limit Hold'em $9.30 + $0.70.txt</t>
  </si>
  <si>
    <t>HH20240721 T3780319341 No Limit Hold'em $9.30 + $0.70.txt</t>
  </si>
  <si>
    <t>HH20240721 T3780319686 No Limit Hold'em $9.30 + $0.70.txt</t>
  </si>
  <si>
    <t>HH20240721 T3780322665 No Limit Hold'em $9.30 + $0.70.txt</t>
  </si>
  <si>
    <t>HH20240721 T3780324508 No Limit Hold'em $9.30 + $0.70.txt</t>
  </si>
  <si>
    <t>18.08.2024</t>
  </si>
  <si>
    <t>06.09.2024</t>
  </si>
  <si>
    <t>HH20240906 T3797299317 No Limit Hold'em $1.84 + $0.16.txt</t>
  </si>
  <si>
    <t>HH20240906 T3797300421 No Limit Hold'em $1.84 + $0.16.txt</t>
  </si>
  <si>
    <t>HH20240906 T3797301280 No Limit Hold'em $1.84 + $0.16.txt</t>
  </si>
  <si>
    <t>HH20240906 T3797304785 No Limit Hold'em $1.84 + $0.16.txt</t>
  </si>
  <si>
    <t>HH20240906 T3797305831 No Limit Hold'em $1.84 + $0.16.txt</t>
  </si>
  <si>
    <t>HH20240906 T3797360030 No Limit Hold'em $1.84 + $0.16.txt</t>
  </si>
  <si>
    <t>HH20240906 T3797362871 No Limit Hold'em $1.84 + $0.16.txt</t>
  </si>
  <si>
    <t>HH20240906 T3797364368 No Limit Hold'em $1.84 + $0.16.txt</t>
  </si>
  <si>
    <t>HH20240906 T3797364815 No Limit Hold'em $1.84 + $0.16.txt</t>
  </si>
  <si>
    <t>HH20240906 T3797376668 No Limit Hold'em $1.84 + $0.16.txt</t>
  </si>
  <si>
    <t>HH20240906 T3797378220 No Limit Hold'em $1.84 + $0.16.txt</t>
  </si>
  <si>
    <t>HH20240906 T3797388961 No Limit Hold'em $1.84 + $0.16.txt</t>
  </si>
  <si>
    <t>HH20240906 T3797391445 No Limit Hold'em $1.84 + $0.16.txt</t>
  </si>
  <si>
    <t>HH20240906 T3797455200 No Limit Hold'em $1.84 + $0.16.txt</t>
  </si>
  <si>
    <t>HH20240906 T3797456763 No Limit Hold'em $1.84 + $0.16.txt</t>
  </si>
  <si>
    <t>HH20240906 T3797458998 No Limit Hold'em $1.84 + $0.16.txt</t>
  </si>
  <si>
    <t>HH20240906 T3797463279 No Limit Hold'em $1.84 + $0.16.txt</t>
  </si>
  <si>
    <t>HH20240906 T3797465696 No Limit Hold'em $1.84 + $0.16.txt</t>
  </si>
  <si>
    <t>HH20240906 T3797468997 No Limit Hold'em $1.84 + $0.16.txt</t>
  </si>
  <si>
    <t>HH20240906 T3797471419 No Limit Hold'em $1.84 + $0.16.txt</t>
  </si>
  <si>
    <t>HH20240906 T3797474942 No Limit Hold'em $1.84 + $0.16.txt</t>
  </si>
  <si>
    <t>HH20240906 T3797477851 No Limit Hold'em $1.84 + $0.16.txt</t>
  </si>
  <si>
    <t>07.09.2024</t>
  </si>
  <si>
    <t>HH20240907 T3797710186 No Limit Hold'em $1.84 + $0.16.txt</t>
  </si>
  <si>
    <t>HH20240907 T3797712256 No Limit Hold'em $0.46 + $0.04.txt</t>
  </si>
  <si>
    <t>HH20240907 T3797714346 No Limit Hold'em $0.46 + $0.04.txt</t>
  </si>
  <si>
    <t>HH20240907 T3797717569 No Limit Hold'em $1.84 + $0.16.txt</t>
  </si>
  <si>
    <t>HH20240907 T3797719888 No Limit Hold'em $1.84 + $0.16.txt</t>
  </si>
  <si>
    <t>HH20240907 T3795439053 No Limit Hold'em $1.40 + $0.10.txt</t>
  </si>
  <si>
    <t>Mystery Bounty</t>
  </si>
  <si>
    <t>HH20240907 T3794725250 No Limit Hold'em $3.92 + $0.48.txt</t>
  </si>
  <si>
    <t>08.09.2024</t>
  </si>
  <si>
    <t>HH20240908 T3798014085 No Limit Hold'em $1.84 + $0.16.txt</t>
  </si>
  <si>
    <t>HH20240908 T3798014954 No Limit Hold'em $0.46 + $0.04.txt</t>
  </si>
  <si>
    <t>HH20240908 T3798208875 No Limit Hold'em $1.84 + $0.16.txt</t>
  </si>
  <si>
    <t>09.09.2024</t>
  </si>
  <si>
    <t>HH20240909 T3798538119 No Limit Hold'em $1.84 + $0.16.txt</t>
  </si>
  <si>
    <t>HH20240909 T3798540678 No Limit Hold'em $0.46 + $0.04.txt</t>
  </si>
  <si>
    <t>HH20240910 T3798959580 No Limit Hold'em $1.84 + $0.16.txt</t>
  </si>
  <si>
    <t>HH20240910 T3798961184 No Limit Hold'em $0.46 + $0.04.txt</t>
  </si>
  <si>
    <t>HH20240910 T3798963441 No Limit Hold'em $0.96 + $0.04.txt</t>
  </si>
  <si>
    <t>HH20240911 T3799275303 No Limit Hold'em $1.84 + $0.16.txt</t>
  </si>
  <si>
    <t>10.09.2024</t>
  </si>
  <si>
    <t>11.09.2024</t>
  </si>
  <si>
    <t>HH20240911 T3799305184 No Limit Hold'em $0.46 + $0.04.txt</t>
  </si>
  <si>
    <t>HH20240911 T3797719451 No Limit Hold'em $1.40 + $0.10.txt</t>
  </si>
  <si>
    <t>HH20240911 T3799337371 No Limit Hold'em $1.84 + $0.16.txt</t>
  </si>
  <si>
    <t>HH20240911 T3799340080 No Limit Hold'em $1.84 + $0.16.txt</t>
  </si>
  <si>
    <t>14.09.2024</t>
  </si>
  <si>
    <t>HH20240914 T3800351988 No Limit Hold'em $1.84 + $0.16.txt</t>
  </si>
  <si>
    <t>HH20240914 T3800353465 No Limit Hold'em $1.84 + $0.16.txt</t>
  </si>
  <si>
    <t>HH20240914 T3800354784 No Limit Hold'em $0.46 + $0.04.txt</t>
  </si>
  <si>
    <t>HH20240914 T3800355610 No Limit Hold'em $1.84 + $0.16.txt</t>
  </si>
  <si>
    <t>HH20240914 T3800357358 No Limit Hold'em $1.84 + $0.16.txt</t>
  </si>
  <si>
    <t>NLHE</t>
  </si>
  <si>
    <t>HH20240914 T3799228565 No Limit Hold'em $10.27 + $0.73 Zoom.txt</t>
  </si>
  <si>
    <t>HH20240914 T3800403144 No Limit Hold'em $1.84 + $0.16.txt</t>
  </si>
  <si>
    <t>HH20240914 T3800405047 No Limit Hold'em $1.84 + $0.16.txt</t>
  </si>
  <si>
    <t>HH20240914 T3800405588 No Limit Hold'em $1.84 + $0.16.txt</t>
  </si>
  <si>
    <t>HH20240914 T3800407737 No Limit Hold'em $1.84 + $0.16.txt</t>
  </si>
  <si>
    <t>HH20240914 T3800409682 No Limit Hold'em $1.84 + $0.16.txt</t>
  </si>
  <si>
    <t>HH20240914 T3800413067 No Limit Hold'em $1.84 + $0.16.txt</t>
  </si>
  <si>
    <t>HH20240914 T3800416168 No Limit Hold'em $1.84 + $0.16.txt</t>
  </si>
  <si>
    <t>HH20240914 T3800419527 No Limit Hold'em $1.84 + $0.16.txt</t>
  </si>
  <si>
    <t>HH20240914 T3800421267 No Limit Hold'em $1.84 + $0.16.txt</t>
  </si>
  <si>
    <t>HH20240914 T3800424346 No Limit Hold'em $1.84 + $0.16.txt</t>
  </si>
  <si>
    <t>HH20240914 T3800516420 No Limit Hold'em $1.84 + $0.16.txt</t>
  </si>
  <si>
    <t>HH20240914 T3800521627 No Limit Hold'em $1.84 + $0.16.txt</t>
  </si>
  <si>
    <t>15.09.2024</t>
  </si>
  <si>
    <t>HH20240915 T3800692933 No Limit Hold'em $1.84 + $0.16.txt</t>
  </si>
  <si>
    <t>HH20240915 T3800695183 No Limit Hold'em $0.46 + $0.04.txt</t>
  </si>
  <si>
    <t>HH20240915 T3800823316 No Limit Hold'em $1.84 + $0.16.txt</t>
  </si>
  <si>
    <t>HH20240915 T3800823879 No Limit Hold'em $1.84 + $0.16.txt</t>
  </si>
  <si>
    <t>HH20240915 T3800825459 No Limit Hold'em $1.84 + $0.16.txt</t>
  </si>
  <si>
    <t>HH20240915 T3800826874 No Limit Hold'em $1.84 + $0.16.txt</t>
  </si>
  <si>
    <t>HH20240915 T3800828655 No Limit Hold'em $1.84 + $0.16.txt</t>
  </si>
  <si>
    <t>HH20240915 T3800831395 No Limit Hold'em $1.84 + $0.16.txt</t>
  </si>
  <si>
    <t>HH20240915 T3800833383 No Limit Hold'em $1.84 + $0.16.txt</t>
  </si>
  <si>
    <t>HH20240915 T3800875100 No Limit Hold'em $1.84 + $0.16.txt</t>
  </si>
  <si>
    <t>HH20240916 T3801175793 No Limit Hold'em $1.84 + $0.16.txt</t>
  </si>
  <si>
    <t>16.09.2024</t>
  </si>
  <si>
    <t>HH20240916 T3801178436 No Limit Hold'em $0.46 + $0.04.txt</t>
  </si>
  <si>
    <t>18.09.2024</t>
  </si>
  <si>
    <t>HH20240918 T3802273669 No Limit Hold'em $1.84 + $0.16.txt</t>
  </si>
  <si>
    <t>HH20240918 T3802275577 No Limit Hold'em $0.46 + $0.04.txt</t>
  </si>
  <si>
    <t>HH20240918 T3802299741 No Limit Hold'em $1.84 + $0.16.txt</t>
  </si>
  <si>
    <t>HH20240918 T3802327534 No Limit Hold'em $1.84 + $0.16.txt</t>
  </si>
  <si>
    <t>HH20240918 T3802442152 No Limit Hold'em $1.84 + $0.16.txt</t>
  </si>
  <si>
    <t>HH20240918 T3802444822 No Limit Hold'em $1.84 + $0.16.txt</t>
  </si>
  <si>
    <t>HH20240919 T3802763605 No Limit Hold'em $1.84 + $0.16.txt</t>
  </si>
  <si>
    <t>19.09.2024</t>
  </si>
  <si>
    <t>HH20240919 T3802766391 No Limit Hold'em $0.46 + $0.04.txt</t>
  </si>
  <si>
    <t>HH20240919 T3802768421 No Limit Hold'em $1.84 + $0.16.txt</t>
  </si>
  <si>
    <t>HH20240919 T3802856128 No Limit Hold'em $1.84 + $0.16.txt</t>
  </si>
  <si>
    <t>HH20240919 T3802857778 No Limit Hold'em $1.84 + $0.16.txt</t>
  </si>
  <si>
    <t>21.09.2024</t>
  </si>
  <si>
    <t>HH20240921 T3803457384 No Limit Hold'em $1.84 + $0.16.txt</t>
  </si>
  <si>
    <t>HH20240921 T3803459994 No Limit Hold'em $0.46 + $0.04.txt</t>
  </si>
  <si>
    <t>HH20240921 T3803460388 No Limit Hold'em $1.84 + $0.16.txt</t>
  </si>
  <si>
    <t>HH20240921 T3803461851 No Limit Hold'em $1.84 + $0.16.txt</t>
  </si>
  <si>
    <t>HH20240921 T3803464158 No Limit Hold'em $1.84 + $0.16.txt</t>
  </si>
  <si>
    <t>HH20240921 T3803464975 No Limit Hold'em $1.84 + $0.16.txt</t>
  </si>
  <si>
    <t>HH20240921 T3803465527 No Limit Hold'em $1.84 + $0.16.txt</t>
  </si>
  <si>
    <t>HH20240921 T3803495677 No Limit Hold'em $1.84 + $0.16.txt</t>
  </si>
  <si>
    <t>HH20240921 T3803503338 No Limit Hold'em $1.84 + $0.16.txt</t>
  </si>
  <si>
    <t>HH20240921 T3803505546 No Limit Hold'em $1.84 + $0.16.txt</t>
  </si>
  <si>
    <t>HH20240921 T3803506949 No Limit Hold'em $1.84 + $0.16.txt</t>
  </si>
  <si>
    <t>HH20240921 T3803508129 No Limit Hold'em $1.84 + $0.16.txt</t>
  </si>
  <si>
    <t>HH20240921 T3803512363 No Limit Hold'em $9.30 + $0.70.txt</t>
  </si>
  <si>
    <t>HH20240921 T3803514235 No Limit Hold'em $1.84 + $0.16.txt</t>
  </si>
  <si>
    <t>HH20240921 T3803516029 No Limit Hold'em $1.84 + $0.16.txt</t>
  </si>
  <si>
    <t>HH20240921 T3803518663 No Limit Hold'em $1.84 + $0.16.txt</t>
  </si>
  <si>
    <t>HH20240921 T3803521572 No Limit Hold'em $1.84 + $0.16.txt</t>
  </si>
  <si>
    <t>HH20240921 T3803523650 No Limit Hold'em $9.30 + $0.70.txt</t>
  </si>
  <si>
    <t>HH20240921 T3803525741 No Limit Hold'em $1.84 + $0.16.txt</t>
  </si>
  <si>
    <t>HH20240921 T3803527963 No Limit Hold'em $1.84 + $0.16.txt</t>
  </si>
  <si>
    <t>HH20240921 T3803622830 No Limit Hold'em $1.84 + $0.16.txt</t>
  </si>
  <si>
    <t>HH20240921 T3803625943 No Limit Hold'em $1.84 + $0.16.txt</t>
  </si>
  <si>
    <t>22.09.2024</t>
  </si>
  <si>
    <t>HH20240922 T3803774928 No Limit Hold'em $1.84 + $0.16.txt</t>
  </si>
  <si>
    <t>HH20240922 T3803776777 No Limit Hold'em $0.46 + $0.04.txt</t>
  </si>
  <si>
    <t>HH20240922 T3803777117 No Limit Hold'em $1.84 + $0.16.txt</t>
  </si>
  <si>
    <t>HH20240922 T3803778787 No Limit Hold'em $1.84 + $0.16.txt</t>
  </si>
  <si>
    <t>HH20240922 T3803838308 No Limit Hold'em $1.84 + $0.16.txt</t>
  </si>
  <si>
    <t>HH20240922 T3803887851 No Limit Hold'em $1.84 + $0.16.txt</t>
  </si>
  <si>
    <t>HH20240922 T3803889195 No Limit Hold'em $1.84 + $0.16.txt</t>
  </si>
  <si>
    <t>HH20240922 T3803889728 No Limit Hold'em $1.84 + $0.16.txt</t>
  </si>
  <si>
    <t>HH20240922 T3803890626 No Limit Hold'em $1.84 + $0.16.txt</t>
  </si>
  <si>
    <t>HH20240922 T3803892872 No Limit Hold'em $1.84 + $0.16.txt</t>
  </si>
  <si>
    <t>HH20240922 T3799553731 No Limit Hold'em $1.40 + $0.10.txt</t>
  </si>
  <si>
    <t>HH20240922 T3803929698 No Limit Hold'em $1.84 + $0.16.txt</t>
  </si>
  <si>
    <t>HH20240922 T3803933120 No Limit Hold'em $9.30 + $0.70.txt</t>
  </si>
  <si>
    <t>HH20240922 T3803936404 No Limit Hold'em $1.84 + $0.16.txt</t>
  </si>
  <si>
    <t>HH20240922 T3803937859 No Limit Hold'em $1.84 + $0.16.txt</t>
  </si>
  <si>
    <t>HH20240923 T3804129837 No Limit Hold'em $1.84 + $0.16.txt</t>
  </si>
  <si>
    <t>23.09.2024</t>
  </si>
  <si>
    <t>HH20240923 T3804130807 No Limit Hold'em $0.46 + $0.04.txt</t>
  </si>
  <si>
    <t>HH20240923 T3804131190 No Limit Hold'em $0.96 + $0.04.txt</t>
  </si>
  <si>
    <t>HH20240923 T3804176520 No Limit Hold'em $1.84 + $0.16.txt</t>
  </si>
  <si>
    <t>HH20240923 T3804178320 No Limit Hold'em $1.84 + $0.16.txt</t>
  </si>
  <si>
    <t>HH20240923 T3804229440 No Limit Hold'em $1.84 + $0.16.txt</t>
  </si>
  <si>
    <t>HH20240923 T3804233574 No Limit Hold'em $1.84 + $0.16.txt</t>
  </si>
  <si>
    <t>HH20240923 T3804234643 No Limit Hold'em $1.84 + $0.16.txt</t>
  </si>
  <si>
    <t>HH20240923 T3804299822 No Limit Hold'em $1.84 + $0.16.txt</t>
  </si>
  <si>
    <t>HH20240923 T3804303186 No Limit Hold'em $1.84 + $0.16.txt</t>
  </si>
  <si>
    <t>HH20240923 T3804306532 No Limit Hold'em $1.84 + $0.16.txt</t>
  </si>
  <si>
    <t>24.09.2024</t>
  </si>
  <si>
    <t>HH20240924 T3804566533 No Limit Hold'em $1.84 + $0.16.txt</t>
  </si>
  <si>
    <t>HH20240924 T3804567102 No Limit Hold'em $0.46 + $0.04.txt</t>
  </si>
  <si>
    <t>HH20240924 T3804568669 No Limit Hold'em $1.84 + $0.16.txt</t>
  </si>
  <si>
    <t>HH20240924 T3804569495 No Limit Hold'em $1.84 + $0.16.txt</t>
  </si>
  <si>
    <t>HH20240924 T3804570286 No Limit Hold'em $1.84 + $0.16.txt</t>
  </si>
  <si>
    <t>HH20240924 T3804573004 No Limit Hold'em $1.84 + $0.16.txt</t>
  </si>
  <si>
    <t>25.09.2024</t>
  </si>
  <si>
    <t>HH20240925 T3805018811 No Limit Hold'em $1.84 + $0.16.txt</t>
  </si>
  <si>
    <t>26.09.2024</t>
  </si>
  <si>
    <t>HH20240926 T3805331083 No Limit Hold'em $1.84 + $0.16.txt</t>
  </si>
  <si>
    <t>HH20240926 T3805333328 No Limit Hold'em $0.46 + $0.04.txt</t>
  </si>
  <si>
    <t>HH20240926 T3805335658 No Limit Hold'em $0.46 + $0.04.txt</t>
  </si>
  <si>
    <t>HH20240926 T3805336156 No Limit Hold'em $0.96 + $0.04.txt</t>
  </si>
  <si>
    <t>HH20240926 T3805340452 No Limit Hold'em $1.84 + $0.16.txt</t>
  </si>
  <si>
    <t>27.09.2024</t>
  </si>
  <si>
    <t>HH20240927 T3805561547 No Limit Hold'em $1.84 + $0.16.txt</t>
  </si>
  <si>
    <t>HH20240927 T3805563689 No Limit Hold'em $0.46 + $0.04.txt</t>
  </si>
  <si>
    <t>HH20240927 T3805565756 No Limit Hold'em $1.84 + $0.16.txt</t>
  </si>
  <si>
    <t>HH20240927 T3805566494 No Limit Hold'em $1.84 + $0.16.txt</t>
  </si>
  <si>
    <t>HH20240927 T3805568692 No Limit Hold'em $1.84 + $0.16.txt</t>
  </si>
  <si>
    <t>HH20240927 T3805570207 No Limit Hold'em $1.84 + $0.16.txt</t>
  </si>
  <si>
    <t>HH20240927 T3805609286 No Limit Hold'em $1.84 + $0.16.txt</t>
  </si>
  <si>
    <t>HH20240927 T3805611142 No Limit Hold'em $1.84 + $0.16.txt</t>
  </si>
  <si>
    <t>HH20240927 T3805613211 No Limit Hold'em $1.84 + $0.16.txt</t>
  </si>
  <si>
    <t>HH20240927 T3805613705 No Limit Hold'em $1.84 + $0.16.txt</t>
  </si>
  <si>
    <t>HH20240927 T3805614954 No Limit Hold'em $4.60 + $0.40.txt</t>
  </si>
  <si>
    <t>HH20240927 T3805615913 No Limit Hold'em $9.30 + $0.70.txt</t>
  </si>
  <si>
    <t>28.09.2024</t>
  </si>
  <si>
    <t>HH20240928 T3805978810 No Limit Hold'em $1.84 + $0.16.txt</t>
  </si>
  <si>
    <t>HH20240928 T3805981196 No Limit Hold'em $0.46 + $0.04.txt</t>
  </si>
  <si>
    <t>HH20240928 T3806002706 No Limit Hold'em $1.84 + $0.16.txt</t>
  </si>
  <si>
    <t>HH20240928 T3806004437 No Limit Hold'em $1.84 + $0.16.txt</t>
  </si>
  <si>
    <t>HH20240928 T3803448796 No Limit Hold'em $10.27 + $0.73.txt</t>
  </si>
  <si>
    <t>HH20240928 T3806060153 No Limit Hold'em $1.84 + $0.16.txt</t>
  </si>
  <si>
    <t>HH20240928 T3806063222 No Limit Hold'em $1.84 + $0.16.txt</t>
  </si>
  <si>
    <t>HH20240928 T3806064199 No Limit Hold'em $1.84 + $0.16.txt</t>
  </si>
  <si>
    <t>HH20240928 T3806065178 No Limit Hold'em $1.84 + $0.16.txt</t>
  </si>
  <si>
    <t>HH20240928 T3806066937 No Limit Hold'em $1.84 + $0.16.txt</t>
  </si>
  <si>
    <t>HH20240928 T3806067796 No Limit Hold'em $1.84 + $0.16.txt</t>
  </si>
  <si>
    <t>HH20240928 T3806121993 No Limit Hold'em $1.84 + $0.16.txt</t>
  </si>
  <si>
    <t>HH20240928 T3806124291 No Limit Hold'em $1.84 + $0.16.txt</t>
  </si>
  <si>
    <t>HH20240928 T3806126364 No Limit Hold'em $1.84 + $0.16.txt</t>
  </si>
  <si>
    <t>HH20240928 T3806130131 No Limit Hold'em $1.84 + $0.16.txt</t>
  </si>
  <si>
    <t>29.09.2024</t>
  </si>
  <si>
    <t>HH20240929 T3806302394 No Limit Hold'em $1.84 + $0.16.txt</t>
  </si>
  <si>
    <t>HH20240929 T3806304213 No Limit Hold'em $0.46 + $0.04.txt</t>
  </si>
  <si>
    <t>HH20241001 T3807092612 No Limit Hold'em $1.84 + $0.16.txt</t>
  </si>
  <si>
    <t>HH20241001 T3807094360 No Limit Hold'em $0.46 + $0.04.txt</t>
  </si>
  <si>
    <t>HH20241001 T3807148193 No Limit Hold'em $1.84 + $0.16.txt</t>
  </si>
  <si>
    <t>01.10.2024</t>
  </si>
  <si>
    <t>HH20241001 T3807151531 No Limit Hold'em $1.84 + $0.16.txt</t>
  </si>
  <si>
    <t>HH20241001 T3807152805 No Limit Hold'em $1.84 + $0.16.txt</t>
  </si>
  <si>
    <t>02.10.2024</t>
  </si>
  <si>
    <t>HH20241002 T3807355633 No Limit Hold'em $1.84 + $0.16.txt</t>
  </si>
  <si>
    <t>HH20241002 T3807357237 No Limit Hold'em $0.46 + $0.04.txt</t>
  </si>
  <si>
    <t>HH20241002 Halley - $0.01-$0.02 - USD No Limit Hold'em.txt</t>
  </si>
  <si>
    <t>HH20241002 Halley - $0.01-$0.02 - USD No Limit Hold'em 2.txt</t>
  </si>
  <si>
    <t>HH20241002 Halley #2 - $0.01-$0.02 - USD No Limit Hold'em 3.txt</t>
  </si>
  <si>
    <t>HH20241002 Halley #3 - $0.01-$0.02 - USD No Limit Hold'em.txt</t>
  </si>
  <si>
    <t>HH20241002 T3807434645 No Limit Hold'em $1.84 + $0.16.txt</t>
  </si>
  <si>
    <t>HH20241002 T3807436301 No Limit Hold'em $1.84 + $0.16.txt</t>
  </si>
  <si>
    <t>HH20241002 T3807436635 No Limit Hold'em $1.84 + $0.16.txt</t>
  </si>
  <si>
    <t>HH20241002 T3807440211 No Limit Hold'em $1.84 + $0.16.txt</t>
  </si>
  <si>
    <t>HH20241002 T3807440629 No Limit Hold'em $1.84 + $0.16.txt</t>
  </si>
  <si>
    <t>HH20241002 T3807442277 No Limit Hold'em $1.84 + $0.16.txt</t>
  </si>
  <si>
    <t>HH20241002 T3807446628 No Limit Hold'em $1.84 + $0.16.txt</t>
  </si>
  <si>
    <t>HH20241002 T3807448822 No Limit Hold'em $1.84 + $0.16.txt</t>
  </si>
  <si>
    <t>HH20241002 T3807451300 No Limit Hold'em $1.84 + $0.16.txt</t>
  </si>
  <si>
    <t>HH20241002 T3807453603 No Limit Hold'em $1.84 + $0.16.txt</t>
  </si>
  <si>
    <t>HH20241002 T3807523493 No Limit Hold'em $1.84 + $0.16.txt</t>
  </si>
  <si>
    <t>HH20241002 T3807530025 No Limit Hold'em $1.84 + $0.16.txt</t>
  </si>
  <si>
    <t>HH20241002 T3807531638 No Limit Hold'em $0.23 + $0.02.txt</t>
  </si>
  <si>
    <t>HH20241002 T3807531512 No Limit Hold'em $0.45 + $0.05.txt</t>
  </si>
  <si>
    <t>HH20241003 T3807736043 No Limit Hold'em $1.84 + $0.16.txt</t>
  </si>
  <si>
    <t>03.10.2024</t>
  </si>
  <si>
    <t>HH20241003 T3807738131 No Limit Hold'em $0.46 + $0.04.txt</t>
  </si>
  <si>
    <t>HH20241003 T3807738826 No Limit Hold'em $1.84 + $0.16.txt</t>
  </si>
  <si>
    <t>HH20241003 T3807390443 No Limit Hold'em $2.94 + $0.36.txt</t>
  </si>
  <si>
    <t>04.10.2024</t>
  </si>
  <si>
    <t>HH20241004 T3807961677 No Limit Hold'em $1.84 + $0.16.txt</t>
  </si>
  <si>
    <t>HH20241004 T3807963213 No Limit Hold'em $0.46 + $0.04.txt</t>
  </si>
  <si>
    <t>HH20241004 T3807963404 No Limit Hold'em $0.96 + $0.04.txt</t>
  </si>
  <si>
    <t>HH20241004 T3807965816 No Limit Hold'em $1.84 + $0.16.txt</t>
  </si>
  <si>
    <t>HH20241004 T3807966084 No Limit Hold'em $1.84 + $0.16.txt</t>
  </si>
  <si>
    <t>HH20241004 T3807966772 No Limit Hold'em $1.84 + $0.16.txt</t>
  </si>
  <si>
    <t>HH20241004 T3807997282 No Limit Hold'em $1.84 + $0.16.txt</t>
  </si>
  <si>
    <t>HH20241004 T3807998821 No Limit Hold'em $1.84 + $0.16.txt</t>
  </si>
  <si>
    <t>HH20241004 T3808000569 No Limit Hold'em $1.84 + $0.16.txt</t>
  </si>
  <si>
    <t>HH20241004 T3808000895 No Limit Hold'em $1.84 + $0.16.txt</t>
  </si>
  <si>
    <t>HH20241004 T3808005101 No Limit Hold'em $1.84 + $0.16.txt</t>
  </si>
  <si>
    <t>HH20241004 T3808006569 No Limit Hold'em $1.84 + $0.16.txt</t>
  </si>
  <si>
    <t>HH20241004 T3808007859 No Limit Hold'em $1.84 + $0.16.txt</t>
  </si>
  <si>
    <t>HH20241004 T3808008894 No Limit Hold'em $1.84 + $0.16.txt</t>
  </si>
  <si>
    <t>HH20241004 T3808011043 No Limit Hold'em $1.84 + $0.16.txt</t>
  </si>
  <si>
    <t>HH20241004 T3808013417 No Limit Hold'em $1.84 + $0.16.txt</t>
  </si>
  <si>
    <t>HH20241004 T3808016237 No Limit Hold'em $1.84 + $0.16.txt</t>
  </si>
  <si>
    <t>HH20241004 T3808017632 No Limit Hold'em $1.84 + $0.16.txt</t>
  </si>
  <si>
    <t>HH20241004 T3808018834 No Limit Hold'em $1.84 + $0.16.txt</t>
  </si>
  <si>
    <t>HH20241004 T3808019828 No Limit Hold'em $1.84 + $0.16.txt</t>
  </si>
  <si>
    <t>HH20241004 T3808021595 No Limit Hold'em $1.84 + $0.16.txt</t>
  </si>
  <si>
    <t>HH20241004 T3808208293 No Limit Hold'em $1.84 + $0.16.txt</t>
  </si>
  <si>
    <t>HH20241004 T3808213884 No Limit Hold'em $1.84 + $0.16.txt</t>
  </si>
  <si>
    <t>HH20241005 T3808368627 No Limit Hold'em $1.84 + $0.16.txt</t>
  </si>
  <si>
    <t>HH20241005 T3808371268 No Limit Hold'em $0.46 + $0.04.txt</t>
  </si>
  <si>
    <t>05.10.2024</t>
  </si>
  <si>
    <t>HH20241005 T3808371950 No Limit Hold'em $1.84 + $0.16.txt</t>
  </si>
  <si>
    <t>HH20241005 T3808373361 No Limit Hold'em $1.84 + $0.16.txt</t>
  </si>
  <si>
    <t>HH20241005 T3808375184 No Limit Hold'em $1.84 + $0.16.txt</t>
  </si>
  <si>
    <t>HH20241005 T3808378279 No Limit Hold'em $1.84 + $0.16.txt</t>
  </si>
  <si>
    <t>HH20241005 T3808380585 No Limit Hold'em $1.84 + $0.16.txt</t>
  </si>
  <si>
    <t>HH20241005 T3808381219 No Limit Hold'em $1.84 + $0.16.txt</t>
  </si>
  <si>
    <t>06.10.2024</t>
  </si>
  <si>
    <t>HH20241006 T3808840363 No Limit Hold'em $1.84 + $0.16.txt</t>
  </si>
  <si>
    <t>HH20241006 T3808843425 No Limit Hold'em $0.46 + $0.04.txt</t>
  </si>
  <si>
    <t>07.10.2024</t>
  </si>
  <si>
    <t>HH20241007 T3809197044 No Limit Hold'em $1.84 + $0.16.txt</t>
  </si>
  <si>
    <t>HH20241007 T3809198613 No Limit Hold'em $0.46 + $0.04.txt</t>
  </si>
  <si>
    <t>HH20241007 T3808437948 No Limit Hold'em $1.40 + $0.10.txt</t>
  </si>
  <si>
    <t>HH20241007 T3809201946 No Limit Hold'em $1.84 + $0.16.txt</t>
  </si>
  <si>
    <t>HH20241007 T3809202485 No Limit Hold'em $1.84 + $0.16.txt</t>
  </si>
  <si>
    <t>HH20241007 T3809203282 No Limit Hold'em $1.84 + $0.16.txt</t>
  </si>
  <si>
    <t>HH20241007 T3809203833 No Limit Hold'em $1.84 + $0.16.txt</t>
  </si>
  <si>
    <t>HH20241007 T3809205676 No Limit Hold'em $1.84 + $0.16.txt</t>
  </si>
  <si>
    <t>HH20241007 T3809207308 No Limit Hold'em $1.84 + $0.16.txt</t>
  </si>
  <si>
    <t>HH20241007 T3809222543 No Limit Hold'em $1.84 + $0.16.txt</t>
  </si>
  <si>
    <t>HH20241007 T3809224614 No Limit Hold'em $9.30 + $0.70.txt</t>
  </si>
  <si>
    <t>Deposit</t>
  </si>
  <si>
    <t>08.10.2024</t>
  </si>
  <si>
    <t>HH20241008 T3809528358 No Limit Hold'em $1.84 + $0.16.txt</t>
  </si>
  <si>
    <t>HH20241008 T3809529789 No Limit Hold'em $0.46 + $0.04.txt</t>
  </si>
  <si>
    <t>HH20241009 T3809901634 No Limit Hold'em $1.84 + $0.16.txt</t>
  </si>
  <si>
    <t>09.10.2024</t>
  </si>
  <si>
    <t>HH20241009 T3809902470 No Limit Hold'em $0.46 + $0.04.txt</t>
  </si>
  <si>
    <t>HH20241009 T3809903659 No Limit Hold'em $1.84 + $0.16.txt</t>
  </si>
  <si>
    <t>HH20241009 T3809904715 No Limit Hold'em $1.84 + $0.16.txt</t>
  </si>
  <si>
    <t>HH20241009 T3809905970 No Limit Hold'em $1.84 + $0.16.txt</t>
  </si>
  <si>
    <t>HH20241009 T3809907889 No Limit Hold'em $1.84 + $0.16.txt</t>
  </si>
  <si>
    <t>HH20241009 T3809910543 No Limit Hold'em $1.84 + $0.16.txt</t>
  </si>
  <si>
    <t>HH20241009 T3809911458 No Limit Hold'em $1.84 + $0.16.txt</t>
  </si>
  <si>
    <t>HH20241009 T3809914600 No Limit Hold'em $1.84 + $0.16.txt</t>
  </si>
  <si>
    <t>HH20241009 T3809915733 No Limit Hold'em $1.84 + $0.16.txt</t>
  </si>
  <si>
    <t>HH20241009 T3809961336 No Limit Hold'em $1.84 + $0.16.txt</t>
  </si>
  <si>
    <t>HH20241009 T3809964504 No Limit Hold'em $1.84 + $0.16.txt</t>
  </si>
  <si>
    <t>HH20241009 T3809965350 No Limit Hold'em $1.84 + $0.16.txt</t>
  </si>
  <si>
    <t>HH20241009 T3809967151 No Limit Hold'em $1.84 + $0.16.txt</t>
  </si>
  <si>
    <t>HH20241009 T3809969001 No Limit Hold'em $1.84 + $0.16.txt</t>
  </si>
  <si>
    <t>HH20241009 T3809969711 No Limit Hold'em $1.84 + $0.16.txt</t>
  </si>
  <si>
    <t>HH20241009 T3809971423 No Limit Hold'em $1.84 + $0.16.txt</t>
  </si>
  <si>
    <t>HH20241009 T3809972862 No Limit Hold'em $1.84 + $0.16.txt</t>
  </si>
  <si>
    <t>HH20241009 T3809975301 No Limit Hold'em $1.84 + $0.16.txt</t>
  </si>
  <si>
    <t>HH20241009 T3809980229 No Limit Hold'em $1.84 + $0.16.txt</t>
  </si>
  <si>
    <t>HH20241009 T3809982177 No Limit Hold'em $1.84 + $0.16.txt</t>
  </si>
  <si>
    <t>HH20241009 T3809984115 No Limit Hold'em $1.84 + $0.16.txt</t>
  </si>
  <si>
    <t>HH20241009 T3809986327 No Limit Hold'em $1.84 + $0.16.txt</t>
  </si>
  <si>
    <t>HH20241009 T3809989524 No Limit Hold'em $1.84 + $0.16.txt</t>
  </si>
  <si>
    <t>HH20241009 T3809991885 No Limit Hold'em $1.84 + $0.16.txt</t>
  </si>
  <si>
    <t>HH20241009 T3808033574 No Limit Hold'em $3.92 + $0.48.txt</t>
  </si>
  <si>
    <t>HH20241009 T3810069389 No Limit Hold'em $1.84 + $0.16.txt</t>
  </si>
  <si>
    <t>HH20241009 T3810074105 No Limit Hold'em $1.84 + $0.16.txt</t>
  </si>
  <si>
    <t>HH20241009 T3810076265 No Limit Hold'em $1.84 + $0.16.txt</t>
  </si>
  <si>
    <t>HH20241009 T3810078315 No Limit Hold'em $1.84 + $0.16.txt</t>
  </si>
  <si>
    <t>HH20241009 T3810079870 No Limit Hold'em $1.84 + $0.16.txt</t>
  </si>
  <si>
    <t>10.10.2024</t>
  </si>
  <si>
    <t>HH20241010 T3810236822 No Limit Hold'em $1.84 + $0.16.txt</t>
  </si>
  <si>
    <t>HH20241010 T3810238310 No Limit Hold'em $0.46 + $0.04.txt</t>
  </si>
  <si>
    <t>HH20241010 T3810256648 No Limit Hold'em $1.84 + $0.16.txt</t>
  </si>
  <si>
    <t>HH20241010 T3810256891 No Limit Hold'em $1.84 + $0.16.txt</t>
  </si>
  <si>
    <t>HH20241010 T3810257356 No Limit Hold'em $1.84 + $0.16.txt</t>
  </si>
  <si>
    <t>HH20241010 T3810258800 No Limit Hold'em $1.84 + $0.16.txt</t>
  </si>
  <si>
    <t>HH20241010 T3810259873 No Limit Hold'em $1.84 + $0.16.txt</t>
  </si>
  <si>
    <t>HH20241010 T3810279286 No Limit Hold'em $1.84 + $0.16.txt</t>
  </si>
  <si>
    <t>HH20241010 T3810281971 No Limit Hold'em $1.84 + $0.16.txt</t>
  </si>
  <si>
    <t>HH20241010 T3810282264 No Limit Hold'em $1.84 + $0.16.txt</t>
  </si>
  <si>
    <t>HH20241010 T3810283434 No Limit Hold'em $1.84 + $0.16.txt</t>
  </si>
  <si>
    <t>HH20241010 T3810285266 No Limit Hold'em $1.84 + $0.16.txt</t>
  </si>
  <si>
    <t>HH20241010 T3810285846 No Limit Hold'em $1.84 + $0.16.txt</t>
  </si>
  <si>
    <t>HH20241010 T3810286861 No Limit Hold'em $1.84 + $0.16.txt</t>
  </si>
  <si>
    <t>HH20241010 T3810287275 No Limit Hold'em $1.84 + $0.16.txt</t>
  </si>
  <si>
    <t>HH20241010 T3810313558 No Limit Hold'em $1.84 + $0.16.txt</t>
  </si>
  <si>
    <t>HH20241010 T3810314806 No Limit Hold'em $1.84 + $0.16.txt</t>
  </si>
  <si>
    <t>HH20241010 T3810316523 No Limit Hold'em $1.84 + $0.16.txt</t>
  </si>
  <si>
    <t>HH20241010 T3810321034 No Limit Hold'em $1.84 + $0.16.txt</t>
  </si>
  <si>
    <t>HH20241010 T3810322587 No Limit Hold'em $1.84 + $0.16.txt</t>
  </si>
  <si>
    <t>HH20241010 T3810325198 No Limit Hold'em $1.84 + $0.16.txt</t>
  </si>
  <si>
    <t>HH20241010 T3810327093 No Limit Hold'em $1.84 + $0.16.txt</t>
  </si>
  <si>
    <t>HH20241010 T3810328224 No Limit Hold'em $1.84 + $0.16.txt</t>
  </si>
  <si>
    <t>HH20241010 T3810329593 No Limit Hold'em $1.84 + $0.16.txt</t>
  </si>
  <si>
    <t>HH20241010 T3810332080 No Limit Hold'em $1.84 + $0.16.txt</t>
  </si>
  <si>
    <t>HH20241010 T3810333051 No Limit Hold'em $1.84 + $0.16.txt</t>
  </si>
  <si>
    <t>HH20241010 T3810335816 No Limit Hold'em $1.84 + $0.16.txt</t>
  </si>
  <si>
    <t>HH20241010 T3810336851 No Limit Hold'em $1.84 + $0.16.txt</t>
  </si>
  <si>
    <t>HH20241010 T3810339410 No Limit Hold'em $1.84 + $0.16.txt</t>
  </si>
  <si>
    <t>HH20241010 T3810340665 No Limit Hold'em $1.84 + $0.16.txt</t>
  </si>
  <si>
    <t>HH20241010 T3810345560 No Limit Hold'em $1.84 + $0.16.txt</t>
  </si>
  <si>
    <t>HH20241010 T3810345926 No Limit Hold'em $1.84 + $0.16.txt</t>
  </si>
  <si>
    <t>HH20241010 T3810347005 No Limit Hold'em $1.84 + $0.16.txt</t>
  </si>
  <si>
    <t>HH20241010 T3810350494 No Limit Hold'em $1.84 + $0.16.txt</t>
  </si>
  <si>
    <t>HH20241010 T3810351968 No Limit Hold'em $1.84 + $0.16.txt</t>
  </si>
  <si>
    <t>HH20241010 T3810354494 No Limit Hold'em $1.84 + $0.16.txt</t>
  </si>
  <si>
    <t>HH20241010 T3810356178 No Limit Hold'em $1.84 + $0.16.txt</t>
  </si>
  <si>
    <t>HH20241010 T3810369904 No Limit Hold'em $1.84 + $0.16.txt</t>
  </si>
  <si>
    <t>AA</t>
  </si>
  <si>
    <t>KK</t>
  </si>
  <si>
    <t>QQ</t>
  </si>
  <si>
    <t>JJ</t>
  </si>
  <si>
    <t>TT</t>
  </si>
  <si>
    <t>HH20241010 T3809942339 No Limit Hold'em $3.92 + $0.48.txt</t>
  </si>
  <si>
    <t>HH20241010 T3810444704 No Limit Hold'em $1.84 + $0.16.txt</t>
  </si>
  <si>
    <t>HH20241010 T3810447601 No Limit Hold'em $1.84 + $0.16.txt</t>
  </si>
  <si>
    <t>HH20241010 T3810448323 No Limit Hold'em $1.84 + $0.16.txt</t>
  </si>
  <si>
    <t>HH20241010 T3810449598 No Limit Hold'em $1.84 + $0.16.txt</t>
  </si>
  <si>
    <t>HH20241010 T3810451867 No Limit Hold'em $9.30 + $0.70.txt</t>
  </si>
  <si>
    <t>11.10.2024</t>
  </si>
  <si>
    <t>HH20241011 T3810605212 No Limit Hold'em $1.84 + $0.16.txt</t>
  </si>
  <si>
    <t>HH20241011 T3810606762 No Limit Hold'em $0.46 + $0.04.txt</t>
  </si>
  <si>
    <t>HH20241011 T3810643491 No Limit Hold'em $1.84 + $0.16.txt</t>
  </si>
  <si>
    <t>HH20241011 T3810644504 No Limit Hold'em $1.84 + $0.16.txt</t>
  </si>
  <si>
    <t>HH20241011 T3810679867 No Limit Hold'em $1.84 + $0.16.txt</t>
  </si>
  <si>
    <t>HH20241011 T3810682038 No Limit Hold'em $1.84 + $0.16.txt</t>
  </si>
  <si>
    <t>HH20241011 T3810683680 No Limit Hold'em $1.84 + $0.16.txt</t>
  </si>
  <si>
    <t>HH20241011 T3810687553 No Limit Hold'em $1.84 + $0.16.txt</t>
  </si>
  <si>
    <t>HH20241011 T3810688163 No Limit Hold'em $1.84 + $0.16.txt</t>
  </si>
  <si>
    <t>HH20241011 T3810690344 No Limit Hold'em $1.84 + $0.16.txt</t>
  </si>
  <si>
    <t>HH20241011 T3810805713 No Limit Hold'em $1.84 + $0.16.txt</t>
  </si>
  <si>
    <t>HH20241011 T3810808434 No Limit Hold'em $1.84 + $0.16.txt</t>
  </si>
  <si>
    <t>HH20241011 T3810810347 No Limit Hold'em $1.84 + $0.16.txt</t>
  </si>
  <si>
    <t>HH20241011 T3810813896 No Limit Hold'em $1.84 + $0.16.txt</t>
  </si>
  <si>
    <t>HH20241011 T3810817698 No Limit Hold'em $1.84 + $0.16.txt</t>
  </si>
  <si>
    <t>HH20241011 T3810820732 No Limit Hold'em $1.84 + $0.16.txt</t>
  </si>
  <si>
    <t>HH20241011 T3810822367 No Limit Hold'em $1.84 + $0.16.txt</t>
  </si>
  <si>
    <t>12.10.2024</t>
  </si>
  <si>
    <t>HH20241012 T3811154694 No Limit Hold'em $1.84 + $0.16.txt</t>
  </si>
  <si>
    <t>HH20241012 T3808031819 No Limit Hold'em $9.80 + $1.20.txt</t>
  </si>
  <si>
    <t>HH20241012 T3811163699 No Limit Hold'em $0.46 + $0.04.txt</t>
  </si>
  <si>
    <t>HH20241012 T3808438046 No Limit Hold'em $1.40 + $0.10.txt</t>
  </si>
  <si>
    <t>HH20241012 T3811169400 No Limit Hold'em $1.84 + $0.16.txt</t>
  </si>
  <si>
    <t>HH20241012 T3811171111 No Limit Hold'em $1.84 + $0.16.txt</t>
  </si>
  <si>
    <t>HH20241012 T3811172456 No Limit Hold'em $1.84 + $0.16.txt</t>
  </si>
  <si>
    <t>HH20241012 T3808437921 No Limit Hold'em $10.27 + $0.73.txt</t>
  </si>
  <si>
    <t>HH20241012 T3811178456 No Limit Hold'em $1.84 + $0.16.txt</t>
  </si>
  <si>
    <t>HH20241012 T3811179137 No Limit Hold'em $1.84 + $0.16.txt</t>
  </si>
  <si>
    <t>HH20241012 T3811181383 No Limit Hold'em $1.84 + $0.16.txt</t>
  </si>
  <si>
    <t>HH20241012 T3811192282 No Limit Hold'em $1.84 + $0.16.txt</t>
  </si>
  <si>
    <t>HH20241012 T3811194114 No Limit Hold'em $1.84 + $0.16.txt</t>
  </si>
  <si>
    <t>HH20241012 T3811195419 No Limit Hold'em $1.84 + $0.16.txt</t>
  </si>
  <si>
    <t>HH20241012 T3811196131 No Limit Hold'em $1.84 + $0.16.txt</t>
  </si>
  <si>
    <t>HH20241012 T3811245501 No Limit Hold'em $1.84 + $0.16.txt</t>
  </si>
  <si>
    <t>HH20241012 T3811249067 No Limit Hold'em $1.84 + $0.16.txt</t>
  </si>
  <si>
    <t>HH20241012 T3811254557 No Limit Hold'em $1.84 + $0.16.txt</t>
  </si>
  <si>
    <t>HH20241012 T3811257045 No Limit Hold'em $1.84 + $0.16.txt</t>
  </si>
  <si>
    <t>HH20241012 T3811257945 No Limit Hold'em $1.84 + $0.16.txt</t>
  </si>
  <si>
    <t>HH20241012 T3811261611 No Limit Hold'em $1.84 + $0.16.txt</t>
  </si>
  <si>
    <t>HH20241012 T3811263664 No Limit Hold'em $1.84 + $0.16.txt</t>
  </si>
  <si>
    <t>HH20241012 T3811266620 No Limit Hold'em $1.84 + $0.16.txt</t>
  </si>
  <si>
    <t>HH20241012 T3811270642 No Limit Hold'em $1.84 + $0.16.txt</t>
  </si>
  <si>
    <t>HH20241012 T3811273251 No Limit Hold'em $1.84 + $0.16.txt</t>
  </si>
  <si>
    <t>13.10.2024</t>
  </si>
  <si>
    <t>HH20241013 T3811397332 No Limit Hold'em $1.84 + $0.16.txt</t>
  </si>
  <si>
    <t>HH20241013 T3811432954 No Limit Hold'em $0.46 + $0.04.txt</t>
  </si>
  <si>
    <t>HH20241013 T3811435185 No Limit Hold'em $1.84 + $0.16.txt</t>
  </si>
  <si>
    <t>HH20241013 T3811436656 No Limit Hold'em $1.84 + $0.16.txt</t>
  </si>
  <si>
    <t>HH20241013 T3811438928 No Limit Hold'em $1.84 + $0.16.txt</t>
  </si>
  <si>
    <t>HH20241013 T3811440360 No Limit Hold'em $1.84 + $0.16.txt</t>
  </si>
  <si>
    <t>HH20241013 T3811441963 No Limit Hold'em $1.84 + $0.16.txt</t>
  </si>
  <si>
    <t>HH20241013 T3811445034 No Limit Hold'em $1.84 + $0.16.txt</t>
  </si>
  <si>
    <t>HH20241013 T3811447019 No Limit Hold'em $1.84 + $0.16.txt</t>
  </si>
  <si>
    <t>HH20241013 T3811447943 No Limit Hold'em $1.84 + $0.16.txt</t>
  </si>
  <si>
    <t>HH20241013 T3811449406 No Limit Hold'em $1.84 + $0.16.txt</t>
  </si>
  <si>
    <t>HH20241013 T3811476681 No Limit Hold'em $1.84 + $0.16.txt</t>
  </si>
  <si>
    <t>HH20241013 T3811479551 No Limit Hold'em $1.84 + $0.16.txt</t>
  </si>
  <si>
    <t>HH20241013 T3811481288 No Limit Hold'em $1.84 + $0.16.txt</t>
  </si>
  <si>
    <t>HH20241013 T3811534971 No Limit Hold'em $1.84 + $0.16.txt</t>
  </si>
  <si>
    <t>HH20241013 T3811552515 No Limit Hold'em $1.84 + $0.16.txt</t>
  </si>
  <si>
    <t>HH20241013 T3811553232 No Limit Hold'em $1.84 + $0.16.txt</t>
  </si>
  <si>
    <t>HH20241013 T3811584377 No Limit Hold'em $1.84 + $0.16.txt</t>
  </si>
  <si>
    <t>HH20241013 T3811588270 No Limit Hold'em $1.84 + $0.16.txt</t>
  </si>
  <si>
    <t>HH20241013 T3811592319 No Limit Hold'em $1.84 + $0.16.txt</t>
  </si>
  <si>
    <t>14.10.2024</t>
  </si>
  <si>
    <t>NA</t>
  </si>
  <si>
    <t>HH20241014 T3811815322 No Limit Hold'em $0.46 + $0.04.txt</t>
  </si>
  <si>
    <t>HH20241014 T3811840595 No Limit Hold'em $1.84 + $0.16.txt</t>
  </si>
  <si>
    <t>HH20241014 T3811843769 No Limit Hold'em $1.84 + $0.16.txt</t>
  </si>
  <si>
    <t>HH20241014 T3811846894 No Limit Hold'em $1.84 + $0.16.txt</t>
  </si>
  <si>
    <t>HH20241014 T3811848623 No Limit Hold'em $1.84 + $0.16.txt</t>
  </si>
  <si>
    <t>HH20241014 T3811851927 No Limit Hold'em $1.84 + $0.16.txt</t>
  </si>
  <si>
    <t>HH20241014 T3811852951 No Limit Hold'em $1.84 + $0.16.txt</t>
  </si>
  <si>
    <t>HH20241014 T3811856947 No Limit Hold'em $1.84 + $0.16.txt</t>
  </si>
  <si>
    <t>HH20241014 T3811859708 No Limit Hold'em $1.84 + $0.16.txt</t>
  </si>
  <si>
    <t>HH20241014 T3811862789 No Limit Hold'em $1.84 + $0.16.txt</t>
  </si>
  <si>
    <t>HH20241014 T3811894337 No Limit Hold'em $1.84 + $0.16.txt</t>
  </si>
  <si>
    <t>HH20241014 T3811900028 No Limit Hold'em $1.84 + $0.16.txt</t>
  </si>
  <si>
    <t>HH20241014 T3811971550 No Limit Hold'em $1.84 + $0.16.txt</t>
  </si>
  <si>
    <t>HH20241014 T3811974345 No Limit Hold'em $1.84 + $0.16.txt</t>
  </si>
  <si>
    <t>HH20241014 T3811979383 No Limit Hold'em $1.84 + $0.16.txt</t>
  </si>
  <si>
    <t>HH20241014 T3811982815 No Limit Hold'em $1.84 + $0.16.txt</t>
  </si>
  <si>
    <t>15.10.2024</t>
  </si>
  <si>
    <t>HH20241015 T3812118418 No Limit Hold'em $1.84 + $0.16.txt</t>
  </si>
  <si>
    <t>HH20241015 T3812119725 No Limit Hold'em $0.46 + $0.04.txt</t>
  </si>
  <si>
    <t>HH20241015 T3812141639 No Limit Hold'em $1.84 + $0.16.txt</t>
  </si>
  <si>
    <t>HH20241015 T3812143048 No Limit Hold'em $1.84 + $0.16.txt</t>
  </si>
  <si>
    <t>HH20241015 T3812156204 No Limit Hold'em $1.84 + $0.16.txt</t>
  </si>
  <si>
    <t>HH20241015 T3812157395 No Limit Hold'em $1.84 + $0.16.txt</t>
  </si>
  <si>
    <t>HH20241015 T3812157862 No Limit Hold'em $1.84 + $0.16.txt</t>
  </si>
  <si>
    <t>HH20241015 T3812158425 No Limit Hold'em $1.84 + $0.16.txt</t>
  </si>
  <si>
    <t>HH20241015 T3812178780 No Limit Hold'em $1.84 + $0.16.txt</t>
  </si>
  <si>
    <t>HH20241015 T3812180155 No Limit Hold'em $1.84 + $0.16.txt</t>
  </si>
  <si>
    <t>HH20241015 T3812181491 No Limit Hold'em $1.84 + $0.16.txt</t>
  </si>
  <si>
    <t>HH20241015 T3812182533 No Limit Hold'em $1.84 + $0.16.txt</t>
  </si>
  <si>
    <t>HH20241015 T3812183671 No Limit Hold'em $1.84 + $0.16.txt</t>
  </si>
  <si>
    <t>HH20241015 T3812185864 No Limit Hold'em $1.84 + $0.16.txt</t>
  </si>
  <si>
    <t>HH20241015 T3812186612 No Limit Hold'em $1.84 + $0.16.txt</t>
  </si>
  <si>
    <t>HH20241015 T3812188987 No Limit Hold'em $1.84 + $0.16.txt</t>
  </si>
  <si>
    <t>HH20241015 T3812275112 No Limit Hold'em $1.84 + $0.16.txt</t>
  </si>
  <si>
    <t>HH20241015 T3812275784 No Limit Hold'em $1.84 + $0.16.txt</t>
  </si>
  <si>
    <t>HH20241015 T3812277868 No Limit Hold'em $1.84 + $0.16.txt</t>
  </si>
  <si>
    <t>HH20241015 T3812281017 No Limit Hold'em $1.84 + $0.16.txt</t>
  </si>
  <si>
    <t>HH20241015 T3812329810 No Limit Hold'em $1.84 + $0.16.txt</t>
  </si>
  <si>
    <t>HH20241015 T3812334198 No Limit Hold'em $1.84 + $0.16.txt</t>
  </si>
  <si>
    <t>HH20241016 T3812495833 No Limit Hold'em $1.84 + $0.16.txt</t>
  </si>
  <si>
    <t>HH20241016 T3812497111 No Limit Hold'em $0.46 + $0.04.txt</t>
  </si>
  <si>
    <t>HH20241016 T3812643260 No Limit Hold'em $1.84 + $0.16.txt</t>
  </si>
  <si>
    <t>16.10.2024</t>
  </si>
  <si>
    <t>HH20241016 T3812669176 No Limit Hold'em $1.84 + $0.16.txt</t>
  </si>
  <si>
    <t>18.10.2024</t>
  </si>
  <si>
    <t>HH20241018 T3813231562 No Limit Hold'em $1.84 + $0.16.txt</t>
  </si>
  <si>
    <t>HH20241018 T3813234174 No Limit Hold'em $0.46 + $0.04.txt</t>
  </si>
  <si>
    <t>HH20241018 T3813297327 No Limit Hold'em $1.84 + $0.16.txt</t>
  </si>
  <si>
    <t>HH20241018 T3813300054 No Limit Hold'em $1.84 + $0.16.txt</t>
  </si>
  <si>
    <t>HH20241018 T3813302768 No Limit Hold'em $1.84 + $0.16.txt</t>
  </si>
  <si>
    <t>HH20241018 T3813304373 No Limit Hold'em $1.84 + $0.16.txt</t>
  </si>
  <si>
    <t>HH20241018 T3813306025 No Limit Hold'em $1.84 + $0.16.txt</t>
  </si>
  <si>
    <t>HH20241018 T3813307884 No Limit Hold'em $1.84 + $0.16.txt</t>
  </si>
  <si>
    <t>HH20241018 T3813309577 No Limit Hold'em $1.84 + $0.16.txt</t>
  </si>
  <si>
    <t>HH20241018 T3813405715 No Limit Hold'em $1.84 + $0.16.txt</t>
  </si>
  <si>
    <t>HH20241018 T3813410729 No Limit Hold'em $1.84 + $0.16.txt</t>
  </si>
  <si>
    <t>HH20241018 T3813411896 No Limit Hold'em $1.84 + $0.16.txt</t>
  </si>
  <si>
    <t>HH20241018 T3813412997 No Limit Hold'em $1.84 + $0.16.txt</t>
  </si>
  <si>
    <t>HH20241018 T3813417530 No Limit Hold'em $1.84 + $0.16.txt</t>
  </si>
  <si>
    <t>HH20241018 T3813419815 No Limit Hold'em $1.84 + $0.16.txt</t>
  </si>
  <si>
    <t>HH20241018 T3813423339 No Limit Hold'em $1.84 + $0.16.txt</t>
  </si>
  <si>
    <t>HH20241018 T3813428899 No Limit Hold'em $1.84 + $0.16.txt</t>
  </si>
  <si>
    <t>HH20241019 T3813619901 No Limit Hold'em $1.84 + $0.16.txt</t>
  </si>
  <si>
    <t>19.10.2024</t>
  </si>
  <si>
    <t>HH20241019 T3813620359 No Limit Hold'em $0.46 + $0.04.txt</t>
  </si>
  <si>
    <t>HH20241019 T3813660803 No Limit Hold'em $1.84 + $0.16.txt</t>
  </si>
  <si>
    <t>HH20241019 T3813662659 No Limit Hold'em $0.96 + $0.04.txt</t>
  </si>
  <si>
    <t>HH20241019 T3809579207 No Limit Hold'em $1.40 + $0.10.txt</t>
  </si>
  <si>
    <t>HH20241019 T3813710699 No Limit Hold'em $1.84 + $0.16.txt</t>
  </si>
  <si>
    <t>HH20241019 T3813712499 No Limit Hold'em $1.84 + $0.16.txt</t>
  </si>
  <si>
    <t>HH20241019 T3813720440 No Limit Hold'em $1.84 + $0.16.txt</t>
  </si>
  <si>
    <t>HH20241019 T3813722870 No Limit Hold'em $1.84 + $0.16.txt</t>
  </si>
  <si>
    <t>HH20241019 T3813725309 No Limit Hold'em $1.84 + $0.16.txt</t>
  </si>
  <si>
    <t>HH20241019 T3813727024 No Limit Hold'em $1.84 + $0.16.txt</t>
  </si>
  <si>
    <t>HH20241019 T3813728357 No Limit Hold'em $1.84 + $0.16.txt</t>
  </si>
  <si>
    <t>HH20241019 T3813802694 No Limit Hold'em $1.84 + $0.16.txt</t>
  </si>
  <si>
    <t>HH20241019 T3813804591 No Limit Hold'em $1.84 + $0.16.txt</t>
  </si>
  <si>
    <t>HH20241020 T3814001078 No Limit Hold'em $1.84 + $0.16.txt</t>
  </si>
  <si>
    <t>HH20241020 T3814002276 No Limit Hold'em $0.46 + $0.04.txt</t>
  </si>
  <si>
    <t>20.10.2024</t>
  </si>
  <si>
    <t>HH20241020 T3814058941 No Limit Hold'em $1.84 + $0.16.txt</t>
  </si>
  <si>
    <t>HH20241020 T3814172293 No Limit Hold'em $1.84 + $0.16.txt</t>
  </si>
  <si>
    <t>HH20241020 T3814174814 No Limit Hold'em $1.84 + $0.16.txt</t>
  </si>
  <si>
    <t>HH20241020 T3814176269 No Limit Hold'em $1.84 + $0.16.txt</t>
  </si>
  <si>
    <t>21.10.2024</t>
  </si>
  <si>
    <t>HH20241021 T3814886186 No Limit Hold'em $1.84 + $0.16.txt</t>
  </si>
  <si>
    <t>HH20241021 T3814887278 No Limit Hold'em $0.46 + $0.04.txt</t>
  </si>
  <si>
    <t>HH20241021 T3814890869 No Limit Hold'em $1.84 + $0.16.txt</t>
  </si>
  <si>
    <t>HH20241021 T3814891880 No Limit Hold'em $1.84 + $0.16.txt</t>
  </si>
  <si>
    <t>HH20241021 T3814894019 No Limit Hold'em $1.84 + $0.16.txt</t>
  </si>
  <si>
    <t>ROI</t>
  </si>
  <si>
    <t>HH20241021 T3814945816 No Limit Hold'em $1.84 + $0.16.txt</t>
  </si>
  <si>
    <t>HH20241021 T3814948439 No Limit Hold'em $1.84 + $0.16.txt</t>
  </si>
  <si>
    <t>HH20241021 T3814948939 No Limit Hold'em $1.84 + $0.16.txt</t>
  </si>
  <si>
    <t>HH20241021 T3814951508 No Limit Hold'em $1.84 + $0.16.txt</t>
  </si>
  <si>
    <t>HH20241021 T3814954897 No Limit Hold'em $1.84 + $0.16.txt</t>
  </si>
  <si>
    <t>HH20241021 T3815012396 No Limit Hold'em $1.84 + $0.16.txt</t>
  </si>
  <si>
    <t>HH20241021 T3815013995 No Limit Hold'em $1.84 + $0.16.txt</t>
  </si>
  <si>
    <t>HH20241021 T3815018139 No Limit Hold'em $1.84 + $0.16.txt</t>
  </si>
  <si>
    <t>22.10.2024</t>
  </si>
  <si>
    <t>HH20241022 T3815161318 No Limit Hold'em $1.84 + $0.16.txt</t>
  </si>
  <si>
    <t>HH20241022 T3815163516 No Limit Hold'em $0.46 + $0.04.txt</t>
  </si>
  <si>
    <t>HH20241022 T3815213829 No Limit Hold'em $1.84 + $0.16.txt</t>
  </si>
  <si>
    <t>23.10.2024</t>
  </si>
  <si>
    <t>HH20241023 T3815637168 No Limit Hold'em $1.84 + $0.16.txt</t>
  </si>
  <si>
    <t>HH20241023 T3815639970 No Limit Hold'em $0.46 + $0.04.txt</t>
  </si>
  <si>
    <t>HH20241023 T3815670499 No Limit Hold'em $1.84 + $0.16.txt</t>
  </si>
  <si>
    <t>HH20241023 T3813271542 No Limit Hold'em $3.92 + $0.48.txt</t>
  </si>
  <si>
    <t>HH20241023 T3815733387 No Limit Hold'em $1.84 + $0.16.txt</t>
  </si>
  <si>
    <t>HH20241023 T3815734968 No Limit Hold'em $1.84 + $0.16.txt</t>
  </si>
  <si>
    <t>HH20241023 T3815737510 No Limit Hold'em $1.84 + $0.16.txt</t>
  </si>
  <si>
    <t>24.10.2024</t>
  </si>
  <si>
    <t>HH20241024 T3815854482 No Limit Hold'em $1.84 + $0.16.txt</t>
  </si>
  <si>
    <t>HH20241024 T3815855093 No Limit Hold'em $0.46 + $0.04.txt</t>
  </si>
  <si>
    <t>HH20241024 T3815855807 No Limit Hold'em $1.84 + $0.16.txt</t>
  </si>
  <si>
    <t>HH20241024 T3815856554 No Limit Hold'em $1.84 + $0.16.txt</t>
  </si>
  <si>
    <t>HH20241024 T3815857174 No Limit Hold'em $1.84 + $0.16.txt</t>
  </si>
  <si>
    <t>HH20241024 T3815857486 No Limit Hold'em $1.84 + $0.16.txt</t>
  </si>
  <si>
    <t>HH20241024 T3816027982 No Limit Hold'em $1.84 + $0.16.txt</t>
  </si>
  <si>
    <t>HH20241024 T3816032520 No Limit Hold'em $0.96 + $0.04.txt</t>
  </si>
  <si>
    <t>HH20241024 T3816032644 No Limit Hold'em $1.84 + $0.16.txt</t>
  </si>
  <si>
    <t>HH20241024 T3816034016 No Limit Hold'em $1.84 + $0.16.txt</t>
  </si>
  <si>
    <t>HH20241024 T3816036204 No Limit Hold'em $1.84 + $0.16.txt</t>
  </si>
  <si>
    <t>HH20241024 T3816037834 No Limit Hold'em $1.84 + $0.16.txt</t>
  </si>
  <si>
    <t>HH20241024 T3816041437 No Limit Hold'em $1.84 + $0.16.txt</t>
  </si>
  <si>
    <t>HH20241024 T3816041883 No Limit Hold'em $1.84 + $0.16.txt</t>
  </si>
  <si>
    <t>HH20241025 T3816202824 No Limit Hold'em $1.84 + $0.16.txt</t>
  </si>
  <si>
    <t>HH20241025 T3816203779 No Limit Hold'em $0.46 + $0.04.txt</t>
  </si>
  <si>
    <t>HH20241025 T3816204066 No Limit Hold'em $1.84 + $0.16.txt</t>
  </si>
  <si>
    <t>25.10.2024</t>
  </si>
  <si>
    <t>HH20241025 T3816240922 No Limit Hold'em $1.84 + $0.16.txt</t>
  </si>
  <si>
    <t>HH20241025 T3816242507 No Limit Hold'em $1.84 + $0.16.txt</t>
  </si>
  <si>
    <t>HH20241025 T3816243960 No Limit Hold'em $1.84 + $0.16.txt</t>
  </si>
  <si>
    <t>HH20241025 T3816247586 No Limit Hold'em $1.84 + $0.16.txt</t>
  </si>
  <si>
    <t>HH20241025 T3816271280 No Limit Hold'em $1.84 + $0.16.txt</t>
  </si>
  <si>
    <t>HH20241025 T3816272424 No Limit Hold'em $1.84 + $0.16.txt</t>
  </si>
  <si>
    <t>HH20241025 T3816273575 No Limit Hold'em $1.84 + $0.16.txt</t>
  </si>
  <si>
    <t>HH20241025 T3816277484 No Limit Hold'em $1.84 + $0.16.txt</t>
  </si>
  <si>
    <t>HH20241025 T3816281125 No Limit Hold'em $1.84 + $0.16.txt</t>
  </si>
  <si>
    <t>HH20241025 T3816283111 No Limit Hold'em $1.84 + $0.16.txt</t>
  </si>
  <si>
    <t>HH20241025 T3816284409 No Limit Hold'em $1.84 + $0.16.txt</t>
  </si>
  <si>
    <t>HH20241025 T3816285648 No Limit Hold'em $1.84 + $0.16.txt</t>
  </si>
  <si>
    <t>HH20241025 T3816286012 No Limit Hold'em $1.84 + $0.16.txt</t>
  </si>
  <si>
    <t>HH20241025 T3816286658 No Limit Hold'em $1.84 + $0.16.txt</t>
  </si>
  <si>
    <t>HH20241025 T3816289586 No Limit Hold'em $4.60 + $0.40.txt</t>
  </si>
  <si>
    <t>HH20241025 T3816289803 No Limit Hold'em $9.30 + $0.70.txt</t>
  </si>
  <si>
    <t>26.10.2024</t>
  </si>
  <si>
    <t>HH20241026 T3816627451 No Limit Hold'em $1.84 + $0.16.txt</t>
  </si>
  <si>
    <t>HH20241026 T3816628433 No Limit Hold'em $0.46 + $0.04.txt</t>
  </si>
  <si>
    <t>HH20241026 T3816685224 No Limit Hold'em $1.84 + $0.16.txt</t>
  </si>
  <si>
    <t>HH20241026 T3816687125 No Limit Hold'em $1.84 + $0.16.txt</t>
  </si>
  <si>
    <t>HH20241026 T3816694502 No Limit Hold'em $1.84 + $0.16.txt</t>
  </si>
  <si>
    <t>HH20241026 T3816802697 No Limit Hold'em $1.84 + $0.16.txt</t>
  </si>
  <si>
    <t>HH20241026 T3816804433 No Limit Hold'em $1.84 + $0.16.txt</t>
  </si>
  <si>
    <t>27.10.2024</t>
  </si>
  <si>
    <t>HH20241027 T3816967628 No Limit Hold'em $1.84 + $0.16.txt</t>
  </si>
  <si>
    <t>HH20241027 T3817096151 No Limit Hold'em $0.46 + $0.04.txt</t>
  </si>
  <si>
    <t>HH20241027 T3817098232 No Limit Hold'em $0.96 + $0.04.txt</t>
  </si>
  <si>
    <t>28.10.2024</t>
  </si>
  <si>
    <t>HH20241028 T3817541013 No Limit Hold'em $1.84 + $0.16.txt</t>
  </si>
  <si>
    <t>HH20241028 T3817542840 No Limit Hold'em $1.84 + $0.16.txt</t>
  </si>
  <si>
    <t>HH20241028 T3817544358 No Limit Hold'em $1.84 + $0.16.txt</t>
  </si>
  <si>
    <t>HH20241028 T3817546880 No Limit Hold'em $1.84 + $0.16.txt</t>
  </si>
  <si>
    <t>HH20241028 T3817548773 No Limit Hold'em $1.84 + $0.16.txt</t>
  </si>
  <si>
    <t>HH20241028 T3817552773 No Limit Hold'em $1.84 + $0.16.txt</t>
  </si>
  <si>
    <t>29.10.2024</t>
  </si>
  <si>
    <t>HH20241029 T3817666234 No Limit Hold'em $1.84 + $0.16.txt</t>
  </si>
  <si>
    <t>HH20241029 T3817697034 No Limit Hold'em $0.46 + $0.04.txt</t>
  </si>
  <si>
    <t>HH20241029 T3817698016 No Limit Hold'em $0.46 + $0.04.txt</t>
  </si>
  <si>
    <t>HH20241029 T3817699211 No Limit Hold'em $1.84 + $0.16.txt</t>
  </si>
  <si>
    <t>HH20241029 T3817810132 No Limit Hold'em $1.84 + $0.16.txt</t>
  </si>
  <si>
    <t>HH20241029 T3817811504 No Limit Hold'em $1.84 + $0.16.txt</t>
  </si>
  <si>
    <t>HH20241029 T3817812827 No Limit Hold'em $1.84 + $0.16.txt</t>
  </si>
  <si>
    <t>30.10.2024</t>
  </si>
  <si>
    <t>HH20241030 T3818186078 No Limit Hold'em $1.84 + $0.16.txt</t>
  </si>
  <si>
    <t>HH20241030 T3818204942 No Limit Hold'em $1.84 + $0.16.txt</t>
  </si>
  <si>
    <t>HH20241030 T3818206376 No Limit Hold'em $1.84 + $0.16.txt</t>
  </si>
  <si>
    <t>HH20241030 T3818211199 No Limit Hold'em $1.84 + $0.16.txt</t>
  </si>
  <si>
    <t>HH20241030 T3818213882 No Limit Hold'em $1.84 + $0.16.txt</t>
  </si>
  <si>
    <t>HH20241030 T3818216777 No Limit Hold'em $0.46 + $0.04.txt</t>
  </si>
  <si>
    <t>31.10.2024</t>
  </si>
  <si>
    <t>HH20241031 T3818490996 No Limit Hold'em $1.84 + $0.16.txt</t>
  </si>
  <si>
    <t>HH20241031 T3818562636 No Limit Hold'em $1.84 + $0.16.txt</t>
  </si>
  <si>
    <t>HH20241031 T3818566240 No Limit Hold'em $1.84 + $0.16.txt</t>
  </si>
  <si>
    <t>HH20241031 T3818568618 No Limit Hold'em $0.46 + $0.04.txt</t>
  </si>
  <si>
    <t>01.11.2024</t>
  </si>
  <si>
    <t>HH20241101 T3818717043 No Limit Hold'em $1.84 + $0.16.txt</t>
  </si>
  <si>
    <t>HH20241101 T3818719209 No Limit Hold'em $0.46 + $0.04.txt</t>
  </si>
  <si>
    <t>HH20241101 T3818746144 No Limit Hold'em $1.84 + $0.16.txt</t>
  </si>
  <si>
    <t>HH20241101 T3818747958 No Limit Hold'em $1.84 + $0.16.txt</t>
  </si>
  <si>
    <t>HH20241101 T3818780480 No Limit Hold'em $1.84 + $0.16.txt</t>
  </si>
  <si>
    <t>HH20241101 T3818781412 No Limit Hold'em $1.84 + $0.16.txt</t>
  </si>
  <si>
    <t>HH20241101 T3818782640 No Limit Hold'em $1.84 + $0.16.txt</t>
  </si>
  <si>
    <t>HH20241101 T3818807538 No Limit Hold'em $1.84 + $0.16.txt</t>
  </si>
  <si>
    <t>HH20241101 T3818807892 No Limit Hold'em $1.84 + $0.16.txt</t>
  </si>
  <si>
    <t>HH20241101 T3818809255 No Limit Hold'em $1.84 + $0.16.txt</t>
  </si>
  <si>
    <t>HH20241101 T3818815632 No Limit Hold'em $1.84 + $0.16.txt</t>
  </si>
  <si>
    <t>HH20241101 T3818818855 No Limit Hold'em $1.84 + $0.16.txt</t>
  </si>
  <si>
    <t>HH20241101 T3818819646 No Limit Hold'em $1.84 + $0.16.txt</t>
  </si>
  <si>
    <t>HH20241101 T3818819881 No Limit Hold'em $1.84 + $0.16.txt</t>
  </si>
  <si>
    <t>HH20241101 T3818823312 No Limit Hold'em $1.84 + $0.16.txt</t>
  </si>
  <si>
    <t>HH20241101 T3818826775 No Limit Hold'em $1.84 + $0.16.txt</t>
  </si>
  <si>
    <t>HH20241101 T3818863423 No Limit Hold'em $1.84 + $0.16.txt</t>
  </si>
  <si>
    <t>HH20241101 T3818867713 No Limit Hold'em $1.84 + $0.16.txt</t>
  </si>
  <si>
    <t>HH20241101 T3818872225 No Limit Hold'em $1.84 + $0.16.txt</t>
  </si>
  <si>
    <t>HH20241101 T3818874489 No Limit Hold'em $1.84 + $0.16.txt</t>
  </si>
  <si>
    <t>HH20241101 T3818877957 No Limit Hold'em $1.84 + $0.16.txt</t>
  </si>
  <si>
    <t>HH20241101 T3818879923 No Limit Hold'em $1.84 + $0.16.txt</t>
  </si>
  <si>
    <t>HH20241101 T3818882055 No Limit Hold'em $1.84 + $0.16.txt</t>
  </si>
  <si>
    <t>HH20241101 T3818918237 No Limit Hold'em $1.84 + $0.16.txt</t>
  </si>
  <si>
    <t>HH20241101 T3818920697 No Limit Hold'em $1.84 + $0.16.txt</t>
  </si>
  <si>
    <t>HH20241101 T3818922916 No Limit Hold'em $1.84 + $0.16.txt</t>
  </si>
  <si>
    <t>HH20241101 T3818926286 No Limit Hold'em $1.84 + $0.16.txt</t>
  </si>
  <si>
    <t>HH20241101 T3818931383 No Limit Hold'em $1.84 + $0.16.txt</t>
  </si>
  <si>
    <t>HH20241101 T3818933440 No Limit Hold'em $1.84 + $0.16.txt</t>
  </si>
  <si>
    <t>HH20241101 T3818936190 No Limit Hold'em $1.84 + $0.16.txt</t>
  </si>
  <si>
    <t>HH20241101 T3818938567 No Limit Hold'em $1.84 + $0.16.txt</t>
  </si>
  <si>
    <t>HH20241101 T3818944007 No Limit Hold'em $1.84 + $0.16.txt</t>
  </si>
  <si>
    <t>HH20241101 T3818947496 No Limit Hold'em $1.84 + $0.16.txt</t>
  </si>
  <si>
    <t>HH20241101 T3818948985 No Limit Hold'em $1.84 + $0.16.txt</t>
  </si>
  <si>
    <t>HH20241101 T3818951459 No Limit Hold'em $1.84 + $0.16.txt</t>
  </si>
  <si>
    <t>HH20241101 T3818954799 No Limit Hold'em $1.84 + $0.16.txt</t>
  </si>
  <si>
    <t>HH20241101 T3818958023 No Limit Hold'em $1.84 + $0.16.txt</t>
  </si>
  <si>
    <t>02.11.2024</t>
  </si>
  <si>
    <t>HH20241102 T3819188216 No Limit Hold'em $1.84 + $0.16.txt</t>
  </si>
  <si>
    <t>HH20241102 T3819189403 No Limit Hold'em $1.84 + $0.16.txt</t>
  </si>
  <si>
    <t>HH20241102 T3817774245 No Limit Hold'em $1.40 + $0.10.txt</t>
  </si>
  <si>
    <t>HH20241102 T3819204066 No Limit Hold'em $0.46 + $0.04.txt</t>
  </si>
  <si>
    <t>HH20241102 T3819206774 No Limit Hold'em $0.96 + $0.04.txt</t>
  </si>
  <si>
    <t>HH20241102 T3819342264 No Limit Hold'em $1.84 + $0.16.txt</t>
  </si>
  <si>
    <t>HH20241102 T3819345722 No Limit Hold'em $1.84 + $0.16.txt</t>
  </si>
  <si>
    <t>HH20241102 T3819349277 No Limit Hold'em $1.84 + $0.16.txt</t>
  </si>
  <si>
    <t>HH20241102 T3819353438 No Limit Hold'em $1.84 + $0.16.txt</t>
  </si>
  <si>
    <t>HH20241102 T3819356295 No Limit Hold'em $1.84 + $0.16.txt</t>
  </si>
  <si>
    <t>03.11.2024</t>
  </si>
  <si>
    <t>HH20241103 T3819589076 No Limit Hold'em $1.84 + $0.16.txt</t>
  </si>
  <si>
    <t>HH20241103 T3819590985 No Limit Hold'em $1.84 + $0.16.txt</t>
  </si>
  <si>
    <t>HH20241103 T3819593394 No Limit Hold'em $1.84 + $0.16.txt</t>
  </si>
  <si>
    <t>HH20241103 T3819596528 No Limit Hold'em $1.84 + $0.16.txt</t>
  </si>
  <si>
    <t>HH20241103 T3819597227 No Limit Hold'em $1.84 + $0.16.txt</t>
  </si>
  <si>
    <t>HH20241103 T3819598638 No Limit Hold'em $0.46 + $0.04.txt</t>
  </si>
  <si>
    <t>HH20241103 T3819603366 No Limit Hold'em $1.84 + $0.16.txt</t>
  </si>
  <si>
    <t>HH20241103 T3819647167 No Limit Hold'em $1.84 + $0.16.txt</t>
  </si>
  <si>
    <t>HH20241103 T3819649052 No Limit Hold'em $1.84 + $0.16.txt</t>
  </si>
  <si>
    <t>HH20241103 T3819650887 No Limit Hold'em $1.84 + $0.16.txt</t>
  </si>
  <si>
    <t>HH20241103 T3819655969 No Limit Hold'em $1.84 + $0.16.txt</t>
  </si>
  <si>
    <t>HH20241103 T3816258457 No Limit Hold'em $9.80 + $1.20.txt</t>
  </si>
  <si>
    <t>04.11.2024</t>
  </si>
  <si>
    <t>HH20241104 T3820089748 No Limit Hold'em $1.84 + $0.16.txt</t>
  </si>
  <si>
    <t>05.11.2024</t>
  </si>
  <si>
    <t>HH20241105 T3820396960 No Limit Hold'em $1.84 + $0.16.txt</t>
  </si>
  <si>
    <t>HH20241105 T3820401773 No Limit Hold'em $0.46 + $0.04.txt</t>
  </si>
  <si>
    <t>HH20241105 T3820402648 No Limit Hold'em $0.46 + $0.04.txt</t>
  </si>
  <si>
    <t>HH20241105 T3820404392 No Limit Hold'em $1.84 + $0.16.txt</t>
  </si>
  <si>
    <t>HH20241105 T3820407763 No Limit Hold'em $1.84 + $0.16.txt</t>
  </si>
  <si>
    <t>HH20241105 T3820408974 No Limit Hold'em $1.84 + $0.16.txt</t>
  </si>
  <si>
    <t>HH20241105 T3820412992 No Limit Hold'em $1.84 + $0.16.txt</t>
  </si>
  <si>
    <t>06.11.2024</t>
  </si>
  <si>
    <t>HH20241106 T3820748227 No Limit Hold'em $1.84 + $0.16.txt</t>
  </si>
  <si>
    <t>HH20241106 T3820751324 No Limit Hold'em $0.46 + $0.04.txt</t>
  </si>
  <si>
    <t>HH20241106 T3820751855 No Limit Hold'em $1.84 + $0.16.txt</t>
  </si>
  <si>
    <t>HH20241106 T3820754154 No Limit Hold'em $1.84 + $0.16.txt</t>
  </si>
  <si>
    <t>HH20241106 T3820756795 No Limit Hold'em $1.84 + $0.16.txt</t>
  </si>
  <si>
    <t>HH20241106 T3820758188 No Limit Hold'em $1.84 + $0.16.txt</t>
  </si>
  <si>
    <t>HH20241106 T3820760751 No Limit Hold'em $1.84 + $0.16.txt</t>
  </si>
  <si>
    <t>07.11.2024</t>
  </si>
  <si>
    <t>HH20241107 T3821058677 No Limit Hold'em $1.84 + $0.16.txt</t>
  </si>
  <si>
    <t>HH20241107 T3821059881 No Limit Hold'em $1.84 + $0.16.txt</t>
  </si>
  <si>
    <t>HH20241107 T3821065206 No Limit Hold'em $1.84 + $0.16.txt</t>
  </si>
  <si>
    <t>HH20241107 T3821066626 No Limit Hold'em $1.84 + $0.16.txt</t>
  </si>
  <si>
    <t>08.11.2024</t>
  </si>
  <si>
    <t>HH20241108 T3821356634 No Limit Hold'em $1.84 + $0.16.txt</t>
  </si>
  <si>
    <t>HH20241108 T3821358226 No Limit Hold'em $1.84 + $0.16.txt</t>
  </si>
  <si>
    <t>HH20241108 T3821360360 No Limit Hold'em $1.84 + $0.16.txt</t>
  </si>
  <si>
    <t>HH20241108 T3821363376 No Limit Hold'em $1.84 + $0.16.txt</t>
  </si>
  <si>
    <t>HH20241108 T3821370284 No Limit Hold'em $1.84 + $0.16.txt</t>
  </si>
  <si>
    <t>HH20241108 T3821399571 No Limit Hold'em $0.46 + $0.04.txt</t>
  </si>
  <si>
    <t>HH20241108 T3821401174 No Limit Hold'em $0.46 + $0.04.txt</t>
  </si>
  <si>
    <t>HH20241108 T3821408591 No Limit Hold'em $0.96 + $0.04.txt</t>
  </si>
  <si>
    <t>HH20241108 T3820262026 No Limit Hold'em $1.40 + $0.10.txt</t>
  </si>
  <si>
    <t>HH20241108 T3821469877 No Limit Hold'em $1.84 + $0.16.txt</t>
  </si>
  <si>
    <t>HH20241108 T3821470693 No Limit Hold'em $1.84 + $0.16.txt</t>
  </si>
  <si>
    <t>HH20241108 T3821471470 No Limit Hold'em $1.84 + $0.16.txt</t>
  </si>
  <si>
    <t>HH20241108 T3820262027 No Limit Hold'em $1.40 + $0.10.txt</t>
  </si>
  <si>
    <t>HH20241108 T3820262015 No Limit Hold'em $10.27 + $0.73.txt</t>
  </si>
  <si>
    <t>HH20241109 T3821724541 No Limit Hold'em $1.84 + $0.16.txt</t>
  </si>
  <si>
    <t>HH20241109 T3821726940 No Limit Hold'em $1.84 + $0.16.txt</t>
  </si>
  <si>
    <t>HH20241109 T3821728914 No Limit Hold'em $0.46 + $0.04.txt</t>
  </si>
  <si>
    <t>HH20241109 T3821729387 No Limit Hold'em $0.96 + $0.04.txt</t>
  </si>
  <si>
    <t>HH20241109 T3821790664 No Limit Hold'em $1.84 + $0.16.txt</t>
  </si>
  <si>
    <t>09.11.2024</t>
  </si>
  <si>
    <t>HH20241109 T3821793628 No Limit Hold'em $1.84 + $0.16.txt</t>
  </si>
  <si>
    <t>HH20241109 T3821797769 No Limit Hold'em $1.84 + $0.16.txt</t>
  </si>
  <si>
    <t>10.11.2024</t>
  </si>
  <si>
    <t>HH20241110 T3822033936 No Limit Hold'em $1.84 + $0.16.txt</t>
  </si>
  <si>
    <t>HH20241110 T3822035247 No Limit Hold'em $1.84 + $0.16.txt</t>
  </si>
  <si>
    <t>HH20241110 T3822036517 No Limit Hold'em $1.84 + $0.16.txt</t>
  </si>
  <si>
    <t>HH20241110 T3822037320 No Limit Hold'em $1.84 + $0.16.txt</t>
  </si>
  <si>
    <t>HH20241110 T3822037600 No Limit Hold'em $1.84 + $0.16.txt</t>
  </si>
  <si>
    <t>HH20241110 T3822039099 No Limit Hold'em $0.46 + $0.04.txt</t>
  </si>
  <si>
    <t>Power Path Step 4</t>
  </si>
  <si>
    <t>HH20241110 T3812945965 No Limit Hold'em $9.80 + $1.20.txt</t>
  </si>
  <si>
    <t>HH20241110 T3821346766 No Limit Hold'em $55 Ticket.txt</t>
  </si>
  <si>
    <t>HH20241110 T3822232469 No Limit Hold'em $1.84 + $0.16.txt</t>
  </si>
  <si>
    <t>HH20241110 T3821346783 No Limit Hold'em $10.27 + $0.73.txt</t>
  </si>
  <si>
    <t>HH20241110 T3822249820 No Limit Hold'em $1.84 + $0.16.txt</t>
  </si>
  <si>
    <t>11.11.2024</t>
  </si>
  <si>
    <t>HH20241111 T3822378790 No Limit Hold'em $1.84 + $0.16.txt</t>
  </si>
  <si>
    <t>HH20241111 T3822386650 No Limit Hold'em $1.84 + $0.16.txt</t>
  </si>
  <si>
    <t>HH20241111 T3822387707 No Limit Hold'em $1.84 + $0.16.txt</t>
  </si>
  <si>
    <t>HH20241111 T3822389087 No Limit Hold'em $1.84 + $0.16.txt</t>
  </si>
  <si>
    <t>HH20241111 T3822390566 No Limit Hold'em $1.84 + $0.16.txt</t>
  </si>
  <si>
    <t>HH20241111 T3822391495 No Limit Hold'em $0.46 + $0.04.txt</t>
  </si>
  <si>
    <t>HH20241111 T3822401033 No Limit Hold'em $1.84 + $0.16.txt</t>
  </si>
  <si>
    <t>HH20241111 T3822401895 No Limit Hold'em $1.84 + $0.16.txt</t>
  </si>
  <si>
    <t>HH20241111 T3822403963 No Limit Hold'em $1.84 + $0.16.txt</t>
  </si>
  <si>
    <t>HH20241111 T3822404291 No Limit Hold'em $1.84 + $0.16.txt</t>
  </si>
  <si>
    <t>HH20241111 T3822405660 No Limit Hold'em $1.84 + $0.16.txt</t>
  </si>
  <si>
    <t>HH20241111 T3822410921 No Limit Hold'em $1.84 + $0.16.txt</t>
  </si>
  <si>
    <t>HH20241111 T3822412078 No Limit Hold'em $1.84 + $0.16.txt</t>
  </si>
  <si>
    <t>HH20241111 T3822413273 No Limit Hold'em $1.84 + $0.16.txt</t>
  </si>
  <si>
    <t>HH20241111 T3822413990 No Limit Hold'em $1.84 + $0.16.txt</t>
  </si>
  <si>
    <t>HH20241111 T3822414998 No Limit Hold'em $1.84 + $0.16.txt</t>
  </si>
  <si>
    <t>HH20241111 T3822415594 No Limit Hold'em $1.84 + $0.16.txt</t>
  </si>
  <si>
    <t>HH20241111 T3822416661 No Limit Hold'em $1.84 + $0.16.txt</t>
  </si>
  <si>
    <t>HH20241111 T3822419288 No Limit Hold'em $1.84 + $0.16.txt</t>
  </si>
  <si>
    <t>HH20241111 T3822419631 No Limit Hold'em $1.84 + $0.16.txt</t>
  </si>
  <si>
    <t>HH20241111 T3822422049 No Limit Hold'em $1.84 + $0.16.txt</t>
  </si>
  <si>
    <t>HH20241111 T3822450107 No Limit Hold'em $4.60 + $0.40.txt</t>
  </si>
  <si>
    <t>HH20241111 T3822450717 No Limit Hold'em $4.60 + $0.40.txt</t>
  </si>
  <si>
    <t>HH20241111 T3822452826 No Limit Hold'em $4.60 + $0.40.txt</t>
  </si>
  <si>
    <t>HH20241111 T3822454395 No Limit Hold'em $4.60 + $0.40.txt</t>
  </si>
  <si>
    <t>HH20241111 T3822456497 No Limit Hold'em $4.60 + $0.40.txt</t>
  </si>
  <si>
    <t>HH20241111 T3822461746 No Limit Hold'em $4.60 + $0.40.txt</t>
  </si>
  <si>
    <t>HH20241111 T3822462976 No Limit Hold'em $4.60 + $0.40.txt</t>
  </si>
  <si>
    <t>HH20241111 T3822464416 No Limit Hold'em $4.60 + $0.40.txt</t>
  </si>
  <si>
    <t>HH20241111 T3822465394 No Limit Hold'em $4.60 + $0.40.txt</t>
  </si>
  <si>
    <t>HH20241111 T3822465848 No Limit Hold'em $4.60 + $0.40.txt</t>
  </si>
  <si>
    <t>HH20241111 T3822467605 No Limit Hold'em $4.60 + $0.40.txt</t>
  </si>
  <si>
    <t>HH20241111 T3822470739 No Limit Hold'em $4.60 + $0.40.txt</t>
  </si>
  <si>
    <t>HH20241111 T3822471577 No Limit Hold'em $4.60 + $0.40.txt</t>
  </si>
  <si>
    <t>HH20241111 T3822473338 No Limit Hold'em $4.60 + $0.40.txt</t>
  </si>
  <si>
    <t>HH20241111 T3822474249 No Limit Hold'em $4.60 + $0.40.txt</t>
  </si>
  <si>
    <t>HH20241111 T3822475162 No Limit Hold'em $4.60 + $0.40.txt</t>
  </si>
  <si>
    <t>HH20241111 T3822477310 No Limit Hold'em $4.60 + $0.40.txt</t>
  </si>
  <si>
    <t>HH20241111 T3822478872 No Limit Hold'em $4.60 + $0.40.txt</t>
  </si>
  <si>
    <t>HH20241111 T3822479717 No Limit Hold'em $4.60 + $0.40.txt</t>
  </si>
  <si>
    <t>HH20241111 T3822480692 No Limit Hold'em $4.60 + $0.40.txt</t>
  </si>
  <si>
    <t>HH20241111 T3822483468 No Limit Hold'em $4.60 + $0.40.txt</t>
  </si>
  <si>
    <t>HH20241111 T3822485867 No Limit Hold'em $4.60 + $0.40.txt</t>
  </si>
  <si>
    <t>HH20241111 T3822603542 No Limit Hold'em $4.60 + $0.40.txt</t>
  </si>
  <si>
    <t>HH20241111 T3822606824 No Limit Hold'em $4.60 + $0.40.txt</t>
  </si>
  <si>
    <t>HH20241111 T3822610053 No Limit Hold'em $4.60 + $0.40.txt</t>
  </si>
  <si>
    <t>HH20241111 T3822611051 No Limit Hold'em $4.60 + $0.40.txt</t>
  </si>
  <si>
    <t>HH20241111 T3822613694 No Limit Hold'em $4.60 + $0.40.txt</t>
  </si>
  <si>
    <t>HH20241111 T3822615215 No Limit Hold'em $1.84 + $0.16.txt</t>
  </si>
  <si>
    <t>HH20241111 T3822615495 No Limit Hold'em $1.84 + $0.16.txt</t>
  </si>
  <si>
    <t>HH20241111 T3822617621 No Limit Hold'em $1.84 + $0.16.txt</t>
  </si>
  <si>
    <t>HH20241111 T3822620537 No Limit Hold'em $1.84 + $0.16.txt</t>
  </si>
  <si>
    <t>HH20241111 T3822622930 No Limit Hold'em $1.84 + $0.16.txt</t>
  </si>
  <si>
    <t>12.11.2024</t>
  </si>
  <si>
    <t>HH20241112 T3822864148 No Limit Hold'em $1.84 + $0.16.txt</t>
  </si>
  <si>
    <t>HH20241112 T3822864798 No Limit Hold'em $1.84 + $0.16.txt</t>
  </si>
  <si>
    <t>HH20241112 T3822868172 No Limit Hold'em $1.84 + $0.16.txt</t>
  </si>
  <si>
    <t>HH20241112 T3822918917 No Limit Hold'em $1.84 + $0.16.txt</t>
  </si>
  <si>
    <t>HH20241112 T3822921021 No Limit Hold'em $1.84 + $0.16.txt</t>
  </si>
  <si>
    <t>HH20241112 T3822925555 No Limit Hold'em $0.46 + $0.04.txt</t>
  </si>
  <si>
    <t>HH20241112 T3822926294 No Limit Hold'em $1.84 + $0.16.txt</t>
  </si>
  <si>
    <t>HH20241112 T3822928044 No Limit Hold'em $1.84 + $0.16.txt</t>
  </si>
  <si>
    <t>HH20241112 T3822934229 No Limit Hold'em $1.84 + $0.16.txt</t>
  </si>
  <si>
    <t>HH20241112 T3822937132 No Limit Hold'em $1.84 + $0.16.txt</t>
  </si>
  <si>
    <t>HH20241112 T3822941253 No Limit Hold'em $1.84 + $0.16.txt</t>
  </si>
  <si>
    <t>HH20241113 T3823159077 No Limit Hold'em $1.84 + $0.16.txt</t>
  </si>
  <si>
    <t>13.11.2024</t>
  </si>
  <si>
    <t>HH20241113 T3823162393 No Limit Hold'em $1.84 + $0.16.txt</t>
  </si>
  <si>
    <t>HH20241113 T3823165639 No Limit Hold'em $1.84 + $0.16.txt</t>
  </si>
  <si>
    <t>HH20241113 T3823168401 No Limit Hold'em $1.84 + $0.16.txt</t>
  </si>
  <si>
    <t>HH20241113 T3823172474 No Limit Hold'em $1.84 + $0.16.txt</t>
  </si>
  <si>
    <t>14.11.2024</t>
  </si>
  <si>
    <t>HH20241114 T3823455102 No Limit Hold'em $1.84 + $0.16.txt</t>
  </si>
  <si>
    <t>HH20241114 T3823457469 No Limit Hold'em $1.84 + $0.16.txt</t>
  </si>
  <si>
    <t>HH20241114 T3823458546 No Limit Hold'em $1.84 + $0.16.txt</t>
  </si>
  <si>
    <t>HH20241114 T3823461256 No Limit Hold'em $1.84 + $0.16.txt</t>
  </si>
  <si>
    <t>HH20241114 T3823463924 No Limit Hold'em $1.84 + $0.16.txt</t>
  </si>
  <si>
    <t>HH20241114 T3823466863 No Limit Hold'em $0.46 + $0.04.txt</t>
  </si>
  <si>
    <t>HH20241114 T3823469377 No Limit Hold'em $0.46 + $0.04.txt</t>
  </si>
  <si>
    <t>HH20241114 T3823472161 No Limit Hold'em $0.96 + $0.04.txt</t>
  </si>
  <si>
    <t>15.11.2024</t>
  </si>
  <si>
    <t>HH20241115 T3823715435 No Limit Hold'em $1.84 + $0.16.txt</t>
  </si>
  <si>
    <t>HH20241115 T3823716890 No Limit Hold'em $1.84 + $0.16.txt</t>
  </si>
  <si>
    <t>HH20241115 T3823718813 No Limit Hold'em $1.84 + $0.16.txt</t>
  </si>
  <si>
    <t>HH20241115 T3823720343 No Limit Hold'em $1.84 + $0.16.txt</t>
  </si>
  <si>
    <t>HH20241115 T3823722896 No Limit Hold'em $1.84 + $0.16.txt</t>
  </si>
  <si>
    <t>HH20241115 T3823794321 No Limit Hold'em $1.84 + $0.16.txt</t>
  </si>
  <si>
    <t>HH20241115 T3823796704 No Limit Hold'em $1.84 + $0.16.txt</t>
  </si>
  <si>
    <t>HH20241115 T3823800754 No Limit Hold'em $1.84 + $0.16.txt</t>
  </si>
  <si>
    <t>HH20241115 T3823136828 No Limit Hold'em $3.92 + $0.48.txt</t>
  </si>
  <si>
    <t>HH20241115 T3823856654 No Limit Hold'em $1.84 + $0.16.txt</t>
  </si>
  <si>
    <t>HH20241115 T3823860209 No Limit Hold'em $1.84 + $0.16.txt</t>
  </si>
  <si>
    <t>HH20241115 T3823863380 No Limit Hold'em $0.46 + $0.04.txt</t>
  </si>
  <si>
    <t>16.11.2024</t>
  </si>
  <si>
    <t>HH20241116 T3824136776 No Limit Hold'em $1.84 + $0.16.txt</t>
  </si>
  <si>
    <t>HH20241116 T3824162798 No Limit Hold'em $1.84 + $0.16.txt</t>
  </si>
  <si>
    <t>HH20241116 T3824165028 No Limit Hold'em $1.84 + $0.16.txt</t>
  </si>
  <si>
    <t>HH20241116 T3824167786 No Limit Hold'em $1.84 + $0.16.txt</t>
  </si>
  <si>
    <t>HH20241116 T3824168757 No Limit Hold'em $1.84 + $0.16.txt</t>
  </si>
  <si>
    <t>HH20241116 T3824170284 No Limit Hold'em $1.84 + $0.16.txt</t>
  </si>
  <si>
    <t>HH20241116 T3824174953 No Limit Hold'em $1.84 + $0.16.txt</t>
  </si>
  <si>
    <t>HH20241116 T3824178309 No Limit Hold'em $1.84 + $0.16.txt</t>
  </si>
  <si>
    <t>HH20241116 T3824181780 No Limit Hold'em $1.84 + $0.16.txt</t>
  </si>
  <si>
    <t>HH20241116 T3824184300 No Limit Hold'em $1.84 + $0.16.txt</t>
  </si>
  <si>
    <t>HH20241116 T3824185729 No Limit Hold'em $1.84 + $0.16.txt</t>
  </si>
  <si>
    <t>HH20241116 T3824188489 No Limit Hold'em $1.84 + $0.16.txt</t>
  </si>
  <si>
    <t>HH20241116 T3824190211 No Limit Hold'em $1.84 + $0.16.txt</t>
  </si>
  <si>
    <t>HH20241116 T3824232446 No Limit Hold'em $1.84 + $0.16.txt</t>
  </si>
  <si>
    <t>HH20241116 T3824235054 No Limit Hold'em $0.46 + $0.04.txt</t>
  </si>
  <si>
    <t>HH20241116 T3822795273 No Limit Hold'em $1.40 + $0.10.txt</t>
  </si>
  <si>
    <t>HH20241116 T3824250371 No Limit Hold'em $1.84 + $0.16.txt</t>
  </si>
  <si>
    <t>HH20241116 T3824252152 No Limit Hold'em $1.84 + $0.16.txt</t>
  </si>
  <si>
    <t>HH20241116 T3824253325 No Limit Hold'em $1.84 + $0.16.txt</t>
  </si>
  <si>
    <t>HH20241116 T3824256504 No Limit Hold'em $1.84 + $0.16.txt</t>
  </si>
  <si>
    <t>HH20241116 T3824260470 No Limit Hold'em $1.84 + $0.16.txt</t>
  </si>
  <si>
    <t>HH20241116 T3824261299 No Limit Hold'em $1.84 + $0.16.txt</t>
  </si>
  <si>
    <t>HH20241116 T3822795274 No Limit Hold'em $1.40 + $0.10.txt</t>
  </si>
  <si>
    <t>HH20241117 T3824420917 No Limit Hold'em $3.68 + $0.32.txt</t>
  </si>
  <si>
    <t>17.11.2024</t>
  </si>
  <si>
    <t>HH20241117 T3824426706 No Limit Hold'em $1.84 + $0.16.txt</t>
  </si>
  <si>
    <t>HH20241117 T3824428035 No Limit Hold'em $1.84 + $0.16.txt</t>
  </si>
  <si>
    <t>HH20241117 T3824429751 No Limit Hold'em $1.84 + $0.16.txt</t>
  </si>
  <si>
    <t>HH20241117 T3824429898 No Limit Hold'em $1.84 + $0.16.txt</t>
  </si>
  <si>
    <t>HH20241117 T3824431453 No Limit Hold'em $1.84 + $0.16.txt</t>
  </si>
  <si>
    <t>HH20241117 T3824449652 No Limit Hold'em $1.84 + $0.16.txt</t>
  </si>
  <si>
    <t>HH20241117 T3824451302 No Limit Hold'em $1.84 + $0.16.txt</t>
  </si>
  <si>
    <t>HH20241117 T3824452878 No Limit Hold'em $1.84 + $0.16.txt</t>
  </si>
  <si>
    <t>HH20241117 T3824455186 No Limit Hold'em $1.84 + $0.16.txt</t>
  </si>
  <si>
    <t>HH20241117 T3824456831 No Limit Hold'em $1.84 + $0.16.txt</t>
  </si>
  <si>
    <t>HH20241117 T3824520088 No Limit Hold'em $1.84 + $0.16.txt</t>
  </si>
  <si>
    <t>HH20241117 T3824522500 No Limit Hold'em $1.84 + $0.16.txt</t>
  </si>
  <si>
    <t>HH20241117 T3824523275 No Limit Hold'em $1.84 + $0.16.txt</t>
  </si>
  <si>
    <t>HH20241117 T3824527040 No Limit Hold'em $1.84 + $0.16.txt</t>
  </si>
  <si>
    <t>HH20241117 T3824528627 No Limit Hold'em $1.84 + $0.16.txt</t>
  </si>
  <si>
    <t>HH20241117 T3824531094 No Limit Hold'em $1.84 + $0.16.txt</t>
  </si>
  <si>
    <t>HH20241117 T3824533666 No Limit Hold'em $1.84 + $0.16.txt</t>
  </si>
  <si>
    <t>HH20241117 T3824536385 No Limit Hold'em $1.84 + $0.16.txt</t>
  </si>
  <si>
    <t>HH20241117 T3824538531 No Limit Hold'em $1.84 + $0.16.txt</t>
  </si>
  <si>
    <t>HH20241117 T3824541610 No Limit Hold'em $1.84 + $0.16.txt</t>
  </si>
  <si>
    <t>HH20241117 T3824542623 No Limit Hold'em $1.84 + $0.16.txt</t>
  </si>
  <si>
    <t>HH20241117 T3824543853 No Limit Hold'em $1.84 + $0.16.txt</t>
  </si>
  <si>
    <t>HH20241117 T3824545930 No Limit Hold'em $1.84 + $0.16.txt</t>
  </si>
  <si>
    <t>HH20241117 T3824549039 No Limit Hold'em $1.84 + $0.16.txt</t>
  </si>
  <si>
    <t>HH20241117 T3824550181 No Limit Hold'em $1.84 + $0.16.txt</t>
  </si>
  <si>
    <t>HH20241117 T3824585391 No Limit Hold'em $1.84 + $0.16.txt</t>
  </si>
  <si>
    <t>HH20241117 T3824586619 No Limit Hold'em $1.84 + $0.16.txt</t>
  </si>
  <si>
    <t>HH20241117 T3824588064 No Limit Hold'em $1.84 + $0.16.txt</t>
  </si>
  <si>
    <t>HH20241117 T3824592132 No Limit Hold'em $1.84 + $0.16.txt</t>
  </si>
  <si>
    <t>HH20241117 T3824593779 No Limit Hold'em $1.84 + $0.16.txt</t>
  </si>
  <si>
    <t>HH20241117 T3824598579 No Limit Hold'em $1.84 + $0.16.txt</t>
  </si>
  <si>
    <t>HH20241117 T3824599913 No Limit Hold'em $1.84 + $0.16.txt</t>
  </si>
  <si>
    <t>HH20241117 T3824603854 No Limit Hold'em $1.84 + $0.16.txt</t>
  </si>
  <si>
    <t>HH20241117 T3824608873 No Limit Hold'em $1.84 + $0.16.txt</t>
  </si>
  <si>
    <t>HH20241117 T3824610213 No Limit Hold'em $1.84 + $0.16.txt</t>
  </si>
  <si>
    <t>18.11.2024</t>
  </si>
  <si>
    <t>HH20241118 T3824871930 No Limit Hold'em $1.84 + $0.16.txt</t>
  </si>
  <si>
    <t>HH20241118 T3824872660 No Limit Hold'em $1.84 + $0.16.txt</t>
  </si>
  <si>
    <t>HH20241118 T3824875034 No Limit Hold'em $1.84 + $0.16.txt</t>
  </si>
  <si>
    <t>HH20241118 T3824877385 No Limit Hold'em $1.84 + $0.16.txt</t>
  </si>
  <si>
    <t>HH20241118 T3824879019 No Limit Hold'em $1.84 + $0.16.txt</t>
  </si>
  <si>
    <t>19.11.2024</t>
  </si>
  <si>
    <t>HH20241119 T3825103968 No Limit Hold'em $1.84 + $0.16.txt</t>
  </si>
  <si>
    <t>HH20241119 T3825104277 No Limit Hold'em $1.84 + $0.16.txt</t>
  </si>
  <si>
    <t>HH20241119 T3825105269 No Limit Hold'em $1.84 + $0.16.txt</t>
  </si>
  <si>
    <t>HH20241119 T3825105853 No Limit Hold'em $1.84 + $0.16.txt</t>
  </si>
  <si>
    <t>HH20241119 T3825106660 No Limit Hold'em $1.84 + $0.16.txt</t>
  </si>
  <si>
    <t>HH20241119 T3825116533 No Limit Hold'em $1.84 + $0.16.txt</t>
  </si>
  <si>
    <t>HH20241119 T3825118135 No Limit Hold'em $1.84 + $0.16.txt</t>
  </si>
  <si>
    <t>HH20241119 T3825119937 No Limit Hold'em $1.84 + $0.16.txt</t>
  </si>
  <si>
    <t>HH20241119 T3825121224 No Limit Hold'em $1.84 + $0.16.txt</t>
  </si>
  <si>
    <t>HH20241119 T3825122459 No Limit Hold'em $1.84 + $0.16.txt</t>
  </si>
  <si>
    <t>HH20241119 T3825143216 No Limit Hold'em $0.46 + $0.04.txt</t>
  </si>
  <si>
    <t>HH20241119 T3825143611 No Limit Hold'em $0.46 + $0.04.txt</t>
  </si>
  <si>
    <t>HH20241119 T3825144364 No Limit Hold'em $0.46 + $0.04.txt</t>
  </si>
  <si>
    <t>HH20241119 T3825144783 No Limit Hold'em $0.96 + $0.04.txt</t>
  </si>
  <si>
    <t>HH20241119 T3825175025 No Limit Hold'em $1.84 + $0.16.txt</t>
  </si>
  <si>
    <t>HH20241119 T3825176961 No Limit Hold'em $1.84 + $0.16.txt</t>
  </si>
  <si>
    <t>HH20241119 T3825178034 No Limit Hold'em $1.84 + $0.16.txt</t>
  </si>
  <si>
    <t>HH20241119 T3825178807 No Limit Hold'em $1.84 + $0.16.txt</t>
  </si>
  <si>
    <t>HH20241119 T3825180843 No Limit Hold'em $1.84 + $0.16.txt</t>
  </si>
  <si>
    <t>HH20241119 T3825228724 No Limit Hold'em $1.84 + $0.16.txt</t>
  </si>
  <si>
    <t>HH20241119 T3825231204 No Limit Hold'em $1.84 + $0.16.txt</t>
  </si>
  <si>
    <t>HH20241119 T3825233881 No Limit Hold'em $1.84 + $0.16.txt</t>
  </si>
  <si>
    <t>HH20241119 T3825235583 No Limit Hold'em $1.84 + $0.16.txt</t>
  </si>
  <si>
    <t>HH20241119 T3825239881 No Limit Hold'em $1.84 + $0.16.txt</t>
  </si>
  <si>
    <t>HH20241119 T3825280295 No Limit Hold'em $1.84 + $0.16.txt</t>
  </si>
  <si>
    <t>HH20241119 T3825284032 No Limit Hold'em $1.84 + $0.16.txt</t>
  </si>
  <si>
    <t>HH20241119 T3825287720 No Limit Hold'em $1.84 + $0.16.txt</t>
  </si>
  <si>
    <t>HH20241119 T3825289461 No Limit Hold'em $1.84 + $0.16.txt</t>
  </si>
  <si>
    <t>HH20241119 T3825292162 No Limit Hold'em $1.84 + $0.16.txt</t>
  </si>
  <si>
    <t>20.11.2024</t>
  </si>
  <si>
    <t>HH20241120 T3825446451 No Limit Hold'em $1.84 + $0.16.txt</t>
  </si>
  <si>
    <t>HH20241120 T3825447345 No Limit Hold'em $0.46 + $0.04.txt</t>
  </si>
  <si>
    <t>HH20241120 T3825447319 No Limit Hold'em $0.96 + $0.04.txt</t>
  </si>
  <si>
    <t>HH20241120 T3825471323 No Limit Hold'em $1.84 + $0.16.txt</t>
  </si>
  <si>
    <t>HH20241120 T3825472434 No Limit Hold'em $1.84 + $0.16.txt</t>
  </si>
  <si>
    <t>HH20241120 T3825473815 No Limit Hold'em $1.84 + $0.16.txt</t>
  </si>
  <si>
    <t>HH20241120 T3825477191 No Limit Hold'em $1.84 + $0.16.txt</t>
  </si>
  <si>
    <t>HH20241120 T3825485412 No Limit Hold'em $1.84 + $0.16.txt</t>
  </si>
  <si>
    <t>HH20241120 T3825487118 No Limit Hold'em $1.84 + $0.16.txt</t>
  </si>
  <si>
    <t>HH20241120 T3825488609 No Limit Hold'em $1.84 + $0.16.txt</t>
  </si>
  <si>
    <t>HH20241120 T3825489314 No Limit Hold'em $1.84 + $0.16.txt</t>
  </si>
  <si>
    <t>HH20241120 T3825490301 No Limit Hold'em $1.84 + $0.16.txt</t>
  </si>
  <si>
    <t>HH20241120 T3825530838 No Limit Hold'em $1.84 + $0.16.txt</t>
  </si>
  <si>
    <t>HH20241120 T3825533437 No Limit Hold'em $1.84 + $0.16.txt</t>
  </si>
  <si>
    <t>HH20241120 T3825535594 No Limit Hold'em $1.84 + $0.16.txt</t>
  </si>
  <si>
    <t>HH20241120 T3825536473 No Limit Hold'em $1.84 + $0.16.txt</t>
  </si>
  <si>
    <t>HH20241120 T3825537298 No Limit Hold'em $1.84 + $0.16.txt</t>
  </si>
  <si>
    <t>21.11.2024</t>
  </si>
  <si>
    <t>HH20241121 T3825841243 No Limit Hold'em $1.84 + $0.16.txt</t>
  </si>
  <si>
    <t>HH20241121 T3825865016 No Limit Hold'em $1.84 + $0.16.txt</t>
  </si>
  <si>
    <t>HH20241121 T3825875844 No Limit Hold'em $1.84 + $0.16.txt</t>
  </si>
  <si>
    <t>HH20241121 T3825877268 No Limit Hold'em $1.84 + $0.16.txt</t>
  </si>
  <si>
    <t>HH20241121 T3825948747 No Limit Hold'em $1.84 + $0.16.txt</t>
  </si>
  <si>
    <t>HH20241121 T3825949963 No Limit Hold'em $0.46 + $0.04.txt</t>
  </si>
  <si>
    <t>HH20241121 T3825951974 No Limit Hold'em $1.84 + $0.16.txt</t>
  </si>
  <si>
    <t>HH20241121 T3825955170 No Limit Hold'em $1.84 + $0.16.txt</t>
  </si>
  <si>
    <t>HH20241121 T3825957123 No Limit Hold'em $1.84 + $0.16.txt</t>
  </si>
  <si>
    <t>HH20241121 T3825959106 No Limit Hold'em $1.84 + $0.16.txt</t>
  </si>
  <si>
    <t>HH20241121 Aludra - $0.05-$0.10 - USD No Limit Hold'em.txt</t>
  </si>
  <si>
    <t>HH20241121 Halley - $0.01-$0.02 - USD No Limit Hold'em.txt</t>
  </si>
  <si>
    <t>22.11.2024</t>
  </si>
  <si>
    <t>HH20241122 T3826098255 No Limit Hold'em $1.84 + $0.16.txt</t>
  </si>
  <si>
    <t>HH20241122 T3826099639 No Limit Hold'em $0.46 + $0.04.txt</t>
  </si>
  <si>
    <t>HH20241122 T3826119233 No Limit Hold'em $1.84 + $0.16.txt</t>
  </si>
  <si>
    <t>HH20241122 T3826121423 No Limit Hold'em $1.84 + $0.16.txt</t>
  </si>
  <si>
    <t>HH20241122 T3826121595 No Limit Hold'em $1.84 + $0.16.txt</t>
  </si>
  <si>
    <t>HH20241122 T3826122533 No Limit Hold'em $1.84 + $0.16.txt</t>
  </si>
  <si>
    <t>HH20241122 Halley - $0.01-$0.02 - USD No Limit Hold'em.txt</t>
  </si>
  <si>
    <t>HH20241122 Donati - $0.02-$0.05 - USD No Limit Hold'em.txt</t>
  </si>
  <si>
    <t>HH20241122 Hydra - $0.10-$0.25 - USD No Limit Hold'em.txt</t>
  </si>
  <si>
    <t>HH20241122 Donati - $0.02-$0.05 - USD No Limit Hold'em2.txt</t>
  </si>
  <si>
    <t>HH20241122 Aludra - $0.05-$0.10 - USD No Limit Hold'em.txt</t>
  </si>
  <si>
    <t>HH20241122 Aludra #2 - $0.05-$0.10 - USD No Limit Hold'em.txt</t>
  </si>
  <si>
    <t>HH20241122 Aludra #3 - $0.05-$0.10 - USD No Limit Hold'em.txt</t>
  </si>
  <si>
    <t>HH20241122 Aludra #4 - $0.05-$0.10 - USD No Limit Hold'em.txt</t>
  </si>
  <si>
    <t>HH20241122 Aludra - $0.05-$0.10 - USD No Limit Hold'em3.txt</t>
  </si>
  <si>
    <t>HH20241122 Aludra - $0.05-$0.10 - USD No Limit Hold'em4.txt</t>
  </si>
  <si>
    <t>HH20241122 Aludra #2 - $0.05-$0.10 - USD No Limit Hold'em2.txt</t>
  </si>
  <si>
    <t>HH20241122 Aludra #2 - $0.05-$0.10 - USD No Limit Hold'em3.txt</t>
  </si>
  <si>
    <t>HH20241122 Aludra #3 - $0.05-$0.10 - USD No Limit Hold'em2.txt</t>
  </si>
  <si>
    <t>HH20241122 Aludra #4 - $0.05-$0.10 - USD No Limit Hold'em4.txt</t>
  </si>
  <si>
    <t>23.11.2024</t>
  </si>
  <si>
    <t>HH20241123 T3826555720 No Limit Hold'em $1.84 + $0.16.txt</t>
  </si>
  <si>
    <t>HH20241123 T3826557416 No Limit Hold'em $0.46 + $0.04.txt</t>
  </si>
  <si>
    <t>HH20241123 T3826558545 No Limit Hold'em $0.96 + $0.04.txt</t>
  </si>
  <si>
    <t>HH20241123 Aludra - $0.05-$0.10 - USD No Limit Hold'em.txt</t>
  </si>
  <si>
    <t>HH20241123 Aludra - $0.05-$0.10 - USD No Limit Hold'em2.txt</t>
  </si>
  <si>
    <t>HH20241123 Aludra - $0.05-$0.10 - USD No Limit Hold'em3.txt</t>
  </si>
  <si>
    <t>24.11.2024</t>
  </si>
  <si>
    <t>HH20241124 T3826821146 No Limit Hold'em $1.84 + $0.16.txt</t>
  </si>
  <si>
    <t>HH20241124 T3826822517 No Limit Hold'em $0.46 + $0.04.txt</t>
  </si>
  <si>
    <t>HH20241124 Aludra - $0.05-$0.10 - USD No Limit Hold'em.txt</t>
  </si>
  <si>
    <t>HH20241124 Aludra - $0.05-$0.10 - USD No Limit Hold'em2.txt</t>
  </si>
  <si>
    <t>HH20241124 Aludra #2 - $0.05-$0.10 - USD No Limit Hold'em.txt</t>
  </si>
  <si>
    <t>25.11.2024</t>
  </si>
  <si>
    <t>HH20241125 T3827286586 No Limit Hold'em $1.84 + $0.16.txt</t>
  </si>
  <si>
    <t>HH20241125 T3827288388 No Limit Hold'em $0.46 + $0.04.txt</t>
  </si>
  <si>
    <t>HH20241125 T3827288511 No Limit Hold'em $0.96 + $0.04.txt</t>
  </si>
  <si>
    <t>HH20241125 Aludra - $0.05-$0.10 - USD No Limit Hold'em.txt</t>
  </si>
  <si>
    <t>26.11.2024</t>
  </si>
  <si>
    <t>HH20241126 T3827598001 No Limit Hold'em $1.84 + $0.16.txt</t>
  </si>
  <si>
    <t>HH20241126 T3827599590 No Limit Hold'em $0.46 + $0.04.txt</t>
  </si>
  <si>
    <t>HH20241126 Aludra - $0.05-$0.10 - USD No Limit Hold'em.txt</t>
  </si>
  <si>
    <t>27.11.2024</t>
  </si>
  <si>
    <t>HH20241127 T3827961008 No Limit Hold'em $1.84 + $0.16.txt</t>
  </si>
  <si>
    <t>HH20241127 T3827974522 No Limit Hold'em $0.46 + $0.04.txt</t>
  </si>
  <si>
    <t>HH20241127 Aludra - $0.05-$0.10 - USD No Limit Hold'em.txt</t>
  </si>
  <si>
    <t>28.11.2024</t>
  </si>
  <si>
    <t>HH20241128 T3828335646 No Limit Hold'em $1.84 + $0.16.txt</t>
  </si>
  <si>
    <t>HH20241128 T3828337080 No Limit Hold'em $0.46 + $0.04.txt</t>
  </si>
  <si>
    <t>HH20241128 Aludra - $0.05-$0.10 - USD No Limit Hold'em.txt</t>
  </si>
  <si>
    <t>HH20241128 T3827888478 No Limit Hold'em $1.40 + $0.10.txt</t>
  </si>
  <si>
    <t>HH20241129 T3828491930 No Limit Hold'em $1.84 + $0.16.txt</t>
  </si>
  <si>
    <t>HH20241129 T3828492533 No Limit Hold'em $0.46 + $0.04.txt</t>
  </si>
  <si>
    <t>29.11.2024</t>
  </si>
  <si>
    <t>HH20241129 Aludra - $0.05-$0.10 - USD No Limit Hold'em.txt</t>
  </si>
  <si>
    <t>HH20241129 Aludra - $0.05-$0.10 - USD No Limit Hold'em2.txt</t>
  </si>
  <si>
    <t>HH20241129 Aludra - $0.05-$0.10 - USD No Limit Hold'em3.txt</t>
  </si>
  <si>
    <t>HH20241129 T3827888497 No Limit Hold'em $1.40 + $0.10.txt</t>
  </si>
  <si>
    <t>HH20241129 T3827888431 No Limit Hold'em $10.27 + $0.73.txt</t>
  </si>
  <si>
    <t>HH20241129 T3827892083 No Limit Hold'em $2.94 + $0.36.txt</t>
  </si>
  <si>
    <t>30.11.2024</t>
  </si>
  <si>
    <t>HH20241130 T3828939640 No Limit Hold'em $1.84 + $0.16.txt</t>
  </si>
  <si>
    <t>HH20241130 T3828940872 No Limit Hold'em $0.46 + $0.04.txt</t>
  </si>
  <si>
    <t>01.12.2024</t>
  </si>
  <si>
    <t>HH20241201 T3829230463 No Limit Hold'em $1.84 + $0.16.txt</t>
  </si>
  <si>
    <t>HH20241201 T3829232353 No Limit Hold'em $0.46 + $0.04.txt</t>
  </si>
  <si>
    <t>HH20241201 T3829233299 No Limit Hold'em $0.96 + $0.04.txt</t>
  </si>
  <si>
    <t>HH20241201 Aludra - $0.05-$0.10 - USD No Limit Hold'em.txt</t>
  </si>
  <si>
    <t>HH20241201 Aludra #2 - $0.05-$0.10 - USD No Limit Hold'em.txt</t>
  </si>
  <si>
    <t>HH20241201 Aludra #3 - $0.05-$0.10 - USD No Limit Hold'em.txt</t>
  </si>
  <si>
    <t>HH20241201 Aludra #4 - $0.05-$0.10 - USD No Limit Hold'em.txt</t>
  </si>
  <si>
    <t>02.12.2024</t>
  </si>
  <si>
    <t>HH20241202 T3829662075 No Limit Hold'em $1.84 + $0.16.txt</t>
  </si>
  <si>
    <t>HH20241202 T3829663988 No Limit Hold'em $0.46 + $0.04.txt</t>
  </si>
  <si>
    <t>03.12.2024</t>
  </si>
  <si>
    <t>HH20241203 T3829913798 No Limit Hold'em $1.84 + $0.16.txt</t>
  </si>
  <si>
    <t>HH20241203 T3829915151 No Limit Hold'em $0.46 + $0.04.txt</t>
  </si>
  <si>
    <t>HH20241203 Aludra - $0.05-$0.10 - USD No Limit Hold'em.txt</t>
  </si>
  <si>
    <t>HH20241203 Aludra #2 - $0.05-$0.10 - USD No Limit Hold'em.txt</t>
  </si>
  <si>
    <t>04.12.2024</t>
  </si>
  <si>
    <t>HH20241204 T3830408623 No Limit Hold'em $1.84 + $0.16.txt</t>
  </si>
  <si>
    <t>HH20241204 T3830412050 No Limit Hold'em $0.46 + $0.04.txt</t>
  </si>
  <si>
    <t>HH20241204 T3830413852 No Limit Hold'em $0.96 + $0.04.txt</t>
  </si>
  <si>
    <t>HH20241204 Aludra - $0.05-$0.10 - USD No Limit Hold'em.txt</t>
  </si>
  <si>
    <t>05.12.2024</t>
  </si>
  <si>
    <t>HH20241205 T3830648390 No Limit Hold'em $1.84 + $0.16.txt</t>
  </si>
  <si>
    <t>HH20241205 T3830650300 No Limit Hold'em $0.46 + $0.04.txt</t>
  </si>
  <si>
    <t>HH20241205 T3830670654 No Limit Hold'em $0.96 + $0.04.txt</t>
  </si>
  <si>
    <t>HH20241205 Aludra - $0.05-$0.10 - USD No Limit Hold'em.txt</t>
  </si>
  <si>
    <t>HH20241205 T3830611107 No Limit Hold'em $1.40 + $0.10.txt</t>
  </si>
  <si>
    <t>HH20241205 Aludra #2 - $0.05-$0.10 - USD No Limit Hold'em.txt</t>
  </si>
  <si>
    <t>06.12.2024</t>
  </si>
  <si>
    <t>HH20241206 T3830947558 No Limit Hold'em $1.84 + $0.16.txt</t>
  </si>
  <si>
    <t>HH20241206 T3830948731 No Limit Hold'em $0.46 + $0.04.txt</t>
  </si>
  <si>
    <t>HH20241206 Aludra - $0.05-$0.10 - USD No Limit Hold'em.txt</t>
  </si>
  <si>
    <t>HH20241206 Aludra - $0.05-$0.10 - USD No Limit Hold'em2.txt</t>
  </si>
  <si>
    <t>HH20241206 Aludra - $0.05-$0.10 - USD No Limit Hold'em3.txt</t>
  </si>
  <si>
    <t>HH20241206 Aludra - $0.05-$0.10 - USD No Limit Hold'em4.txt</t>
  </si>
  <si>
    <t>HH20241206 Aludra #2 - $0.05-$0.10 - USD No Limit Hold'em5.txt</t>
  </si>
  <si>
    <t>07.12.2024</t>
  </si>
  <si>
    <t>HH20241207 T3831476218 No Limit Hold'em $1.84 + $0.16.txt</t>
  </si>
  <si>
    <t>HH20241207 T3831478701 No Limit Hold'em $0.46 + $0.04.txt</t>
  </si>
  <si>
    <t>08.12.2024</t>
  </si>
  <si>
    <t>HH20241208 T3831884151 No Limit Hold'em $1.84 + $0.16.txt</t>
  </si>
  <si>
    <t>HH20241208 T3831887820 No Limit Hold'em $0.46 + $0.04.txt</t>
  </si>
  <si>
    <t>09.12.2024</t>
  </si>
  <si>
    <t>HH20241209 T3832039121 No Limit Hold'em $1.84 + $0.16.txt</t>
  </si>
  <si>
    <t>HH20241209 T3832039961 No Limit Hold'em $0.46 + $0.04.txt</t>
  </si>
  <si>
    <t>HH20241209 Aludra - $0.05-$0.10 - USD No Limit Hold'em.txt</t>
  </si>
  <si>
    <t>HH20241209 Aludra #2 - $0.05-$0.10 - USD No Limit Hold'em.txt</t>
  </si>
  <si>
    <t>HH20241209 Hydra - $0.10-$0.25 - USD No Limit Hold'em.txt</t>
  </si>
  <si>
    <t>10.12.2024</t>
  </si>
  <si>
    <t>HH20241210 T3832404260 No Limit Hold'em $1.84 + $0.16.txt</t>
  </si>
  <si>
    <t>HH20241210 T3832405536 No Limit Hold'em $0.46 + $0.04.txt</t>
  </si>
  <si>
    <t>HH20241210 Aludra - $0.05-$0.10 - USD No Limit Hold'em.txt</t>
  </si>
  <si>
    <t>HH20241210 Aludra #2 - $0.05-$0.10 - USD No Limit Hold'em.txt</t>
  </si>
  <si>
    <t>11.12.2024</t>
  </si>
  <si>
    <t>HH20241211 T3832830756 No Limit Hold'em $1.84 + $0.16.txt</t>
  </si>
  <si>
    <t>HH20241211 T3832833353 No Limit Hold'em $0.46 + $0.04.txt</t>
  </si>
  <si>
    <t>12.12.2024</t>
  </si>
  <si>
    <t>HH20241212 T3833115421 No Limit Hold'em $1.84 + $0.16.txt</t>
  </si>
  <si>
    <t>HH20241212 T3833116404 No Limit Hold'em $0.46 + $0.04.txt</t>
  </si>
  <si>
    <t>HH20241212 T3833116798 No Limit Hold'em $0.46 + $0.04.txt</t>
  </si>
  <si>
    <t>HH20241212 T3833117353 No Limit Hold'em $0.96 + $0.04.txt</t>
  </si>
  <si>
    <t>13.12.2024</t>
  </si>
  <si>
    <t>HH20241213 T3833560026 No Limit Hold'em $1.84 + $0.16.txt</t>
  </si>
  <si>
    <t>HH20241213 T3833562791 No Limit Hold'em $0.46 + $0.04.txt</t>
  </si>
  <si>
    <t>HH20241213 Aludra - $0.05-$0.10 - USD No Limit Hold'em.txt</t>
  </si>
  <si>
    <t>HH20241213 Aludra #2 - $0.05-$0.10 - USD No Limit Hold'em.txt</t>
  </si>
  <si>
    <t>HH20241213 Aludra - $0.05-$0.10 - USD No Limit Hold'em2.txt</t>
  </si>
  <si>
    <t>14.12.2024</t>
  </si>
  <si>
    <t>HH20241214 T3833862138 No Limit Hold'em $1.84 + $0.16.txt</t>
  </si>
  <si>
    <t>HH20241214 T3833863144 No Limit Hold'em $0.46 + $0.04.txt</t>
  </si>
  <si>
    <t>HH20241214 T3833864055 No Limit Hold'em $0.96 + $0.04.txt</t>
  </si>
  <si>
    <t>HH20241214 Aludra - $0.05-$0.10 - USD No Limit Hold'em.txt</t>
  </si>
  <si>
    <t>HH20241214 T3833979524 No Limit Hold'em $1.84 + $0.16.txt</t>
  </si>
  <si>
    <t>HH20241214 T3833988011 No Limit Hold'em $1.84 + $0.16.txt</t>
  </si>
  <si>
    <t>HH20241214 Aludra - $0.05-$0.10 - USD No Limit Hold'em2.txt</t>
  </si>
  <si>
    <t>HH20241214 T3834049908 No Limit Hold'em $1.84 + $0.16.txt</t>
  </si>
  <si>
    <t>HH20241214 Aludra - $0.05-$0.10 - USD No Limit Hold'em3.txt</t>
  </si>
  <si>
    <t>15.12.2024</t>
  </si>
  <si>
    <t>HH20241215 T3834389390 No Limit Hold'em $1.84 + $0.16.txt</t>
  </si>
  <si>
    <t>HH20241215 T3833129460 No Limit Hold'em $10.27 + $0.73.txt</t>
  </si>
  <si>
    <t>HH20241215 T3834417643 No Limit Hold'em $0.46 + $0.04.txt</t>
  </si>
  <si>
    <t>HH20241215 Aludra - $0.05-$0.10 - USD No Limit Hold'em.txt</t>
  </si>
  <si>
    <t>HH20241215 T3833129524 No Limit Hold'em $1.40 + $0.10.txt</t>
  </si>
  <si>
    <t>16.12.2024</t>
  </si>
  <si>
    <t>HH20241216 T3834695009 No Limit Hold'em $1.84 + $0.16.txt</t>
  </si>
  <si>
    <t>HH20241216 T3834697011 No Limit Hold'em $0.46 + $0.04.txt</t>
  </si>
  <si>
    <t>17.12.2024</t>
  </si>
  <si>
    <t>HH20241217 T3834944688 No Limit Hold'em $1.84 + $0.16.txt</t>
  </si>
  <si>
    <t>HH20241217 T3834946176 No Limit Hold'em $0.46 + $0.04.txt</t>
  </si>
  <si>
    <t>HH20241217 T3834947094 No Limit Hold'em $0.96 + $0.04.txt</t>
  </si>
  <si>
    <t>18.12.2024</t>
  </si>
  <si>
    <t>HH20241218 T3835239130 No Limit Hold'em $1.84 + $0.16.txt</t>
  </si>
  <si>
    <t>HH20241218 T3835239939 No Limit Hold'em $0.46 + $0.04.txt</t>
  </si>
  <si>
    <t>HH20241218 T3835240522 No Limit Hold'em $0.96 + $0.04.txt</t>
  </si>
  <si>
    <t>HH20241218 Aludra - $0.05-$0.10 - USD No Limit Hold'em.txt</t>
  </si>
  <si>
    <t>HH20241218 Aludra - $0.05-$0.10 - USD No Limit Hold'em2.txt</t>
  </si>
  <si>
    <t>HH20241218 Aludra #2 - $0.05-$0.10 - USD No Limit Hold'em.txt</t>
  </si>
  <si>
    <t>HH20241218 Aludra #3 - $0.05-$0.10 - USD No Limit Hold'em.txt</t>
  </si>
  <si>
    <t>HH20241218 Aludra #4 - $0.05-$0.10 - USD No Limit Hold'em.txt</t>
  </si>
  <si>
    <t>HH20241220 T3836028420 No Limit Hold'em $1.84 + $0.16.txt</t>
  </si>
  <si>
    <t>HH20241220 T3836029620 No Limit Hold'em $0.46 + $0.04.txt</t>
  </si>
  <si>
    <t>HH20241220 T3836030857 No Limit Hold'em $0.96 + $0.04.txt</t>
  </si>
  <si>
    <t>Cardex Challenge</t>
  </si>
  <si>
    <t>HH20241220 Aludra - $0.05-$0.10 - USD No Limit Hold'em.txt</t>
  </si>
  <si>
    <t>HH20241220 Aludra #2 - $0.05-$0.10 - USD No Limit Hold'em.txt</t>
  </si>
  <si>
    <t>HH20241220 T3836050204 No Limit Hold'em $1.84 + $0.16.txt</t>
  </si>
  <si>
    <t>HH20241220 T3836051808 No Limit Hold'em $1.84 + $0.16.txt</t>
  </si>
  <si>
    <t>HH20241220 T3836054389 No Limit Hold'em $1.84 + $0.16.txt</t>
  </si>
  <si>
    <t>HH20241220 Aludra - $0.05-$0.10 - USD No Limit Hold'em2.txt</t>
  </si>
  <si>
    <t>HH20241220 T3836096648 No Limit Hold'em $1.84 + $0.16.txt</t>
  </si>
  <si>
    <t>HH20241220 Aludra - $0.05-$0.10 - USD No Limit Hold'em3.txt</t>
  </si>
  <si>
    <t>20.12.2024</t>
  </si>
  <si>
    <t>HH20241222 T3836809566 No Limit Hold'em $1.84 + $0.16.txt</t>
  </si>
  <si>
    <t>22.12.2024</t>
  </si>
  <si>
    <t>HH20241222 T3836811005 No Limit Hold'em $0.46 + $0.04.txt</t>
  </si>
  <si>
    <t>HH20241222 T3836812532 No Limit Hold'em $0.96 + $0.04.txt</t>
  </si>
  <si>
    <t>23.12.2024</t>
  </si>
  <si>
    <t>HH20241223 T3837192834 No Limit Hold'em $1.84 + $0.16.txt</t>
  </si>
  <si>
    <t>HH20241223 T3837193765 No Limit Hold'em $0.46 + $0.04.txt</t>
  </si>
  <si>
    <t>HH20241223 Aludra - $0.05-$0.10 - USD No Limit Hold'em.txt</t>
  </si>
  <si>
    <t>24.12.2024</t>
  </si>
  <si>
    <t>HH20241224 T3837596464 No Limit Hold'em $1.84 + $0.16.txt</t>
  </si>
  <si>
    <t>HH20241224 T3837597409 No Limit Hold'em $0.46 + $0.04.txt</t>
  </si>
  <si>
    <t>25.12.2024</t>
  </si>
  <si>
    <t>HH20241225 T3837965942 No Limit Hold'em $1.84 + $0.16.txt</t>
  </si>
  <si>
    <t>HH20241225 T3837967628 No Limit Hold'em $0.46 + $0.04.txt</t>
  </si>
  <si>
    <t>HH20241225 T3837967962 No Limit Hold'em $0.96 + $0.04.txt</t>
  </si>
  <si>
    <t>26.12.2024</t>
  </si>
  <si>
    <t>HH20241226 T3838386833 No Limit Hold'em $1.84 + $0.16.txt</t>
  </si>
  <si>
    <t>HH20241226 T3838388962 No Limit Hold'em $0.46 + $0.04.txt</t>
  </si>
  <si>
    <t>HH20241226 T3838391280 No Limit Hold'em $0.96 + $0.04.txt</t>
  </si>
  <si>
    <t>HH20241226 Aludra - $0.05-$0.10 - USD No Limit Hold'em.txt</t>
  </si>
  <si>
    <t>HH20241226 Aludra #2 - $0.05-$0.10 - USD No Limit Hold'em.txt</t>
  </si>
  <si>
    <t>HH20241226 Aludra #3 - $0.05-$0.10 - USD No Limit Hold'em.txt</t>
  </si>
  <si>
    <t>HH20241226 Aludra - $0.05-$0.10 - USD No Limit Hold'em2.txt</t>
  </si>
  <si>
    <t>HH20241226 Aludra - $0.05-$0.10 - USD No Limit Hold'em3.txt</t>
  </si>
  <si>
    <t>27.12.2024</t>
  </si>
  <si>
    <t>HH20241227 T3838733263 No Limit Hold'em $1.84 + $0.16.txt</t>
  </si>
  <si>
    <t>HH20241227 T3838734221 No Limit Hold'em $0.46 + $0.04.txt</t>
  </si>
  <si>
    <t>HH20241227 Aludra - $0.05-$0.10 - USD No Limit Hold'em.txt</t>
  </si>
  <si>
    <t>HH20241227 T3836147770 No Limit Hold'em $1.40 + $0.10.txt</t>
  </si>
  <si>
    <t>HH20241227 T3836147654 No Limit Hold'em $10.27 + $0.73.txt</t>
  </si>
  <si>
    <t>HH20241227 Aludra - $0.05-$0.10 - USD No Limit Hold'em2.txt</t>
  </si>
  <si>
    <t>28.12.2024</t>
  </si>
  <si>
    <t>HH20241228 T3839210837 No Limit Hold'em $1.84 + $0.16.txt</t>
  </si>
  <si>
    <t>HH20241228 T3839212827 No Limit Hold'em $0.46 + $0.04.txt</t>
  </si>
  <si>
    <t>HH20241228 Aludra - $0.05-$0.10 - USD No Limit Hold'em.txt</t>
  </si>
  <si>
    <t>HH20241228 Aludra - $0.05-$0.10 - USD No Limit Hold'em2.txt</t>
  </si>
  <si>
    <t>HH20241228 Aludra #2 - $0.05-$0.10 - USD No Limit Hold'em.txt</t>
  </si>
  <si>
    <t>HH20241228 Aludra - $0.05-$0.10 - USD No Limit Hold'em3.txt</t>
  </si>
  <si>
    <t>HH20241228 Aludra #2 - $0.05-$0.10 - USD No Limit Hold'em2.txt</t>
  </si>
  <si>
    <t>HH20241228 Aludra #3 - $0.05-$0.10 - USD No Limit Hold'em.txt</t>
  </si>
  <si>
    <t>HH20241228 Aludra #3 - $0.05-$0.10 - USD No Limit Hold'em2.txt</t>
  </si>
  <si>
    <t>HH20241228 Aludra - $0.05-$0.10 - USD No Limit Hold'em4.txt</t>
  </si>
  <si>
    <t>HH20241228 Aludra #2 - $0.05-$0.10 - USD No Limit Hold'em3.txt</t>
  </si>
  <si>
    <t>29.12.2024</t>
  </si>
  <si>
    <t>HH20241229 T3839676093 No Limit Hold'em $1.84 + $0.16.txt</t>
  </si>
  <si>
    <t>HH20241229 T3839678244 No Limit Hold'em $0.46 + $0.04.txt</t>
  </si>
  <si>
    <t>HH20241229 Aludra - $0.05-$0.10 - USD No Limit Hold'em.txt</t>
  </si>
  <si>
    <t>HH20241229 Aludra - $0.05-$0.10 - USD No Limit Hold'em2.txt</t>
  </si>
  <si>
    <t>HH20241229 Aludra - $0.05-$0.10 - USD No Limit Hold'em3.txt</t>
  </si>
  <si>
    <t>HH20241229 Aludra #2 - $0.05-$0.10 - USD No Limit Hold'em.txt</t>
  </si>
  <si>
    <t>HH20241229 Aludra - $0.05-$0.10 - USD No Limit Hold'em4.txt</t>
  </si>
  <si>
    <t>30.12.2024</t>
  </si>
  <si>
    <t>HH20241230 T3840041260 No Limit Hold'em $1.84 + $0.16.txt</t>
  </si>
  <si>
    <t>HH20241230 T3840042574 No Limit Hold'em $0.46 + $0.04.txt</t>
  </si>
  <si>
    <t>HH20241230 Aludra - $0.05-$0.10 - USD No Limit Hold'em.txt</t>
  </si>
  <si>
    <t>HH20241230 Aludra - $0.05-$0.10 - USD No Limit Hold'em2.txt</t>
  </si>
  <si>
    <t>HH20241230 Aludra #2 - $0.05-$0.10 - USD No Limit Hold'em.txt</t>
  </si>
  <si>
    <t>31.12.2024</t>
  </si>
  <si>
    <t>HH20241231 T3840445396 No Limit Hold'em $1.84 + $0.16.txt</t>
  </si>
  <si>
    <t>HH20241231 T3840446575 No Limit Hold'em $0.46 + $0.04.txt</t>
  </si>
  <si>
    <t>HH20241231 T3840447316 No Limit Hold'em $0.96 + $0.04.txt</t>
  </si>
  <si>
    <t>01.01.2025</t>
  </si>
  <si>
    <t>HH20241231 T3840699521 No Limit Hold'em $1.84 + $0.16.txt</t>
  </si>
  <si>
    <t>HH20250101 T3840822138 No Limit Hold'em $1.84 + $0.16.txt</t>
  </si>
  <si>
    <t>HH20250101 T3840823865 No Limit Hold'em $0.46 + $0.04.txt</t>
  </si>
  <si>
    <t>HH20250101 Aludra - $0.05-$0.10 - USD No Limit Hold'em.txt</t>
  </si>
  <si>
    <t>HH20250101 Aludra #2 - $0.05-$0.10 - USD No Limit Hold'em.txt</t>
  </si>
  <si>
    <t>HH20250101 Aludra #3 - $0.05-$0.10 - USD No Limit Hold'em.txt</t>
  </si>
  <si>
    <t>02.01.2025</t>
  </si>
  <si>
    <t>HH20250102 T3841186834 No Limit Hold'em $1.84 + $0.16.txt</t>
  </si>
  <si>
    <t>HH20250102 T3841188201 No Limit Hold'em $0.46 + $0.04.txt</t>
  </si>
  <si>
    <t>HH20250102 T3841189838 No Limit Hold'em $0.96 + $0.04.txt</t>
  </si>
  <si>
    <t>HH20250102 Aludra - $0.05-$0.10 - USD No Limit Hold'em.txt</t>
  </si>
  <si>
    <t>HH20250102 Aludra - $0.05-$0.10 - USD No Limit Hold'em2.txt</t>
  </si>
  <si>
    <t>HH20250102 Aludra - $0.05-$0.10 - USD No Limit Hold'em3.txt</t>
  </si>
  <si>
    <t>HH20250102 T3838773460 No Limit Hold'em $10.27 + $0.73.txt</t>
  </si>
  <si>
    <t>03.01.2025</t>
  </si>
  <si>
    <t>HH20250103 T3841595340 No Limit Hold'em $1.84 + $0.16.txt</t>
  </si>
  <si>
    <t>HH20250103 T3841596359 No Limit Hold'em $0.46 + $0.04.txt</t>
  </si>
  <si>
    <t>HH20250103 Aludra - $0.05-$0.10 - USD No Limit Hold'em.txt</t>
  </si>
  <si>
    <t>HH20250103 Aludra #2 - $0.05-$0.10 - USD No Limit Hold'em.txt</t>
  </si>
  <si>
    <t>HH20250103 Aludra #3 - $0.05-$0.10 - USD No Limit Hold'em.txt</t>
  </si>
  <si>
    <t>HH20250103 Aludra - $0.05-$0.10 - USD No Limit Hold'em2.txt</t>
  </si>
  <si>
    <t>HH20250103 Aludra #2 - $0.05-$0.10 - USD No Limit Hold'em2.txt</t>
  </si>
  <si>
    <t>HH20250103 Aludra #3 - $0.05-$0.10 - USD No Limit Hold'em2.txt</t>
  </si>
  <si>
    <t>HH20250103 Aludra #4 - $0.05-$0.10 - USD No Limit Hold'em.txt</t>
  </si>
  <si>
    <t>HH20250103 Aludra - $0.05-$0.10 - USD No Limit Hold'em3.txt</t>
  </si>
  <si>
    <t>HH20250103 Aludra - $0.05-$0.10 - USD No Limit Hold'em4.txt</t>
  </si>
  <si>
    <t>HH20250103 Triangulum - $0.50-$1 - USD No Limit Hold'em.txt</t>
  </si>
  <si>
    <t>04.01.2025</t>
  </si>
  <si>
    <t>HH20250104 T3842547081 No Limit Hold'em $1.84 + $0.16.txt</t>
  </si>
  <si>
    <t>HH20250104 T3842549521 No Limit Hold'em $0.46 + $0.04.txt</t>
  </si>
  <si>
    <t>HH20250104 Aludra - $0.05-$0.10 - USD No Limit Hold'em.txt</t>
  </si>
  <si>
    <t>HH20250104 Aludra #2 - $0.05-$0.10 - USD No Limit Hold'em.txt</t>
  </si>
  <si>
    <t>HH20250104 Triangulum - $0.50-$1 - USD No Limit Hold'em.txt</t>
  </si>
  <si>
    <t>HH20250104 T3842636521 No Limit Hold'em $1.84 + $0.16.txt</t>
  </si>
  <si>
    <t>HH20250104 T3842637210 No Limit Hold'em $1.84 + $0.16.txt</t>
  </si>
  <si>
    <t>HH20250104 T3842640938 No Limit Hold'em $4.60 + $0.40.txt</t>
  </si>
  <si>
    <t>HH20250104 T3842656184 No Limit Hold'em $4.60 + $0.40.txt</t>
  </si>
  <si>
    <t>HH20250104 Aludra - $0.05-$0.10 - USD No Limit Hold'em2.txt</t>
  </si>
  <si>
    <t>05.01.2025</t>
  </si>
  <si>
    <t>HH20250105 T3842990099 No Limit Hold'em $4.60 + $0.40.txt</t>
  </si>
  <si>
    <t>HH20250105 T3842992607 No Limit Hold'em $0.46 + $0.04.txt</t>
  </si>
  <si>
    <t>HH20250105 Aludra - $0.05-$0.10 - USD No Limit Hold'em.txt</t>
  </si>
  <si>
    <t>HH20250105 Aludra - $0.05-$0.10 - USD No Limit Hold'em2.txt</t>
  </si>
  <si>
    <t>HH20250105 Aludra - $0.05-$0.10 - USD No Limit Hold'em3.txt</t>
  </si>
  <si>
    <t>HH20250105 Aludra #2 - $0.05-$0.10 - USD No Limit Hold'em.txt</t>
  </si>
  <si>
    <t>HH20250105 Aludra #3 - $0.05-$0.10 - USD No Limit Hold'em.txt</t>
  </si>
  <si>
    <t>11.01.2025</t>
  </si>
  <si>
    <t>HH20250111 T3845533382 No Limit Hold'em $4.60 + $0.40.txt</t>
  </si>
  <si>
    <t>12.01.2025</t>
  </si>
  <si>
    <t>HH20250112 T3845924223 No Limit Hold'em $0.46 + $0.04.txt</t>
  </si>
  <si>
    <t>HH20250112 T3845922485 No Limit Hold'em $4.60 + $0.40.txt</t>
  </si>
  <si>
    <t>HH20250112 T3845926563 No Limit Hold'em $0.46 + $0.04.txt</t>
  </si>
  <si>
    <t>14.01.2025</t>
  </si>
  <si>
    <t>HH20250114 T3846680104 No Limit Hold'em $4.60 + $0.40.txt</t>
  </si>
  <si>
    <t>HH20250114 T3846682082 No Limit Hold'em $0.46 + $0.04.txt</t>
  </si>
  <si>
    <t>HH20250114 T3846682357 No Limit Hold'em $0.96 + $0.04.txt</t>
  </si>
  <si>
    <t>HH20250114 Aludra - $0.05-$0.10 - USD No Limit Hold'em.txt</t>
  </si>
  <si>
    <t>HH20250114 Aludra - $0.05-$0.10 - USD No Limit Hold'em2.txt</t>
  </si>
  <si>
    <t>HH20250114 Aludra - $0.05-$0.10 - USD No Limit Hold'em3.txt</t>
  </si>
  <si>
    <t>HH20250114 Aludra #2 - $0.05-$0.10 - USD No Limit Hold'em.txt</t>
  </si>
  <si>
    <t>HH20250114 Aludra #3 - $0.05-$0.10 - USD No Limit Hold'em.txt</t>
  </si>
  <si>
    <t>HH20250114 Aludra #4 - $0.05-$0.10 - USD No Limit Hold'em.txt</t>
  </si>
  <si>
    <t>HH20250114 Aludra #5 - $0.05-$0.10 - USD No Limit Hold'em.txt</t>
  </si>
  <si>
    <t>HH20250114 Aludra - $0.05-$0.10 - USD No Limit Hold'em4.txt</t>
  </si>
  <si>
    <t>HH20250114 Aludra - $0.05-$0.10 - USD No Limit Hold'em5.txt</t>
  </si>
  <si>
    <t>HH20250114 Aludra #2 - $0.05-$0.10 - USD No Limit Hold'em2.txt</t>
  </si>
  <si>
    <t>HH20250114 Aludra #3 - $0.05-$0.10 - USD No Limit Hold'em 3.txt</t>
  </si>
  <si>
    <t>HH20250114 Aludra - $0.05-$0.10 - USD No Limit Hold'em6.txt</t>
  </si>
  <si>
    <t>15.01.2025</t>
  </si>
  <si>
    <t>HH20250115 T3847046280 No Limit Hold'em $4.60 + $0.40.txt</t>
  </si>
  <si>
    <t>HH20250115 T3847047326 No Limit Hold'em $0.46 + $0.04.txt</t>
  </si>
  <si>
    <t>HH20250115 T3847047690 No Limit Hold'em $0.96 + $0.04.txt</t>
  </si>
  <si>
    <t>HH20250115 Aludra - $0.05-$0.10 - USD No Limit Hold'em.txt</t>
  </si>
  <si>
    <t>HH20250115 Aludra #2 - $0.05-$0.10 - USD No Limit Hold'em.txt</t>
  </si>
  <si>
    <t>HH20250115 Aludra #3 - $0.05-$0.10 - USD No Limit Hold'em.txt</t>
  </si>
  <si>
    <t>HH20250115 Aludra #4 - $0.05-$0.10 - USD No Limit Hold'em.txt</t>
  </si>
  <si>
    <t>16.01.2025</t>
  </si>
  <si>
    <t>HH20250116 T3847464408 No Limit Hold'em $4.60 + $0.40.txt</t>
  </si>
  <si>
    <t>HH20250116 T3847465943 No Limit Hold'em $0.46 + $0.04.txt</t>
  </si>
  <si>
    <t>HH20250116 Aludra - $0.05-$0.10 - USD No Limit Hold'em.txt</t>
  </si>
  <si>
    <t>HH20250116 Aludra - $0.05-$0.10 - USD No Limit Hold'em2.txt</t>
  </si>
  <si>
    <t>HH20250116 Aludra #2 - $0.05-$0.10 - USD No Limit Hold'em.txt</t>
  </si>
  <si>
    <t>HH20250116 Aludra #3 - $0.05-$0.10 - USD No Limit Hold'em.txt</t>
  </si>
  <si>
    <t>HH20250116 Aludra #4 - $0.05-$0.10 - USD No Limit Hold'em.txt</t>
  </si>
  <si>
    <t>HH20250116 Aludra #5 - $0.05-$0.10 - USD No Limit Hold'em.txt</t>
  </si>
  <si>
    <t>HH20250116 Aludra #6 - $0.05-$0.10 - USD No Limit Hold'em.txt</t>
  </si>
  <si>
    <t>HH20250116 Aludra #7 - $0.05-$0.10 - USD No Limit Hold'em.txt</t>
  </si>
  <si>
    <t>HH20250116 Aludra #8 - $0.05-$0.10 - USD No Limit Hold'em.txt</t>
  </si>
  <si>
    <t>HH20250116 Aludra #9 - $0.05-$0.10 - USD No Limit Hold'em.txt</t>
  </si>
  <si>
    <t>17.01.2025</t>
  </si>
  <si>
    <t>HH20250117 T3848342788 No Limit Hold'em $4.60 + $0.40.txt</t>
  </si>
  <si>
    <t>HH20250117 T3848343178 No Limit Hold'em $0.46 + $0.04.txt</t>
  </si>
  <si>
    <t>HH20250117 T3848343908 No Limit Hold'em $4.60 + $0.40.txt</t>
  </si>
  <si>
    <t>HH20250117 Aludra - $0.05-$0.10 - USD No Limit Hold'em.txt</t>
  </si>
  <si>
    <t>18.01.2025</t>
  </si>
  <si>
    <t>HH20250118 T3848905195 No Limit Hold'em $4.60 + $0.40.txt</t>
  </si>
  <si>
    <t>HH20250118 T3848908501 No Limit Hold'em $0.46 + $0.04.txt</t>
  </si>
  <si>
    <t>HH20250118 T3848908736 No Limit Hold'em $0.96 + $0.04.txt</t>
  </si>
  <si>
    <t>HH20250118 Aludra - $0.05-$0.10 - USD No Limit Hold'em.txt</t>
  </si>
  <si>
    <t>HH20250118 T3845484130 No Limit Hold'em $1.40 + $0.10.txt</t>
  </si>
  <si>
    <t>HH20250118 Aludra #2 - $0.05-$0.10 - USD No Limit Hold'em.txt</t>
  </si>
  <si>
    <t>HH20250118 Aludra #3 - $0.05-$0.10 - USD No Limit Hold'em.txt</t>
  </si>
  <si>
    <t>HH20250118 Aludra #4 - $0.05-$0.10 - USD No Limit Hold'em.txt</t>
  </si>
  <si>
    <t>19.01.2025</t>
  </si>
  <si>
    <t>HH20250119 T3849154937 No Limit Hold'em $4.60 + $0.40.txt</t>
  </si>
  <si>
    <t>HH20250119 T3849157815 No Limit Hold'em $0.46 + $0.04.txt</t>
  </si>
  <si>
    <t>HH20250119 Aludra - $0.05-$0.10 - USD No Limit Hold'em.txt</t>
  </si>
  <si>
    <t>HH20250119 Aludra #2 - $0.05-$0.10 - USD No Limit Hold'em.txt</t>
  </si>
  <si>
    <t>HH20250119 Aludra #3 - $0.05-$0.10 - USD No Limit Hold'em.txt</t>
  </si>
  <si>
    <t>HH20250119 Aludra #4 - $0.05-$0.10 - USD No Limit Hold'em.txt</t>
  </si>
  <si>
    <t>HH20250119 Aludra #5 - $0.05-$0.10 - USD No Limit Hold'em.txt</t>
  </si>
  <si>
    <t>HH20250119 Aludra #6 - $0.05-$0.10 - USD No Limit Hold'em.txt</t>
  </si>
  <si>
    <t>HH20250119 Aludra #7 - $0.05-$0.10 - USD No Limit Hold'em.txt</t>
  </si>
  <si>
    <t>HH20250119 Triangulum - $0.50-$1 - USD No Limit Hold'em.txt</t>
  </si>
  <si>
    <t>HH20250119 Baade - $0.25-$0.50 - USD No Limit Hold'em.txt</t>
  </si>
  <si>
    <t>HH20250119 Hydra - $0.10-$0.25 - USD No Limit Hold'em.txt</t>
  </si>
  <si>
    <t>HH20250119 Hydra #2 - $0.10-$0.25 - USD No Limit Hold'em.txt</t>
  </si>
  <si>
    <t>HH20250119 Triangulum #2 - $0.50-$1 - USD No Limit Hold'em.txt</t>
  </si>
  <si>
    <t>HH20250119 Hydra #3 - $0.10-$0.25 - USD No Limit Hold'em.txt</t>
  </si>
  <si>
    <t>HH20250119 Triangulum #3 - $0.50-$1 - USD No Limit Hold'em.txt</t>
  </si>
  <si>
    <t>HH20250119 Triangulum #4 - $0.50-$1 - USD No Limit Hold'em.txt</t>
  </si>
  <si>
    <t>HH20250119 Triangulum #5 - $0.50-$1 - USD No Limit Hold'em.txt</t>
  </si>
  <si>
    <t>HH20250119 Triangulum - $0.50-$1 - USD No Limit Hold'em2.txt</t>
  </si>
  <si>
    <t>HH20250119 Baade - $0.25-$0.50 - USD No Limit Hold'em2.txt</t>
  </si>
  <si>
    <t>HH20250119 T3845104441 No Limit Hold'em $9.80 + $1.20.txt</t>
  </si>
  <si>
    <t>HH20250119 Baade - $0.25-$0.50 - USD No Limit Hold'em3.txt</t>
  </si>
  <si>
    <t>HH20250119 T3849366011 No Limit Hold'em $4.60 + $0.40.txt</t>
  </si>
  <si>
    <t>20.01.2025</t>
  </si>
  <si>
    <t>HH20250120 T3849583429 No Limit Hold'em $4.60 + $0.40.txt</t>
  </si>
  <si>
    <t>21.01.2025</t>
  </si>
  <si>
    <t>HH20250121 T3849889449 No Limit Hold'em $4.60 + $0.40.txt</t>
  </si>
  <si>
    <t>HH20250121 T3849890468 No Limit Hold'em $0.46 + $0.04.txt</t>
  </si>
  <si>
    <t>HH20250121 T3849890936 No Limit Hold'em $0.96 + $0.04.txt</t>
  </si>
  <si>
    <t>HH20250122 T3850283352 No Limit Hold'em $4.60 + $0.40.txt</t>
  </si>
  <si>
    <t>HH20250122 T3850283774 No Limit Hold'em $0.46 + $0.04.txt</t>
  </si>
  <si>
    <t>HH20250122 T3850284812 No Limit Hold'em $4.60 + $0.40.txt</t>
  </si>
  <si>
    <t>22.01.2025</t>
  </si>
  <si>
    <t>HH20250122 T3850285956 No Limit Hold'em $4.60 + $0.40.txt</t>
  </si>
  <si>
    <t>HH20250122 Aludra - $0.05-$0.10 - USD No Limit Hold'em.txt</t>
  </si>
  <si>
    <t>HH20250122 Aludra #2 - $0.05-$0.10 - USD No Limit Hold'em.txt</t>
  </si>
  <si>
    <t>HH20250122 T3850342841 No Limit Hold'em $4.60 + $0.40.txt</t>
  </si>
  <si>
    <t>HH20250122 Aludra #3 - $0.05-$0.10 - USD No Limit Hold'em.txt</t>
  </si>
  <si>
    <t>HH20250122 T3850346244 No Limit Hold'em $4.60 + $0.40.txt</t>
  </si>
  <si>
    <t>HH20250122 Aludra #4 - $0.05-$0.10 - USD No Limit Hold'em.txt</t>
  </si>
  <si>
    <t>HH20250122 Aludra #5 - $0.05-$0.10 - USD No Limit Hold'em.txt</t>
  </si>
  <si>
    <t>HH20250122 T3850358422 No Limit Hold'em $4.60 + $0.40.txt</t>
  </si>
  <si>
    <t>HH20250122 T3850360909 No Limit Hold'em $4.60 + $0.40.txt</t>
  </si>
  <si>
    <t>HH20250122 T3850361459 No Limit Hold'em $4.60 + $0.40.txt</t>
  </si>
  <si>
    <t>HH20250122 T3850373230 No Limit Hold'em $4.60 + $0.40.txt</t>
  </si>
  <si>
    <t>HH20250122 T3850376427 No Limit Hold'em $4.60 + $0.40.txt</t>
  </si>
  <si>
    <t>HH20250122 T3850379412 No Limit Hold'em $4.60 + $0.40.txt</t>
  </si>
  <si>
    <t>HH20250122 T3850380476 No Limit Hold'em $4.60 + $0.40.txt</t>
  </si>
  <si>
    <t>23.01.2025</t>
  </si>
  <si>
    <t>HH20250123 T3850679520 No Limit Hold'em $4.60 + $0.40.txt</t>
  </si>
  <si>
    <t>HH20250123 T3850680878 No Limit Hold'em $0.46 + $0.04.txt</t>
  </si>
  <si>
    <t>HH20250123 Aludra - $0.05-$0.10 - USD No Limit Hold'em.txt</t>
  </si>
  <si>
    <t>HH20250123 Aludra #2 - $0.05-$0.10 - USD No Limit Hold'em.txt</t>
  </si>
  <si>
    <t>24.01.2025</t>
  </si>
  <si>
    <t>HH20250124 T3851028627 No Limit Hold'em $4.60 + $0.40.txt</t>
  </si>
  <si>
    <t>HH20250124 T3851029997 No Limit Hold'em $0.46 + $0.04.txt</t>
  </si>
  <si>
    <t>HH20250124 Aludra - $0.05-$0.10 - USD No Limit Hold'em.txt</t>
  </si>
  <si>
    <t>HH20250124 Aludra #2 - $0.05-$0.10 - USD No Limit Hold'em.txt</t>
  </si>
  <si>
    <t>HH20250124 Aludra #3 - $0.05-$0.10 - USD No Limit Hold'em.txt</t>
  </si>
  <si>
    <t>HH20250124 Aludra - $0.05-$0.10 - USD No Limit Hold'em2.txt</t>
  </si>
  <si>
    <t>HH20250124 Aludra #2 - $0.05-$0.10 - USD No Limit Hold'em2.txt</t>
  </si>
  <si>
    <t>HH20250124 T3851151395 No Limit Hold'em $4.60 + $0.40.txt</t>
  </si>
  <si>
    <t>HH20250124 T3851152871 No Limit Hold'em $4.60 + $0.40.txt</t>
  </si>
  <si>
    <t>HH20250124 T3851159326 No Limit Hold'em $4.60 + $0.40.txt</t>
  </si>
  <si>
    <t>HH20250124 T3851160951 No Limit Hold'em $4.60 + $0.40.txt</t>
  </si>
  <si>
    <t>HH20250124 T3851163194 No Limit Hold'em $4.60 + $0.40.txt</t>
  </si>
  <si>
    <t>HH20250124 T3851169207 No Limit Hold'em $4.60 + $0.40.txt</t>
  </si>
  <si>
    <t>HH20250124 T3851171005 No Limit Hold'em $4.60 + $0.40.txt</t>
  </si>
  <si>
    <t>HH20250124 T3851173077 No Limit Hold'em $4.60 + $0.40.txt</t>
  </si>
  <si>
    <t>HH20250124 T3851208821 No Limit Hold'em $4.60 + $0.40.txt</t>
  </si>
  <si>
    <t>HH20250124 T3851211584 No Limit Hold'em $4.60 + $0.40.txt</t>
  </si>
  <si>
    <t>HH20250124 T3851213803 No Limit Hold'em $4.60 + $0.40.txt</t>
  </si>
  <si>
    <t>HH20250124 T3851220244 No Limit Hold'em $4.60 + $0.40.txt</t>
  </si>
  <si>
    <t>HH20250124 T3851221956 No Limit Hold'em $4.60 + $0.40.txt</t>
  </si>
  <si>
    <t>HH20250124 T3851224073 No Limit Hold'em $4.60 + $0.40.txt</t>
  </si>
  <si>
    <t>HH20250124 T3851227483 No Limit Hold'em $4.60 + $0.40.txt</t>
  </si>
  <si>
    <t>HH20250124 T3851230442 No Limit Hold'em $4.60 + $0.40.txt</t>
  </si>
  <si>
    <t>HH20250125 T3851370989 No Limit Hold'em $4.60 + $0.40.txt</t>
  </si>
  <si>
    <t>25.01.2025</t>
  </si>
  <si>
    <t>HH20250125 T3851373308 No Limit Hold'em $0.46 + $0.04.txt</t>
  </si>
  <si>
    <t>HH20250125 Aludra - $0.05-$0.10 - USD No Limit Hold'em.txt</t>
  </si>
  <si>
    <t>HH20250125 Aludra - $0.05-$0.10 - USD No Limit Hold'em2.txt</t>
  </si>
  <si>
    <t>HH20250125 T3851394546 No Limit Hold'em $4.60 + $0.40.txt</t>
  </si>
  <si>
    <t>HH20250125 Aludra #2 - $0.05-$0.10 - USD No Limit Hold'em.txt</t>
  </si>
  <si>
    <t>HH20250125 Aludra - $0.05-$0.10 - USD No Limit Hold'em3.txt</t>
  </si>
  <si>
    <t>HH20250125 Aludra #2 - $0.05-$0.10 - USD No Limit Hold'em2.txt</t>
  </si>
  <si>
    <t>HH20250125 Aludra #3 - $0.05-$0.10 - USD No Limit Hold'em.txt</t>
  </si>
  <si>
    <t>HH20250125 T3851510947 No Limit Hold'em $4.60 + $0.40.txt</t>
  </si>
  <si>
    <t>HH20250125 T3851514088 No Limit Hold'em $4.60 + $0.40.txt</t>
  </si>
  <si>
    <t>HH20250125 Aludra - $0.05-$0.10 - USD No Limit Hold'em4.txt</t>
  </si>
  <si>
    <t>HH20250125 Aludra #2 - $0.05-$0.10 - USD No Limit Hold'em3.txt</t>
  </si>
  <si>
    <t>HH20250125 Aludra #3 - $0.05-$0.10 - USD No Limit Hold'em2.txt</t>
  </si>
  <si>
    <t>26.01.2025</t>
  </si>
  <si>
    <t>HH20250126 T3851763571 No Limit Hold'em $4.60 + $0.40.txt</t>
  </si>
  <si>
    <t>HH20250126 T3851765093 No Limit Hold'em $0.46 + $0.04.txt</t>
  </si>
  <si>
    <t>HH20250126 Aludra - $0.05-$0.10 - USD No Limit Hold'em.txt</t>
  </si>
  <si>
    <t>HH20250126 Aludra #2 - $0.05-$0.10 - USD No Limit Hold'em.txt</t>
  </si>
  <si>
    <t>HH20250126 Aludra #3 - $0.05-$0.10 - USD No Limit Hold'em.txt</t>
  </si>
  <si>
    <t>HH20250126 Aludra - $0.05-$0.10 - USD No Limit Hold'em2.txt</t>
  </si>
  <si>
    <t>HH20250126 Aludra #2 - $0.05-$0.10 - USD No Limit Hold'em2.txt</t>
  </si>
  <si>
    <t>HH20250126 Aludra #3 - $0.05-$0.10 - USD No Limit Hold'em2.txt</t>
  </si>
  <si>
    <t>HH20250126 Aludra #4 - $0.05-$0.10 - USD No Limit Hold'em.txt</t>
  </si>
  <si>
    <t>HH20250126 Aludra #5 - $0.05-$0.10 - USD No Limit Hold'em.txt</t>
  </si>
  <si>
    <t>HH20250126 Aludra #6 - $0.05-$0.10 - USD No Limit Hold'em.txt</t>
  </si>
  <si>
    <t>HH20250126 Aludra #7 - $0.05-$0.10 - USD No Limit Hold'em.txt</t>
  </si>
  <si>
    <t>HH20250126 Aludra #8 - $0.05-$0.10 - USD No Limit Hold'em.txt</t>
  </si>
  <si>
    <t>HH20250126 Aludra #9 - $0.05-$0.10 - USD No Limit Hold'em.txt</t>
  </si>
  <si>
    <t>HH20250126 Aludra #10 - $0.05-$0.10 - USD No Limit Hold'em.txt</t>
  </si>
  <si>
    <t>HH20250126 Aludra #11 - $0.05-$0.10 - USD No Limit Hold'em.txt</t>
  </si>
  <si>
    <t>HH20250126 Aludra #12 - $0.05-$0.10 - USD No Limit Hold'em.txt</t>
  </si>
  <si>
    <t>HH20250126 T3848396109 No Limit Hold'em $9.80 + $1.20.txt</t>
  </si>
  <si>
    <t>HH20250126 Aludra #13 - $0.05-$0.10 - USD No Limit Hold'em.txt</t>
  </si>
  <si>
    <t>HH20250126 Aludra #14 - $0.05-$0.10 - USD No Limit Hold'em.txt</t>
  </si>
  <si>
    <t>HH20250126 Aludra #15 - $0.05-$0.10 - USD No Limit Hold'em.txt</t>
  </si>
  <si>
    <t>27.01.2025</t>
  </si>
  <si>
    <t>HH20250127 T3852125114 No Limit Hold'em $4.60 + $0.40.txt</t>
  </si>
  <si>
    <t>HH20250127 T3852126126 No Limit Hold'em $0.46 + $0.04.txt</t>
  </si>
  <si>
    <t>28.01.2025</t>
  </si>
  <si>
    <t>HH20250128 T3852479689 No Limit Hold'em $4.60 + $0.40.txt</t>
  </si>
  <si>
    <t>HH20250128 T3852480551 No Limit Hold'em $0.46 + $0.04.txt</t>
  </si>
  <si>
    <t>HH20250128 T3851370878 No Limit Hold'em $1.40 + $0.10.txt</t>
  </si>
  <si>
    <t>HH20250128 T3852630305 No Limit Hold'em $4.60 + $0.40.txt</t>
  </si>
  <si>
    <t>29.01.2025</t>
  </si>
  <si>
    <t>HH20250129 T3852767456 No Limit Hold'em $4.60 + $0.40.txt</t>
  </si>
  <si>
    <t>HH20250129 T3852769349 No Limit Hold'em $0.46 + $0.04.txt</t>
  </si>
  <si>
    <t>HH20250129 T3852770477 No Limit Hold'em $0.96 + $0.04.txt</t>
  </si>
  <si>
    <t>HH20250129 Aludra - $0.05-$0.10 - USD No Limit Hold'em.txt</t>
  </si>
  <si>
    <t>01.01.2023</t>
  </si>
  <si>
    <t>01.02.2023</t>
  </si>
  <si>
    <t>01.03.2023</t>
  </si>
  <si>
    <t>Idle</t>
  </si>
  <si>
    <t>HH20250129 Aludra - $0.05-$0.10 - USD No Limit Hold'em2.txt</t>
  </si>
  <si>
    <t>HH20250129 Aludra - $0.05-$0.10 - USD No Limit Hold'em3.txt</t>
  </si>
  <si>
    <t>HH20250129 Aludra - $0.05-$0.10 - USD No Limit Hold'em4.txt</t>
  </si>
  <si>
    <t>HH20250129 Aludra - $0.05-$0.10 - USD No Limit Hold'em5.txt</t>
  </si>
  <si>
    <t>HH20250129 Aludra - $0.05-$0.10 - USD No Limit Hold'em6.txt</t>
  </si>
  <si>
    <t>HH20250129 Aludra #2 - $0.05-$0.10 - USD No Limit Hold'em.txt</t>
  </si>
  <si>
    <t>HH20250129 Aludra #3 - $0.05-$0.10 - USD No Limit Hold'em.txt</t>
  </si>
  <si>
    <t>HH20250129 Aludra #4 - $0.05-$0.10 - USD No Limit Hold'em.txt</t>
  </si>
  <si>
    <t>HH20250129 Aludra #5 - $0.05-$0.10 - USD No Limit Hold'em.txt</t>
  </si>
  <si>
    <t>HH20250129 Aludra #6 - $0.05-$0.10 - USD No Limit Hold'em.txt</t>
  </si>
  <si>
    <t>HH20250129 Aludra #7 - $0.05-$0.10 - USD No Limit Hold'em.txt</t>
  </si>
  <si>
    <t>HH20250129 Aludra #8 - $0.05-$0.10 - USD No Limit Hold'em.txt</t>
  </si>
  <si>
    <t>HH20250129 T3851370893 No Limit Hold'em $1.40 + $0.10.txt</t>
  </si>
  <si>
    <t>HH20250129 Aludra #9 - $0.05-$0.10 - USD No Limit Hold'em.txt</t>
  </si>
  <si>
    <t>HH20250129 Aludra #10 - $0.05-$0.10 - USD No Limit Hold'em.txt</t>
  </si>
  <si>
    <t>HH20250129 Aludra #11 - $0.05-$0.10 - USD No Limit Hold'em.txt</t>
  </si>
  <si>
    <t>HH20250129 T3851027208 No Limit Hold'em $3.92 + $0.48.txt</t>
  </si>
  <si>
    <t>HH20250129 Aludra #12 - $0.05-$0.10 - USD No Limit Hold'em.txt</t>
  </si>
  <si>
    <t>HH20250129 Aludra #13 - $0.05-$0.10 - USD No Limit Hold'em.txt</t>
  </si>
  <si>
    <t>HH20250129 Aludra #14 - $0.05-$0.10 - USD No Limit Hold'em.txt</t>
  </si>
  <si>
    <t>HH20250129 Aludra #15 - $0.05-$0.10 - USD No Limit Hold'em.txt</t>
  </si>
  <si>
    <t>HH20250129 Aludra #16 - $0.05-$0.10 - USD No Limit Hold'em.txt</t>
  </si>
  <si>
    <t>HH20250129 T3852957970 No Limit Hold'em $4.60 + $0.40.txt</t>
  </si>
  <si>
    <t>30.01.2025</t>
  </si>
  <si>
    <t>HH20250130 T3853129845 No Limit Hold'em $4.60 + $0.40.txt</t>
  </si>
  <si>
    <t>HH20250130 T3853130647 No Limit Hold'em $0.46 + $0.04.txt</t>
  </si>
  <si>
    <t>31.01.2025</t>
  </si>
  <si>
    <t>HH20250131 T3853497105 No Limit Hold'em $4.60 + $0.40.txt</t>
  </si>
  <si>
    <t>HH20250131 T3853498049 No Limit Hold'em $0.46 + $0.04.txt</t>
  </si>
  <si>
    <t>HH20250202 T3854490259 No Limit Hold'em $4.60 + $0.40.txt</t>
  </si>
  <si>
    <t>02.02.2025</t>
  </si>
  <si>
    <t>HH20250202 T3854493417 No Limit Hold'em $0.46 + $0.04.txt</t>
  </si>
  <si>
    <t>HH20250202 Aludra - $0.05-$0.10 - USD No Limit Hold'em.txt</t>
  </si>
  <si>
    <t>HH20250202 T3851370971 No Limit Hold'em $1.40 + $0.10.txt</t>
  </si>
  <si>
    <t>HH20250203 T3854658716 No Limit Hold'em $4.60 + $0.40.txt</t>
  </si>
  <si>
    <t>HH20250203 T3854659604 No Limit Hold'em $0.46 + $0.04.txt</t>
  </si>
  <si>
    <t>03.02.2025</t>
  </si>
  <si>
    <t>HH20250203 Aludra - $0.05-$0.10 - USD No Limit Hold'em.txt</t>
  </si>
  <si>
    <t>HH20250203 Aludra - $0.05-$0.10 - USD No Limit Hold'em2.txt</t>
  </si>
  <si>
    <t>HH20250203 Aludra - $0.05-$0.10 - USD No Limit Hold'em3.txt</t>
  </si>
  <si>
    <t>HH20250203 Aludra #2 - $0.05-$0.10 - USD No Limit Hold'em.txt</t>
  </si>
  <si>
    <t>HH20250203 Aludra #3 - $0.05-$0.10 - USD No Limit Hold'em.txt</t>
  </si>
  <si>
    <t>HH20250203 Aludra - $0.05-$0.10 - USD No Limit Hold'em4.txt</t>
  </si>
  <si>
    <t>HH20250203 Aludra #2 - $0.05-$0.10 - USD No Limit Hold'em2.txt</t>
  </si>
  <si>
    <t>HH20250203 Aludra #3 - $0.05-$0.10 - USD No Limit Hold'em2.txt</t>
  </si>
  <si>
    <t>HH20250203 Aludra #4 - $0.05-$0.10 - USD No Limit Hold'em.txt</t>
  </si>
  <si>
    <t>HH20250203 Aludra #5 - $0.05-$0.10 - USD No Limit Hold'em.txt</t>
  </si>
  <si>
    <t>04.02.2025</t>
  </si>
  <si>
    <t>HH20250204 T3855034332 No Limit Hold'em $4.60 + $0.40.txt</t>
  </si>
  <si>
    <t>HH20250204 T3855035950 No Limit Hold'em $0.46 + $0.04.txt</t>
  </si>
  <si>
    <t>HH20250204 T3853500340 No Limit Hold'em $1.40 + $0.10.txt</t>
  </si>
  <si>
    <t>HH20250204 T3855049413 No Limit Hold'em $4.60 + $0.40.txt</t>
  </si>
  <si>
    <t>HH20250204 T3855051377 No Limit Hold'em $4.60 + $0.40.txt</t>
  </si>
  <si>
    <t>HH20250204 Aludra - $0.05-$0.10 - USD No Limit Hold'em.txt</t>
  </si>
  <si>
    <t>HH20250204 Aludra #2 - $0.05-$0.10 - USD No Limit Hold'em.txt</t>
  </si>
  <si>
    <t>HH20250204 Aludra #3 - $0.05-$0.10 - USD No Limit Hold'em.txt</t>
  </si>
  <si>
    <t>HH20250204 Aludra #4 - $0.05-$0.10 - USD No Limit Hold'em.txt</t>
  </si>
  <si>
    <t>HH20250204 T3853500257 No Limit Hold'em $10.27 + $0.73.txt</t>
  </si>
  <si>
    <t>HH20250204 T3855139091 No Limit Hold'em $0.46 + $0.04.txt</t>
  </si>
  <si>
    <t>HH20250204 Aludra - $0.05-$0.10 - USD No Limit Hold'em2.txt</t>
  </si>
  <si>
    <t>HH20250204 T3853500237 No Limit Hold'em $55 Ticket.txt</t>
  </si>
  <si>
    <t>05.02.2025</t>
  </si>
  <si>
    <t>HH20250205 T3855402484 No Limit Hold'em $0.46 + $0.04.txt</t>
  </si>
  <si>
    <t>HH20250205 T3855403150 No Limit Hold'em $0.46 + $0.04.txt</t>
  </si>
  <si>
    <t>HH20250205 T3855403716 No Limit Hold'em $0.96 + $0.04.txt</t>
  </si>
  <si>
    <t>HH20250205 Aludra - $0.05-$0.10 - USD No Limit Hold'em.txt</t>
  </si>
  <si>
    <t>HH20250205 Aludra #2 - $0.05-$0.10 - USD No Limit Hold'em.txt</t>
  </si>
  <si>
    <t>HH20250205 Aludra #3 - $0.05-$0.10 - USD No Limit Hold'em.txt</t>
  </si>
  <si>
    <t>HH20250205 Aludra #4 - $0.05-$0.10 - USD No Limit Hold'em.txt</t>
  </si>
  <si>
    <t>HH20250205 Aludra #5 - $0.05-$0.10 - USD No Limit Hold'em.txt</t>
  </si>
  <si>
    <t>HH20250205 Aludra #6 - $0.05-$0.10 - USD No Limit Hold'em.txt</t>
  </si>
  <si>
    <t>HH20250205 Aludra #7 - $0.05-$0.10 - USD No Limit Hold'em.txt</t>
  </si>
  <si>
    <t>HH20250205 Aludra #8 - $0.05-$0.10 - USD No Limit Hold'em.txt</t>
  </si>
  <si>
    <t>HH20250205 Aludra #9 - $0.05-$0.10 - USD No Limit Hold'em.txt</t>
  </si>
  <si>
    <t>HH20250205 Aludra #10 - $0.05-$0.10 - USD No Limit Hold'em.txt</t>
  </si>
  <si>
    <t>HH20250205 Aludra #11 - $0.05-$0.10 - USD No Limit Hold'em.txt</t>
  </si>
  <si>
    <t>HH20250205 T3853569451 No Limit Hold'em $3.92 + $0.48.txt</t>
  </si>
  <si>
    <t>06.02.2025</t>
  </si>
  <si>
    <t>HH20250206 T3855789467 No Limit Hold'em $4.60 + $0.40.txt</t>
  </si>
  <si>
    <t>HH20250206 T3855792009 No Limit Hold'em $0.46 + $0.04.txt</t>
  </si>
  <si>
    <t>HH20250206 Aludra - $0.05-$0.10 - USD No Limit Hold'em.txt</t>
  </si>
  <si>
    <t>HH20250206 Aludra #2 - $0.05-$0.10 - USD No Limit Hold'em.txt</t>
  </si>
  <si>
    <t>HH20250206 Aludra #3 - $0.05-$0.10 - USD No Limit Hold'em.txt</t>
  </si>
  <si>
    <t>HH20250206 Aludra - $0.05-$0.10 - USD No Limit Hold'em2.txt</t>
  </si>
  <si>
    <t>HH20250206 T3855856429 No Limit Hold'em $4.60 + $0.40.txt</t>
  </si>
  <si>
    <t>HH20250206 T3855858060 No Limit Hold'em $4.60 + $0.40.txt</t>
  </si>
  <si>
    <t>HH20250206 T3855861471 No Limit Hold'em $4.60 + $0.40.txt</t>
  </si>
  <si>
    <t>HH20250206 Aludra #2 - $0.05-$0.10 - USD No Limit Hold'em2.txt</t>
  </si>
  <si>
    <t>HH20250206 Aludra #3 - $0.05-$0.10 - USD No Limit Hold'em2.txt</t>
  </si>
  <si>
    <t>HH20250206 Aludra - $0.05-$0.10 - USD No Limit Hold'em3.txt</t>
  </si>
  <si>
    <t>HH20250206 Aludra #2 - $0.05-$0.10 - USD No Limit Hold'em3.txt</t>
  </si>
  <si>
    <t>HH20250206 Aludra - $0.05-$0.10 - USD No Limit Hold'em4.txt</t>
  </si>
  <si>
    <t>HH20250206 Triangulum - $0.50-$1 - USD No Limit Hold'em.txt</t>
  </si>
  <si>
    <t>HH20250206 Triangulum #2 - $0.50-$1 - USD No Limit Hold'em.txt</t>
  </si>
  <si>
    <t>HH20250206 Triangulum #3 - $0.50-$1 - USD No Limit Hold'em.txt</t>
  </si>
  <si>
    <t>HH20250206 Triangulum #4 - $0.50-$1 - USD No Limit Hold'em.txt</t>
  </si>
  <si>
    <t>HH20250206 Triangulum #5 - $0.50-$1 - USD No Limit Hold'em.txt</t>
  </si>
  <si>
    <t>HH20250206 T3855415213 No Limit Hold'em $3.92 + $0.48.txt</t>
  </si>
  <si>
    <t>HH20250206 Triangulum #6 - $0.50-$1 - USD No Limit Hold'em.txt</t>
  </si>
  <si>
    <t>HH20250207 T3856137371 No Limit Hold'em $4.60 + $0.40.txt</t>
  </si>
  <si>
    <t>HH20250207 T3856138102 No Limit Hold'em $0.46 + $0.04.txt</t>
  </si>
  <si>
    <t>HH20250207 T3856139205 No Limit Hold'em $0.96 + $0.04.txt</t>
  </si>
  <si>
    <t>HH20250208 T3856552386 No Limit Hold'em $0.46 + $0.04.txt</t>
  </si>
  <si>
    <t>07.02.2025</t>
  </si>
  <si>
    <t>08.02.2025</t>
  </si>
  <si>
    <t>HH20250208 T3856553582 No Limit Hold'em $0.46 + $0.04.txt</t>
  </si>
  <si>
    <t>09.02.2025</t>
  </si>
  <si>
    <t>HH20250209 T3856945606 No Limit Hold'em $4.60 + $0.40.txt</t>
  </si>
  <si>
    <t>HH20250209 T3856946519 No Limit Hold'em $0.46 + $0.04.txt</t>
  </si>
  <si>
    <t>10.02.2025</t>
  </si>
  <si>
    <t>HH20250210 T3857322538 No Limit Hold'em $4.60 + $0.40.txt</t>
  </si>
  <si>
    <t>HH20250210 T3857322866 No Limit Hold'em $0.46 + $0.04.txt</t>
  </si>
  <si>
    <t>HH20250210 Aludra - $0.05-$0.10 - USD No Limit Hold'em.txt</t>
  </si>
  <si>
    <t>HH20250210 Aludra #2 - $0.05-$0.10 - USD No Limit Hold'em.txt</t>
  </si>
  <si>
    <t>HH20250210 Aludra #3 - $0.05-$0.10 - USD No Limit Hold'em.txt</t>
  </si>
  <si>
    <t>HH20250210 Aludra #4 - $0.05-$0.10 - USD No Limit Hold'em.txt</t>
  </si>
  <si>
    <t>HH20250210 T3856227847 No Limit Hold'em $1.40 + $0.10.txt</t>
  </si>
  <si>
    <t>HH20250210 Aludra #5 - $0.05-$0.10 - USD No Limit Hold'em.txt</t>
  </si>
  <si>
    <t>HH20250210 Aludra #6 - $0.05-$0.10 - USD No Limit Hold'em.txt</t>
  </si>
  <si>
    <t>HH20250210 Aludra #7 - $0.05-$0.10 - USD No Limit Hold'em.txt</t>
  </si>
  <si>
    <t>HH20250210 Aludra - $0.05-$0.10 - USD No Limit Hold'em2.txt</t>
  </si>
  <si>
    <t>HH20250210 Aludra #2 - $0.05-$0.10 - USD No Limit Hold'em2.txt</t>
  </si>
  <si>
    <t>HH20250210 Aludra - $0.05-$0.10 - USD No Limit Hold'em3.txt</t>
  </si>
  <si>
    <t>HH20250210 Aludra #2 - $0.05-$0.10 - USD No Limit Hold'em3.txt</t>
  </si>
  <si>
    <t>HH20250210 Aludra #3 - $0.05-$0.10 - USD No Limit Hold'em2.txt</t>
  </si>
  <si>
    <t>HH20250210 Aludra #4 - $0.05-$0.10 - USD No Limit Hold'em2.txt</t>
  </si>
  <si>
    <t>HH20250210 Aludra #5 - $0.05-$0.10 - USD No Limit Hold'em2.txt</t>
  </si>
  <si>
    <t>HH20250210 Aludra #6 - $0.05-$0.10 - USD No Limit Hold'em2.txt</t>
  </si>
  <si>
    <t>HH20250210 Aludra - $0.05-$0.10 - USD No Limit Hold'em4.txt</t>
  </si>
  <si>
    <t>11.02.2025</t>
  </si>
  <si>
    <t>HH20250211 T3857694475 No Limit Hold'em $4.60 + $0.40.txt</t>
  </si>
  <si>
    <t>HH20250211 T3857695102 No Limit Hold'em $0.46 + $0.04.txt</t>
  </si>
  <si>
    <t>HH20250211 Aludra - $0.05-$0.10 - USD No Limit Hold'em.txt</t>
  </si>
  <si>
    <t>HH20250211 Aludra - $0.05-$0.10 - USD No Limit Hold'em2.txt</t>
  </si>
  <si>
    <t>HH20250211 Aludra - $0.05-$0.10 - USD No Limit Hold'em3.txt</t>
  </si>
  <si>
    <t>HH20250211 Aludra #2 - $0.05-$0.10 - USD No Limit Hold'em.txt</t>
  </si>
  <si>
    <t>HH20250211 Aludra #3 - $0.05-$0.10 - USD No Limit Hold'em.txt</t>
  </si>
  <si>
    <t>HH20250211 Aludra #4 - $0.05-$0.10 - USD No Limit Hold'em.txt</t>
  </si>
  <si>
    <t>12.02.2025</t>
  </si>
  <si>
    <t>HH20250212 T3858046911 No Limit Hold'em $4.60 + $0.40.txt</t>
  </si>
  <si>
    <t>HH20250212 T3858048770 No Limit Hold'em $0.46 + $0.04.txt</t>
  </si>
  <si>
    <t>13.02.2025</t>
  </si>
  <si>
    <t>HH20250213 T3858407421 No Limit Hold'em $4.60 + $0.40.txt</t>
  </si>
  <si>
    <t>HH20250213 T3858408206 No Limit Hold'em $0.46 + $0.04.txt</t>
  </si>
  <si>
    <t>HH20250213 T3858408487 No Limit Hold'em $0.96 + $0.04.txt</t>
  </si>
  <si>
    <t>HH20250213 Aludra - $0.05-$0.10 - USD No Limit Hold'em.txt</t>
  </si>
  <si>
    <t>HH20250213 Aludra #2 - $0.05-$0.10 - USD No Limit Hold'em.txt</t>
  </si>
  <si>
    <t>HH20250213 Aludra - $0.05-$0.10 - USD No Limit Hold'em2.txt</t>
  </si>
  <si>
    <t>HH20250213 Aludra #2 - $0.05-$0.10 - USD No Limit Hold'em2.txt</t>
  </si>
  <si>
    <t>HH20250213 Aludra - $0.05-$0.10 - USD No Limit Hold'em3.txt</t>
  </si>
  <si>
    <t>14.02.2025</t>
  </si>
  <si>
    <t>HH20250214 Aludra - $0.05-$0.10 - USD No Limit Hold'em.txt</t>
  </si>
  <si>
    <t>HH20250214 T3858774608 No Limit Hold'em $4.60 + $0.40.txt</t>
  </si>
  <si>
    <t>HH20250214 T3858775610 No Limit Hold'em $0.46 + $0.04.txt</t>
  </si>
  <si>
    <t>HH20250214 Aludra - $0.05-$0.10 - USD No Limit Hold'em2.txt</t>
  </si>
  <si>
    <t>15.02.2025</t>
  </si>
  <si>
    <t>HH20250215 T3859173732 No Limit Hold'em $4.60 + $0.40.txt</t>
  </si>
  <si>
    <t>HH20250215 T3859176149 No Limit Hold'em $0.46 + $0.04.txt</t>
  </si>
  <si>
    <t>HH20250215 Aludra - $0.05-$0.10 - USD No Limit Hold'em.txt</t>
  </si>
  <si>
    <t>HH20250215 Aludra #2 - $0.05-$0.10 - USD No Limit Hold'em.txt</t>
  </si>
  <si>
    <t>HH20250215 Aludra - $0.05-$0.10 - USD No Limit Hold'em2.txt</t>
  </si>
  <si>
    <t>HH20250215 Aludra #2 - $0.05-$0.10 - USD No Limit Hold'em2.txt</t>
  </si>
  <si>
    <t>16.02.2025</t>
  </si>
  <si>
    <t>HH20250216 T3859537384 No Limit Hold'em $4.60 + $0.40.txt</t>
  </si>
  <si>
    <t>HH20250216 T3859538507 No Limit Hold'em $0.46 + $0.04.txt</t>
  </si>
  <si>
    <t>HH20250216 Aludra - $0.05-$0.10 - USD No Limit Hold'em.txt</t>
  </si>
  <si>
    <t>HH20250216 Baade - $0.25-$0.50 - USD No Limit Hold'em.txt</t>
  </si>
  <si>
    <t>19.02.2025</t>
  </si>
  <si>
    <t>HH20250219 T3860615689 No Limit Hold'em $4.60 + $0.40.txt</t>
  </si>
  <si>
    <t>HH20250219 T3860617048 No Limit Hold'em $0.46 + $0.04.txt</t>
  </si>
  <si>
    <t>HH20250219 Aludra - $0.05-$0.10 - USD No Limit Hold'em.txt</t>
  </si>
  <si>
    <t>HH20250219 T3860618428 No Limit Hold'em $0.96 + $0.04.txt</t>
  </si>
  <si>
    <t>HH20250219 Aludra - $0.05-$0.10 - USD No Limit Hold'em2.txt</t>
  </si>
  <si>
    <t>HH20250219 Aludra - $0.05-$0.10 - USD No Limit Hold'em3.txt</t>
  </si>
  <si>
    <t>HH20250219 Aludra #2 - $0.05-$0.10 - USD No Limit Hold'em.txt</t>
  </si>
  <si>
    <t>HH20250219 Aludra #3 - $0.05-$0.10 - USD No Limit Hold'em.txt</t>
  </si>
  <si>
    <t>HH20250219 Aludra - $0.05-$0.10 - USD No Limit Hold'em4.txt</t>
  </si>
  <si>
    <t>HH20250219 Aludra - $0.05-$0.10 - USD No Limit Hold'em5.txt</t>
  </si>
  <si>
    <t>HH20250219 Aludra - $0.05-$0.10 - USD No Limit Hold'em6.txt</t>
  </si>
  <si>
    <t>20.02.2025</t>
  </si>
  <si>
    <t>HH20250220 T3861050815 No Limit Hold'em $4.60 + $0.40.txt</t>
  </si>
  <si>
    <t>HH20250220 T3861054388 No Limit Hold'em $0.46 + $0.04.txt</t>
  </si>
  <si>
    <t>HH20250220 Aludra - $0.05-$0.10 - USD No Limit Hold'em.txt</t>
  </si>
  <si>
    <t>21.02.2025</t>
  </si>
  <si>
    <t>HH20250221 T3861331406 No Limit Hold'em $4.60 + $0.40.txt</t>
  </si>
  <si>
    <t>HH20250221 Aludra - $0.05-$0.10 - USD No Limit Hold'em.txt</t>
  </si>
  <si>
    <t>HH20250221 T3861336189 No Limit Hold'em $0.46 + $0.04.txt</t>
  </si>
  <si>
    <t>HH20250221 Aludra - $0.05-$0.10 - USD No Limit Hold'em2.txt</t>
  </si>
  <si>
    <t>HH20250221 Aludra #2 - $0.05-$0.10 - USD No Limit Hold'em.txt</t>
  </si>
  <si>
    <t>HH20250221 Aludra #3 - $0.05-$0.10 - USD No Limit Hold'em.txt</t>
  </si>
  <si>
    <t>HH20250221 Aludra - $0.05-$0.10 - USD No Limit Hold'em3.txt</t>
  </si>
  <si>
    <t>HH20250221 Aludra #2 - $0.05-$0.10 - USD No Limit Hold'em2.txt</t>
  </si>
  <si>
    <t>22.02.2025</t>
  </si>
  <si>
    <t>HH20250222 T3861734843 No Limit Hold'em $4.60 + $0.40.txt</t>
  </si>
  <si>
    <t>HH20250222 T3861736960 No Limit Hold'em $0.46 + $0.04.txt</t>
  </si>
  <si>
    <t>HH20250222 Aludra - $0.05-$0.10 - USD No Limit Hold'em.txt</t>
  </si>
  <si>
    <t>HH20250222 Aludra #2 - $0.05-$0.10 - USD No Limit Hold'em.txt</t>
  </si>
  <si>
    <t>23.02.2025</t>
  </si>
  <si>
    <t>HH20250223 T3862070249 No Limit Hold'em $4.60 + $0.40.txt</t>
  </si>
  <si>
    <t>HH20250223 T3862072055 No Limit Hold'em $0.46 + $0.04.txt</t>
  </si>
  <si>
    <t>HH20250223 Aludra - $0.05-$0.10 - USD No Limit Hold'em.txt</t>
  </si>
  <si>
    <t>HH20250223 Aludra #2 - $0.05-$0.10 - USD No Limit Hold'em.txt</t>
  </si>
  <si>
    <t>Episode 00-L</t>
  </si>
  <si>
    <t>HH20250223 Aludra #3 - $0.05-$0.10 - USD No Limit Hold'em.txt</t>
  </si>
  <si>
    <t>HH20250223 Aludra #4 - $0.05-$0.10 - USD No Limit Hold'em.txt</t>
  </si>
  <si>
    <t>Episode 02-L</t>
  </si>
  <si>
    <t>HH20250223 T3860731904 No Limit Hold'em $2.94 + $0.36.txt</t>
  </si>
  <si>
    <t>HH20250223 T3860731903 No Limit Hold'em $9.80 + $1.20.txt</t>
  </si>
  <si>
    <t>HH20250223 Aludra - $0.05-$0.10 - USD No Limit Hold'em2.txt</t>
  </si>
  <si>
    <t>24.02.2025</t>
  </si>
  <si>
    <t>HH20250224 T3862410221 No Limit Hold'em $4.60 + $0.40.txt</t>
  </si>
  <si>
    <t>HH20250224 T3862410812 No Limit Hold'em $0.46 + $0.04.txt</t>
  </si>
  <si>
    <t>HH20250224 Aludra - $0.05-$0.10 - USD No Limit Hold'em.txt</t>
  </si>
  <si>
    <t>HH20250224 Aludra #2 - $0.05-$0.10 - USD No Limit Hold'em.txt</t>
  </si>
  <si>
    <t>HH20250224 Aludra - $0.05-$0.10 - USD No Limit Hold'em2.txt</t>
  </si>
  <si>
    <t>HH20250224 Aludra #2 - $0.05-$0.10 - USD No Limit Hold'em2.txt</t>
  </si>
  <si>
    <t>HH20250224 Aludra #3 - $0.05-$0.10 - USD No Limit Hold'em.txt</t>
  </si>
  <si>
    <t>HH20250224 Aludra #4 - $0.05-$0.10 - USD No Limit Hold'em.txt</t>
  </si>
  <si>
    <t>HH20250224 Aludra - $0.05-$0.10 - USD No Limit Hold'em3.txt</t>
  </si>
  <si>
    <t>HH20250224 Aludra #2 - $0.05-$0.10 - USD No Limit Hold'em3.txt</t>
  </si>
  <si>
    <t>25.02.2025</t>
  </si>
  <si>
    <t>HH20250225 T3862769382 No Limit Hold'em $4.60 + $0.40.txt</t>
  </si>
  <si>
    <t>HH20250225 T3862770103 No Limit Hold'em $0.46 + $0.04.txt</t>
  </si>
  <si>
    <t>HH20250225 Triangulum - $0.50-$1 - USD No Limit Hold'em.txt</t>
  </si>
  <si>
    <t>HH20250225 Aludra - $0.05-$0.10 - USD No Limit Hold'em.txt</t>
  </si>
  <si>
    <t>HH20250225 Aludra #2 - $0.05-$0.10 - USD No Limit Hold'em.txt</t>
  </si>
  <si>
    <t>HH20250225 Aludra - $0.05-$0.10 - USD No Limit Hold'em2.txt</t>
  </si>
  <si>
    <t>HH20250225 Aludra #2 - $0.05-$0.10 - USD No Limit Hold'em2.txt</t>
  </si>
  <si>
    <t>HH20250225 Aludra #3 - $0.05-$0.10 - USD No Limit Hold'em.txt</t>
  </si>
  <si>
    <t>HH20250225 Aludra #4 - $0.05-$0.10 - USD No Limit Hold'em.txt</t>
  </si>
  <si>
    <t>HH20250225 Triangulum - $0.50-$1 - USD No Limit Hold'em2.txt</t>
  </si>
  <si>
    <t>HH20250225 Triangulum #2 - $0.50-$1 - USD No Limit Hold'em.txt</t>
  </si>
  <si>
    <t>26.02.2025</t>
  </si>
  <si>
    <t>HH20250226 T3863118478 No Limit Hold'em $4.60 + $0.40.txt</t>
  </si>
  <si>
    <t>HH20250226 T3863118941 No Limit Hold'em $0.46 + $0.04.txt</t>
  </si>
  <si>
    <t>HH20250226 Aludra - $0.05-$0.10 - USD No Limit Hold'em.txt</t>
  </si>
  <si>
    <t>27.02.2025</t>
  </si>
  <si>
    <t>HH20250227 T3863375235 No Limit Hold'em $4.60 + $0.40.txt</t>
  </si>
  <si>
    <t>HH20250227 T3863376875 No Limit Hold'em $0.46 + $0.04.txt</t>
  </si>
  <si>
    <t>28.02.2025</t>
  </si>
  <si>
    <t>HH20250228 T3863819205 No Limit Hold'em $4.60 + $0.40.txt</t>
  </si>
  <si>
    <t>HH20250228 T3863822012 No Limit Hold'em $0.46 + $0.04.txt</t>
  </si>
  <si>
    <t>01.03.2025</t>
  </si>
  <si>
    <t>HH20250301 T3864253468 No Limit Hold'em $4.60 + $0.40.txt</t>
  </si>
  <si>
    <t>HH20250301 T3864255895 No Limit Hold'em $0.46 + $0.04.txt</t>
  </si>
  <si>
    <t>HH20250301 T3864257527 No Limit Hold'em $0.46 + $0.04.txt</t>
  </si>
  <si>
    <t>HH20250301 Aludra - $0.05-$0.10 - USD No Limit Hold'em.txt</t>
  </si>
  <si>
    <t>HH20250301 Aludra #2 - $0.05-$0.10 - USD No Limit Hold'em.txt</t>
  </si>
  <si>
    <t>HH20250301 Aludra #3 - $0.05-$0.10 - USD No Limit Hold'em.txt</t>
  </si>
  <si>
    <t>HH20250301 Aludra #4 - $0.05-$0.10 - USD No Limit Hold'em.txt</t>
  </si>
  <si>
    <t>HH20250301 Aludra #5 - $0.05-$0.10 - USD No Limit Hold'em.txt</t>
  </si>
  <si>
    <t>HH20250301 Aludra #6 - $0.05-$0.10 - USD No Limit Hold'em.txt</t>
  </si>
  <si>
    <t>HH20250301 Aludra #7 - $0.05-$0.10 - USD No Limit Hold'em.txt</t>
  </si>
  <si>
    <t>HH20250301 Aludra #8 - $0.05-$0.10 - USD No Limit Hold'em.txt</t>
  </si>
  <si>
    <t>HH20250301 Aludra #9 - $0.05-$0.10 - USD No Limit Hold'em.txt</t>
  </si>
  <si>
    <t>HH20250301 Aludra #10 - $0.05-$0.10 - USD No Limit Hold'em.txt</t>
  </si>
  <si>
    <t>HH20250301 Aludra #11 - $0.05-$0.10 - USD No Limit Hold'em.txt</t>
  </si>
  <si>
    <t>HH20250301 Aludra #12 - $0.05-$0.10 - USD No Limit Hold'em.txt</t>
  </si>
  <si>
    <t>HH20250301 Aludra #13 - $0.05-$0.10 - USD No Limit Hold'em.txt</t>
  </si>
  <si>
    <t>HH20250301 Aludra #14 - $0.05-$0.10 - USD No Limit Hold'em.txt</t>
  </si>
  <si>
    <t>HH20250301 Aludra #15 - $0.05-$0.10 - USD No Limit Hold'em.txt</t>
  </si>
  <si>
    <t>HH20250301 Aludra #16 - $0.05-$0.10 - USD No Limit Hold'em.txt</t>
  </si>
  <si>
    <t>HH20250301 Aludra #17 - $0.05-$0.10 - USD No Limit Hold'em.txt</t>
  </si>
  <si>
    <t>HH20250301 Aludra #18 - $0.05-$0.10 - USD No Limit Hold'em.txt</t>
  </si>
  <si>
    <t>02.03.2025</t>
  </si>
  <si>
    <t>HH20250302 T3864545146 No Limit Hold'em $3.68 + $0.32.txt</t>
  </si>
  <si>
    <t>HH20250302 T3864546675 No Limit Hold'em $3.68 + $0.32.txt</t>
  </si>
  <si>
    <t>HH20250302 T3864548338 No Limit Hold'em $4.60 + $0.40.txt</t>
  </si>
  <si>
    <t>HH20250302 T3864550082 No Limit Hold'em $0.46 + $0.04.txt</t>
  </si>
  <si>
    <t>HH20250302 T3861363290 No Limit Hold'em $1.40 + $0.10.txt</t>
  </si>
  <si>
    <t>HH20250302 Aludra - $0.05-$0.10 - USD No Limit Hold'em.txt</t>
  </si>
  <si>
    <t>HH20250302 Aludra #2 - $0.05-$0.10 - USD No Limit Hold'em.txt</t>
  </si>
  <si>
    <t>HH20250302 Aludra #3 - $0.05-$0.10 - USD No Limit Hold'em.txt</t>
  </si>
  <si>
    <t>HH20250302 Aludra #4 - $0.05-$0.10 - USD No Limit Hold'em.txt</t>
  </si>
  <si>
    <t>HH20250303 T3864820175 No Limit Hold'em $4.60 + $0.40.txt</t>
  </si>
  <si>
    <t>HH20250303 T3864820926 No Limit Hold'em $0.46 + $0.04.txt</t>
  </si>
  <si>
    <t>03.03.2025</t>
  </si>
  <si>
    <t>HH20250303 Aludra - $0.05-$0.10 - USD No Limit Hold'em.txt</t>
  </si>
  <si>
    <t>HH20250303 Aludra #2 - $0.05-$0.10 - USD No Limit Hold'em.txt</t>
  </si>
  <si>
    <t>HH20250303 Aludra #3 - $0.05-$0.10 - USD No Limit Hold'em.txt</t>
  </si>
  <si>
    <t>HH20250303 Aludra - $0.05-$0.10 - USD No Limit Hold'em2.txt</t>
  </si>
  <si>
    <t>HH20250303 Aludra #2 - $0.05-$0.10 - USD No Limit Hold'em2.txt</t>
  </si>
  <si>
    <t>Episode 08-L</t>
  </si>
  <si>
    <t>HH20250303 T3860731908 No Limit Hold'em $4.90 + $0.60.txt</t>
  </si>
  <si>
    <t>04.03.2025</t>
  </si>
  <si>
    <t>HH20250304 T3865161561 No Limit Hold'em $4.60 + $0.40.txt</t>
  </si>
  <si>
    <t>HH20250304 T3865162243 No Limit Hold'em $0.46 + $0.04.txt</t>
  </si>
  <si>
    <t>HH20250304 Aludra - $0.05-$0.10 - USD No Limit Hold'em.txt</t>
  </si>
  <si>
    <t>HH20250304 Aludra #2 - $0.05-$0.10 - USD No Limit Hold'em.txt</t>
  </si>
  <si>
    <t>HH20250304 Aludra #3 - $0.05-$0.10 - USD No Limit Hold'em.txt</t>
  </si>
  <si>
    <t>HH20250304 Aludra - $0.05-$0.10 - USD No Limit Hold'em2.txt</t>
  </si>
  <si>
    <t>HH20250304 Aludra #2 - $0.05-$0.10 - USD No Limit Hold'em2.txt</t>
  </si>
  <si>
    <t>HH20250304 Aludra #3 - $0.05-$0.10 - USD No Limit Hold'em2.txt</t>
  </si>
  <si>
    <t>HH20250304 Aludra #4 - $0.05-$0.10 - USD No Limit Hold'em.txt</t>
  </si>
  <si>
    <t>HH20250304 Aludra #5 - $0.05-$0.10 - USD No Limit Hold'em.txt</t>
  </si>
  <si>
    <t>HH20250304 Aludra #6 - $0.05-$0.10 - USD No Limit Hold'em.txt</t>
  </si>
  <si>
    <t>HH20250304 Aludra #7 - $0.05-$0.10 - USD No Limit Hold'em.txt</t>
  </si>
  <si>
    <t>HH20250304 Aludra #8 - $0.05-$0.10 - USD No Limit Hold'em.txt</t>
  </si>
  <si>
    <t>HH20250304 Aludra #9 - $0.05-$0.10 - USD No Limit Hold'em.txt</t>
  </si>
  <si>
    <t>HH20250304 Aludra #10 - $0.05-$0.10 - USD No Limit Hold'em.txt</t>
  </si>
  <si>
    <t>HH20250304 Aludra - $0.05-$0.10 - USD No Limit Hold'em3.txt</t>
  </si>
  <si>
    <t>HH20250304 Aludra #2 - $0.05-$0.10 - USD No Limit Hold'em3.txt</t>
  </si>
  <si>
    <t>HH20250304 Aludra #3 - $0.05-$0.10 - USD No Limit Hold'em3.txt</t>
  </si>
  <si>
    <t>HH20250304 Aludra #4 - $0.05-$0.10 - USD No Limit Hold'em4.txt</t>
  </si>
  <si>
    <t>05.03.2025</t>
  </si>
  <si>
    <t>HH20250305 T3865606263 No Limit Hold'em $4.60 + $0.40.txt</t>
  </si>
  <si>
    <t>HH20250305 T3865608231 No Limit Hold'em $0.46 + $0.04.txt</t>
  </si>
  <si>
    <t>HH20250305 T3865610790 No Limit Hold'em $0.96 + $0.04.txt</t>
  </si>
  <si>
    <t>HH20250305 Aludra - $0.05-$0.10 - USD No Limit Hold'em.txt</t>
  </si>
  <si>
    <t>HH20250305 Aludra #2 - $0.05-$0.10 - USD No Limit Hold'em.txt</t>
  </si>
  <si>
    <t>HH20250305 Aludra #3 - $0.05-$0.10 - USD No Limit Hold'em.txt</t>
  </si>
  <si>
    <t>HH20250305 Aludra #4 - $0.05-$0.10 - USD No Limit Hold'em.txt</t>
  </si>
  <si>
    <t>HH20250305 Aludra #5 - $0.05-$0.10 - USD No Limit Hold'em.txt</t>
  </si>
  <si>
    <t>HH20250305 Aludra #6 - $0.05-$0.10 - USD No Limit Hold'em.txt</t>
  </si>
  <si>
    <t>HH20250305 Aludra #7 - $0.05-$0.10 - USD No Limit Hold'em.txt</t>
  </si>
  <si>
    <t>HH20250305 Aludra #8 - $0.05-$0.10 - USD No Limit Hold'em.txt</t>
  </si>
  <si>
    <t>HH20250305 Aludra #9 - $0.05-$0.10 - USD No Limit Hold'em.txt</t>
  </si>
  <si>
    <t>HH20250305 Aludra #10 - $0.05-$0.10 - USD No Limit Hold'em.txt</t>
  </si>
  <si>
    <t>HH20250305 Aludra #11 - $0.05-$0.10 - USD No Limit Hold'em.txt</t>
  </si>
  <si>
    <t>HH20250305 Aludra #12 - $0.05-$0.10 - USD No Limit Hold'em.txt</t>
  </si>
  <si>
    <t>HH20250306 T3865860188 No Limit Hold'em $4.60 + $0.40.txt</t>
  </si>
  <si>
    <t>HH20250306 T3865860549 No Limit Hold'em $0.46 + $0.04.txt</t>
  </si>
  <si>
    <t>06.03.2025</t>
  </si>
  <si>
    <t>HH20250306 Aludra - $0.05-$0.10 - USD No Limit Hold'em.txt</t>
  </si>
  <si>
    <t>HH20250306 Aludra #2 - $0.05-$0.10 - USD No Limit Hold'em.txt</t>
  </si>
  <si>
    <t>HH20250306 Aludra #3 - $0.05-$0.10 - USD No Limit Hold'em.txt</t>
  </si>
  <si>
    <t>HH20250306 Aludra #4 - $0.05-$0.10 - USD No Limit Hold'em.txt</t>
  </si>
  <si>
    <t>HH20250306 Aludra #5 - $0.05-$0.10 - USD No Limit Hold'em.txt</t>
  </si>
  <si>
    <t>HH20250306 Aludra #6 - $0.05-$0.10 - USD No Limit Hold'em.txt</t>
  </si>
  <si>
    <t>HH20250306 Aludra #7 - $0.05-$0.10 - USD No Limit Hold'em.txt</t>
  </si>
  <si>
    <t>HH20250306 Hydra - $0.10-$0.25 - USD No Limit Hold'em.txt</t>
  </si>
  <si>
    <t>HH20250306 Hydra #2 - $0.10-$0.25 - USD No Limit Hold'em.txt</t>
  </si>
  <si>
    <t>HH20250306 Baade - $0.25-$0.50 - USD No Limit Hold'em.txt</t>
  </si>
  <si>
    <t>07.03.2025</t>
  </si>
  <si>
    <t>HH20250307 T3866218305 No Limit Hold'em $4.60 + $0.40.txt</t>
  </si>
  <si>
    <t>HH20250307 T3866218857 No Limit Hold'em $0.46 + $0.04.txt</t>
  </si>
  <si>
    <t>11.03.2025</t>
  </si>
  <si>
    <t>HH20250311 T3867815524 No Limit Hold'em $4.60 + $0.40.txt</t>
  </si>
  <si>
    <t>HH20250311 T3867817939 No Limit Hold'em $0.46 + $0.04.txt</t>
  </si>
  <si>
    <t>HH20250311 Aludra - $0.05-$0.10 - USD No Limit Hold'em.txt</t>
  </si>
  <si>
    <t>HH20250311 Aludra #2 - $0.05-$0.10 - USD No Limit Hold'em.txt</t>
  </si>
  <si>
    <t>HH20250311 Aludra #3 - $0.05-$0.10 - USD No Limit Hold'em.txt</t>
  </si>
  <si>
    <t>13.03.2025</t>
  </si>
  <si>
    <t>HH20250313 T3868356134 No Limit Hold'em $4.60 + $0.40.txt</t>
  </si>
  <si>
    <t>HH20250313 T3868357394 No Limit Hold'em $0.46 + $0.04.txt</t>
  </si>
  <si>
    <t>HH20250313 Aludra - $0.05-$0.10 - USD No Limit Hold'em.txt</t>
  </si>
  <si>
    <t>HH20250313 Aludra #2 - $0.05-$0.10 - USD No Limit Hold'em.txt</t>
  </si>
  <si>
    <t>HH20250313 Aludra #3 - $0.05-$0.10 - USD No Limit Hold'em.txt</t>
  </si>
  <si>
    <t>HH20250313 Aludra #4 - $0.05-$0.10 - USD No Limit Hold'em.txt</t>
  </si>
  <si>
    <t>HH20250313 Aludra #5 - $0.05-$0.10 - USD No Limit Hold'em.txt</t>
  </si>
  <si>
    <t>HH20250313 Aludra #6 - $0.05-$0.10 - USD No Limit Hold'em.txt</t>
  </si>
  <si>
    <t>HH20250313 Aludra #7 - $0.05-$0.10 - USD No Limit Hold'em.txt</t>
  </si>
  <si>
    <t>HH20250313 Aludra - $0.05-$0.10 - USD No Limit Hold'em2.txt</t>
  </si>
  <si>
    <t>HH20250313 Aludra #2 - $0.05-$0.10 - USD No Limit Hold'em2.txt</t>
  </si>
  <si>
    <t>HH20250313 Aludra #3 - $0.05-$0.10 - USD No Limit Hold'em2.txt</t>
  </si>
  <si>
    <t>HH20250313 Aludra #4 - $0.05-$0.10 - USD No Limit Hold'em2.txt</t>
  </si>
  <si>
    <t>HH20250313 Aludra #5 - $0.05-$0.10 - USD No Limit Hold'em2.txt</t>
  </si>
  <si>
    <t>HH20250313 Aludra #6 - $0.05-$0.10 - USD No Limit Hold'em2.txt</t>
  </si>
  <si>
    <t>HH20250313 Hydra - $0.10-$0.25 - USD No Limit Hold'em.txt</t>
  </si>
  <si>
    <t>HH20250313 Baade - $0.25-$0.50 - USD No Limit Hold'em.txt</t>
  </si>
  <si>
    <t>17.03.2025</t>
  </si>
  <si>
    <t>HH20250317 T3869810085 No Limit Hold'em $4.60 + $0.40.txt</t>
  </si>
  <si>
    <t>HH20250317 T3869811594 No Limit Hold'em $0.46 + $0.04.txt</t>
  </si>
  <si>
    <t>HH20250317 Aludra - $0.05-$0.10 - USD No Limit Hold'em.txt</t>
  </si>
  <si>
    <t>HH20250317 Aludra #2 - $0.05-$0.10 - USD No Limit Hold'em.txt</t>
  </si>
  <si>
    <t>HH20250317 Aludra #3 - $0.05-$0.10 - USD No Limit Hold'em.txt</t>
  </si>
  <si>
    <t>HH20250317 Aludra - $0.05-$0.10 - USD No Limit Hold'em2.txt</t>
  </si>
  <si>
    <t>HH20250317 Aludra #2 - $0.05-$0.10 - USD No Limit Hold'em2.txt</t>
  </si>
  <si>
    <t>HH20250317 Aludra - $0.05-$0.10 - USD No Limit Hold'em3.txt</t>
  </si>
  <si>
    <t>18.03.2025</t>
  </si>
  <si>
    <t>HH20250318 T3870114692 No Limit Hold'em $4.60 + $0.40.txt</t>
  </si>
  <si>
    <t>HH20250318 T3870117865 No Limit Hold'em $0.46 + $0.04.txt</t>
  </si>
  <si>
    <t>HH20250318 Aludra - $0.05-$0.10 - USD No Limit Hold'em.txt</t>
  </si>
  <si>
    <t>HH20250318 Aludra - $0.05-$0.10 - USD No Limit Hold'em2.txt</t>
  </si>
  <si>
    <t>HH20250318 Aludra #2 - $0.05-$0.10 - USD No Limit Hold'em.txt</t>
  </si>
  <si>
    <t>19.03.2025</t>
  </si>
  <si>
    <t>HH20250319 T3870435487 No Limit Hold'em $4.60 + $0.40.txt</t>
  </si>
  <si>
    <t>HH20250319 T3870436350 No Limit Hold'em $0.46 + $0.04.txt</t>
  </si>
  <si>
    <t>HH20250319 Aludra - $0.05-$0.10 - USD No Limit Hold'em.txt</t>
  </si>
  <si>
    <t>HH20250319 Aludra #2 - $0.05-$0.10 - USD No Limit Hold'em.txt</t>
  </si>
  <si>
    <t>HH20250319 Aludra - $0.05-$0.10 - USD No Limit Hold'em2.txt</t>
  </si>
  <si>
    <t>HH20250319 Aludra #2 - $0.05-$0.10 - USD No Limit Hold'em2.txt</t>
  </si>
  <si>
    <t>HH20250319 Aludra - $0.05-$0.10 - USD No Limit Hold'em3.txt</t>
  </si>
  <si>
    <t>HH20250319 Aludra #2 - $0.05-$0.10 - USD No Limit Hold'em3.txt</t>
  </si>
  <si>
    <t>20.03.2025</t>
  </si>
  <si>
    <t>HH20250320 T3870784856 No Limit Hold'em $4.60 + $0.40.txt</t>
  </si>
  <si>
    <t>HH20250320 T3870786658 No Limit Hold'em $0.46 + $0.04.txt</t>
  </si>
  <si>
    <t>HH20250320 Aludra - $0.05-$0.10 - USD No Limit Hold'em.txt</t>
  </si>
  <si>
    <t>HH20250320 Aludra #2 - $0.05-$0.10 - USD No Limit Hold'em.txt</t>
  </si>
  <si>
    <t>HH20250320 Aludra #3 - $0.05-$0.10 - USD No Limit Hold'em.txt</t>
  </si>
  <si>
    <t>HH20250320 Aludra - $0.05-$0.10 - USD No Limit Hold'em2.txt</t>
  </si>
  <si>
    <t>HH20250320 Aludra #2 - $0.05-$0.10 - USD No Limit Hold'em2.txt</t>
  </si>
  <si>
    <t>HH20250320 Aludra #3 - $0.05-$0.10 - USD No Limit Hold'em2.txt</t>
  </si>
  <si>
    <t>HH20250320 Baade - $0.25-$0.50 - USD No Limit Hold'em.txt</t>
  </si>
  <si>
    <t>HH20250320 Baade #2 - $0.25-$0.50 - USD No Limit Hold'em2.txt</t>
  </si>
  <si>
    <t>HH20250320 Triangulum - $0.50-$1 - USD No Limit Hold'em.txt</t>
  </si>
  <si>
    <t>HH20250320 Triangulum #2 - $0.50-$1 - USD No Limit Hold'em.txt</t>
  </si>
  <si>
    <t>HH20250320 Triangulum #3 - $0.50-$1 - USD No Limit Hold'em.txt</t>
  </si>
  <si>
    <t>21.03.2025</t>
  </si>
  <si>
    <t>HH20250321 T3871100309 No Limit Hold'em $4.60 + $0.40.txt</t>
  </si>
  <si>
    <t>HH20250321 T3871101924 No Limit Hold'em $0.46 + $0.04.txt</t>
  </si>
  <si>
    <t>HH20250321 Aludra - $0.05-$0.10 - USD No Limit Hold'em.txt</t>
  </si>
  <si>
    <t>HH20250321 Aludra #2 - $0.05-$0.10 - USD No Limit Hold'em.txt</t>
  </si>
  <si>
    <t>HH20250321 Aludra #3 - $0.05-$0.10 - USD No Limit Hold'em.txt</t>
  </si>
  <si>
    <t>HH20250321 Aludra #4 - $0.05-$0.10 - USD No Limit Hold'em.txt</t>
  </si>
  <si>
    <t>HH20250321 Aludra #5 - $0.05-$0.10 - USD No Limit Hold'em.txt</t>
  </si>
  <si>
    <t>HH20250321 Aludra - $0.05-$0.10 - USD No Limit Hold'em2.txt</t>
  </si>
  <si>
    <t>HH20250321 Aludra #2 - $0.05-$0.10 - USD No Limit Hold'em2.txt</t>
  </si>
  <si>
    <t>HH20250321 Aludra #3 - $0.05-$0.10 - USD No Limit Hold'em2.txt</t>
  </si>
  <si>
    <t>HH20250321 T3870444323 No Limit Hold'em $1.40 + $0.10.txt</t>
  </si>
  <si>
    <t>HH20250321 Aludra #4 - $0.05-$0.10 - USD No Limit Hold'em2.txt</t>
  </si>
  <si>
    <t>HH20250321 Aludra #5 - $0.05-$0.10 - USD No Limit Hold'em2.txt</t>
  </si>
  <si>
    <t>22.03.2025</t>
  </si>
  <si>
    <t>HH20250322 T3871688387 No Limit Hold'em $4.60 + $0.40.txt</t>
  </si>
  <si>
    <t>HH20250322 T3871689115 No Limit Hold'em $0.46 + $0.04.txt</t>
  </si>
  <si>
    <t>23.03.2025</t>
  </si>
  <si>
    <t>HH20250323 Aludra - $0.05-$0.10 - USD No Limit Hold'em.txt</t>
  </si>
  <si>
    <t>HH20250323 T3871869682 No Limit Hold'em $0.46 + $0.04.txt</t>
  </si>
  <si>
    <t>HH20250323 Aludra - $0.05-$0.10 - USD No Limit Hold'em2.txt</t>
  </si>
  <si>
    <t>UTG</t>
  </si>
  <si>
    <t>UTG+1</t>
  </si>
  <si>
    <t>CO</t>
  </si>
  <si>
    <t>BTN</t>
  </si>
  <si>
    <t>SB</t>
  </si>
  <si>
    <t>BB</t>
  </si>
  <si>
    <t>3-Bet</t>
  </si>
  <si>
    <t>Call</t>
  </si>
  <si>
    <t>Fold</t>
  </si>
  <si>
    <t>Bet</t>
  </si>
  <si>
    <t>AKs</t>
  </si>
  <si>
    <t>AQs</t>
  </si>
  <si>
    <t>AJs</t>
  </si>
  <si>
    <t>ATs</t>
  </si>
  <si>
    <t>KQs</t>
  </si>
  <si>
    <t>KJs</t>
  </si>
  <si>
    <t>KTs</t>
  </si>
  <si>
    <t>QJs</t>
  </si>
  <si>
    <t>QTs</t>
  </si>
  <si>
    <t>JTs</t>
  </si>
  <si>
    <t>AKo</t>
  </si>
  <si>
    <t>AQo</t>
  </si>
  <si>
    <t>AJo</t>
  </si>
  <si>
    <t>ATo</t>
  </si>
  <si>
    <t>KQo</t>
  </si>
  <si>
    <t>KJo</t>
  </si>
  <si>
    <t>QJo</t>
  </si>
  <si>
    <t>A9s</t>
  </si>
  <si>
    <t>A8s</t>
  </si>
  <si>
    <t>A7s</t>
  </si>
  <si>
    <t>A6s</t>
  </si>
  <si>
    <t>A5s</t>
  </si>
  <si>
    <t>A4s</t>
  </si>
  <si>
    <t>A3s</t>
  </si>
  <si>
    <t>A2s</t>
  </si>
  <si>
    <t>K9s</t>
  </si>
  <si>
    <t>Q9s</t>
  </si>
  <si>
    <t>J9s</t>
  </si>
  <si>
    <t>T9s</t>
  </si>
  <si>
    <t>98s</t>
  </si>
  <si>
    <t>87s</t>
  </si>
  <si>
    <t>76s</t>
  </si>
  <si>
    <t>65s</t>
  </si>
  <si>
    <t>54s</t>
  </si>
  <si>
    <t>Tournament GPT Strategy</t>
  </si>
  <si>
    <t>HH20250323 Aludra - $0.05-$0.10 - USD No Limit Hold'em3.txt</t>
  </si>
  <si>
    <t>HH20250323 T3860731919 No Limit Hold'em $9.80 + $1.20.txt</t>
  </si>
  <si>
    <t>HH20250323 Aludra - $0.05-$0.10 - USD No Limit Hold'em4.txt</t>
  </si>
  <si>
    <t>HH20250323 Aludra #2 - $0.05-$0.10 - USD No Limit Hold'em.txt</t>
  </si>
  <si>
    <t>HH20250323 Aludra #3 - $0.05-$0.10 - USD No Limit Hold'em.txt</t>
  </si>
  <si>
    <t>24.03.2025</t>
  </si>
  <si>
    <t>HH20250324 Aludra - $0.05-$0.10 - USD No Limit Hold'em.txt</t>
  </si>
  <si>
    <t>HH20250324 T3872175872 No Limit Hold'em $0.46 + $0.04.txt</t>
  </si>
  <si>
    <t>HH20250324 Aludra - $0.05-$0.10 - USD No Limit Hold'em2.txt</t>
  </si>
  <si>
    <t>HH20250324 Aludra #2 - $0.05-$0.10 - USD No Limit Hold'em.txt</t>
  </si>
  <si>
    <t>AK</t>
  </si>
  <si>
    <t>AQ</t>
  </si>
  <si>
    <t>AJ</t>
  </si>
  <si>
    <t>AT</t>
  </si>
  <si>
    <t>A9</t>
  </si>
  <si>
    <t>A8</t>
  </si>
  <si>
    <t>A7</t>
  </si>
  <si>
    <t>A6</t>
  </si>
  <si>
    <t>A5</t>
  </si>
  <si>
    <t>A4</t>
  </si>
  <si>
    <t>A3</t>
  </si>
  <si>
    <t>A2</t>
  </si>
  <si>
    <t>KQ</t>
  </si>
  <si>
    <t>KJ</t>
  </si>
  <si>
    <t>KT</t>
  </si>
  <si>
    <t>K9</t>
  </si>
  <si>
    <t>s</t>
  </si>
  <si>
    <t>o</t>
  </si>
  <si>
    <t>o\s</t>
  </si>
  <si>
    <t>K8</t>
  </si>
  <si>
    <t>K7</t>
  </si>
  <si>
    <t>K6</t>
  </si>
  <si>
    <t>K5</t>
  </si>
  <si>
    <t>K4</t>
  </si>
  <si>
    <t>K3</t>
  </si>
  <si>
    <t>K2</t>
  </si>
  <si>
    <t>QJ</t>
  </si>
  <si>
    <t>QT</t>
  </si>
  <si>
    <t>Q9</t>
  </si>
  <si>
    <t>Q8</t>
  </si>
  <si>
    <t>Q7</t>
  </si>
  <si>
    <t>Q6</t>
  </si>
  <si>
    <t>Q5</t>
  </si>
  <si>
    <t>Q4</t>
  </si>
  <si>
    <t>Q3</t>
  </si>
  <si>
    <t>Q2</t>
  </si>
  <si>
    <t>JT</t>
  </si>
  <si>
    <t>J9</t>
  </si>
  <si>
    <t>J8</t>
  </si>
  <si>
    <t>J7</t>
  </si>
  <si>
    <t>J6</t>
  </si>
  <si>
    <t>J5</t>
  </si>
  <si>
    <t>J4</t>
  </si>
  <si>
    <t>J3</t>
  </si>
  <si>
    <t>J2</t>
  </si>
  <si>
    <t>T9</t>
  </si>
  <si>
    <t>T8</t>
  </si>
  <si>
    <t>T7</t>
  </si>
  <si>
    <t>T6</t>
  </si>
  <si>
    <t>T5</t>
  </si>
  <si>
    <t>T4</t>
  </si>
  <si>
    <t>T3</t>
  </si>
  <si>
    <t>T2</t>
  </si>
  <si>
    <t>Play</t>
  </si>
  <si>
    <t>Heatmap</t>
  </si>
  <si>
    <t>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</si>
</sst>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43" fontId="0" fillId="0" borderId="0" xfId="1" applyFont="1"/>
    <xf numFmtId="43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0" fontId="0" fillId="0" borderId="0" xfId="2" applyNumberFormat="1" applyFont="1"/>
    <xf numFmtId="2" fontId="0" fillId="0" borderId="0" xfId="0" applyNumberFormat="1"/>
    <xf numFmtId="165" fontId="0" fillId="0" borderId="0" xfId="2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3">
    <cellStyle name="Comma" xfId="1" builtinId="3"/>
    <cellStyle name="Normal" xfId="0" builtinId="0"/>
    <cellStyle name="Percent" xfId="2" builtinId="5"/>
  </cellStyles>
  <dxfs count="1"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ieu Huber" refreshedDate="45740.519741782409" createdVersion="8" refreshedVersion="8" minRefreshableVersion="3" recordCount="4508" xr:uid="{C700436C-4027-49FE-B53B-51FF406B1C6E}">
  <cacheSource type="worksheet">
    <worksheetSource ref="A1:M4509" sheet="Data"/>
  </cacheSource>
  <cacheFields count="14">
    <cacheField name="GameID" numFmtId="0">
      <sharedItems containsSemiMixedTypes="0" containsString="0" containsNumber="1" containsInteger="1" minValue="1" maxValue="4505"/>
    </cacheField>
    <cacheField name="Account Balance" numFmtId="2">
      <sharedItems containsSemiMixedTypes="0" containsString="0" containsNumber="1" minValue="-1.4210854715202004E-14" maxValue="320.02999999999997"/>
    </cacheField>
    <cacheField name="Date" numFmtId="0">
      <sharedItems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Game" numFmtId="0">
      <sharedItems count="22">
        <s v="Idle"/>
        <s v="Deposit"/>
        <s v="Spin&amp;Go"/>
        <s v="Bounty Builder"/>
        <s v="Road to Sunday Million"/>
        <s v="Sunday Storm"/>
        <s v="Cash Rebate"/>
        <s v="Withdrawal"/>
        <s v="Correction"/>
        <s v="Sit&amp;Go"/>
        <s v="Table"/>
        <s v="Carnival Series 46-L"/>
        <s v="Power Path Step 1"/>
        <s v="Power Path Step 2"/>
        <s v="Power Path Step 3"/>
        <s v="Mystery Bounty"/>
        <s v="NLHE"/>
        <s v="Power Path Step 4"/>
        <s v="Cardex Challenge"/>
        <s v="Episode 00-L"/>
        <s v="Episode 02-L"/>
        <s v="Episode 08-L"/>
      </sharedItems>
    </cacheField>
    <cacheField name="Paid Entry" numFmtId="0">
      <sharedItems containsString="0" containsBlank="1" containsNumber="1" minValue="-200" maxValue="0"/>
    </cacheField>
    <cacheField name="Prize Money" numFmtId="0">
      <sharedItems containsString="0" containsBlank="1" containsNumber="1" minValue="0.53" maxValue="160"/>
    </cacheField>
    <cacheField name="Bounty" numFmtId="0">
      <sharedItems containsString="0" containsBlank="1" containsNumber="1" minValue="0.34" maxValue="28.02"/>
    </cacheField>
    <cacheField name="Result" numFmtId="0">
      <sharedItems containsBlank="1" count="3">
        <m/>
        <s v="WON"/>
        <s v="LOST"/>
      </sharedItems>
    </cacheField>
    <cacheField name="ROI" numFmtId="0">
      <sharedItems containsString="0" containsBlank="1" containsNumber="1" minValue="-1" maxValue="79"/>
    </cacheField>
    <cacheField name="File" numFmtId="0">
      <sharedItems containsBlank="1"/>
    </cacheField>
    <cacheField name="Total" numFmtId="0" formula="'Paid Entry'+'Prize Money'+Bounty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8">
  <r>
    <n v="1"/>
    <n v="0"/>
    <s v="01.01.2023"/>
    <n v="1"/>
    <x v="0"/>
    <x v="0"/>
    <x v="0"/>
    <n v="0"/>
    <m/>
    <m/>
    <x v="0"/>
    <m/>
    <m/>
  </r>
  <r>
    <n v="2"/>
    <n v="0"/>
    <s v="01.02.2023"/>
    <n v="1"/>
    <x v="1"/>
    <x v="0"/>
    <x v="0"/>
    <n v="0"/>
    <m/>
    <m/>
    <x v="0"/>
    <m/>
    <m/>
  </r>
  <r>
    <n v="3"/>
    <n v="0"/>
    <s v="01.03.2023"/>
    <n v="1"/>
    <x v="2"/>
    <x v="0"/>
    <x v="0"/>
    <n v="0"/>
    <m/>
    <m/>
    <x v="0"/>
    <m/>
    <m/>
  </r>
  <r>
    <n v="4"/>
    <n v="27.32"/>
    <s v="01.04.2023"/>
    <n v="1"/>
    <x v="3"/>
    <x v="0"/>
    <x v="1"/>
    <m/>
    <n v="27.32"/>
    <m/>
    <x v="0"/>
    <m/>
    <m/>
  </r>
  <r>
    <n v="5"/>
    <n v="29.32"/>
    <s v="01.04.2023"/>
    <n v="1"/>
    <x v="3"/>
    <x v="0"/>
    <x v="2"/>
    <n v="-1"/>
    <n v="3"/>
    <m/>
    <x v="1"/>
    <n v="2"/>
    <s v="HH20230401 T3570601767 No Limit Hold'em $0.92 + $0.08.txt"/>
  </r>
  <r>
    <n v="6"/>
    <n v="28.32"/>
    <s v="01.04.2023"/>
    <n v="1"/>
    <x v="3"/>
    <x v="0"/>
    <x v="2"/>
    <n v="-1"/>
    <m/>
    <m/>
    <x v="2"/>
    <n v="-1"/>
    <s v="HH20230401 T3570603921 No Limit Hold'em $0.92 + $0.08.txt"/>
  </r>
  <r>
    <n v="7"/>
    <n v="30.32"/>
    <s v="01.04.2023"/>
    <n v="1"/>
    <x v="3"/>
    <x v="0"/>
    <x v="2"/>
    <n v="-1"/>
    <n v="3"/>
    <m/>
    <x v="1"/>
    <n v="2"/>
    <s v="HH20230401 T3570604907 No Limit Hold'em $0.92 + $0.08.txt"/>
  </r>
  <r>
    <n v="8"/>
    <n v="32.32"/>
    <s v="01.04.2023"/>
    <n v="1"/>
    <x v="3"/>
    <x v="0"/>
    <x v="2"/>
    <n v="-1"/>
    <n v="3"/>
    <m/>
    <x v="1"/>
    <n v="2"/>
    <s v="HH20230401 T3570607894 No Limit Hold'em $0.92 + $0.08.txt"/>
  </r>
  <r>
    <n v="9"/>
    <n v="31.32"/>
    <s v="01.04.2023"/>
    <n v="1"/>
    <x v="3"/>
    <x v="0"/>
    <x v="2"/>
    <n v="-1"/>
    <m/>
    <m/>
    <x v="2"/>
    <n v="-1"/>
    <s v="HH20230401 T3570616045 No Limit Hold'em $0.92 + $0.08.txt"/>
  </r>
  <r>
    <n v="10"/>
    <n v="30.32"/>
    <s v="01.04.2023"/>
    <n v="1"/>
    <x v="3"/>
    <x v="0"/>
    <x v="2"/>
    <n v="-1"/>
    <m/>
    <m/>
    <x v="2"/>
    <n v="-1"/>
    <s v="HH20230401 T3570619089 No Limit Hold'em $0.92 + $0.08.txt"/>
  </r>
  <r>
    <n v="11"/>
    <n v="29.32"/>
    <s v="01.04.2023"/>
    <n v="1"/>
    <x v="3"/>
    <x v="0"/>
    <x v="2"/>
    <n v="-1"/>
    <m/>
    <m/>
    <x v="2"/>
    <n v="-1"/>
    <s v="HH20230401 T3570620651 No Limit Hold'em $0.92 + $0.08.txt"/>
  </r>
  <r>
    <n v="12"/>
    <n v="30.32"/>
    <s v="01.04.2023"/>
    <n v="1"/>
    <x v="3"/>
    <x v="0"/>
    <x v="2"/>
    <n v="-1"/>
    <n v="2"/>
    <m/>
    <x v="1"/>
    <n v="1"/>
    <s v="HH20230401 T3570621296 No Limit Hold'em $0.92 + $0.08.txt"/>
  </r>
  <r>
    <n v="13"/>
    <n v="31.32"/>
    <s v="01.04.2023"/>
    <n v="1"/>
    <x v="3"/>
    <x v="0"/>
    <x v="2"/>
    <n v="-1"/>
    <n v="2"/>
    <m/>
    <x v="1"/>
    <n v="1"/>
    <s v="HH20230401 T3570622290 No Limit Hold'em $0.92 + $0.08.txt"/>
  </r>
  <r>
    <n v="14"/>
    <n v="33.32"/>
    <s v="01.04.2023"/>
    <n v="1"/>
    <x v="3"/>
    <x v="0"/>
    <x v="2"/>
    <n v="-1"/>
    <n v="3"/>
    <m/>
    <x v="1"/>
    <n v="2"/>
    <s v="HH20230401 T3570623729 No Limit Hold'em $0.92 + $0.08.txt"/>
  </r>
  <r>
    <n v="15"/>
    <n v="32.32"/>
    <s v="01.04.2023"/>
    <n v="1"/>
    <x v="3"/>
    <x v="0"/>
    <x v="2"/>
    <n v="-1"/>
    <m/>
    <m/>
    <x v="2"/>
    <n v="-1"/>
    <s v="HH20230401 T3570627039 No Limit Hold'em $0.92 + $0.08.txt"/>
  </r>
  <r>
    <n v="16"/>
    <n v="31.32"/>
    <s v="01.04.2023"/>
    <n v="1"/>
    <x v="3"/>
    <x v="0"/>
    <x v="2"/>
    <n v="-1"/>
    <m/>
    <m/>
    <x v="2"/>
    <n v="-1"/>
    <s v="HH20230401 T3570699289 No Limit Hold'em $0.92 + $0.08.txt"/>
  </r>
  <r>
    <n v="17"/>
    <n v="30.32"/>
    <s v="01.04.2023"/>
    <n v="1"/>
    <x v="3"/>
    <x v="0"/>
    <x v="2"/>
    <n v="-1"/>
    <m/>
    <m/>
    <x v="2"/>
    <n v="-1"/>
    <s v="HH20230401 T3570701054 No Limit Hold'em $0.92 + $0.08.txt"/>
  </r>
  <r>
    <n v="18"/>
    <n v="29.32"/>
    <s v="01.04.2023"/>
    <n v="1"/>
    <x v="3"/>
    <x v="0"/>
    <x v="2"/>
    <n v="-1"/>
    <m/>
    <m/>
    <x v="2"/>
    <n v="-1"/>
    <s v="HH20230401 T3570702431 No Limit Hold'em $0.92 + $0.08.txt"/>
  </r>
  <r>
    <n v="19"/>
    <n v="30.32"/>
    <s v="01.04.2023"/>
    <n v="1"/>
    <x v="3"/>
    <x v="0"/>
    <x v="2"/>
    <n v="-1"/>
    <n v="2"/>
    <m/>
    <x v="1"/>
    <n v="1"/>
    <s v="HH20230401 T3570706373 No Limit Hold'em $0.92 + $0.08.txt"/>
  </r>
  <r>
    <n v="20"/>
    <n v="29.32"/>
    <s v="01.04.2023"/>
    <n v="1"/>
    <x v="3"/>
    <x v="0"/>
    <x v="2"/>
    <n v="-1"/>
    <m/>
    <m/>
    <x v="2"/>
    <n v="-1"/>
    <s v="HH20230401 T3570709435 No Limit Hold'em $0.92 + $0.08.txt"/>
  </r>
  <r>
    <n v="21"/>
    <n v="30.32"/>
    <s v="01.04.2023"/>
    <n v="1"/>
    <x v="3"/>
    <x v="0"/>
    <x v="2"/>
    <n v="-1"/>
    <n v="2"/>
    <m/>
    <x v="1"/>
    <n v="1"/>
    <s v="HH20230401 T3570749037 No Limit Hold'em $0.92 + $0.08.txt"/>
  </r>
  <r>
    <n v="22"/>
    <n v="31.32"/>
    <s v="01.04.2023"/>
    <n v="1"/>
    <x v="3"/>
    <x v="0"/>
    <x v="2"/>
    <n v="-1"/>
    <n v="2"/>
    <m/>
    <x v="1"/>
    <n v="1"/>
    <s v="HH20230401 T3570751572 No Limit Hold'em $0.92 + $0.08.txt"/>
  </r>
  <r>
    <n v="23"/>
    <n v="30.32"/>
    <s v="02.04.2023"/>
    <n v="2"/>
    <x v="3"/>
    <x v="0"/>
    <x v="2"/>
    <n v="-1"/>
    <m/>
    <m/>
    <x v="2"/>
    <n v="-1"/>
    <s v="HH20230402 T3571053343 No Limit Hold'em $0.92 + $0.08.txt"/>
  </r>
  <r>
    <n v="24"/>
    <n v="31.32"/>
    <s v="02.04.2023"/>
    <n v="2"/>
    <x v="3"/>
    <x v="0"/>
    <x v="2"/>
    <n v="-1"/>
    <n v="2"/>
    <m/>
    <x v="1"/>
    <n v="1"/>
    <s v="HH20230402 T3571055119 No Limit Hold'em $0.92 + $0.08.txt"/>
  </r>
  <r>
    <n v="25"/>
    <n v="30.32"/>
    <s v="02.04.2023"/>
    <n v="2"/>
    <x v="3"/>
    <x v="0"/>
    <x v="2"/>
    <n v="-1"/>
    <m/>
    <m/>
    <x v="2"/>
    <n v="-1"/>
    <s v="HH20230402 T3571057698 No Limit Hold'em $0.92 + $0.08.txt"/>
  </r>
  <r>
    <n v="26"/>
    <n v="29.32"/>
    <s v="02.04.2023"/>
    <n v="2"/>
    <x v="3"/>
    <x v="0"/>
    <x v="2"/>
    <n v="-1"/>
    <m/>
    <m/>
    <x v="2"/>
    <n v="-1"/>
    <s v="HH20230402 T3571059662 No Limit Hold'em $0.92 + $0.08.txt"/>
  </r>
  <r>
    <n v="27"/>
    <n v="30.32"/>
    <s v="02.04.2023"/>
    <n v="2"/>
    <x v="3"/>
    <x v="0"/>
    <x v="2"/>
    <n v="-1"/>
    <n v="2"/>
    <m/>
    <x v="1"/>
    <n v="1"/>
    <s v="HH20230402 T3571060379 No Limit Hold'em $0.92 + $0.08.txt"/>
  </r>
  <r>
    <n v="28"/>
    <n v="29.32"/>
    <s v="02.04.2023"/>
    <n v="2"/>
    <x v="3"/>
    <x v="0"/>
    <x v="2"/>
    <n v="-1"/>
    <m/>
    <m/>
    <x v="2"/>
    <n v="-1"/>
    <s v="HH20230402 T3571063257 No Limit Hold'em $0.92 + $0.08.txt"/>
  </r>
  <r>
    <n v="29"/>
    <n v="31.32"/>
    <s v="02.04.2023"/>
    <n v="2"/>
    <x v="3"/>
    <x v="0"/>
    <x v="2"/>
    <n v="-1"/>
    <n v="3"/>
    <m/>
    <x v="1"/>
    <n v="2"/>
    <s v="HH20230402 T3571077637 No Limit Hold'em $0.92 + $0.08.txt"/>
  </r>
  <r>
    <n v="30"/>
    <n v="33.32"/>
    <s v="02.04.2023"/>
    <n v="2"/>
    <x v="3"/>
    <x v="0"/>
    <x v="2"/>
    <n v="-1"/>
    <n v="3"/>
    <m/>
    <x v="1"/>
    <n v="2"/>
    <s v="HH20230402 T3571080108 No Limit Hold'em $0.92 + $0.08.txt"/>
  </r>
  <r>
    <n v="31"/>
    <n v="32.32"/>
    <s v="02.04.2023"/>
    <n v="2"/>
    <x v="3"/>
    <x v="0"/>
    <x v="2"/>
    <n v="-1"/>
    <m/>
    <m/>
    <x v="2"/>
    <n v="-1"/>
    <s v="HH20230402 T3571107282 No Limit Hold'em $0.92 + $0.08.txt"/>
  </r>
  <r>
    <n v="32"/>
    <n v="34.32"/>
    <s v="02.04.2023"/>
    <n v="2"/>
    <x v="3"/>
    <x v="0"/>
    <x v="2"/>
    <n v="-1"/>
    <n v="3"/>
    <m/>
    <x v="1"/>
    <n v="2"/>
    <s v="HH20230402 T3571109385 No Limit Hold'em $0.92 + $0.08.txt"/>
  </r>
  <r>
    <n v="33"/>
    <n v="36.32"/>
    <s v="02.04.2023"/>
    <n v="2"/>
    <x v="3"/>
    <x v="0"/>
    <x v="2"/>
    <n v="-1"/>
    <n v="3"/>
    <m/>
    <x v="1"/>
    <n v="2"/>
    <s v="HH20230402 T3571114757 No Limit Hold'em $0.92 + $0.08.txt"/>
  </r>
  <r>
    <n v="34"/>
    <n v="35.32"/>
    <s v="02.04.2023"/>
    <n v="2"/>
    <x v="3"/>
    <x v="0"/>
    <x v="2"/>
    <n v="-1"/>
    <m/>
    <m/>
    <x v="2"/>
    <n v="-1"/>
    <s v="HH20230402 T3571119710 No Limit Hold'em $0.92 + $0.08.txt"/>
  </r>
  <r>
    <n v="35"/>
    <n v="35.72"/>
    <s v="02.04.2023"/>
    <n v="2"/>
    <x v="3"/>
    <x v="0"/>
    <x v="3"/>
    <n v="-1.1000000000000001"/>
    <n v="1"/>
    <n v="0.5"/>
    <x v="1"/>
    <n v="0.36363636363636354"/>
    <s v="HH20230402 T3568745401 No Limit Hold'em $0.98 + $0.12.txt"/>
  </r>
  <r>
    <n v="36"/>
    <n v="27.22"/>
    <s v="03.04.2023"/>
    <n v="3"/>
    <x v="3"/>
    <x v="0"/>
    <x v="4"/>
    <n v="-11"/>
    <m/>
    <n v="2.5"/>
    <x v="2"/>
    <n v="-0.77272727272727271"/>
    <s v="HH20230403 T3570123568 No Limit Hold'em $9.80 + $1.20.txt"/>
  </r>
  <r>
    <n v="37"/>
    <n v="26.22"/>
    <s v="04.04.2023"/>
    <n v="4"/>
    <x v="3"/>
    <x v="0"/>
    <x v="2"/>
    <n v="-1"/>
    <m/>
    <m/>
    <x v="2"/>
    <n v="-1"/>
    <s v="HH20230404 T3572230728 No Limit Hold'em $0.92 + $0.08.txt"/>
  </r>
  <r>
    <n v="38"/>
    <n v="25.22"/>
    <s v="04.04.2023"/>
    <n v="4"/>
    <x v="3"/>
    <x v="0"/>
    <x v="2"/>
    <n v="-1"/>
    <m/>
    <m/>
    <x v="2"/>
    <n v="-1"/>
    <s v="HH20230404 T3572236754 No Limit Hold'em $0.92 + $0.08.txt"/>
  </r>
  <r>
    <n v="39"/>
    <n v="24.22"/>
    <s v="04.04.2023"/>
    <n v="4"/>
    <x v="3"/>
    <x v="0"/>
    <x v="2"/>
    <n v="-1"/>
    <m/>
    <m/>
    <x v="2"/>
    <n v="-1"/>
    <s v="HH20230404 T3572237702 No Limit Hold'em $0.92 + $0.08.txt"/>
  </r>
  <r>
    <n v="40"/>
    <n v="25.22"/>
    <s v="04.04.2023"/>
    <n v="4"/>
    <x v="3"/>
    <x v="0"/>
    <x v="2"/>
    <n v="-1"/>
    <n v="2"/>
    <m/>
    <x v="1"/>
    <n v="1"/>
    <s v="HH20230404 T3572239755 No Limit Hold'em $0.92 + $0.08.txt"/>
  </r>
  <r>
    <n v="41"/>
    <n v="27.22"/>
    <s v="04.04.2023"/>
    <n v="4"/>
    <x v="3"/>
    <x v="0"/>
    <x v="2"/>
    <n v="-1"/>
    <n v="3"/>
    <m/>
    <x v="1"/>
    <n v="2"/>
    <s v="HH20230404 T3572243240 No Limit Hold'em $0.92 + $0.08.txt"/>
  </r>
  <r>
    <n v="42"/>
    <n v="26.22"/>
    <s v="04.04.2023"/>
    <n v="4"/>
    <x v="3"/>
    <x v="0"/>
    <x v="2"/>
    <n v="-1"/>
    <m/>
    <m/>
    <x v="2"/>
    <n v="-1"/>
    <s v="HH20230404 T3572250724 No Limit Hold'em $0.92 + $0.08.txt"/>
  </r>
  <r>
    <n v="43"/>
    <n v="28.22"/>
    <s v="05.04.2023"/>
    <n v="5"/>
    <x v="3"/>
    <x v="0"/>
    <x v="2"/>
    <n v="-1"/>
    <n v="3"/>
    <m/>
    <x v="1"/>
    <n v="2"/>
    <s v="HH20230405 T3572452720 No Limit Hold'em $0.92 + $0.08.txt"/>
  </r>
  <r>
    <n v="44"/>
    <n v="27.22"/>
    <s v="05.04.2023"/>
    <n v="5"/>
    <x v="3"/>
    <x v="0"/>
    <x v="2"/>
    <n v="-1"/>
    <m/>
    <m/>
    <x v="2"/>
    <n v="-1"/>
    <s v="HH20230405 T3572454958 No Limit Hold'em $0.92 + $0.08.txt"/>
  </r>
  <r>
    <n v="45"/>
    <n v="29.22"/>
    <s v="05.04.2023"/>
    <n v="5"/>
    <x v="3"/>
    <x v="0"/>
    <x v="2"/>
    <n v="-1"/>
    <n v="3"/>
    <m/>
    <x v="1"/>
    <n v="2"/>
    <s v="HH20230405 T3572476809 No Limit Hold'em $0.92 + $0.08.txt"/>
  </r>
  <r>
    <n v="46"/>
    <n v="30.22"/>
    <s v="05.04.2023"/>
    <n v="5"/>
    <x v="3"/>
    <x v="0"/>
    <x v="2"/>
    <n v="-1"/>
    <n v="2"/>
    <m/>
    <x v="1"/>
    <n v="1"/>
    <s v="HH20230405 T3572478141 No Limit Hold'em $0.92 + $0.08.txt"/>
  </r>
  <r>
    <n v="47"/>
    <n v="31.22"/>
    <s v="05.04.2023"/>
    <n v="5"/>
    <x v="3"/>
    <x v="0"/>
    <x v="2"/>
    <n v="-1"/>
    <n v="2"/>
    <m/>
    <x v="1"/>
    <n v="1"/>
    <s v="HH20230405 T3572485451 No Limit Hold'em $0.92 + $0.08.txt"/>
  </r>
  <r>
    <n v="48"/>
    <n v="30.22"/>
    <s v="05.04.2023"/>
    <n v="5"/>
    <x v="3"/>
    <x v="0"/>
    <x v="2"/>
    <n v="-1"/>
    <m/>
    <m/>
    <x v="2"/>
    <n v="-1"/>
    <s v="HH20230405 T3572486128 No Limit Hold'em $0.92 + $0.08.txt"/>
  </r>
  <r>
    <n v="49"/>
    <n v="29.22"/>
    <s v="05.04.2023"/>
    <n v="5"/>
    <x v="3"/>
    <x v="0"/>
    <x v="2"/>
    <n v="-1"/>
    <m/>
    <m/>
    <x v="2"/>
    <n v="-1"/>
    <s v="HH20230405 T3572487047 No Limit Hold'em $0.92 + $0.08.txt"/>
  </r>
  <r>
    <n v="50"/>
    <n v="28.22"/>
    <s v="05.04.2023"/>
    <n v="5"/>
    <x v="3"/>
    <x v="0"/>
    <x v="2"/>
    <n v="-1"/>
    <m/>
    <m/>
    <x v="2"/>
    <n v="-1"/>
    <s v="HH20230405 T3572487791 No Limit Hold'em $0.92 + $0.08.txt"/>
  </r>
  <r>
    <n v="51"/>
    <n v="29.22"/>
    <s v="05.04.2023"/>
    <n v="5"/>
    <x v="3"/>
    <x v="0"/>
    <x v="2"/>
    <n v="-1"/>
    <n v="2"/>
    <m/>
    <x v="1"/>
    <n v="1"/>
    <s v="HH20230405 T3572566688 No Limit Hold'em $0.92 + $0.08.txt"/>
  </r>
  <r>
    <n v="52"/>
    <n v="28.22"/>
    <s v="05.04.2023"/>
    <n v="5"/>
    <x v="3"/>
    <x v="0"/>
    <x v="2"/>
    <n v="-1"/>
    <m/>
    <m/>
    <x v="2"/>
    <n v="-1"/>
    <s v="HH20230405 T3572569729 No Limit Hold'em $0.92 + $0.08.txt"/>
  </r>
  <r>
    <n v="53"/>
    <n v="27.22"/>
    <s v="05.04.2023"/>
    <n v="5"/>
    <x v="3"/>
    <x v="0"/>
    <x v="2"/>
    <n v="-1"/>
    <m/>
    <m/>
    <x v="2"/>
    <n v="-1"/>
    <s v="HH20230405 T3572570611 No Limit Hold'em $0.92 + $0.08.txt"/>
  </r>
  <r>
    <n v="51"/>
    <n v="26.22"/>
    <s v="05.04.2023"/>
    <n v="5"/>
    <x v="3"/>
    <x v="0"/>
    <x v="2"/>
    <n v="-1"/>
    <m/>
    <m/>
    <x v="2"/>
    <n v="-1"/>
    <s v="HH20230405 T3572571650 No Limit Hold'em $0.92 + $0.08.txt"/>
  </r>
  <r>
    <n v="52"/>
    <n v="28.22"/>
    <s v="05.04.2023"/>
    <n v="5"/>
    <x v="3"/>
    <x v="0"/>
    <x v="2"/>
    <n v="-1"/>
    <n v="3"/>
    <m/>
    <x v="1"/>
    <n v="2"/>
    <s v="HH20230405 T3572572475 No Limit Hold'em $0.92 + $0.08.txt"/>
  </r>
  <r>
    <n v="53"/>
    <n v="29.22"/>
    <s v="05.04.2023"/>
    <n v="5"/>
    <x v="3"/>
    <x v="0"/>
    <x v="2"/>
    <n v="-1"/>
    <n v="2"/>
    <m/>
    <x v="1"/>
    <n v="1"/>
    <s v="HH20230405 T3572598920 No Limit Hold'em $0.92 + $0.08.txt"/>
  </r>
  <r>
    <n v="54"/>
    <n v="33.22"/>
    <s v="05.04.2023"/>
    <n v="5"/>
    <x v="3"/>
    <x v="0"/>
    <x v="2"/>
    <n v="-1"/>
    <n v="5"/>
    <m/>
    <x v="1"/>
    <n v="4"/>
    <s v="HH20230405 T3572601209 No Limit Hold'em $0.92 + $0.08.txt"/>
  </r>
  <r>
    <n v="55"/>
    <n v="32.22"/>
    <s v="05.04.2023"/>
    <n v="5"/>
    <x v="3"/>
    <x v="0"/>
    <x v="2"/>
    <n v="-1"/>
    <m/>
    <m/>
    <x v="2"/>
    <n v="-1"/>
    <s v="HH20230405 T3572658550 No Limit Hold'em $0.92 + $0.08.txt"/>
  </r>
  <r>
    <n v="56"/>
    <n v="29.669999999999998"/>
    <s v="05.04.2023"/>
    <n v="5"/>
    <x v="3"/>
    <x v="0"/>
    <x v="3"/>
    <n v="-3.3"/>
    <m/>
    <n v="0.75"/>
    <x v="2"/>
    <n v="-0.77272727272727271"/>
    <s v="HH20230405 T3570118617 No Limit Hold'em $2.94 + $0.36.txt"/>
  </r>
  <r>
    <n v="57"/>
    <n v="28.669999999999998"/>
    <s v="05.04.2023"/>
    <n v="5"/>
    <x v="3"/>
    <x v="0"/>
    <x v="2"/>
    <n v="-1"/>
    <m/>
    <m/>
    <x v="2"/>
    <n v="-1"/>
    <s v="HH20230405 T3572703762 No Limit Hold'em $0.92 + $0.08.txt"/>
  </r>
  <r>
    <n v="58"/>
    <n v="30.669999999999998"/>
    <s v="05.04.2023"/>
    <n v="5"/>
    <x v="3"/>
    <x v="0"/>
    <x v="2"/>
    <n v="-1"/>
    <n v="3"/>
    <m/>
    <x v="1"/>
    <n v="2"/>
    <s v="HH20230405 T3572707306 No Limit Hold'em $0.92 + $0.08.txt"/>
  </r>
  <r>
    <n v="59"/>
    <n v="32.67"/>
    <s v="06.04.2023"/>
    <n v="6"/>
    <x v="3"/>
    <x v="0"/>
    <x v="2"/>
    <n v="-1"/>
    <n v="3"/>
    <m/>
    <x v="1"/>
    <n v="2"/>
    <s v="HH20230406 T3572922424 No Limit Hold'em $0.92 + $0.08.txt"/>
  </r>
  <r>
    <n v="60"/>
    <n v="31.67"/>
    <s v="06.04.2023"/>
    <n v="6"/>
    <x v="3"/>
    <x v="0"/>
    <x v="2"/>
    <n v="-1"/>
    <m/>
    <m/>
    <x v="2"/>
    <n v="-1"/>
    <s v="HH20230406 T3572949354 No Limit Hold'em $0.92 + $0.08.txt"/>
  </r>
  <r>
    <n v="61"/>
    <n v="30.67"/>
    <s v="06.04.2023"/>
    <n v="6"/>
    <x v="3"/>
    <x v="0"/>
    <x v="2"/>
    <n v="-1"/>
    <m/>
    <m/>
    <x v="2"/>
    <n v="-1"/>
    <s v="HH20230406 T3572950303 No Limit Hold'em $0.92 + $0.08.txt"/>
  </r>
  <r>
    <n v="62"/>
    <n v="32.67"/>
    <s v="06.04.2023"/>
    <n v="6"/>
    <x v="3"/>
    <x v="0"/>
    <x v="2"/>
    <n v="-1"/>
    <n v="3"/>
    <m/>
    <x v="1"/>
    <n v="2"/>
    <s v="HH20230406 T3572951573 No Limit Hold'em $0.92 + $0.08.txt"/>
  </r>
  <r>
    <n v="63"/>
    <n v="33.67"/>
    <s v="06.04.2023"/>
    <n v="6"/>
    <x v="3"/>
    <x v="0"/>
    <x v="2"/>
    <n v="-1"/>
    <n v="2"/>
    <m/>
    <x v="1"/>
    <n v="1"/>
    <s v="HH20230406 T3572954807 No Limit Hold'em $0.92 + $0.08.txt"/>
  </r>
  <r>
    <n v="64"/>
    <n v="32.67"/>
    <s v="06.04.2023"/>
    <n v="6"/>
    <x v="3"/>
    <x v="0"/>
    <x v="2"/>
    <n v="-1"/>
    <m/>
    <m/>
    <x v="2"/>
    <n v="-1"/>
    <s v="HH20230406 T3572957663 No Limit Hold'em $0.92 + $0.08.txt"/>
  </r>
  <r>
    <n v="65"/>
    <n v="34.67"/>
    <s v="06.04.2023"/>
    <n v="6"/>
    <x v="3"/>
    <x v="0"/>
    <x v="2"/>
    <n v="-1"/>
    <n v="3"/>
    <m/>
    <x v="1"/>
    <n v="2"/>
    <s v="HH20230406 T3572960283 No Limit Hold'em $0.92 + $0.08.txt"/>
  </r>
  <r>
    <n v="66"/>
    <n v="33.67"/>
    <s v="06.04.2023"/>
    <n v="6"/>
    <x v="3"/>
    <x v="0"/>
    <x v="2"/>
    <n v="-1"/>
    <m/>
    <m/>
    <x v="2"/>
    <n v="-1"/>
    <s v="HH20230406 T3572963246 No Limit Hold'em $0.92 + $0.08.txt"/>
  </r>
  <r>
    <n v="67"/>
    <n v="32.67"/>
    <s v="07.04.2023"/>
    <n v="7"/>
    <x v="3"/>
    <x v="0"/>
    <x v="2"/>
    <n v="-1"/>
    <m/>
    <m/>
    <x v="2"/>
    <n v="-1"/>
    <s v="HH20230407 T3573539290 No Limit Hold'em $0.92 + $0.08.txt"/>
  </r>
  <r>
    <n v="68"/>
    <n v="31.67"/>
    <s v="07.04.2023"/>
    <n v="7"/>
    <x v="3"/>
    <x v="0"/>
    <x v="2"/>
    <n v="-1"/>
    <m/>
    <m/>
    <x v="2"/>
    <n v="-1"/>
    <s v="HH20230407 T3573542979 No Limit Hold'em $0.92 + $0.08.txt"/>
  </r>
  <r>
    <n v="69"/>
    <n v="30.67"/>
    <s v="07.04.2023"/>
    <n v="7"/>
    <x v="3"/>
    <x v="0"/>
    <x v="2"/>
    <n v="-1"/>
    <m/>
    <m/>
    <x v="2"/>
    <n v="-1"/>
    <s v="HH20230407 T3573550402 No Limit Hold'em $0.92 + $0.08.txt"/>
  </r>
  <r>
    <n v="70"/>
    <n v="29.67"/>
    <s v="07.04.2023"/>
    <n v="7"/>
    <x v="3"/>
    <x v="0"/>
    <x v="2"/>
    <n v="-1"/>
    <m/>
    <m/>
    <x v="2"/>
    <n v="-1"/>
    <s v="HH20230407 T3573554157 No Limit Hold'em $0.92 + $0.08.txt"/>
  </r>
  <r>
    <n v="71"/>
    <n v="28.67"/>
    <s v="07.04.2023"/>
    <n v="7"/>
    <x v="3"/>
    <x v="0"/>
    <x v="2"/>
    <n v="-1"/>
    <m/>
    <m/>
    <x v="2"/>
    <n v="-1"/>
    <s v="HH20230407 T3573554776 No Limit Hold'em $0.92 + $0.08.txt"/>
  </r>
  <r>
    <n v="72"/>
    <n v="27.67"/>
    <s v="07.04.2023"/>
    <n v="7"/>
    <x v="3"/>
    <x v="0"/>
    <x v="2"/>
    <n v="-1"/>
    <m/>
    <m/>
    <x v="2"/>
    <n v="-1"/>
    <s v="HH20230407 T3573555747 No Limit Hold'em $0.92 + $0.08.txt"/>
  </r>
  <r>
    <n v="73"/>
    <n v="26.67"/>
    <s v="07.04.2023"/>
    <n v="7"/>
    <x v="3"/>
    <x v="0"/>
    <x v="2"/>
    <n v="-1"/>
    <m/>
    <m/>
    <x v="2"/>
    <n v="-1"/>
    <s v="HH20230407 T3573556773 No Limit Hold'em $0.92 + $0.08.txt"/>
  </r>
  <r>
    <n v="74"/>
    <n v="25.67"/>
    <s v="07.04.2023"/>
    <n v="7"/>
    <x v="3"/>
    <x v="0"/>
    <x v="2"/>
    <n v="-1"/>
    <m/>
    <m/>
    <x v="2"/>
    <n v="-1"/>
    <s v="HH20230407 T3573559701 No Limit Hold'em $0.92 + $0.08.txt"/>
  </r>
  <r>
    <n v="75"/>
    <n v="24.67"/>
    <s v="07.04.2023"/>
    <n v="7"/>
    <x v="3"/>
    <x v="0"/>
    <x v="2"/>
    <n v="-1"/>
    <m/>
    <m/>
    <x v="2"/>
    <n v="-1"/>
    <s v="HH20230407 T3573562527 No Limit Hold'em $0.92 + $0.08.txt"/>
  </r>
  <r>
    <n v="76"/>
    <n v="23.67"/>
    <s v="07.04.2023"/>
    <n v="7"/>
    <x v="3"/>
    <x v="0"/>
    <x v="2"/>
    <n v="-1"/>
    <m/>
    <m/>
    <x v="2"/>
    <n v="-1"/>
    <s v="HH20230407 T3573565704 No Limit Hold'em $0.92 + $0.08.txt"/>
  </r>
  <r>
    <n v="77"/>
    <n v="22.67"/>
    <s v="07.04.2023"/>
    <n v="7"/>
    <x v="3"/>
    <x v="0"/>
    <x v="2"/>
    <n v="-1"/>
    <m/>
    <m/>
    <x v="2"/>
    <n v="-1"/>
    <s v="HH20230407 T3573567639 No Limit Hold'em $0.92 + $0.08.txt"/>
  </r>
  <r>
    <n v="78"/>
    <n v="21.67"/>
    <s v="07.04.2023"/>
    <n v="7"/>
    <x v="3"/>
    <x v="0"/>
    <x v="2"/>
    <n v="-1"/>
    <m/>
    <m/>
    <x v="2"/>
    <n v="-1"/>
    <s v="HH20230407 T3573570659 No Limit Hold'em $0.92 + $0.08.txt"/>
  </r>
  <r>
    <n v="79"/>
    <n v="25.67"/>
    <s v="07.04.2023"/>
    <n v="7"/>
    <x v="3"/>
    <x v="0"/>
    <x v="2"/>
    <n v="-1"/>
    <n v="5"/>
    <m/>
    <x v="1"/>
    <n v="4"/>
    <s v="HH20230407 T3573572622 No Limit Hold'em $0.92 + $0.08.txt"/>
  </r>
  <r>
    <n v="80"/>
    <n v="27.67"/>
    <s v="07.04.2023"/>
    <n v="7"/>
    <x v="3"/>
    <x v="0"/>
    <x v="2"/>
    <n v="-1"/>
    <n v="3"/>
    <m/>
    <x v="1"/>
    <n v="2"/>
    <s v="HH20230407 T3573577689 No Limit Hold'em $0.92 + $0.08.txt"/>
  </r>
  <r>
    <n v="81"/>
    <n v="31.67"/>
    <s v="07.04.2023"/>
    <n v="7"/>
    <x v="3"/>
    <x v="0"/>
    <x v="2"/>
    <n v="-1"/>
    <n v="5"/>
    <m/>
    <x v="1"/>
    <n v="4"/>
    <s v="HH20230407 T3573581375 No Limit Hold'em $0.92 + $0.08.txt"/>
  </r>
  <r>
    <n v="82"/>
    <n v="30.67"/>
    <s v="07.04.2023"/>
    <n v="7"/>
    <x v="3"/>
    <x v="0"/>
    <x v="2"/>
    <n v="-1"/>
    <m/>
    <m/>
    <x v="2"/>
    <n v="-1"/>
    <s v="HH20230407 T3573587805 No Limit Hold'em $0.92 + $0.08.txt"/>
  </r>
  <r>
    <n v="83"/>
    <n v="29.67"/>
    <s v="07.04.2023"/>
    <n v="7"/>
    <x v="3"/>
    <x v="0"/>
    <x v="2"/>
    <n v="-1"/>
    <m/>
    <m/>
    <x v="2"/>
    <n v="-1"/>
    <s v="HH20230407 T3573589142 No Limit Hold'em $0.92 + $0.08.txt"/>
  </r>
  <r>
    <n v="84"/>
    <n v="30.67"/>
    <s v="07.04.2023"/>
    <n v="7"/>
    <x v="3"/>
    <x v="0"/>
    <x v="2"/>
    <n v="-1"/>
    <n v="2"/>
    <m/>
    <x v="1"/>
    <n v="1"/>
    <s v="HH20230407 T3573590238 No Limit Hold'em $0.92 + $0.08.txt"/>
  </r>
  <r>
    <n v="85"/>
    <n v="29.67"/>
    <s v="07.04.2023"/>
    <n v="7"/>
    <x v="3"/>
    <x v="0"/>
    <x v="2"/>
    <n v="-1"/>
    <m/>
    <m/>
    <x v="2"/>
    <n v="-1"/>
    <s v="HH20230407 T3573593078 No Limit Hold'em $0.92 + $0.08.txt"/>
  </r>
  <r>
    <n v="86"/>
    <n v="31.67"/>
    <s v="07.04.2023"/>
    <n v="7"/>
    <x v="3"/>
    <x v="0"/>
    <x v="2"/>
    <n v="-1"/>
    <n v="3"/>
    <m/>
    <x v="1"/>
    <n v="2"/>
    <s v="HH20230407 T3573595737 No Limit Hold'em $0.92 + $0.08.txt"/>
  </r>
  <r>
    <n v="87"/>
    <n v="30.67"/>
    <s v="07.04.2023"/>
    <n v="7"/>
    <x v="3"/>
    <x v="0"/>
    <x v="2"/>
    <n v="-1"/>
    <m/>
    <m/>
    <x v="2"/>
    <n v="-1"/>
    <s v="HH20230407 T3573597417 No Limit Hold'em $0.92 + $0.08.txt"/>
  </r>
  <r>
    <n v="88"/>
    <n v="29.67"/>
    <s v="07.04.2023"/>
    <n v="7"/>
    <x v="3"/>
    <x v="0"/>
    <x v="2"/>
    <n v="-1"/>
    <m/>
    <m/>
    <x v="2"/>
    <n v="-1"/>
    <s v="HH20230407 T3573641025 No Limit Hold'em $0.92 + $0.08.txt"/>
  </r>
  <r>
    <n v="89"/>
    <n v="28.67"/>
    <s v="07.04.2023"/>
    <n v="7"/>
    <x v="3"/>
    <x v="0"/>
    <x v="2"/>
    <n v="-1"/>
    <m/>
    <m/>
    <x v="2"/>
    <n v="-1"/>
    <s v="HH20230407 T3573642493 No Limit Hold'em $0.92 + $0.08.txt"/>
  </r>
  <r>
    <n v="90"/>
    <n v="30.67"/>
    <s v="07.04.2023"/>
    <n v="7"/>
    <x v="3"/>
    <x v="0"/>
    <x v="2"/>
    <n v="-1"/>
    <n v="3"/>
    <m/>
    <x v="1"/>
    <n v="2"/>
    <s v="HH20230407 T3573644455 No Limit Hold'em $0.92 + $0.08.txt"/>
  </r>
  <r>
    <n v="91"/>
    <n v="29.67"/>
    <s v="08.04.2023"/>
    <n v="8"/>
    <x v="3"/>
    <x v="0"/>
    <x v="2"/>
    <n v="-1"/>
    <m/>
    <m/>
    <x v="2"/>
    <n v="-1"/>
    <s v="HH20230408 T3573945844 No Limit Hold'em $0.92 + $0.08.txt"/>
  </r>
  <r>
    <n v="92"/>
    <n v="30.67"/>
    <s v="08.04.2023"/>
    <n v="8"/>
    <x v="3"/>
    <x v="0"/>
    <x v="2"/>
    <n v="-1"/>
    <n v="2"/>
    <m/>
    <x v="1"/>
    <n v="1"/>
    <s v="HH20230408 T3573947418 No Limit Hold'em $0.92 + $0.08.txt"/>
  </r>
  <r>
    <n v="93"/>
    <n v="31.67"/>
    <s v="08.04.2023"/>
    <n v="8"/>
    <x v="3"/>
    <x v="0"/>
    <x v="2"/>
    <n v="-1"/>
    <n v="2"/>
    <m/>
    <x v="1"/>
    <n v="1"/>
    <s v="HH20230408 T3574083462 No Limit Hold'em $0.92 + $0.08.txt"/>
  </r>
  <r>
    <n v="94"/>
    <n v="33.67"/>
    <s v="08.04.2023"/>
    <n v="8"/>
    <x v="3"/>
    <x v="0"/>
    <x v="2"/>
    <n v="-1"/>
    <n v="3"/>
    <m/>
    <x v="1"/>
    <n v="2"/>
    <s v="HH20230408 T3574084269 No Limit Hold'em $0.92 + $0.08.txt"/>
  </r>
  <r>
    <n v="95"/>
    <n v="34.67"/>
    <s v="08.04.2023"/>
    <n v="8"/>
    <x v="3"/>
    <x v="0"/>
    <x v="2"/>
    <n v="-1"/>
    <n v="2"/>
    <m/>
    <x v="1"/>
    <n v="1"/>
    <s v="HH20230408 T3574086819 No Limit Hold'em $0.92 + $0.08.txt"/>
  </r>
  <r>
    <n v="96"/>
    <n v="35.67"/>
    <s v="08.04.2023"/>
    <n v="8"/>
    <x v="3"/>
    <x v="0"/>
    <x v="2"/>
    <n v="-1"/>
    <n v="2"/>
    <m/>
    <x v="1"/>
    <n v="1"/>
    <s v="HH20230408 T3574088567 No Limit Hold'em $0.92 + $0.08.txt"/>
  </r>
  <r>
    <n v="97"/>
    <n v="36.67"/>
    <s v="08.04.2023"/>
    <n v="8"/>
    <x v="3"/>
    <x v="0"/>
    <x v="2"/>
    <n v="-1"/>
    <n v="2"/>
    <m/>
    <x v="1"/>
    <n v="1"/>
    <s v="HH20230408 T3574090578 No Limit Hold'em $0.92 + $0.08.txt"/>
  </r>
  <r>
    <n v="98"/>
    <n v="37.67"/>
    <s v="08.04.2023"/>
    <n v="8"/>
    <x v="3"/>
    <x v="0"/>
    <x v="2"/>
    <n v="-1"/>
    <n v="2"/>
    <m/>
    <x v="1"/>
    <n v="1"/>
    <s v="HH20230408 T3574093195 No Limit Hold'em $0.92 + $0.08.txt"/>
  </r>
  <r>
    <n v="99"/>
    <n v="36.67"/>
    <s v="08.04.2023"/>
    <n v="8"/>
    <x v="3"/>
    <x v="0"/>
    <x v="2"/>
    <n v="-1"/>
    <m/>
    <m/>
    <x v="2"/>
    <n v="-1"/>
    <s v="HH20230408 T3574096987 No Limit Hold'em $0.92 + $0.08.txt"/>
  </r>
  <r>
    <n v="100"/>
    <n v="35.67"/>
    <s v="08.04.2023"/>
    <n v="8"/>
    <x v="3"/>
    <x v="0"/>
    <x v="2"/>
    <n v="-1"/>
    <m/>
    <m/>
    <x v="2"/>
    <n v="-1"/>
    <s v="HH20230408 T3574098592 No Limit Hold'em $0.92 + $0.08.txt"/>
  </r>
  <r>
    <n v="101"/>
    <n v="34.67"/>
    <s v="08.04.2023"/>
    <n v="8"/>
    <x v="3"/>
    <x v="0"/>
    <x v="2"/>
    <n v="-1"/>
    <m/>
    <m/>
    <x v="2"/>
    <n v="-1"/>
    <s v="HH20230408 T3574103340 No Limit Hold'em $0.92 + $0.08.txt"/>
  </r>
  <r>
    <n v="102"/>
    <n v="33.67"/>
    <s v="08.04.2023"/>
    <n v="8"/>
    <x v="3"/>
    <x v="0"/>
    <x v="2"/>
    <n v="-1"/>
    <m/>
    <m/>
    <x v="2"/>
    <n v="-1"/>
    <s v="HH20230408 T3574105341 No Limit Hold'em $0.92 + $0.08.txt"/>
  </r>
  <r>
    <n v="103"/>
    <n v="35.67"/>
    <s v="08.04.2023"/>
    <n v="8"/>
    <x v="3"/>
    <x v="0"/>
    <x v="2"/>
    <n v="-1"/>
    <n v="3"/>
    <m/>
    <x v="1"/>
    <n v="2"/>
    <s v="HH20230408 T3574111642 No Limit Hold'em $0.92 + $0.08.txt"/>
  </r>
  <r>
    <n v="104"/>
    <n v="39.67"/>
    <s v="08.04.2023"/>
    <n v="8"/>
    <x v="3"/>
    <x v="0"/>
    <x v="2"/>
    <n v="-1"/>
    <n v="5"/>
    <m/>
    <x v="1"/>
    <n v="4"/>
    <s v="HH20230408 T3574230094 No Limit Hold'em $0.92 + $0.08.txt"/>
  </r>
  <r>
    <n v="105"/>
    <n v="38.67"/>
    <s v="08.04.2023"/>
    <n v="8"/>
    <x v="3"/>
    <x v="0"/>
    <x v="2"/>
    <n v="-1"/>
    <m/>
    <m/>
    <x v="2"/>
    <n v="-1"/>
    <s v="HH20230408 T3574236578 No Limit Hold'em $0.92 + $0.08.txt"/>
  </r>
  <r>
    <n v="106"/>
    <n v="37.67"/>
    <s v="08.04.2023"/>
    <n v="8"/>
    <x v="3"/>
    <x v="0"/>
    <x v="2"/>
    <n v="-1"/>
    <m/>
    <m/>
    <x v="2"/>
    <n v="-1"/>
    <s v="HH20230408 T3574238664 No Limit Hold'em $0.92 + $0.08.txt"/>
  </r>
  <r>
    <n v="107"/>
    <n v="38.67"/>
    <s v="08.04.2023"/>
    <n v="8"/>
    <x v="3"/>
    <x v="0"/>
    <x v="2"/>
    <n v="-1"/>
    <n v="2"/>
    <m/>
    <x v="1"/>
    <n v="1"/>
    <s v="HH20230408 T3574243398 No Limit Hold'em $0.92 + $0.08.txt"/>
  </r>
  <r>
    <n v="108"/>
    <n v="37.67"/>
    <s v="08.04.2023"/>
    <n v="8"/>
    <x v="3"/>
    <x v="0"/>
    <x v="2"/>
    <n v="-1"/>
    <m/>
    <m/>
    <x v="2"/>
    <n v="-1"/>
    <s v="HH20230408 T3574244606 No Limit Hold'em $0.92 + $0.08.txt"/>
  </r>
  <r>
    <n v="109"/>
    <n v="36.67"/>
    <s v="08.04.2023"/>
    <n v="8"/>
    <x v="3"/>
    <x v="0"/>
    <x v="2"/>
    <n v="-1"/>
    <m/>
    <m/>
    <x v="2"/>
    <n v="-1"/>
    <s v="HH20230408 T3574751014 No Limit Hold'em $0.92 + $0.08.txt"/>
  </r>
  <r>
    <n v="110"/>
    <n v="35.67"/>
    <s v="09.04.2023"/>
    <n v="9"/>
    <x v="3"/>
    <x v="0"/>
    <x v="2"/>
    <n v="-1"/>
    <m/>
    <m/>
    <x v="2"/>
    <n v="-1"/>
    <s v="HH20230409 T3574928896 No Limit Hold'em $0.92 + $0.08.txt"/>
  </r>
  <r>
    <n v="111"/>
    <n v="34.67"/>
    <s v="09.04.2023"/>
    <n v="9"/>
    <x v="3"/>
    <x v="0"/>
    <x v="2"/>
    <n v="-1"/>
    <m/>
    <m/>
    <x v="2"/>
    <n v="-1"/>
    <s v="HH20230409 T3574930391 No Limit Hold'em $0.92 + $0.08.txt"/>
  </r>
  <r>
    <n v="112"/>
    <n v="33.67"/>
    <s v="09.04.2023"/>
    <n v="9"/>
    <x v="3"/>
    <x v="0"/>
    <x v="2"/>
    <n v="-1"/>
    <m/>
    <m/>
    <x v="2"/>
    <n v="-1"/>
    <s v="HH20230409 T3574931353 No Limit Hold'em $0.92 + $0.08.txt"/>
  </r>
  <r>
    <n v="113"/>
    <n v="34.67"/>
    <s v="09.04.2023"/>
    <n v="9"/>
    <x v="3"/>
    <x v="0"/>
    <x v="2"/>
    <n v="-1"/>
    <n v="2"/>
    <m/>
    <x v="1"/>
    <n v="1"/>
    <s v="HH20230409 T3574933136 No Limit Hold'em $0.92 + $0.08.txt"/>
  </r>
  <r>
    <n v="114"/>
    <n v="33.67"/>
    <s v="09.04.2023"/>
    <n v="9"/>
    <x v="3"/>
    <x v="0"/>
    <x v="2"/>
    <n v="-1"/>
    <m/>
    <m/>
    <x v="2"/>
    <n v="-1"/>
    <s v="HH20230409 T3574936637 No Limit Hold'em $0.92 + $0.08.txt"/>
  </r>
  <r>
    <n v="115"/>
    <n v="32.67"/>
    <s v="09.04.2023"/>
    <n v="9"/>
    <x v="3"/>
    <x v="0"/>
    <x v="2"/>
    <n v="-1"/>
    <m/>
    <m/>
    <x v="2"/>
    <n v="-1"/>
    <s v="HH20230409 T3574938511 No Limit Hold'em $0.92 + $0.08.txt"/>
  </r>
  <r>
    <n v="116"/>
    <n v="36.67"/>
    <s v="09.04.2023"/>
    <n v="9"/>
    <x v="3"/>
    <x v="0"/>
    <x v="2"/>
    <n v="-1"/>
    <n v="5"/>
    <m/>
    <x v="1"/>
    <n v="4"/>
    <s v="HH20230409 T3574939817 No Limit Hold'em $0.92 + $0.08.txt"/>
  </r>
  <r>
    <n v="117"/>
    <n v="35.67"/>
    <s v="09.04.2023"/>
    <n v="9"/>
    <x v="3"/>
    <x v="0"/>
    <x v="2"/>
    <n v="-1"/>
    <m/>
    <m/>
    <x v="2"/>
    <n v="-1"/>
    <s v="HH20230409 T3575039894 No Limit Hold'em $0.92 + $0.08.txt"/>
  </r>
  <r>
    <n v="118"/>
    <n v="34.67"/>
    <s v="09.04.2023"/>
    <n v="9"/>
    <x v="3"/>
    <x v="0"/>
    <x v="2"/>
    <n v="-1"/>
    <m/>
    <m/>
    <x v="2"/>
    <n v="-1"/>
    <s v="HH20230409 T3575043252 No Limit Hold'em $0.92 + $0.08.txt"/>
  </r>
  <r>
    <n v="119"/>
    <n v="35.67"/>
    <s v="09.04.2023"/>
    <n v="9"/>
    <x v="3"/>
    <x v="0"/>
    <x v="2"/>
    <n v="-1"/>
    <n v="2"/>
    <m/>
    <x v="1"/>
    <n v="1"/>
    <s v="HH20230409 T3575043817 No Limit Hold'em $0.92 + $0.08.txt"/>
  </r>
  <r>
    <n v="120"/>
    <n v="34.67"/>
    <s v="09.04.2023"/>
    <n v="9"/>
    <x v="3"/>
    <x v="0"/>
    <x v="2"/>
    <n v="-1"/>
    <m/>
    <m/>
    <x v="2"/>
    <n v="-1"/>
    <s v="HH20230409 T3575045599 No Limit Hold'em $0.92 + $0.08.txt"/>
  </r>
  <r>
    <n v="121"/>
    <n v="33.67"/>
    <s v="09.04.2023"/>
    <n v="9"/>
    <x v="3"/>
    <x v="0"/>
    <x v="2"/>
    <n v="-1"/>
    <m/>
    <m/>
    <x v="2"/>
    <n v="-1"/>
    <s v="HH20230409 T3575047269 No Limit Hold'em $0.92 + $0.08.txt"/>
  </r>
  <r>
    <n v="122"/>
    <n v="32.67"/>
    <s v="09.04.2023"/>
    <n v="9"/>
    <x v="3"/>
    <x v="0"/>
    <x v="2"/>
    <n v="-1"/>
    <m/>
    <m/>
    <x v="2"/>
    <n v="-1"/>
    <s v="HH20230409 T3575047730 No Limit Hold'em $0.92 + $0.08.txt"/>
  </r>
  <r>
    <n v="123"/>
    <n v="34.67"/>
    <s v="09.04.2023"/>
    <n v="9"/>
    <x v="3"/>
    <x v="0"/>
    <x v="2"/>
    <n v="-1"/>
    <n v="3"/>
    <m/>
    <x v="1"/>
    <n v="2"/>
    <s v="HH20230409 T3575049778 No Limit Hold'em $0.92 + $0.08.txt"/>
  </r>
  <r>
    <n v="124"/>
    <n v="36.67"/>
    <s v="09.04.2023"/>
    <n v="9"/>
    <x v="3"/>
    <x v="0"/>
    <x v="2"/>
    <n v="-1"/>
    <n v="3"/>
    <m/>
    <x v="1"/>
    <n v="2"/>
    <s v="HH20230409 T3575053497 No Limit Hold'em $0.92 + $0.08.txt"/>
  </r>
  <r>
    <n v="125"/>
    <n v="35.67"/>
    <s v="09.04.2023"/>
    <n v="9"/>
    <x v="3"/>
    <x v="0"/>
    <x v="2"/>
    <n v="-1"/>
    <m/>
    <m/>
    <x v="2"/>
    <n v="-1"/>
    <s v="HH20230409 T3575057486 No Limit Hold'em $0.92 + $0.08.txt"/>
  </r>
  <r>
    <n v="126"/>
    <n v="34.67"/>
    <s v="09.04.2023"/>
    <n v="9"/>
    <x v="3"/>
    <x v="0"/>
    <x v="2"/>
    <n v="-1"/>
    <m/>
    <m/>
    <x v="2"/>
    <n v="-1"/>
    <s v="HH20230409 T3575060837 No Limit Hold'em $0.92 + $0.08.txt"/>
  </r>
  <r>
    <n v="127"/>
    <n v="36.67"/>
    <s v="09.04.2023"/>
    <n v="9"/>
    <x v="3"/>
    <x v="0"/>
    <x v="2"/>
    <n v="-1"/>
    <n v="3"/>
    <m/>
    <x v="1"/>
    <n v="2"/>
    <s v="HH20230409 T3575061640 No Limit Hold'em $0.92 + $0.08.txt"/>
  </r>
  <r>
    <n v="128"/>
    <n v="35.67"/>
    <s v="09.04.2023"/>
    <n v="9"/>
    <x v="3"/>
    <x v="0"/>
    <x v="2"/>
    <n v="-1"/>
    <m/>
    <m/>
    <x v="2"/>
    <n v="-1"/>
    <s v="HH20230409 T3575065398 No Limit Hold'em $0.92 + $0.08.txt"/>
  </r>
  <r>
    <n v="129"/>
    <n v="34.67"/>
    <s v="09.04.2023"/>
    <n v="9"/>
    <x v="3"/>
    <x v="0"/>
    <x v="2"/>
    <n v="-1"/>
    <m/>
    <m/>
    <x v="2"/>
    <n v="-1"/>
    <s v="HH20230409 T3575066120 No Limit Hold'em $0.92 + $0.08.txt"/>
  </r>
  <r>
    <n v="130"/>
    <n v="33.67"/>
    <s v="09.04.2023"/>
    <n v="9"/>
    <x v="3"/>
    <x v="0"/>
    <x v="2"/>
    <n v="-1"/>
    <m/>
    <m/>
    <x v="2"/>
    <n v="-1"/>
    <s v="HH20230409 T3575122735 No Limit Hold'em $0.92 + $0.08.txt"/>
  </r>
  <r>
    <n v="131"/>
    <n v="34.67"/>
    <s v="09.04.2023"/>
    <n v="9"/>
    <x v="3"/>
    <x v="0"/>
    <x v="2"/>
    <n v="-1"/>
    <n v="2"/>
    <m/>
    <x v="1"/>
    <n v="1"/>
    <s v="HH20230409 T3575124071 No Limit Hold'em $0.92 + $0.08.txt"/>
  </r>
  <r>
    <n v="132"/>
    <n v="23.67"/>
    <s v="09.04.2023"/>
    <n v="9"/>
    <x v="3"/>
    <x v="0"/>
    <x v="5"/>
    <n v="-11"/>
    <m/>
    <m/>
    <x v="2"/>
    <n v="-1"/>
    <s v="HH20230409 T3570122658 No Limit Hold'em $9.80 + $1.20.txt"/>
  </r>
  <r>
    <n v="133"/>
    <n v="22.67"/>
    <s v="09.04.2023"/>
    <n v="9"/>
    <x v="3"/>
    <x v="0"/>
    <x v="2"/>
    <n v="-1"/>
    <m/>
    <m/>
    <x v="2"/>
    <n v="-1"/>
    <s v="HH20230409 T3575128108 No Limit Hold'em $0.92 + $0.08.txt"/>
  </r>
  <r>
    <n v="134"/>
    <n v="23.67"/>
    <s v="09.04.2023"/>
    <n v="9"/>
    <x v="3"/>
    <x v="0"/>
    <x v="2"/>
    <n v="-1"/>
    <n v="2"/>
    <m/>
    <x v="1"/>
    <n v="1"/>
    <s v="HH20230409 T3575129014 No Limit Hold'em $0.92 + $0.08.txt"/>
  </r>
  <r>
    <n v="135"/>
    <n v="25.67"/>
    <s v="09.04.2023"/>
    <n v="9"/>
    <x v="3"/>
    <x v="0"/>
    <x v="2"/>
    <n v="-1"/>
    <n v="3"/>
    <m/>
    <x v="1"/>
    <n v="2"/>
    <s v="HH20230409 T3575172885 No Limit Hold'em $0.92 + $0.08.txt"/>
  </r>
  <r>
    <n v="136"/>
    <n v="24.67"/>
    <s v="09.04.2023"/>
    <n v="9"/>
    <x v="3"/>
    <x v="0"/>
    <x v="2"/>
    <n v="-1"/>
    <m/>
    <m/>
    <x v="2"/>
    <n v="-1"/>
    <s v="HH20230409 T3575175597 No Limit Hold'em $0.92 + $0.08.txt"/>
  </r>
  <r>
    <n v="137"/>
    <n v="25.67"/>
    <s v="09.04.2023"/>
    <n v="9"/>
    <x v="3"/>
    <x v="0"/>
    <x v="2"/>
    <n v="-1"/>
    <n v="2"/>
    <m/>
    <x v="1"/>
    <n v="1"/>
    <s v="HH20230409 T3575179796 No Limit Hold'em $0.92 + $0.08.txt"/>
  </r>
  <r>
    <n v="138"/>
    <n v="24.67"/>
    <s v="09.04.2023"/>
    <n v="9"/>
    <x v="3"/>
    <x v="0"/>
    <x v="2"/>
    <n v="-1"/>
    <m/>
    <m/>
    <x v="2"/>
    <n v="-1"/>
    <s v="HH20230409 T3575182481 No Limit Hold'em $0.92 + $0.08.txt"/>
  </r>
  <r>
    <n v="139"/>
    <n v="23.67"/>
    <s v="09.04.2023"/>
    <n v="9"/>
    <x v="3"/>
    <x v="0"/>
    <x v="2"/>
    <n v="-1"/>
    <m/>
    <m/>
    <x v="2"/>
    <n v="-1"/>
    <s v="HH20230409 T3575184181 No Limit Hold'em $0.92 + $0.08.txt"/>
  </r>
  <r>
    <n v="140"/>
    <n v="24.67"/>
    <s v="09.04.2023"/>
    <n v="9"/>
    <x v="3"/>
    <x v="0"/>
    <x v="2"/>
    <n v="-1"/>
    <n v="2"/>
    <m/>
    <x v="1"/>
    <n v="1"/>
    <s v="HH20230409 T3575190285 No Limit Hold'em $0.92 + $0.08.txt"/>
  </r>
  <r>
    <n v="141"/>
    <n v="23.67"/>
    <s v="09.04.2023"/>
    <n v="9"/>
    <x v="3"/>
    <x v="0"/>
    <x v="2"/>
    <n v="-1"/>
    <m/>
    <m/>
    <x v="2"/>
    <n v="-1"/>
    <s v="HH20230409 T3575195220 No Limit Hold'em $0.92 + $0.08.txt"/>
  </r>
  <r>
    <n v="142"/>
    <n v="22.67"/>
    <s v="09.04.2023"/>
    <n v="9"/>
    <x v="3"/>
    <x v="0"/>
    <x v="2"/>
    <n v="-1"/>
    <m/>
    <m/>
    <x v="2"/>
    <n v="-1"/>
    <s v="HH20230409 T3575196723 No Limit Hold'em $0.92 + $0.08.txt"/>
  </r>
  <r>
    <n v="143"/>
    <n v="21.67"/>
    <s v="09.04.2023"/>
    <n v="9"/>
    <x v="3"/>
    <x v="0"/>
    <x v="2"/>
    <n v="-1"/>
    <m/>
    <m/>
    <x v="2"/>
    <n v="-1"/>
    <s v="HH20230409 T3575201830 No Limit Hold'em $0.92 + $0.08.txt"/>
  </r>
  <r>
    <n v="144"/>
    <n v="20.67"/>
    <s v="09.04.2023"/>
    <n v="9"/>
    <x v="3"/>
    <x v="0"/>
    <x v="2"/>
    <n v="-1"/>
    <m/>
    <m/>
    <x v="2"/>
    <n v="-1"/>
    <s v="HH20230409 T3575203297 No Limit Hold'em $0.92 + $0.08.txt"/>
  </r>
  <r>
    <n v="145"/>
    <n v="19.670000000000002"/>
    <s v="09.04.2023"/>
    <n v="9"/>
    <x v="3"/>
    <x v="0"/>
    <x v="2"/>
    <n v="-1"/>
    <m/>
    <m/>
    <x v="2"/>
    <n v="-1"/>
    <s v="HH20230409 T3575204657 No Limit Hold'em $0.92 + $0.08.txt"/>
  </r>
  <r>
    <n v="146"/>
    <n v="23.67"/>
    <s v="09.04.2023"/>
    <n v="9"/>
    <x v="3"/>
    <x v="0"/>
    <x v="2"/>
    <n v="-1"/>
    <n v="5"/>
    <m/>
    <x v="1"/>
    <n v="4"/>
    <s v="HH20230409 T3575207772 No Limit Hold'em $0.92 + $0.08.txt"/>
  </r>
  <r>
    <n v="147"/>
    <n v="22.67"/>
    <s v="09.04.2023"/>
    <n v="9"/>
    <x v="3"/>
    <x v="0"/>
    <x v="2"/>
    <n v="-1"/>
    <m/>
    <m/>
    <x v="2"/>
    <n v="-1"/>
    <s v="HH20230409 T3575213949 No Limit Hold'em $0.92 + $0.08.txt"/>
  </r>
  <r>
    <n v="148"/>
    <n v="23.67"/>
    <s v="09.04.2023"/>
    <n v="9"/>
    <x v="3"/>
    <x v="0"/>
    <x v="2"/>
    <n v="-1"/>
    <n v="2"/>
    <m/>
    <x v="1"/>
    <n v="1"/>
    <s v="HH20230409 T3575214667 No Limit Hold'em $0.92 + $0.08.txt"/>
  </r>
  <r>
    <n v="149"/>
    <n v="22.67"/>
    <s v="09.04.2023"/>
    <n v="9"/>
    <x v="3"/>
    <x v="0"/>
    <x v="2"/>
    <n v="-1"/>
    <m/>
    <m/>
    <x v="2"/>
    <n v="-1"/>
    <s v="HH20230409 T3575219741 No Limit Hold'em $0.92 + $0.08.txt"/>
  </r>
  <r>
    <n v="150"/>
    <n v="21.67"/>
    <s v="09.04.2023"/>
    <n v="9"/>
    <x v="3"/>
    <x v="0"/>
    <x v="2"/>
    <n v="-1"/>
    <m/>
    <m/>
    <x v="2"/>
    <n v="-1"/>
    <s v="HH20230409 T3575224864 No Limit Hold'em $0.92 + $0.08.txt"/>
  </r>
  <r>
    <n v="151"/>
    <n v="20.67"/>
    <s v="09.04.2023"/>
    <n v="9"/>
    <x v="3"/>
    <x v="0"/>
    <x v="2"/>
    <n v="-1"/>
    <m/>
    <m/>
    <x v="2"/>
    <n v="-1"/>
    <s v="HH20230409 T3575225954 No Limit Hold'em $0.92 + $0.08.txt"/>
  </r>
  <r>
    <n v="152"/>
    <n v="24.67"/>
    <s v="09.04.2023"/>
    <n v="9"/>
    <x v="3"/>
    <x v="0"/>
    <x v="2"/>
    <n v="-1"/>
    <n v="5"/>
    <m/>
    <x v="1"/>
    <n v="4"/>
    <s v="HH20230409 T3575227909 No Limit Hold'em $0.92 + $0.08.txt"/>
  </r>
  <r>
    <n v="153"/>
    <n v="23.67"/>
    <s v="09.04.2023"/>
    <n v="9"/>
    <x v="3"/>
    <x v="0"/>
    <x v="2"/>
    <n v="-1"/>
    <m/>
    <m/>
    <x v="2"/>
    <n v="-1"/>
    <s v="HH20230409 T3575235683 No Limit Hold'em $0.92 + $0.08.txt"/>
  </r>
  <r>
    <n v="154"/>
    <n v="24.67"/>
    <s v="09.04.2023"/>
    <n v="9"/>
    <x v="3"/>
    <x v="0"/>
    <x v="2"/>
    <n v="-1"/>
    <n v="2"/>
    <m/>
    <x v="1"/>
    <n v="1"/>
    <s v="HH20230409 T3575239116 No Limit Hold'em $0.92 + $0.08.txt"/>
  </r>
  <r>
    <n v="155"/>
    <n v="28.67"/>
    <s v="10.04.2023"/>
    <n v="10"/>
    <x v="3"/>
    <x v="0"/>
    <x v="2"/>
    <n v="-1"/>
    <n v="5"/>
    <m/>
    <x v="1"/>
    <n v="4"/>
    <s v="HH20230409 T3575246182 No Limit Hold'em $0.92 + $0.08.txt"/>
  </r>
  <r>
    <n v="156"/>
    <n v="29.67"/>
    <s v="10.04.2023"/>
    <n v="10"/>
    <x v="3"/>
    <x v="0"/>
    <x v="2"/>
    <n v="-1"/>
    <n v="2"/>
    <m/>
    <x v="1"/>
    <n v="1"/>
    <s v="HH20230409 T3575262478 No Limit Hold'em $0.92 + $0.08.txt"/>
  </r>
  <r>
    <n v="157"/>
    <n v="28.67"/>
    <s v="10.04.2023"/>
    <n v="10"/>
    <x v="3"/>
    <x v="0"/>
    <x v="2"/>
    <n v="-1"/>
    <m/>
    <m/>
    <x v="2"/>
    <n v="-1"/>
    <s v="HH20230409 T3575267487 No Limit Hold'em $0.92 + $0.08.txt"/>
  </r>
  <r>
    <n v="158"/>
    <n v="27.67"/>
    <s v="10.04.2023"/>
    <n v="10"/>
    <x v="3"/>
    <x v="0"/>
    <x v="2"/>
    <n v="-1"/>
    <m/>
    <m/>
    <x v="2"/>
    <n v="-1"/>
    <s v="HH20230409 T3575272421 No Limit Hold'em $0.92 + $0.08.txt"/>
  </r>
  <r>
    <n v="159"/>
    <n v="29.67"/>
    <s v="10.04.2023"/>
    <n v="10"/>
    <x v="3"/>
    <x v="0"/>
    <x v="2"/>
    <n v="-1"/>
    <n v="3"/>
    <m/>
    <x v="1"/>
    <n v="2"/>
    <s v="HH20230409 T3575273976 No Limit Hold'em $0.92 + $0.08.txt"/>
  </r>
  <r>
    <n v="160"/>
    <n v="28.67"/>
    <s v="10.04.2023"/>
    <n v="10"/>
    <x v="3"/>
    <x v="0"/>
    <x v="2"/>
    <n v="-1"/>
    <m/>
    <m/>
    <x v="2"/>
    <n v="-1"/>
    <s v="HH20230409 T3575276855 No Limit Hold'em $0.92 + $0.08.txt"/>
  </r>
  <r>
    <n v="161"/>
    <n v="27.67"/>
    <s v="10.04.2023"/>
    <n v="10"/>
    <x v="3"/>
    <x v="0"/>
    <x v="2"/>
    <n v="-1"/>
    <m/>
    <m/>
    <x v="2"/>
    <n v="-1"/>
    <s v="HH20230409 T3575281127 No Limit Hold'em $0.92 + $0.08.txt"/>
  </r>
  <r>
    <n v="162"/>
    <n v="26.67"/>
    <s v="10.04.2023"/>
    <n v="10"/>
    <x v="3"/>
    <x v="0"/>
    <x v="2"/>
    <n v="-1"/>
    <m/>
    <m/>
    <x v="2"/>
    <n v="-1"/>
    <s v="HH20230409 T3575284750 No Limit Hold'em $0.92 + $0.08.txt"/>
  </r>
  <r>
    <n v="163"/>
    <n v="25.67"/>
    <s v="10.04.2023"/>
    <n v="10"/>
    <x v="3"/>
    <x v="0"/>
    <x v="2"/>
    <n v="-1"/>
    <m/>
    <m/>
    <x v="2"/>
    <n v="-1"/>
    <s v="HH20230409 T3575285359 No Limit Hold'em $0.92 + $0.08.txt"/>
  </r>
  <r>
    <n v="164"/>
    <n v="27.67"/>
    <s v="10.04.2023"/>
    <n v="10"/>
    <x v="3"/>
    <x v="0"/>
    <x v="2"/>
    <n v="-1"/>
    <n v="3"/>
    <m/>
    <x v="1"/>
    <n v="2"/>
    <s v="HH20230410 T3575502365 No Limit Hold'em $0.92 + $0.08.txt"/>
  </r>
  <r>
    <n v="165"/>
    <n v="25.470000000000002"/>
    <s v="10.04.2023"/>
    <n v="10"/>
    <x v="3"/>
    <x v="0"/>
    <x v="3"/>
    <n v="-2.2000000000000002"/>
    <m/>
    <m/>
    <x v="2"/>
    <n v="-1"/>
    <s v="NA"/>
  </r>
  <r>
    <n v="166"/>
    <n v="24.470000000000002"/>
    <s v="10.04.2023"/>
    <n v="10"/>
    <x v="3"/>
    <x v="0"/>
    <x v="2"/>
    <n v="-1"/>
    <m/>
    <m/>
    <x v="2"/>
    <n v="-1"/>
    <s v="HH20230410 T3575514756 No Limit Hold'em $0.92 + $0.08.txt"/>
  </r>
  <r>
    <n v="167"/>
    <n v="26.470000000000002"/>
    <s v="10.04.2023"/>
    <n v="10"/>
    <x v="3"/>
    <x v="0"/>
    <x v="2"/>
    <n v="-1"/>
    <n v="3"/>
    <m/>
    <x v="1"/>
    <n v="2"/>
    <s v="HH20230410 T3575517703 No Limit Hold'em $0.92 + $0.08.txt"/>
  </r>
  <r>
    <n v="168"/>
    <n v="16.470000000000002"/>
    <s v="10.04.2023"/>
    <n v="10"/>
    <x v="3"/>
    <x v="0"/>
    <x v="2"/>
    <n v="-10"/>
    <m/>
    <m/>
    <x v="2"/>
    <n v="-1"/>
    <s v="HH20230410 T3575522502 No Limit Hold'em $9.30 + $0.70.txt"/>
  </r>
  <r>
    <n v="169"/>
    <n v="15.470000000000002"/>
    <s v="10.04.2023"/>
    <n v="10"/>
    <x v="3"/>
    <x v="0"/>
    <x v="2"/>
    <n v="-1"/>
    <m/>
    <m/>
    <x v="2"/>
    <n v="-1"/>
    <s v="HH20230410 T3575524016 No Limit Hold'em $0.92 + $0.08.txt"/>
  </r>
  <r>
    <n v="170"/>
    <n v="14.470000000000002"/>
    <s v="10.04.2023"/>
    <n v="10"/>
    <x v="3"/>
    <x v="0"/>
    <x v="2"/>
    <n v="-1"/>
    <m/>
    <m/>
    <x v="2"/>
    <n v="-1"/>
    <s v="HH20230410 T3575525348 No Limit Hold'em $0.92 + $0.08.txt"/>
  </r>
  <r>
    <n v="171"/>
    <n v="24.470000000000002"/>
    <s v="10.04.2023"/>
    <n v="10"/>
    <x v="3"/>
    <x v="0"/>
    <x v="6"/>
    <m/>
    <n v="10"/>
    <m/>
    <x v="1"/>
    <m/>
    <m/>
  </r>
  <r>
    <n v="172"/>
    <n v="14.470000000000002"/>
    <s v="10.04.2023"/>
    <n v="10"/>
    <x v="3"/>
    <x v="0"/>
    <x v="2"/>
    <n v="-10"/>
    <m/>
    <m/>
    <x v="2"/>
    <n v="-1"/>
    <s v="HH20230410 T3575531055 No Limit Hold'em $9.30 + $0.70.txt"/>
  </r>
  <r>
    <n v="173"/>
    <n v="4.4700000000000024"/>
    <s v="10.04.2023"/>
    <n v="10"/>
    <x v="3"/>
    <x v="0"/>
    <x v="2"/>
    <n v="-10"/>
    <m/>
    <m/>
    <x v="2"/>
    <n v="-1"/>
    <s v="HH20230410 T3575532193 No Limit Hold'em $9.30 + $0.70.txt"/>
  </r>
  <r>
    <n v="174"/>
    <n v="59.349999999999994"/>
    <s v="10.04.2023"/>
    <n v="10"/>
    <x v="3"/>
    <x v="0"/>
    <x v="1"/>
    <m/>
    <n v="54.879999999999995"/>
    <m/>
    <x v="0"/>
    <m/>
    <m/>
  </r>
  <r>
    <n v="175"/>
    <n v="79.349999999999994"/>
    <s v="10.04.2023"/>
    <n v="10"/>
    <x v="3"/>
    <x v="0"/>
    <x v="2"/>
    <n v="-10"/>
    <n v="30"/>
    <m/>
    <x v="1"/>
    <n v="2"/>
    <s v="HH20230410 T3575538037 No Limit Hold'em $9.30 + $0.70.txt"/>
  </r>
  <r>
    <n v="176"/>
    <n v="81.349999999999994"/>
    <s v="10.04.2023"/>
    <n v="10"/>
    <x v="3"/>
    <x v="0"/>
    <x v="2"/>
    <n v="-1"/>
    <n v="3"/>
    <m/>
    <x v="1"/>
    <n v="2"/>
    <s v="HH20230410 T3575612607 No Limit Hold'em $0.92 + $0.08.txt"/>
  </r>
  <r>
    <n v="177"/>
    <n v="80.349999999999994"/>
    <s v="10.04.2023"/>
    <n v="10"/>
    <x v="3"/>
    <x v="0"/>
    <x v="2"/>
    <n v="-1"/>
    <m/>
    <m/>
    <x v="2"/>
    <n v="-1"/>
    <s v="HH20230410 T3575618681 No Limit Hold'em $0.92 + $0.08.txt"/>
  </r>
  <r>
    <n v="178"/>
    <n v="79.349999999999994"/>
    <s v="10.04.2023"/>
    <n v="10"/>
    <x v="3"/>
    <x v="0"/>
    <x v="2"/>
    <n v="-1"/>
    <m/>
    <m/>
    <x v="2"/>
    <n v="-1"/>
    <s v="HH20230410 T3575624984 No Limit Hold'em $0.92 + $0.08.txt"/>
  </r>
  <r>
    <n v="179"/>
    <n v="78.349999999999994"/>
    <s v="10.04.2023"/>
    <n v="10"/>
    <x v="3"/>
    <x v="0"/>
    <x v="2"/>
    <n v="-1"/>
    <m/>
    <m/>
    <x v="2"/>
    <n v="-1"/>
    <s v="HH20230410 T3575626231 No Limit Hold'em $0.92 + $0.08.txt"/>
  </r>
  <r>
    <n v="180"/>
    <n v="79.349999999999994"/>
    <s v="10.04.2023"/>
    <n v="10"/>
    <x v="3"/>
    <x v="0"/>
    <x v="2"/>
    <n v="-1"/>
    <n v="2"/>
    <m/>
    <x v="1"/>
    <n v="1"/>
    <s v="HH20230410 T3575627142 No Limit Hold'em $0.92 + $0.08.txt"/>
  </r>
  <r>
    <n v="181"/>
    <n v="78.349999999999994"/>
    <s v="10.04.2023"/>
    <n v="10"/>
    <x v="3"/>
    <x v="0"/>
    <x v="2"/>
    <n v="-1"/>
    <m/>
    <m/>
    <x v="2"/>
    <n v="-1"/>
    <s v="HH20230410 T3575629971 No Limit Hold'em $0.92 + $0.08.txt"/>
  </r>
  <r>
    <n v="182"/>
    <n v="77.349999999999994"/>
    <s v="10.04.2023"/>
    <n v="10"/>
    <x v="3"/>
    <x v="0"/>
    <x v="2"/>
    <n v="-1"/>
    <m/>
    <m/>
    <x v="2"/>
    <n v="-1"/>
    <s v="HH20230410 T3575632127 No Limit Hold'em $0.92 + $0.08.txt"/>
  </r>
  <r>
    <n v="183"/>
    <n v="76.349999999999994"/>
    <s v="10.04.2023"/>
    <n v="10"/>
    <x v="3"/>
    <x v="0"/>
    <x v="2"/>
    <n v="-1"/>
    <m/>
    <m/>
    <x v="2"/>
    <n v="-1"/>
    <s v="HH20230410 T3575635434 No Limit Hold'em $0.92 + $0.08.txt"/>
  </r>
  <r>
    <n v="184"/>
    <n v="80.349999999999994"/>
    <s v="10.04.2023"/>
    <n v="10"/>
    <x v="3"/>
    <x v="0"/>
    <x v="2"/>
    <n v="-1"/>
    <n v="5"/>
    <m/>
    <x v="1"/>
    <n v="4"/>
    <s v="HH20230410 T3575640063 No Limit Hold'em $0.92 + $0.08.txt"/>
  </r>
  <r>
    <n v="185"/>
    <n v="90.35"/>
    <s v="10.04.2023"/>
    <n v="10"/>
    <x v="3"/>
    <x v="0"/>
    <x v="2"/>
    <n v="-10"/>
    <n v="20"/>
    <m/>
    <x v="1"/>
    <n v="1"/>
    <s v="HH20230410 T3575644719 No Limit Hold'em $9.30 + $0.70.txt"/>
  </r>
  <r>
    <n v="186"/>
    <n v="35.369999999999997"/>
    <s v="10.04.2023"/>
    <n v="10"/>
    <x v="3"/>
    <x v="0"/>
    <x v="7"/>
    <n v="-54.98"/>
    <m/>
    <m/>
    <x v="0"/>
    <m/>
    <m/>
  </r>
  <r>
    <n v="187"/>
    <n v="36.369999999999997"/>
    <s v="11.04.2023"/>
    <n v="11"/>
    <x v="3"/>
    <x v="0"/>
    <x v="2"/>
    <n v="-1"/>
    <n v="2"/>
    <m/>
    <x v="1"/>
    <n v="1"/>
    <s v="HH20230411 T3576004024 No Limit Hold'em $0.92 + $0.08.txt"/>
  </r>
  <r>
    <n v="188"/>
    <n v="38.369999999999997"/>
    <s v="11.04.2023"/>
    <n v="11"/>
    <x v="3"/>
    <x v="0"/>
    <x v="2"/>
    <n v="-1"/>
    <n v="3"/>
    <m/>
    <x v="1"/>
    <n v="2"/>
    <s v="HH20230411 T3576011279 No Limit Hold'em $0.92 + $0.08.txt"/>
  </r>
  <r>
    <n v="189"/>
    <n v="35.07"/>
    <s v="11.04.2023"/>
    <n v="11"/>
    <x v="3"/>
    <x v="0"/>
    <x v="3"/>
    <n v="-3.3"/>
    <m/>
    <m/>
    <x v="2"/>
    <n v="-1"/>
    <s v="HH20230411 T3573540201 No Limit Hold'em $2.94 + $0.36.txt"/>
  </r>
  <r>
    <n v="190"/>
    <n v="34.07"/>
    <s v="11.04.2023"/>
    <n v="11"/>
    <x v="3"/>
    <x v="0"/>
    <x v="2"/>
    <n v="-1"/>
    <m/>
    <m/>
    <x v="2"/>
    <n v="-1"/>
    <s v="HH20230411 T3576053534 No Limit Hold'em $0.92 + $0.08.txt"/>
  </r>
  <r>
    <n v="191"/>
    <n v="33.07"/>
    <s v="11.04.2023"/>
    <n v="11"/>
    <x v="3"/>
    <x v="0"/>
    <x v="2"/>
    <n v="-1"/>
    <m/>
    <m/>
    <x v="2"/>
    <n v="-1"/>
    <s v="HH20230411 T3576054922 No Limit Hold'em $0.92 + $0.08.txt"/>
  </r>
  <r>
    <n v="192"/>
    <n v="34.07"/>
    <s v="11.04.2023"/>
    <n v="11"/>
    <x v="3"/>
    <x v="0"/>
    <x v="2"/>
    <n v="-1"/>
    <n v="2"/>
    <m/>
    <x v="1"/>
    <n v="1"/>
    <s v="HH20230411 T3576061026 No Limit Hold'em $0.92 + $0.08.txt"/>
  </r>
  <r>
    <n v="193"/>
    <n v="33.07"/>
    <s v="11.04.2023"/>
    <n v="11"/>
    <x v="3"/>
    <x v="0"/>
    <x v="2"/>
    <n v="-1"/>
    <m/>
    <m/>
    <x v="2"/>
    <n v="-1"/>
    <s v="HH20230411 T3576065925 No Limit Hold'em $0.92 + $0.08.txt"/>
  </r>
  <r>
    <n v="194"/>
    <n v="35.07"/>
    <s v="11.04.2023"/>
    <n v="11"/>
    <x v="3"/>
    <x v="0"/>
    <x v="2"/>
    <n v="-1"/>
    <n v="3"/>
    <m/>
    <x v="1"/>
    <n v="2"/>
    <s v="HH20230411 T3576071075 No Limit Hold'em $0.92 + $0.08.txt"/>
  </r>
  <r>
    <n v="195"/>
    <n v="36.07"/>
    <s v="11.04.2023"/>
    <n v="11"/>
    <x v="3"/>
    <x v="0"/>
    <x v="2"/>
    <n v="-1"/>
    <n v="2"/>
    <m/>
    <x v="1"/>
    <n v="1"/>
    <s v="HH20230411 T3576075395 No Limit Hold'em $0.92 + $0.08.txt"/>
  </r>
  <r>
    <n v="196"/>
    <n v="35.07"/>
    <s v="11.04.2023"/>
    <n v="11"/>
    <x v="3"/>
    <x v="0"/>
    <x v="2"/>
    <n v="-1"/>
    <m/>
    <m/>
    <x v="2"/>
    <n v="-1"/>
    <s v="HH20230411 T3576079999 No Limit Hold'em $0.92 + $0.08.txt"/>
  </r>
  <r>
    <n v="197"/>
    <n v="37.07"/>
    <s v="11.04.2023"/>
    <n v="11"/>
    <x v="3"/>
    <x v="0"/>
    <x v="2"/>
    <n v="-1"/>
    <n v="3"/>
    <m/>
    <x v="1"/>
    <n v="2"/>
    <s v="HH20230411 T3576083308 No Limit Hold'em $0.92 + $0.08.txt"/>
  </r>
  <r>
    <n v="198"/>
    <n v="36.07"/>
    <s v="11.04.2023"/>
    <n v="11"/>
    <x v="3"/>
    <x v="0"/>
    <x v="2"/>
    <n v="-1"/>
    <m/>
    <m/>
    <x v="2"/>
    <n v="-1"/>
    <s v="HH20230411 T3576090803 No Limit Hold'em $0.92 + $0.08.txt"/>
  </r>
  <r>
    <n v="199"/>
    <n v="38.07"/>
    <s v="11.04.2023"/>
    <n v="11"/>
    <x v="3"/>
    <x v="0"/>
    <x v="2"/>
    <n v="-1"/>
    <n v="3"/>
    <m/>
    <x v="1"/>
    <n v="2"/>
    <s v="HH20230411 T3576094576 No Limit Hold'em $0.92 + $0.08.txt"/>
  </r>
  <r>
    <n v="200"/>
    <n v="37.07"/>
    <s v="11.04.2023"/>
    <n v="11"/>
    <x v="3"/>
    <x v="0"/>
    <x v="2"/>
    <n v="-1"/>
    <m/>
    <m/>
    <x v="2"/>
    <n v="-1"/>
    <s v="HH20230411 T3576097103 No Limit Hold'em $0.92 + $0.08.txt"/>
  </r>
  <r>
    <n v="201"/>
    <n v="36.07"/>
    <s v="12.04.2023"/>
    <n v="12"/>
    <x v="3"/>
    <x v="0"/>
    <x v="2"/>
    <n v="-1"/>
    <m/>
    <m/>
    <x v="2"/>
    <n v="-1"/>
    <s v="HH20230412 T3576298799 No Limit Hold'em $0.92 + $0.08.txt"/>
  </r>
  <r>
    <n v="202"/>
    <n v="37.07"/>
    <s v="12.04.2023"/>
    <n v="12"/>
    <x v="3"/>
    <x v="0"/>
    <x v="2"/>
    <n v="-1"/>
    <n v="2"/>
    <m/>
    <x v="1"/>
    <n v="1"/>
    <s v="HH20230412 T3576299607 No Limit Hold'em $0.92 + $0.08.txt"/>
  </r>
  <r>
    <n v="203"/>
    <n v="36.07"/>
    <s v="12.04.2023"/>
    <n v="12"/>
    <x v="3"/>
    <x v="0"/>
    <x v="2"/>
    <n v="-1"/>
    <m/>
    <m/>
    <x v="2"/>
    <n v="-1"/>
    <s v="HH20230412 T3576300523 No Limit Hold'em $0.92 + $0.08.txt"/>
  </r>
  <r>
    <n v="204"/>
    <n v="37.07"/>
    <s v="12.04.2023"/>
    <n v="12"/>
    <x v="3"/>
    <x v="0"/>
    <x v="2"/>
    <n v="-1"/>
    <n v="2"/>
    <m/>
    <x v="1"/>
    <n v="1"/>
    <s v="HH20230412 T3576301198 No Limit Hold'em $0.92 + $0.08.txt"/>
  </r>
  <r>
    <n v="205"/>
    <n v="39.07"/>
    <s v="12.04.2023"/>
    <n v="12"/>
    <x v="3"/>
    <x v="0"/>
    <x v="2"/>
    <n v="-1"/>
    <n v="3"/>
    <m/>
    <x v="1"/>
    <n v="2"/>
    <s v="HH20230412 T3576302518 No Limit Hold'em $0.92 + $0.08.txt"/>
  </r>
  <r>
    <n v="206"/>
    <n v="38.07"/>
    <s v="12.04.2023"/>
    <n v="12"/>
    <x v="3"/>
    <x v="0"/>
    <x v="2"/>
    <n v="-1"/>
    <m/>
    <m/>
    <x v="2"/>
    <n v="-1"/>
    <s v="HH20230412 T3576348001 No Limit Hold'em $0.92 + $0.08.txt"/>
  </r>
  <r>
    <n v="207"/>
    <n v="39.07"/>
    <s v="12.04.2023"/>
    <n v="12"/>
    <x v="3"/>
    <x v="0"/>
    <x v="2"/>
    <n v="-1"/>
    <n v="2"/>
    <m/>
    <x v="1"/>
    <n v="1"/>
    <s v="HH20230412 T3576349322 No Limit Hold'em $0.92 + $0.08.txt"/>
  </r>
  <r>
    <n v="208"/>
    <n v="40.07"/>
    <s v="12.04.2023"/>
    <n v="12"/>
    <x v="3"/>
    <x v="0"/>
    <x v="2"/>
    <n v="-1"/>
    <n v="2"/>
    <m/>
    <x v="1"/>
    <n v="1"/>
    <s v="HH20230412 T3576350638 No Limit Hold'em $0.92 + $0.08.txt"/>
  </r>
  <r>
    <n v="209"/>
    <n v="39.07"/>
    <s v="12.04.2023"/>
    <n v="12"/>
    <x v="3"/>
    <x v="0"/>
    <x v="2"/>
    <n v="-1"/>
    <m/>
    <m/>
    <x v="2"/>
    <n v="-1"/>
    <s v="HH20230412 T3576354261 No Limit Hold'em $0.92 + $0.08.txt"/>
  </r>
  <r>
    <n v="210"/>
    <n v="41.07"/>
    <s v="12.04.2023"/>
    <n v="12"/>
    <x v="3"/>
    <x v="0"/>
    <x v="2"/>
    <n v="-1"/>
    <n v="3"/>
    <m/>
    <x v="1"/>
    <n v="2"/>
    <s v="HH20230412 T3576355702 No Limit Hold'em $0.92 + $0.08.txt"/>
  </r>
  <r>
    <n v="211"/>
    <n v="43.07"/>
    <s v="12.04.2023"/>
    <n v="12"/>
    <x v="3"/>
    <x v="0"/>
    <x v="2"/>
    <n v="-1"/>
    <n v="3"/>
    <m/>
    <x v="1"/>
    <n v="2"/>
    <s v="HH20230412 T3576400579 No Limit Hold'em $0.92 + $0.08.txt"/>
  </r>
  <r>
    <n v="212"/>
    <n v="42.07"/>
    <s v="12.04.2023"/>
    <n v="12"/>
    <x v="3"/>
    <x v="0"/>
    <x v="2"/>
    <n v="-1"/>
    <m/>
    <m/>
    <x v="2"/>
    <n v="-1"/>
    <s v="HH20230412 T3576403974 No Limit Hold'em $0.92 + $0.08.txt"/>
  </r>
  <r>
    <n v="213"/>
    <n v="41.07"/>
    <s v="12.04.2023"/>
    <n v="12"/>
    <x v="3"/>
    <x v="0"/>
    <x v="2"/>
    <n v="-1"/>
    <m/>
    <m/>
    <x v="2"/>
    <n v="-1"/>
    <s v="HH20230412 T3576408560 No Limit Hold'em $0.92 + $0.08.txt"/>
  </r>
  <r>
    <n v="214"/>
    <n v="40.07"/>
    <s v="12.04.2023"/>
    <n v="12"/>
    <x v="3"/>
    <x v="0"/>
    <x v="2"/>
    <n v="-1"/>
    <m/>
    <m/>
    <x v="2"/>
    <n v="-1"/>
    <s v="HH20230412 T3576412523 No Limit Hold'em $0.92 + $0.08.txt"/>
  </r>
  <r>
    <n v="215"/>
    <n v="41.07"/>
    <s v="12.04.2023"/>
    <n v="12"/>
    <x v="3"/>
    <x v="0"/>
    <x v="2"/>
    <n v="-1"/>
    <n v="2"/>
    <m/>
    <x v="1"/>
    <n v="1"/>
    <s v="HH20230412 T3576412972 No Limit Hold'em $0.92 + $0.08.txt"/>
  </r>
  <r>
    <n v="216"/>
    <n v="43.07"/>
    <s v="12.04.2023"/>
    <n v="12"/>
    <x v="3"/>
    <x v="0"/>
    <x v="2"/>
    <n v="-1"/>
    <n v="3"/>
    <m/>
    <x v="1"/>
    <n v="2"/>
    <s v="HH20230412 T3576415307 No Limit Hold'em $0.92 + $0.08.txt"/>
  </r>
  <r>
    <n v="217"/>
    <n v="42.07"/>
    <s v="12.04.2023"/>
    <n v="12"/>
    <x v="3"/>
    <x v="0"/>
    <x v="2"/>
    <n v="-1"/>
    <m/>
    <m/>
    <x v="2"/>
    <n v="-1"/>
    <s v="HH20230412 T3576436410 No Limit Hold'em $0.92 + $0.08.txt"/>
  </r>
  <r>
    <n v="218"/>
    <n v="43.07"/>
    <s v="12.04.2023"/>
    <n v="12"/>
    <x v="3"/>
    <x v="0"/>
    <x v="2"/>
    <n v="-1"/>
    <n v="2"/>
    <m/>
    <x v="1"/>
    <n v="1"/>
    <s v="HH20230412 T3576438147 No Limit Hold'em $0.92 + $0.08.txt"/>
  </r>
  <r>
    <n v="219"/>
    <n v="42.07"/>
    <s v="12.04.2023"/>
    <n v="12"/>
    <x v="3"/>
    <x v="0"/>
    <x v="2"/>
    <n v="-1"/>
    <m/>
    <m/>
    <x v="2"/>
    <n v="-1"/>
    <s v="HH20230412 T3576440772 No Limit Hold'em $0.92 + $0.08.txt"/>
  </r>
  <r>
    <n v="220"/>
    <n v="44.07"/>
    <s v="12.04.2023"/>
    <n v="12"/>
    <x v="3"/>
    <x v="0"/>
    <x v="2"/>
    <n v="-1"/>
    <n v="3"/>
    <m/>
    <x v="1"/>
    <n v="2"/>
    <s v="HH20230412 T3576442221 No Limit Hold'em $0.92 + $0.08.txt"/>
  </r>
  <r>
    <n v="221"/>
    <n v="47.29"/>
    <s v="12.04.2023"/>
    <n v="12"/>
    <x v="3"/>
    <x v="0"/>
    <x v="3"/>
    <n v="-4.4000000000000004"/>
    <n v="5.62"/>
    <n v="2"/>
    <x v="1"/>
    <n v="0.7318181818181817"/>
    <s v="HH20230412 T3573540187 No Limit Hold'em $3.92 + $0.48.txt"/>
  </r>
  <r>
    <n v="222"/>
    <n v="49.29"/>
    <s v="13.04.2023"/>
    <n v="13"/>
    <x v="3"/>
    <x v="0"/>
    <x v="2"/>
    <n v="-1"/>
    <n v="3"/>
    <m/>
    <x v="1"/>
    <n v="2"/>
    <s v="HH20230413 T3576997735 No Limit Hold'em $0.92 + $0.08.txt"/>
  </r>
  <r>
    <n v="223"/>
    <n v="48.29"/>
    <s v="13.04.2023"/>
    <n v="13"/>
    <x v="3"/>
    <x v="0"/>
    <x v="2"/>
    <n v="-1"/>
    <m/>
    <m/>
    <x v="2"/>
    <n v="-1"/>
    <s v="HH20230413 T3577001321 No Limit Hold'em $0.92 + $0.08.txt"/>
  </r>
  <r>
    <n v="224"/>
    <n v="47.29"/>
    <s v="13.04.2023"/>
    <n v="13"/>
    <x v="3"/>
    <x v="0"/>
    <x v="2"/>
    <n v="-1"/>
    <m/>
    <m/>
    <x v="2"/>
    <n v="-1"/>
    <s v="HH20230413 T3577004723 No Limit Hold'em $0.92 + $0.08.txt"/>
  </r>
  <r>
    <n v="225"/>
    <n v="46.29"/>
    <s v="13.04.2023"/>
    <n v="13"/>
    <x v="3"/>
    <x v="0"/>
    <x v="2"/>
    <n v="-1"/>
    <m/>
    <m/>
    <x v="2"/>
    <n v="-1"/>
    <s v="HH20230413 T3577008386 No Limit Hold'em $0.92 + $0.08.txt"/>
  </r>
  <r>
    <n v="226"/>
    <n v="45.29"/>
    <s v="13.04.2023"/>
    <n v="13"/>
    <x v="3"/>
    <x v="0"/>
    <x v="2"/>
    <n v="-1"/>
    <m/>
    <m/>
    <x v="2"/>
    <n v="-1"/>
    <s v="HH20230413 T3577010021 No Limit Hold'em $0.92 + $0.08.txt"/>
  </r>
  <r>
    <n v="227"/>
    <n v="48.39"/>
    <s v="15.04.2023"/>
    <n v="15"/>
    <x v="3"/>
    <x v="0"/>
    <x v="3"/>
    <n v="-4.4000000000000004"/>
    <m/>
    <n v="7.5"/>
    <x v="2"/>
    <n v="0.70454545454545436"/>
    <s v="HH20230415 T3575889580 No Limit Hold'em $3.92 + $0.48.txt"/>
  </r>
  <r>
    <n v="228"/>
    <n v="49.39"/>
    <s v="15.04.2023"/>
    <n v="15"/>
    <x v="3"/>
    <x v="0"/>
    <x v="2"/>
    <n v="-1"/>
    <n v="2"/>
    <m/>
    <x v="1"/>
    <n v="1"/>
    <s v="HH20230415 T3578019580 No Limit Hold'em $0.92 + $0.08.txt"/>
  </r>
  <r>
    <n v="229"/>
    <n v="48.39"/>
    <s v="15.04.2023"/>
    <n v="15"/>
    <x v="3"/>
    <x v="0"/>
    <x v="2"/>
    <n v="-1"/>
    <m/>
    <m/>
    <x v="2"/>
    <n v="-1"/>
    <s v="HH20230415 T3578023214 No Limit Hold'em $0.92 + $0.08.txt"/>
  </r>
  <r>
    <n v="230"/>
    <n v="47.39"/>
    <s v="15.04.2023"/>
    <n v="15"/>
    <x v="3"/>
    <x v="0"/>
    <x v="2"/>
    <n v="-1"/>
    <m/>
    <m/>
    <x v="2"/>
    <n v="-1"/>
    <s v="HH20230415 T3578027207 No Limit Hold'em $0.92 + $0.08.txt"/>
  </r>
  <r>
    <n v="231"/>
    <n v="46.39"/>
    <s v="15.04.2023"/>
    <n v="15"/>
    <x v="3"/>
    <x v="0"/>
    <x v="2"/>
    <n v="-1"/>
    <m/>
    <m/>
    <x v="2"/>
    <n v="-1"/>
    <s v="HH20230415 T3578028169 No Limit Hold'em $0.92 + $0.08.txt"/>
  </r>
  <r>
    <n v="232"/>
    <n v="45.39"/>
    <s v="15.04.2023"/>
    <n v="15"/>
    <x v="3"/>
    <x v="0"/>
    <x v="2"/>
    <n v="-1"/>
    <m/>
    <m/>
    <x v="2"/>
    <n v="-1"/>
    <s v="HH20230415 T3578034062 No Limit Hold'em $0.92 + $0.08.txt"/>
  </r>
  <r>
    <n v="233"/>
    <n v="44.39"/>
    <s v="16.04.2023"/>
    <n v="16"/>
    <x v="3"/>
    <x v="0"/>
    <x v="2"/>
    <n v="-1"/>
    <m/>
    <m/>
    <x v="2"/>
    <n v="-1"/>
    <s v="HH20230416 T3578271300 No Limit Hold'em $0.92 + $0.08.txt"/>
  </r>
  <r>
    <n v="234"/>
    <n v="45.39"/>
    <s v="16.04.2023"/>
    <n v="16"/>
    <x v="3"/>
    <x v="0"/>
    <x v="2"/>
    <n v="-1"/>
    <n v="2"/>
    <m/>
    <x v="1"/>
    <n v="1"/>
    <s v="HH20230416 T3578272514 No Limit Hold'em $0.92 + $0.08.txt"/>
  </r>
  <r>
    <n v="235"/>
    <n v="52.39"/>
    <s v="16.04.2023"/>
    <n v="16"/>
    <x v="3"/>
    <x v="0"/>
    <x v="2"/>
    <n v="-1"/>
    <n v="8"/>
    <m/>
    <x v="1"/>
    <n v="7"/>
    <s v="HH20230416 T3578275147 No Limit Hold'em $0.92 + $0.08.txt"/>
  </r>
  <r>
    <n v="236"/>
    <n v="51.39"/>
    <s v="16.04.2023"/>
    <n v="16"/>
    <x v="3"/>
    <x v="0"/>
    <x v="2"/>
    <n v="-1"/>
    <m/>
    <m/>
    <x v="2"/>
    <n v="-1"/>
    <s v="HH20230416 T3578341823 No Limit Hold'em $0.92 + $0.08.txt"/>
  </r>
  <r>
    <n v="237"/>
    <n v="50.39"/>
    <s v="16.04.2023"/>
    <n v="16"/>
    <x v="3"/>
    <x v="0"/>
    <x v="2"/>
    <n v="-1"/>
    <m/>
    <m/>
    <x v="2"/>
    <n v="-1"/>
    <s v="HH20230416 T3578342966 No Limit Hold'em $0.92 + $0.08.txt"/>
  </r>
  <r>
    <n v="238"/>
    <n v="49.39"/>
    <s v="16.04.2023"/>
    <n v="16"/>
    <x v="3"/>
    <x v="0"/>
    <x v="2"/>
    <n v="-1"/>
    <m/>
    <m/>
    <x v="2"/>
    <n v="-1"/>
    <s v="HH20230416 T3578346404 No Limit Hold'em $0.92 + $0.08.txt"/>
  </r>
  <r>
    <n v="239"/>
    <n v="48.39"/>
    <s v="16.04.2023"/>
    <n v="16"/>
    <x v="3"/>
    <x v="0"/>
    <x v="2"/>
    <n v="-1"/>
    <m/>
    <m/>
    <x v="2"/>
    <n v="-1"/>
    <s v="HH20230416 T3578347926 No Limit Hold'em $0.92 + $0.08.txt"/>
  </r>
  <r>
    <n v="240"/>
    <n v="47.39"/>
    <s v="16.04.2023"/>
    <n v="16"/>
    <x v="3"/>
    <x v="0"/>
    <x v="2"/>
    <n v="-1"/>
    <m/>
    <m/>
    <x v="2"/>
    <n v="-1"/>
    <s v="HH20230416 T3578348773 No Limit Hold'em $0.92 + $0.08.txt"/>
  </r>
  <r>
    <n v="241"/>
    <n v="51.39"/>
    <s v="16.04.2023"/>
    <n v="16"/>
    <x v="3"/>
    <x v="0"/>
    <x v="2"/>
    <n v="-1"/>
    <n v="5"/>
    <m/>
    <x v="1"/>
    <n v="4"/>
    <s v="HH20230416 T3578349329 No Limit Hold'em $0.92 + $0.08.txt"/>
  </r>
  <r>
    <n v="242"/>
    <n v="55.39"/>
    <s v="16.04.2023"/>
    <n v="16"/>
    <x v="3"/>
    <x v="0"/>
    <x v="2"/>
    <n v="-1"/>
    <n v="5"/>
    <m/>
    <x v="1"/>
    <n v="4"/>
    <s v="HH20230416 T3578353155 No Limit Hold'em $0.92 + $0.08.txt"/>
  </r>
  <r>
    <n v="243"/>
    <n v="57.39"/>
    <s v="16.04.2023"/>
    <n v="16"/>
    <x v="3"/>
    <x v="0"/>
    <x v="2"/>
    <n v="-1"/>
    <n v="3"/>
    <m/>
    <x v="1"/>
    <n v="2"/>
    <s v="HH20230416 T3578423164 No Limit Hold'em $0.92 + $0.08.txt"/>
  </r>
  <r>
    <n v="244"/>
    <n v="59.39"/>
    <s v="16.04.2023"/>
    <n v="16"/>
    <x v="3"/>
    <x v="0"/>
    <x v="2"/>
    <n v="-1"/>
    <n v="3"/>
    <m/>
    <x v="1"/>
    <n v="2"/>
    <s v="HH20230416 T3578432466 No Limit Hold'em $0.92 + $0.08.txt"/>
  </r>
  <r>
    <n v="245"/>
    <n v="58.39"/>
    <s v="16.04.2023"/>
    <n v="16"/>
    <x v="3"/>
    <x v="0"/>
    <x v="2"/>
    <n v="-1"/>
    <m/>
    <m/>
    <x v="2"/>
    <n v="-1"/>
    <s v="HH20230416 T3578436228 No Limit Hold'em $0.92 + $0.08.txt"/>
  </r>
  <r>
    <n v="246"/>
    <n v="60.39"/>
    <s v="16.04.2023"/>
    <n v="16"/>
    <x v="3"/>
    <x v="0"/>
    <x v="2"/>
    <n v="-1"/>
    <n v="3"/>
    <m/>
    <x v="1"/>
    <n v="2"/>
    <s v="HH20230416 T3578501639 No Limit Hold'em $0.92 + $0.08.txt"/>
  </r>
  <r>
    <n v="247"/>
    <n v="57.09"/>
    <s v="17.04.2023"/>
    <n v="17"/>
    <x v="3"/>
    <x v="0"/>
    <x v="3"/>
    <n v="-3.3"/>
    <m/>
    <m/>
    <x v="2"/>
    <n v="-1"/>
    <s v="HH20230417 T3577336136 No Limit Hold'em $2.94 + $0.36.txt"/>
  </r>
  <r>
    <n v="248"/>
    <n v="47.09"/>
    <s v="17.04.2023"/>
    <n v="17"/>
    <x v="3"/>
    <x v="0"/>
    <x v="2"/>
    <n v="-10"/>
    <m/>
    <m/>
    <x v="2"/>
    <n v="-1"/>
    <s v="HH20230417 T3578927305 No Limit Hold'em $9.30 + $0.70.txt"/>
  </r>
  <r>
    <n v="249"/>
    <n v="37.090000000000003"/>
    <s v="17.04.2023"/>
    <n v="17"/>
    <x v="3"/>
    <x v="0"/>
    <x v="2"/>
    <n v="-10"/>
    <m/>
    <m/>
    <x v="2"/>
    <n v="-1"/>
    <s v="HH20230417 T3578929237 No Limit Hold'em $9.30 + $0.70.txt"/>
  </r>
  <r>
    <n v="250"/>
    <n v="27.090000000000003"/>
    <s v="17.04.2023"/>
    <n v="17"/>
    <x v="3"/>
    <x v="0"/>
    <x v="2"/>
    <n v="-10"/>
    <m/>
    <m/>
    <x v="2"/>
    <n v="-1"/>
    <s v="HH20230417 T3578930660 No Limit Hold'em $9.30 + $0.70.txt"/>
  </r>
  <r>
    <n v="251"/>
    <n v="26.090000000000003"/>
    <s v="17.04.2023"/>
    <n v="17"/>
    <x v="3"/>
    <x v="0"/>
    <x v="2"/>
    <n v="-1"/>
    <m/>
    <m/>
    <x v="2"/>
    <n v="-1"/>
    <s v="HH20230417 T3578933893 No Limit Hold'em $0.92 + $0.08.txt"/>
  </r>
  <r>
    <n v="252"/>
    <n v="25.090000000000003"/>
    <s v="17.04.2023"/>
    <n v="17"/>
    <x v="3"/>
    <x v="0"/>
    <x v="2"/>
    <n v="-1"/>
    <m/>
    <m/>
    <x v="2"/>
    <n v="-1"/>
    <s v="HH20230417 T3578936893 No Limit Hold'em $0.92 + $0.08.txt"/>
  </r>
  <r>
    <n v="253"/>
    <n v="24.090000000000003"/>
    <s v="17.04.2023"/>
    <n v="17"/>
    <x v="3"/>
    <x v="0"/>
    <x v="2"/>
    <n v="-1"/>
    <m/>
    <m/>
    <x v="2"/>
    <n v="-1"/>
    <s v="HH20230417 T3578938624 No Limit Hold'em $0.92 + $0.08.txt"/>
  </r>
  <r>
    <n v="254"/>
    <n v="23.090000000000003"/>
    <s v="17.04.2023"/>
    <n v="17"/>
    <x v="3"/>
    <x v="0"/>
    <x v="2"/>
    <n v="-1"/>
    <m/>
    <m/>
    <x v="2"/>
    <n v="-1"/>
    <s v="HH20230417 T3578941021 No Limit Hold'em $0.92 + $0.08.txt"/>
  </r>
  <r>
    <n v="255"/>
    <n v="22.090000000000003"/>
    <s v="17.04.2023"/>
    <n v="17"/>
    <x v="3"/>
    <x v="0"/>
    <x v="2"/>
    <n v="-1"/>
    <m/>
    <m/>
    <x v="2"/>
    <n v="-1"/>
    <s v="HH20230417 T3578947606 No Limit Hold'em $0.92 + $0.08.txt"/>
  </r>
  <r>
    <n v="256"/>
    <n v="23.090000000000003"/>
    <s v="17.04.2023"/>
    <n v="17"/>
    <x v="3"/>
    <x v="0"/>
    <x v="2"/>
    <n v="-1"/>
    <n v="2"/>
    <m/>
    <x v="1"/>
    <n v="1"/>
    <s v="HH20230417 T3578948911 No Limit Hold'em $0.92 + $0.08.txt"/>
  </r>
  <r>
    <n v="257"/>
    <n v="22.090000000000003"/>
    <s v="17.04.2023"/>
    <n v="17"/>
    <x v="3"/>
    <x v="0"/>
    <x v="2"/>
    <n v="-1"/>
    <m/>
    <m/>
    <x v="2"/>
    <n v="-1"/>
    <s v="HH20230417 T3578950966 No Limit Hold'em $0.92 + $0.08.txt"/>
  </r>
  <r>
    <n v="258"/>
    <n v="21.090000000000003"/>
    <s v="17.04.2023"/>
    <n v="17"/>
    <x v="3"/>
    <x v="0"/>
    <x v="2"/>
    <n v="-1"/>
    <m/>
    <m/>
    <x v="2"/>
    <n v="-1"/>
    <s v="HH20230417 T3578954920 No Limit Hold'em $0.92 + $0.08.txt"/>
  </r>
  <r>
    <n v="259"/>
    <n v="20.090000000000003"/>
    <s v="17.04.2023"/>
    <n v="17"/>
    <x v="3"/>
    <x v="0"/>
    <x v="2"/>
    <n v="-1"/>
    <m/>
    <m/>
    <x v="2"/>
    <n v="-1"/>
    <s v="HH20230417 T3578955912 No Limit Hold'em $0.92 + $0.08.txt"/>
  </r>
  <r>
    <n v="260"/>
    <n v="19.090000000000003"/>
    <s v="17.04.2023"/>
    <n v="17"/>
    <x v="3"/>
    <x v="0"/>
    <x v="2"/>
    <n v="-1"/>
    <m/>
    <m/>
    <x v="2"/>
    <n v="-1"/>
    <s v="HH20230417 T3578960562 No Limit Hold'em $0.92 + $0.08.txt"/>
  </r>
  <r>
    <n v="261"/>
    <n v="18.090000000000003"/>
    <s v="18.04.2023"/>
    <n v="18"/>
    <x v="3"/>
    <x v="0"/>
    <x v="2"/>
    <n v="-1"/>
    <m/>
    <m/>
    <x v="2"/>
    <n v="-1"/>
    <s v="HH20230418 T3579328586 No Limit Hold'em $0.92 + $0.08.txt"/>
  </r>
  <r>
    <n v="262"/>
    <n v="17.090000000000003"/>
    <s v="18.04.2023"/>
    <n v="18"/>
    <x v="3"/>
    <x v="0"/>
    <x v="2"/>
    <n v="-1"/>
    <m/>
    <m/>
    <x v="2"/>
    <n v="-1"/>
    <s v="HH20230418 T3579331971 No Limit Hold'em $0.92 + $0.08.txt"/>
  </r>
  <r>
    <n v="263"/>
    <n v="18.090000000000003"/>
    <s v="18.04.2023"/>
    <n v="18"/>
    <x v="3"/>
    <x v="0"/>
    <x v="2"/>
    <n v="-1"/>
    <n v="2"/>
    <m/>
    <x v="1"/>
    <n v="1"/>
    <s v="HH20230418 T3579333991 No Limit Hold'em $0.92 + $0.08.txt"/>
  </r>
  <r>
    <n v="264"/>
    <n v="17.090000000000003"/>
    <s v="18.04.2023"/>
    <n v="18"/>
    <x v="3"/>
    <x v="0"/>
    <x v="2"/>
    <n v="-1"/>
    <m/>
    <m/>
    <x v="2"/>
    <n v="-1"/>
    <s v="HH20230418 T3579340075 No Limit Hold'em $0.92 + $0.08.txt"/>
  </r>
  <r>
    <n v="265"/>
    <n v="16.090000000000003"/>
    <s v="18.04.2023"/>
    <n v="18"/>
    <x v="3"/>
    <x v="0"/>
    <x v="2"/>
    <n v="-1"/>
    <m/>
    <m/>
    <x v="2"/>
    <n v="-1"/>
    <s v="HH20230418 T3579344428 No Limit Hold'em $0.92 + $0.08.txt"/>
  </r>
  <r>
    <n v="266"/>
    <n v="18.090000000000003"/>
    <s v="18.04.2023"/>
    <n v="18"/>
    <x v="3"/>
    <x v="0"/>
    <x v="2"/>
    <n v="-1"/>
    <n v="3"/>
    <m/>
    <x v="1"/>
    <n v="2"/>
    <s v="HH20230418 T3579349188 No Limit Hold'em $0.92 + $0.08.txt"/>
  </r>
  <r>
    <n v="267"/>
    <n v="19.090000000000003"/>
    <s v="18.04.2023"/>
    <n v="18"/>
    <x v="3"/>
    <x v="0"/>
    <x v="2"/>
    <n v="-1"/>
    <n v="2"/>
    <m/>
    <x v="1"/>
    <n v="1"/>
    <s v="HH20230418 T3579351161 No Limit Hold'em $0.92 + $0.08.txt"/>
  </r>
  <r>
    <n v="268"/>
    <n v="18.090000000000003"/>
    <s v="18.04.2023"/>
    <n v="18"/>
    <x v="3"/>
    <x v="0"/>
    <x v="2"/>
    <n v="-1"/>
    <m/>
    <m/>
    <x v="2"/>
    <n v="-1"/>
    <s v="HH20230418 T3579356805 No Limit Hold'em $0.92 + $0.08.txt"/>
  </r>
  <r>
    <n v="269"/>
    <n v="20.090000000000003"/>
    <s v="18.04.2023"/>
    <n v="18"/>
    <x v="3"/>
    <x v="0"/>
    <x v="2"/>
    <n v="-1"/>
    <n v="3"/>
    <m/>
    <x v="1"/>
    <n v="2"/>
    <s v="HH20230418 T3579359052 No Limit Hold'em $0.92 + $0.08.txt"/>
  </r>
  <r>
    <n v="270"/>
    <n v="19.090000000000003"/>
    <s v="18.04.2023"/>
    <n v="18"/>
    <x v="3"/>
    <x v="0"/>
    <x v="2"/>
    <n v="-1"/>
    <m/>
    <m/>
    <x v="2"/>
    <n v="-1"/>
    <s v="HH20230418 T3579394165 No Limit Hold'em $0.92 + $0.08.txt"/>
  </r>
  <r>
    <n v="271"/>
    <n v="18.090000000000003"/>
    <s v="18.04.2023"/>
    <n v="18"/>
    <x v="3"/>
    <x v="0"/>
    <x v="2"/>
    <n v="-1"/>
    <m/>
    <m/>
    <x v="2"/>
    <n v="-1"/>
    <s v="HH20230418 T3579399052 No Limit Hold'em $0.92 + $0.08.txt"/>
  </r>
  <r>
    <n v="272"/>
    <n v="17.090000000000003"/>
    <s v="18.04.2023"/>
    <n v="18"/>
    <x v="3"/>
    <x v="0"/>
    <x v="2"/>
    <n v="-1"/>
    <m/>
    <m/>
    <x v="2"/>
    <n v="-1"/>
    <s v="HH20230418 T3579402687 No Limit Hold'em $0.92 + $0.08.txt"/>
  </r>
  <r>
    <n v="273"/>
    <n v="16.090000000000003"/>
    <s v="18.04.2023"/>
    <n v="18"/>
    <x v="3"/>
    <x v="0"/>
    <x v="2"/>
    <n v="-1"/>
    <m/>
    <m/>
    <x v="2"/>
    <n v="-1"/>
    <s v="HH20230418 T3579404238 No Limit Hold'em $0.92 + $0.08.txt"/>
  </r>
  <r>
    <n v="274"/>
    <n v="18.090000000000003"/>
    <s v="18.04.2023"/>
    <n v="18"/>
    <x v="3"/>
    <x v="0"/>
    <x v="2"/>
    <n v="-1"/>
    <n v="3"/>
    <m/>
    <x v="1"/>
    <n v="2"/>
    <s v="HH20230418 T3579407042 No Limit Hold'em $0.92 + $0.08.txt"/>
  </r>
  <r>
    <n v="275"/>
    <n v="19.090000000000003"/>
    <s v="18.04.2023"/>
    <n v="18"/>
    <x v="3"/>
    <x v="0"/>
    <x v="2"/>
    <n v="-1"/>
    <n v="2"/>
    <m/>
    <x v="1"/>
    <n v="1"/>
    <s v="HH20230418 T3579432862 No Limit Hold'em $0.92 + $0.08.txt"/>
  </r>
  <r>
    <n v="276"/>
    <n v="18.090000000000003"/>
    <s v="18.04.2023"/>
    <n v="18"/>
    <x v="3"/>
    <x v="0"/>
    <x v="2"/>
    <n v="-1"/>
    <m/>
    <m/>
    <x v="2"/>
    <n v="-1"/>
    <s v="HH20230418 T3579434272 No Limit Hold'em $0.92 + $0.08.txt"/>
  </r>
  <r>
    <n v="277"/>
    <n v="17.090000000000003"/>
    <s v="18.04.2023"/>
    <n v="18"/>
    <x v="3"/>
    <x v="0"/>
    <x v="2"/>
    <n v="-1"/>
    <m/>
    <m/>
    <x v="2"/>
    <n v="-1"/>
    <s v="HH20230418 T3579437939 No Limit Hold'em $0.92 + $0.08.txt"/>
  </r>
  <r>
    <n v="278"/>
    <n v="16.090000000000003"/>
    <s v="19.04.2023"/>
    <n v="19"/>
    <x v="3"/>
    <x v="0"/>
    <x v="2"/>
    <n v="-1"/>
    <m/>
    <m/>
    <x v="2"/>
    <n v="-1"/>
    <s v="HH20230419 T3579609221 No Limit Hold'em $0.92 + $0.08.txt"/>
  </r>
  <r>
    <n v="279"/>
    <n v="15.090000000000003"/>
    <s v="19.04.2023"/>
    <n v="19"/>
    <x v="3"/>
    <x v="0"/>
    <x v="2"/>
    <n v="-1"/>
    <m/>
    <m/>
    <x v="2"/>
    <n v="-1"/>
    <s v="HH20230419 T3579609571 No Limit Hold'em $0.92 + $0.08.txt"/>
  </r>
  <r>
    <n v="280"/>
    <n v="14.090000000000003"/>
    <s v="19.04.2023"/>
    <n v="19"/>
    <x v="3"/>
    <x v="0"/>
    <x v="2"/>
    <n v="-1"/>
    <m/>
    <m/>
    <x v="2"/>
    <n v="-1"/>
    <s v="HH20230419 T3579610358 No Limit Hold'em $0.92 + $0.08.txt"/>
  </r>
  <r>
    <n v="281"/>
    <n v="13.090000000000003"/>
    <s v="19.04.2023"/>
    <n v="19"/>
    <x v="3"/>
    <x v="0"/>
    <x v="2"/>
    <n v="-1"/>
    <m/>
    <m/>
    <x v="2"/>
    <n v="-1"/>
    <s v="HH20230419 T3579611181 No Limit Hold'em $0.92 + $0.08.txt"/>
  </r>
  <r>
    <n v="282"/>
    <n v="12.090000000000003"/>
    <s v="19.04.2023"/>
    <n v="19"/>
    <x v="3"/>
    <x v="0"/>
    <x v="2"/>
    <n v="-1"/>
    <m/>
    <m/>
    <x v="2"/>
    <n v="-1"/>
    <s v="HH20230419 T3579611458 No Limit Hold'em $0.92 + $0.08.txt"/>
  </r>
  <r>
    <n v="283"/>
    <n v="16.090000000000003"/>
    <s v="19.04.2023"/>
    <n v="19"/>
    <x v="3"/>
    <x v="0"/>
    <x v="2"/>
    <n v="-1"/>
    <n v="5"/>
    <m/>
    <x v="1"/>
    <n v="4"/>
    <s v="HH20230419 T3579612284 No Limit Hold'em $0.92 + $0.08.txt"/>
  </r>
  <r>
    <n v="284"/>
    <n v="15.090000000000003"/>
    <s v="19.04.2023"/>
    <n v="19"/>
    <x v="3"/>
    <x v="0"/>
    <x v="2"/>
    <n v="-1"/>
    <m/>
    <m/>
    <x v="2"/>
    <n v="-1"/>
    <s v="HH20230419 T3579629190 No Limit Hold'em $0.92 + $0.08.txt"/>
  </r>
  <r>
    <n v="285"/>
    <n v="14.090000000000003"/>
    <s v="19.04.2023"/>
    <n v="19"/>
    <x v="3"/>
    <x v="0"/>
    <x v="2"/>
    <n v="-1"/>
    <m/>
    <m/>
    <x v="2"/>
    <n v="-1"/>
    <s v="HH20230419 T3579629769 No Limit Hold'em $0.92 + $0.08.txt"/>
  </r>
  <r>
    <n v="286"/>
    <n v="15.090000000000003"/>
    <s v="19.04.2023"/>
    <n v="19"/>
    <x v="3"/>
    <x v="0"/>
    <x v="2"/>
    <n v="-1"/>
    <n v="2"/>
    <m/>
    <x v="1"/>
    <n v="1"/>
    <s v="HH20230419 T3579631020 No Limit Hold'em $0.92 + $0.08.txt"/>
  </r>
  <r>
    <n v="287"/>
    <n v="14.090000000000003"/>
    <s v="19.04.2023"/>
    <n v="19"/>
    <x v="3"/>
    <x v="0"/>
    <x v="2"/>
    <n v="-1"/>
    <m/>
    <m/>
    <x v="2"/>
    <n v="-1"/>
    <s v="HH20230419 T3579632458 No Limit Hold'em $0.92 + $0.08.txt"/>
  </r>
  <r>
    <n v="288"/>
    <n v="13.090000000000003"/>
    <s v="19.04.2023"/>
    <n v="19"/>
    <x v="3"/>
    <x v="0"/>
    <x v="2"/>
    <n v="-1"/>
    <m/>
    <m/>
    <x v="2"/>
    <n v="-1"/>
    <s v="HH20230419 T3579634253 No Limit Hold'em $0.92 + $0.08.txt"/>
  </r>
  <r>
    <n v="289"/>
    <n v="12.090000000000003"/>
    <s v="19.04.2023"/>
    <n v="19"/>
    <x v="3"/>
    <x v="0"/>
    <x v="2"/>
    <n v="-1"/>
    <m/>
    <m/>
    <x v="2"/>
    <n v="-1"/>
    <s v="HH20230419 T3579634691 No Limit Hold'em $0.92 + $0.08.txt"/>
  </r>
  <r>
    <n v="290"/>
    <n v="11.090000000000003"/>
    <s v="19.04.2023"/>
    <n v="19"/>
    <x v="3"/>
    <x v="0"/>
    <x v="2"/>
    <n v="-1"/>
    <m/>
    <m/>
    <x v="2"/>
    <n v="-1"/>
    <s v="HH20230419 T3579635389 No Limit Hold'em $0.92 + $0.08.txt"/>
  </r>
  <r>
    <n v="291"/>
    <n v="10.090000000000003"/>
    <s v="19.04.2023"/>
    <n v="19"/>
    <x v="3"/>
    <x v="0"/>
    <x v="2"/>
    <n v="-1"/>
    <m/>
    <m/>
    <x v="2"/>
    <n v="-1"/>
    <s v="HH20230419 T3579636250 No Limit Hold'em $0.92 + $0.08.txt"/>
  </r>
  <r>
    <n v="292"/>
    <n v="20.090000000000003"/>
    <s v="19.04.2023"/>
    <n v="19"/>
    <x v="3"/>
    <x v="0"/>
    <x v="2"/>
    <n v="-10"/>
    <n v="20"/>
    <m/>
    <x v="1"/>
    <n v="1"/>
    <s v="HH20230419 T3579636679 No Limit Hold'em $9.30 + $0.70.txt"/>
  </r>
  <r>
    <n v="293"/>
    <n v="10.090000000000003"/>
    <s v="19.04.2023"/>
    <n v="19"/>
    <x v="3"/>
    <x v="0"/>
    <x v="2"/>
    <n v="-10"/>
    <m/>
    <m/>
    <x v="2"/>
    <n v="-1"/>
    <s v="HH20230419 T3579652529 No Limit Hold'em $9.30 + $0.70.txt"/>
  </r>
  <r>
    <n v="294"/>
    <n v="30.090000000000003"/>
    <s v="19.04.2023"/>
    <n v="19"/>
    <x v="3"/>
    <x v="0"/>
    <x v="2"/>
    <n v="-10"/>
    <n v="30"/>
    <m/>
    <x v="1"/>
    <n v="2"/>
    <s v="HH20230419 T3579654916 No Limit Hold'em $9.30 + $0.70.txt"/>
  </r>
  <r>
    <n v="295"/>
    <n v="29.090000000000003"/>
    <s v="19.04.2023"/>
    <n v="19"/>
    <x v="3"/>
    <x v="0"/>
    <x v="2"/>
    <n v="-1"/>
    <m/>
    <m/>
    <x v="2"/>
    <n v="-1"/>
    <s v="HH20230419 T3579668977 No Limit Hold'em $0.92 + $0.08.txt"/>
  </r>
  <r>
    <n v="296"/>
    <n v="30.090000000000003"/>
    <s v="19.04.2023"/>
    <n v="19"/>
    <x v="3"/>
    <x v="0"/>
    <x v="2"/>
    <n v="-1"/>
    <n v="2"/>
    <m/>
    <x v="1"/>
    <n v="1"/>
    <s v="HH20230419 T3579671828 No Limit Hold'em $0.92 + $0.08.txt"/>
  </r>
  <r>
    <n v="297"/>
    <n v="31.090000000000003"/>
    <s v="19.04.2023"/>
    <n v="19"/>
    <x v="3"/>
    <x v="0"/>
    <x v="2"/>
    <n v="-1"/>
    <n v="2"/>
    <m/>
    <x v="1"/>
    <n v="1"/>
    <s v="HH20230419 T3579674356 No Limit Hold'em $0.92 + $0.08.txt"/>
  </r>
  <r>
    <n v="298"/>
    <n v="30.090000000000003"/>
    <s v="19.04.2023"/>
    <n v="19"/>
    <x v="3"/>
    <x v="0"/>
    <x v="2"/>
    <n v="-1"/>
    <m/>
    <m/>
    <x v="2"/>
    <n v="-1"/>
    <s v="HH20230419 T3579677032 No Limit Hold'em $0.92 + $0.08.txt"/>
  </r>
  <r>
    <n v="299"/>
    <n v="29.090000000000003"/>
    <s v="19.04.2023"/>
    <n v="19"/>
    <x v="3"/>
    <x v="0"/>
    <x v="2"/>
    <n v="-1"/>
    <m/>
    <m/>
    <x v="2"/>
    <n v="-1"/>
    <s v="HH20230419 T3579677648 No Limit Hold'em $0.92 + $0.08.txt"/>
  </r>
  <r>
    <n v="300"/>
    <n v="28.090000000000003"/>
    <s v="19.04.2023"/>
    <n v="19"/>
    <x v="3"/>
    <x v="0"/>
    <x v="2"/>
    <n v="-1"/>
    <m/>
    <m/>
    <x v="2"/>
    <n v="-1"/>
    <s v="HH20230419 T3579681238 No Limit Hold'em $0.92 + $0.08.txt"/>
  </r>
  <r>
    <n v="301"/>
    <n v="27.090000000000003"/>
    <s v="19.04.2023"/>
    <n v="19"/>
    <x v="3"/>
    <x v="0"/>
    <x v="2"/>
    <n v="-1"/>
    <m/>
    <m/>
    <x v="2"/>
    <n v="-1"/>
    <s v="HH20230419 T3579703721 No Limit Hold'em $0.92 + $0.08.txt"/>
  </r>
  <r>
    <n v="302"/>
    <n v="26.090000000000003"/>
    <s v="19.04.2023"/>
    <n v="19"/>
    <x v="3"/>
    <x v="0"/>
    <x v="2"/>
    <n v="-1"/>
    <m/>
    <m/>
    <x v="2"/>
    <n v="-1"/>
    <s v="HH20230419 T3579705879 No Limit Hold'em $0.92 + $0.08.txt"/>
  </r>
  <r>
    <n v="303"/>
    <n v="28.090000000000003"/>
    <s v="19.04.2023"/>
    <n v="19"/>
    <x v="3"/>
    <x v="0"/>
    <x v="2"/>
    <n v="-1"/>
    <n v="3"/>
    <m/>
    <x v="1"/>
    <n v="2"/>
    <s v="HH20230419 T3579707678 No Limit Hold'em $0.92 + $0.08.txt"/>
  </r>
  <r>
    <n v="304"/>
    <n v="27.090000000000003"/>
    <s v="19.04.2023"/>
    <n v="19"/>
    <x v="3"/>
    <x v="0"/>
    <x v="2"/>
    <n v="-1"/>
    <m/>
    <m/>
    <x v="2"/>
    <n v="-1"/>
    <s v="HH20230419 T3579710344 No Limit Hold'em $0.92 + $0.08.txt"/>
  </r>
  <r>
    <n v="305"/>
    <n v="26.090000000000003"/>
    <s v="19.04.2023"/>
    <n v="19"/>
    <x v="3"/>
    <x v="0"/>
    <x v="2"/>
    <n v="-1"/>
    <m/>
    <m/>
    <x v="2"/>
    <n v="-1"/>
    <s v="HH20230419 T3579712662 No Limit Hold'em $0.92 + $0.08.txt"/>
  </r>
  <r>
    <n v="306"/>
    <n v="30.090000000000003"/>
    <s v="19.04.2023"/>
    <n v="19"/>
    <x v="3"/>
    <x v="0"/>
    <x v="2"/>
    <n v="-1"/>
    <n v="5"/>
    <m/>
    <x v="1"/>
    <n v="4"/>
    <s v="HH20230419 T3579714354 No Limit Hold'em $0.92 + $0.08.txt"/>
  </r>
  <r>
    <n v="307"/>
    <n v="29.090000000000003"/>
    <s v="19.04.2023"/>
    <n v="19"/>
    <x v="3"/>
    <x v="0"/>
    <x v="2"/>
    <n v="-1"/>
    <m/>
    <m/>
    <x v="2"/>
    <n v="-1"/>
    <s v="HH20230419 T3579744085 No Limit Hold'em $0.92 + $0.08.txt"/>
  </r>
  <r>
    <n v="308"/>
    <n v="28.090000000000003"/>
    <s v="19.04.2023"/>
    <n v="19"/>
    <x v="3"/>
    <x v="0"/>
    <x v="2"/>
    <n v="-1"/>
    <m/>
    <m/>
    <x v="2"/>
    <n v="-1"/>
    <s v="HH20230419 T3579745581 No Limit Hold'em $0.92 + $0.08.txt"/>
  </r>
  <r>
    <n v="309"/>
    <n v="30.090000000000003"/>
    <s v="19.04.2023"/>
    <n v="19"/>
    <x v="3"/>
    <x v="0"/>
    <x v="2"/>
    <n v="-1"/>
    <n v="3"/>
    <m/>
    <x v="1"/>
    <n v="2"/>
    <s v="HH20230419 T3579745966 No Limit Hold'em $0.92 + $0.08.txt"/>
  </r>
  <r>
    <n v="310"/>
    <n v="29.090000000000003"/>
    <s v="19.04.2023"/>
    <n v="19"/>
    <x v="3"/>
    <x v="0"/>
    <x v="2"/>
    <n v="-1"/>
    <m/>
    <m/>
    <x v="2"/>
    <n v="-1"/>
    <s v="HH20230419 T3579748767 No Limit Hold'em $0.92 + $0.08.txt"/>
  </r>
  <r>
    <n v="311"/>
    <n v="31.090000000000003"/>
    <s v="19.04.2023"/>
    <n v="19"/>
    <x v="3"/>
    <x v="0"/>
    <x v="2"/>
    <n v="-1"/>
    <n v="3"/>
    <m/>
    <x v="1"/>
    <n v="2"/>
    <s v="HH20230419 T3579753762 No Limit Hold'em $0.92 + $0.08.txt"/>
  </r>
  <r>
    <n v="312"/>
    <n v="30.090000000000003"/>
    <s v="19.04.2023"/>
    <n v="19"/>
    <x v="3"/>
    <x v="0"/>
    <x v="2"/>
    <n v="-1"/>
    <m/>
    <m/>
    <x v="2"/>
    <n v="-1"/>
    <s v="HH20230419 T3579758968 No Limit Hold'em $0.92 + $0.08.txt"/>
  </r>
  <r>
    <n v="313"/>
    <n v="29.090000000000003"/>
    <s v="19.04.2023"/>
    <n v="19"/>
    <x v="3"/>
    <x v="0"/>
    <x v="2"/>
    <n v="-1"/>
    <m/>
    <m/>
    <x v="2"/>
    <n v="-1"/>
    <s v="HH20230419 T3579759967 No Limit Hold'em $0.92 + $0.08.txt"/>
  </r>
  <r>
    <n v="314"/>
    <n v="28.090000000000003"/>
    <s v="19.04.2023"/>
    <n v="19"/>
    <x v="3"/>
    <x v="0"/>
    <x v="2"/>
    <n v="-1"/>
    <m/>
    <m/>
    <x v="2"/>
    <n v="-1"/>
    <s v="HH20230419 T3579766256 No Limit Hold'em $0.92 + $0.08.txt"/>
  </r>
  <r>
    <n v="315"/>
    <n v="27.090000000000003"/>
    <s v="19.04.2023"/>
    <n v="19"/>
    <x v="3"/>
    <x v="0"/>
    <x v="2"/>
    <n v="-1"/>
    <m/>
    <m/>
    <x v="2"/>
    <n v="-1"/>
    <s v="HH20230419 T3579767776 No Limit Hold'em $0.92 + $0.08.txt"/>
  </r>
  <r>
    <n v="316"/>
    <n v="26.090000000000003"/>
    <s v="19.04.2023"/>
    <n v="19"/>
    <x v="3"/>
    <x v="0"/>
    <x v="2"/>
    <n v="-1"/>
    <m/>
    <m/>
    <x v="2"/>
    <n v="-1"/>
    <s v="HH20230419 T3579774291 No Limit Hold'em $0.92 + $0.08.txt"/>
  </r>
  <r>
    <n v="317"/>
    <n v="27.090000000000003"/>
    <s v="19.04.2023"/>
    <n v="19"/>
    <x v="3"/>
    <x v="0"/>
    <x v="2"/>
    <n v="-1"/>
    <n v="2"/>
    <m/>
    <x v="1"/>
    <n v="1"/>
    <s v="HH20230419 T3579774997 No Limit Hold'em $0.92 + $0.08.txt"/>
  </r>
  <r>
    <n v="318"/>
    <n v="28.090000000000003"/>
    <s v="19.04.2023"/>
    <n v="19"/>
    <x v="3"/>
    <x v="0"/>
    <x v="2"/>
    <n v="-1"/>
    <n v="2"/>
    <m/>
    <x v="1"/>
    <n v="1"/>
    <s v="HH20230419 T3579821969 No Limit Hold'em $0.92 + $0.08.txt"/>
  </r>
  <r>
    <n v="319"/>
    <n v="27.090000000000003"/>
    <s v="19.04.2023"/>
    <n v="19"/>
    <x v="3"/>
    <x v="0"/>
    <x v="2"/>
    <n v="-1"/>
    <m/>
    <m/>
    <x v="2"/>
    <n v="-1"/>
    <s v="HH20230419 T3579837816 No Limit Hold'em $0.92 + $0.08.txt"/>
  </r>
  <r>
    <n v="320"/>
    <n v="28.090000000000003"/>
    <s v="19.04.2023"/>
    <n v="19"/>
    <x v="3"/>
    <x v="0"/>
    <x v="2"/>
    <n v="-1"/>
    <n v="2"/>
    <m/>
    <x v="1"/>
    <n v="1"/>
    <s v="HH20230419 T3579838704 No Limit Hold'em $0.92 + $0.08.txt$"/>
  </r>
  <r>
    <n v="321"/>
    <n v="27.090000000000003"/>
    <s v="19.04.2023"/>
    <n v="19"/>
    <x v="3"/>
    <x v="0"/>
    <x v="2"/>
    <n v="-1"/>
    <m/>
    <m/>
    <x v="2"/>
    <n v="-1"/>
    <s v="HH20230419 T3579842388 No Limit Hold'em $0.92 + $0.08.txt"/>
  </r>
  <r>
    <n v="322"/>
    <n v="26.090000000000003"/>
    <s v="19.04.2023"/>
    <n v="19"/>
    <x v="3"/>
    <x v="0"/>
    <x v="2"/>
    <n v="-1"/>
    <m/>
    <m/>
    <x v="2"/>
    <n v="-1"/>
    <s v="HH20230419 T3579843415 No Limit Hold'em $0.92 + $0.08.txt"/>
  </r>
  <r>
    <n v="323"/>
    <n v="28.090000000000003"/>
    <s v="19.04.2023"/>
    <n v="19"/>
    <x v="3"/>
    <x v="0"/>
    <x v="2"/>
    <n v="-1"/>
    <n v="3"/>
    <m/>
    <x v="1"/>
    <n v="2"/>
    <s v="HH20230419 T3579846085 No Limit Hold'em $0.92 + $0.08.txt"/>
  </r>
  <r>
    <n v="324"/>
    <n v="27.090000000000003"/>
    <s v="20.04.2023"/>
    <n v="20"/>
    <x v="3"/>
    <x v="0"/>
    <x v="2"/>
    <n v="-1"/>
    <m/>
    <m/>
    <x v="2"/>
    <n v="-1"/>
    <s v="HH20230420 T3580190108 No Limit Hold'em $0.92 + $0.08.txt"/>
  </r>
  <r>
    <n v="325"/>
    <n v="29.090000000000003"/>
    <s v="20.04.2023"/>
    <n v="20"/>
    <x v="3"/>
    <x v="0"/>
    <x v="2"/>
    <n v="-1"/>
    <n v="3"/>
    <m/>
    <x v="1"/>
    <n v="2"/>
    <s v="HH20230420 T3580191696 No Limit Hold'em $0.92 + $0.08.txt"/>
  </r>
  <r>
    <n v="326"/>
    <n v="28.090000000000003"/>
    <s v="20.04.2023"/>
    <n v="20"/>
    <x v="3"/>
    <x v="0"/>
    <x v="2"/>
    <n v="-1"/>
    <m/>
    <m/>
    <x v="2"/>
    <n v="-1"/>
    <s v="HH20230420 T3580196717 No Limit Hold'em $0.92 + $0.08.txt"/>
  </r>
  <r>
    <n v="327"/>
    <n v="27.090000000000003"/>
    <s v="20.04.2023"/>
    <n v="20"/>
    <x v="3"/>
    <x v="0"/>
    <x v="2"/>
    <n v="-1"/>
    <m/>
    <m/>
    <x v="2"/>
    <n v="-1"/>
    <s v="HH20230420 T3580198200 No Limit Hold'em $0.92 + $0.08.txt"/>
  </r>
  <r>
    <n v="328"/>
    <n v="26.090000000000003"/>
    <s v="20.04.2023"/>
    <n v="20"/>
    <x v="3"/>
    <x v="0"/>
    <x v="2"/>
    <n v="-1"/>
    <m/>
    <m/>
    <x v="2"/>
    <n v="-1"/>
    <s v="HH20230420 T3580276402 No Limit Hold'em $0.92 + $0.08.txt"/>
  </r>
  <r>
    <n v="329"/>
    <n v="27.090000000000003"/>
    <s v="20.04.2023"/>
    <n v="20"/>
    <x v="3"/>
    <x v="0"/>
    <x v="2"/>
    <n v="-1"/>
    <n v="2"/>
    <m/>
    <x v="1"/>
    <n v="1"/>
    <s v="HH20230420 T3580280383 No Limit Hold'em $0.92 + $0.08.txt"/>
  </r>
  <r>
    <n v="330"/>
    <n v="28.090000000000003"/>
    <s v="20.04.2023"/>
    <n v="20"/>
    <x v="3"/>
    <x v="0"/>
    <x v="2"/>
    <n v="-1"/>
    <n v="2"/>
    <m/>
    <x v="1"/>
    <n v="1"/>
    <s v="HH20230420 T3580283311 No Limit Hold'em $0.92 + $0.08.txt"/>
  </r>
  <r>
    <n v="331"/>
    <n v="29.090000000000003"/>
    <s v="20.04.2023"/>
    <n v="20"/>
    <x v="3"/>
    <x v="0"/>
    <x v="2"/>
    <n v="-1"/>
    <n v="2"/>
    <m/>
    <x v="1"/>
    <n v="1"/>
    <s v="HH20230420 T3580287075 No Limit Hold'em $0.92 + $0.08.txt"/>
  </r>
  <r>
    <n v="332"/>
    <n v="28.090000000000003"/>
    <s v="20.04.2023"/>
    <n v="20"/>
    <x v="3"/>
    <x v="0"/>
    <x v="2"/>
    <n v="-1"/>
    <m/>
    <m/>
    <x v="2"/>
    <n v="-1"/>
    <s v="HH20230420 T3580290571 No Limit Hold'em $0.92 + $0.08.txt"/>
  </r>
  <r>
    <n v="333"/>
    <n v="27.090000000000003"/>
    <s v="20.04.2023"/>
    <n v="20"/>
    <x v="3"/>
    <x v="0"/>
    <x v="2"/>
    <n v="-1"/>
    <m/>
    <m/>
    <x v="2"/>
    <n v="-1"/>
    <s v="HH20230420 T3580291738 No Limit Hold'em $0.92 + $0.08.txt"/>
  </r>
  <r>
    <n v="334"/>
    <n v="28.090000000000003"/>
    <s v="20.04.2023"/>
    <n v="20"/>
    <x v="3"/>
    <x v="0"/>
    <x v="2"/>
    <n v="-1"/>
    <n v="2"/>
    <m/>
    <x v="1"/>
    <n v="1"/>
    <s v="HH20230420 T3580292701 No Limit Hold'em $0.92 + $0.08.txt"/>
  </r>
  <r>
    <n v="335"/>
    <n v="27.090000000000003"/>
    <s v="20.04.2023"/>
    <n v="20"/>
    <x v="3"/>
    <x v="0"/>
    <x v="2"/>
    <n v="-1"/>
    <m/>
    <m/>
    <x v="2"/>
    <n v="-1"/>
    <s v="HH20230420 T3580296266 No Limit Hold'em $0.92 + $0.08.txt"/>
  </r>
  <r>
    <n v="336"/>
    <n v="26.090000000000003"/>
    <s v="20.04.2023"/>
    <n v="20"/>
    <x v="3"/>
    <x v="0"/>
    <x v="2"/>
    <n v="-1"/>
    <m/>
    <m/>
    <x v="2"/>
    <n v="-1"/>
    <s v="HH20230420 T3580298650 No Limit Hold'em $0.92 + $0.08.txt"/>
  </r>
  <r>
    <n v="337"/>
    <n v="27.090000000000003"/>
    <s v="20.04.2023"/>
    <n v="20"/>
    <x v="3"/>
    <x v="0"/>
    <x v="2"/>
    <n v="-1"/>
    <n v="2"/>
    <m/>
    <x v="1"/>
    <n v="1"/>
    <s v="HH20230420 T3580299597 No Limit Hold'em $0.92 + $0.08.txt"/>
  </r>
  <r>
    <n v="338"/>
    <n v="26.090000000000003"/>
    <s v="20.04.2023"/>
    <n v="20"/>
    <x v="3"/>
    <x v="0"/>
    <x v="2"/>
    <n v="-1"/>
    <m/>
    <m/>
    <x v="2"/>
    <n v="-1"/>
    <s v="HH20230420 T3580305350 No Limit Hold'em $0.92 + $0.08.txt"/>
  </r>
  <r>
    <n v="339"/>
    <n v="25.090000000000003"/>
    <s v="21.04.2023"/>
    <n v="21"/>
    <x v="3"/>
    <x v="0"/>
    <x v="2"/>
    <n v="-1"/>
    <m/>
    <m/>
    <x v="2"/>
    <n v="-1"/>
    <s v="HH20230421 T3580488922 No Limit Hold'em $0.92 + $0.08.txt"/>
  </r>
  <r>
    <n v="340"/>
    <n v="24.090000000000003"/>
    <s v="21.04.2023"/>
    <n v="21"/>
    <x v="3"/>
    <x v="0"/>
    <x v="2"/>
    <n v="-1"/>
    <m/>
    <m/>
    <x v="2"/>
    <n v="-1"/>
    <s v="HH20230421 T3580489763 No Limit Hold'em $0.92 + $0.08.txt"/>
  </r>
  <r>
    <n v="341"/>
    <n v="26.090000000000003"/>
    <s v="21.04.2023"/>
    <n v="21"/>
    <x v="3"/>
    <x v="0"/>
    <x v="2"/>
    <n v="-1"/>
    <n v="3"/>
    <m/>
    <x v="1"/>
    <n v="2"/>
    <s v="HH20230421 T3580490608 No Limit Hold'em $0.92 + $0.08.txt"/>
  </r>
  <r>
    <n v="342"/>
    <n v="28.090000000000003"/>
    <s v="21.04.2023"/>
    <n v="21"/>
    <x v="3"/>
    <x v="0"/>
    <x v="2"/>
    <n v="-1"/>
    <n v="3"/>
    <m/>
    <x v="1"/>
    <n v="2"/>
    <s v="HH20230421 T3580491697 No Limit Hold'em $0.92 + $0.08.txt"/>
  </r>
  <r>
    <n v="343"/>
    <n v="27.090000000000003"/>
    <s v="21.04.2023"/>
    <n v="21"/>
    <x v="3"/>
    <x v="0"/>
    <x v="2"/>
    <n v="-1"/>
    <m/>
    <m/>
    <x v="2"/>
    <n v="-1"/>
    <s v="HH20230421 T3580520467 No Limit Hold'em $0.92 + $0.08.txt"/>
  </r>
  <r>
    <n v="344"/>
    <n v="26.090000000000003"/>
    <s v="21.04.2023"/>
    <n v="21"/>
    <x v="3"/>
    <x v="0"/>
    <x v="2"/>
    <n v="-1"/>
    <m/>
    <m/>
    <x v="2"/>
    <n v="-1"/>
    <s v="HH20230421 T3580521888 No Limit Hold'em $0.92 + $0.08.txt"/>
  </r>
  <r>
    <n v="345"/>
    <n v="25.090000000000003"/>
    <s v="21.04.2023"/>
    <n v="21"/>
    <x v="3"/>
    <x v="0"/>
    <x v="2"/>
    <n v="-1"/>
    <m/>
    <m/>
    <x v="2"/>
    <n v="-1"/>
    <s v="HH20230421 T3580544142 No Limit Hold'em $0.92 + $0.08.txt"/>
  </r>
  <r>
    <n v="346"/>
    <n v="26.090000000000003"/>
    <s v="21.04.2023"/>
    <n v="21"/>
    <x v="3"/>
    <x v="0"/>
    <x v="2"/>
    <n v="-1"/>
    <n v="2"/>
    <m/>
    <x v="1"/>
    <n v="1"/>
    <s v="HH20230421 T3580544727 No Limit Hold'em $0.92 + $0.08.txt"/>
  </r>
  <r>
    <n v="347"/>
    <n v="25.090000000000003"/>
    <s v="21.04.2023"/>
    <n v="21"/>
    <x v="3"/>
    <x v="0"/>
    <x v="2"/>
    <n v="-1"/>
    <m/>
    <m/>
    <x v="2"/>
    <n v="-1"/>
    <s v="HH20230421 T3580546699 No Limit Hold'em $0.92 + $0.08.txt"/>
  </r>
  <r>
    <n v="348"/>
    <n v="24.090000000000003"/>
    <s v="21.04.2023"/>
    <n v="21"/>
    <x v="3"/>
    <x v="0"/>
    <x v="2"/>
    <n v="-1"/>
    <m/>
    <m/>
    <x v="2"/>
    <n v="-1"/>
    <s v="HH20230421 T3580547410 No Limit Hold'em $0.92 + $0.08.txt"/>
  </r>
  <r>
    <n v="349"/>
    <n v="23.090000000000003"/>
    <s v="21.04.2023"/>
    <n v="21"/>
    <x v="3"/>
    <x v="0"/>
    <x v="2"/>
    <n v="-1"/>
    <m/>
    <m/>
    <x v="2"/>
    <n v="-1"/>
    <s v="HH20230421 T3580548660 No Limit Hold'em $0.92 + $0.08.txt"/>
  </r>
  <r>
    <n v="350"/>
    <n v="22.090000000000003"/>
    <s v="21.04.2023"/>
    <n v="21"/>
    <x v="3"/>
    <x v="0"/>
    <x v="2"/>
    <n v="-1"/>
    <m/>
    <m/>
    <x v="2"/>
    <n v="-1"/>
    <s v="HH20230421 T3580549776 No Limit Hold'em $0.92 + $0.08.txt"/>
  </r>
  <r>
    <n v="351"/>
    <n v="23.090000000000003"/>
    <s v="21.04.2023"/>
    <n v="21"/>
    <x v="3"/>
    <x v="0"/>
    <x v="2"/>
    <n v="-1"/>
    <n v="2"/>
    <m/>
    <x v="1"/>
    <n v="1"/>
    <s v="HH20230421 T3580550457 No Limit Hold'em $0.92 + $0.08.txt"/>
  </r>
  <r>
    <n v="352"/>
    <n v="22.090000000000003"/>
    <s v="21.04.2023"/>
    <n v="21"/>
    <x v="3"/>
    <x v="0"/>
    <x v="2"/>
    <n v="-1"/>
    <m/>
    <m/>
    <x v="2"/>
    <n v="-1"/>
    <s v="HH20230421 T3580551785 No Limit Hold'em $0.92 + $0.08.txt"/>
  </r>
  <r>
    <n v="353"/>
    <n v="21.090000000000003"/>
    <s v="21.04.2023"/>
    <n v="21"/>
    <x v="3"/>
    <x v="0"/>
    <x v="2"/>
    <n v="-1"/>
    <m/>
    <m/>
    <x v="2"/>
    <n v="-1"/>
    <s v="HH20230421 T3580552601 No Limit Hold'em $0.92 + $0.08.txt"/>
  </r>
  <r>
    <n v="354"/>
    <n v="23.090000000000003"/>
    <s v="21.04.2023"/>
    <n v="21"/>
    <x v="3"/>
    <x v="0"/>
    <x v="2"/>
    <n v="-1"/>
    <n v="3"/>
    <m/>
    <x v="1"/>
    <n v="2"/>
    <s v="HH20230421 T3580575083 No Limit Hold'em $0.92 + $0.08.txt"/>
  </r>
  <r>
    <n v="355"/>
    <n v="22.090000000000003"/>
    <s v="21.04.2023"/>
    <n v="21"/>
    <x v="3"/>
    <x v="0"/>
    <x v="2"/>
    <n v="-1"/>
    <m/>
    <m/>
    <x v="2"/>
    <n v="-1"/>
    <s v="HH20230421 T3580577659 No Limit Hold'em $0.92 + $0.08.txt"/>
  </r>
  <r>
    <n v="356"/>
    <n v="26.090000000000003"/>
    <s v="21.04.2023"/>
    <n v="21"/>
    <x v="3"/>
    <x v="0"/>
    <x v="2"/>
    <n v="-1"/>
    <n v="5"/>
    <m/>
    <x v="1"/>
    <n v="4"/>
    <s v="HH20230421 T3580579307 No Limit Hold'em $0.92 + $0.08.txt"/>
  </r>
  <r>
    <n v="357"/>
    <n v="25.090000000000003"/>
    <s v="21.04.2023"/>
    <n v="21"/>
    <x v="3"/>
    <x v="0"/>
    <x v="2"/>
    <n v="-1"/>
    <m/>
    <m/>
    <x v="2"/>
    <n v="-1"/>
    <s v="HH20230421 T3580581671 No Limit Hold'em $0.92 + $0.08.txt"/>
  </r>
  <r>
    <n v="358"/>
    <n v="24.090000000000003"/>
    <s v="21.04.2023"/>
    <n v="21"/>
    <x v="3"/>
    <x v="0"/>
    <x v="2"/>
    <n v="-1"/>
    <m/>
    <m/>
    <x v="2"/>
    <n v="-1"/>
    <s v="HH20230421 T3580583143 No Limit Hold'em $0.92 + $0.08.txt"/>
  </r>
  <r>
    <n v="359"/>
    <n v="23.090000000000003"/>
    <s v="21.04.2023"/>
    <n v="21"/>
    <x v="3"/>
    <x v="0"/>
    <x v="2"/>
    <n v="-1"/>
    <m/>
    <m/>
    <x v="2"/>
    <n v="-1"/>
    <s v="HH20230421 T3580584113 No Limit Hold'em $0.92 + $0.08.txt"/>
  </r>
  <r>
    <n v="360"/>
    <n v="22.090000000000003"/>
    <s v="21.04.2023"/>
    <n v="21"/>
    <x v="3"/>
    <x v="0"/>
    <x v="2"/>
    <n v="-1"/>
    <m/>
    <m/>
    <x v="2"/>
    <n v="-1"/>
    <s v="HH20230421 T3580586270 No Limit Hold'em $0.92 + $0.08.txt"/>
  </r>
  <r>
    <n v="361"/>
    <n v="24.090000000000003"/>
    <s v="21.04.2023"/>
    <n v="21"/>
    <x v="3"/>
    <x v="0"/>
    <x v="2"/>
    <n v="-1"/>
    <n v="3"/>
    <m/>
    <x v="1"/>
    <n v="2"/>
    <s v="HH20230421 T3580587552 No Limit Hold'em $0.92 + $0.08.txt"/>
  </r>
  <r>
    <n v="362"/>
    <n v="25.090000000000003"/>
    <s v="21.04.2023"/>
    <n v="21"/>
    <x v="3"/>
    <x v="0"/>
    <x v="2"/>
    <n v="-1"/>
    <n v="2"/>
    <m/>
    <x v="1"/>
    <n v="1"/>
    <s v="HH20230421 T3580594070 No Limit Hold'em $0.92 + $0.08.txt"/>
  </r>
  <r>
    <n v="363"/>
    <n v="24.090000000000003"/>
    <s v="21.04.2023"/>
    <n v="21"/>
    <x v="3"/>
    <x v="0"/>
    <x v="2"/>
    <n v="-1"/>
    <m/>
    <m/>
    <x v="2"/>
    <n v="-1"/>
    <s v="HH20230421 T3580598163 No Limit Hold'em $0.92 + $0.08.txt"/>
  </r>
  <r>
    <n v="364"/>
    <n v="28.090000000000003"/>
    <s v="21.04.2023"/>
    <n v="21"/>
    <x v="3"/>
    <x v="0"/>
    <x v="2"/>
    <n v="-1"/>
    <n v="5"/>
    <m/>
    <x v="1"/>
    <n v="4"/>
    <s v="HH20230421 T3580602438 No Limit Hold'em $0.92 + $0.08.txt"/>
  </r>
  <r>
    <n v="365"/>
    <n v="30.090000000000003"/>
    <s v="21.04.2023"/>
    <n v="21"/>
    <x v="3"/>
    <x v="0"/>
    <x v="2"/>
    <n v="-1"/>
    <n v="3"/>
    <m/>
    <x v="1"/>
    <n v="2"/>
    <s v="HH20230421 T3580607388 No Limit Hold'em $0.92 + $0.08.txt"/>
  </r>
  <r>
    <n v="366"/>
    <n v="29.090000000000003"/>
    <s v="21.04.2023"/>
    <n v="21"/>
    <x v="3"/>
    <x v="0"/>
    <x v="2"/>
    <n v="-1"/>
    <m/>
    <m/>
    <x v="2"/>
    <n v="-1"/>
    <s v="HH20230421 T3580609465 No Limit Hold'em $0.92 + $0.08.txt"/>
  </r>
  <r>
    <n v="367"/>
    <n v="28.090000000000003"/>
    <s v="21.04.2023"/>
    <n v="21"/>
    <x v="3"/>
    <x v="0"/>
    <x v="2"/>
    <n v="-1"/>
    <m/>
    <m/>
    <x v="2"/>
    <n v="-1"/>
    <s v="HH20230421 T3580610668 No Limit Hold'em $0.92 + $0.08.txt"/>
  </r>
  <r>
    <n v="368"/>
    <n v="30.090000000000003"/>
    <s v="21.04.2023"/>
    <n v="21"/>
    <x v="3"/>
    <x v="0"/>
    <x v="2"/>
    <n v="-1"/>
    <n v="3"/>
    <m/>
    <x v="1"/>
    <n v="2"/>
    <s v="HH20230421 T3580612147 No Limit Hold'em $0.92 + $0.08.txt"/>
  </r>
  <r>
    <n v="369"/>
    <n v="29.090000000000003"/>
    <s v="21.04.2023"/>
    <n v="21"/>
    <x v="3"/>
    <x v="0"/>
    <x v="2"/>
    <n v="-1"/>
    <m/>
    <m/>
    <x v="2"/>
    <n v="-1"/>
    <s v="HH20230421 T3580616465 No Limit Hold'em $0.92 + $0.08.txt"/>
  </r>
  <r>
    <n v="370"/>
    <n v="30.090000000000003"/>
    <s v="21.04.2023"/>
    <n v="21"/>
    <x v="3"/>
    <x v="0"/>
    <x v="2"/>
    <n v="-1"/>
    <n v="2"/>
    <m/>
    <x v="1"/>
    <n v="1"/>
    <s v="HH20230421 T3580619304 No Limit Hold'em $0.92 + $0.08.txt"/>
  </r>
  <r>
    <n v="371"/>
    <n v="29.090000000000003"/>
    <s v="21.04.2023"/>
    <n v="21"/>
    <x v="3"/>
    <x v="0"/>
    <x v="2"/>
    <n v="-1"/>
    <m/>
    <m/>
    <x v="2"/>
    <n v="-1"/>
    <s v="HH20230421 T3580622784 No Limit Hold'em $0.92 + $0.08.txt"/>
  </r>
  <r>
    <n v="372"/>
    <n v="28.090000000000003"/>
    <s v="21.04.2023"/>
    <n v="21"/>
    <x v="3"/>
    <x v="0"/>
    <x v="2"/>
    <n v="-1"/>
    <m/>
    <m/>
    <x v="2"/>
    <n v="-1"/>
    <s v="HH20230421 T3580624510 No Limit Hold'em $0.92 + $0.08.txt"/>
  </r>
  <r>
    <n v="373"/>
    <n v="27.090000000000003"/>
    <s v="21.04.2023"/>
    <n v="21"/>
    <x v="3"/>
    <x v="0"/>
    <x v="2"/>
    <n v="-1"/>
    <m/>
    <m/>
    <x v="2"/>
    <n v="-1"/>
    <s v="HH20230421 T3580756297 No Limit Hold'em $0.92 + $0.08.txt"/>
  </r>
  <r>
    <n v="374"/>
    <n v="28.090000000000003"/>
    <s v="21.04.2023"/>
    <n v="21"/>
    <x v="3"/>
    <x v="0"/>
    <x v="2"/>
    <n v="-1"/>
    <n v="2"/>
    <m/>
    <x v="1"/>
    <n v="1"/>
    <s v="HH20230421 T3580759155 No Limit Hold'em $0.92 + $0.08.txt"/>
  </r>
  <r>
    <n v="375"/>
    <n v="27.090000000000003"/>
    <s v="21.04.2023"/>
    <n v="21"/>
    <x v="3"/>
    <x v="0"/>
    <x v="2"/>
    <n v="-1"/>
    <m/>
    <m/>
    <x v="2"/>
    <n v="-1"/>
    <s v="HH20230421 T3580764378 No Limit Hold'em $0.92 + $0.08.txt"/>
  </r>
  <r>
    <n v="376"/>
    <n v="26.090000000000003"/>
    <s v="21.04.2023"/>
    <n v="21"/>
    <x v="3"/>
    <x v="0"/>
    <x v="2"/>
    <n v="-1"/>
    <m/>
    <m/>
    <x v="2"/>
    <n v="-1"/>
    <s v="HH20230421 T3580765854 No Limit Hold'em $0.92 + $0.08.txt"/>
  </r>
  <r>
    <n v="377"/>
    <n v="25.090000000000003"/>
    <s v="21.04.2023"/>
    <n v="21"/>
    <x v="3"/>
    <x v="0"/>
    <x v="2"/>
    <n v="-1"/>
    <m/>
    <m/>
    <x v="2"/>
    <n v="-1"/>
    <s v="HH20230421 T3580767097 No Limit Hold'em $0.92 + $0.08.txt"/>
  </r>
  <r>
    <n v="378"/>
    <n v="26.090000000000003"/>
    <s v="21.04.2023"/>
    <n v="21"/>
    <x v="3"/>
    <x v="0"/>
    <x v="2"/>
    <n v="-1"/>
    <n v="2"/>
    <m/>
    <x v="1"/>
    <n v="1"/>
    <s v="HH20230421 T3580769693 No Limit Hold'em $0.92 + $0.08.txt"/>
  </r>
  <r>
    <n v="379"/>
    <n v="25.090000000000003"/>
    <s v="21.04.2023"/>
    <n v="21"/>
    <x v="3"/>
    <x v="0"/>
    <x v="2"/>
    <n v="-1"/>
    <m/>
    <m/>
    <x v="2"/>
    <n v="-1"/>
    <s v="HH20230421 T3580774998 No Limit Hold'em $0.92 + $0.08.txt"/>
  </r>
  <r>
    <n v="380"/>
    <n v="26.090000000000003"/>
    <s v="21.04.2023"/>
    <n v="21"/>
    <x v="3"/>
    <x v="0"/>
    <x v="2"/>
    <n v="-1"/>
    <n v="2"/>
    <m/>
    <x v="1"/>
    <n v="1"/>
    <s v="HH20230421 T3580779424 No Limit Hold'em $0.92 + $0.08.txt"/>
  </r>
  <r>
    <n v="381"/>
    <n v="25.090000000000003"/>
    <s v="21.04.2023"/>
    <n v="21"/>
    <x v="3"/>
    <x v="0"/>
    <x v="2"/>
    <n v="-1"/>
    <m/>
    <m/>
    <x v="2"/>
    <n v="-1"/>
    <s v="HH20230421 T3580783118 No Limit Hold'em $0.92 + $0.08.txt"/>
  </r>
  <r>
    <n v="382"/>
    <n v="24.090000000000003"/>
    <s v="21.04.2023"/>
    <n v="21"/>
    <x v="3"/>
    <x v="0"/>
    <x v="2"/>
    <n v="-1"/>
    <m/>
    <m/>
    <x v="2"/>
    <n v="-1"/>
    <s v="HH20230421 T3580783925 No Limit Hold'em $0.92 + $0.08.txt"/>
  </r>
  <r>
    <n v="383"/>
    <n v="23.090000000000003"/>
    <s v="21.04.2023"/>
    <n v="21"/>
    <x v="3"/>
    <x v="0"/>
    <x v="2"/>
    <n v="-1"/>
    <m/>
    <m/>
    <x v="2"/>
    <n v="-1"/>
    <s v="HH20230421 T3580787145 No Limit Hold'em $0.92 + $0.08.txt"/>
  </r>
  <r>
    <n v="384"/>
    <n v="27.090000000000003"/>
    <s v="21.04.2023"/>
    <n v="21"/>
    <x v="3"/>
    <x v="0"/>
    <x v="2"/>
    <n v="-1"/>
    <n v="5"/>
    <m/>
    <x v="1"/>
    <n v="4"/>
    <s v="HH20230421 T3580787955 No Limit Hold'em $0.92 + $0.08.txt"/>
  </r>
  <r>
    <n v="385"/>
    <n v="26.090000000000003"/>
    <s v="21.04.2023"/>
    <n v="21"/>
    <x v="3"/>
    <x v="0"/>
    <x v="2"/>
    <n v="-1"/>
    <m/>
    <m/>
    <x v="2"/>
    <n v="-1"/>
    <s v="HH20230421 T3580794282 No Limit Hold'em $0.92 + $0.08.txt"/>
  </r>
  <r>
    <n v="386"/>
    <n v="25.090000000000003"/>
    <s v="21.04.2023"/>
    <n v="21"/>
    <x v="3"/>
    <x v="0"/>
    <x v="2"/>
    <n v="-1"/>
    <m/>
    <m/>
    <x v="2"/>
    <n v="-1"/>
    <s v="HH20230421 T3580797257 No Limit Hold'em $0.92 + $0.08.txt"/>
  </r>
  <r>
    <n v="387"/>
    <n v="29.090000000000003"/>
    <s v="21.04.2023"/>
    <n v="21"/>
    <x v="3"/>
    <x v="0"/>
    <x v="2"/>
    <n v="-1"/>
    <n v="5"/>
    <m/>
    <x v="1"/>
    <n v="4"/>
    <s v="HH20230421 T3580800885 No Limit Hold'em $0.92 + $0.08.txt"/>
  </r>
  <r>
    <n v="388"/>
    <n v="31.090000000000003"/>
    <s v="21.04.2023"/>
    <n v="21"/>
    <x v="3"/>
    <x v="0"/>
    <x v="2"/>
    <n v="-1"/>
    <n v="3"/>
    <m/>
    <x v="1"/>
    <n v="2"/>
    <s v="HH20230421 T3580805109 No Limit Hold'em $0.92 + $0.08.txt"/>
  </r>
  <r>
    <n v="389"/>
    <n v="33.090000000000003"/>
    <s v="22.04.2023"/>
    <n v="22"/>
    <x v="3"/>
    <x v="0"/>
    <x v="2"/>
    <n v="-1"/>
    <n v="3"/>
    <m/>
    <x v="1"/>
    <n v="2"/>
    <s v="HH20230422 T3580987933 No Limit Hold'em $0.92 + $0.08.txt"/>
  </r>
  <r>
    <n v="390"/>
    <n v="32.090000000000003"/>
    <s v="22.04.2023"/>
    <n v="22"/>
    <x v="3"/>
    <x v="0"/>
    <x v="2"/>
    <n v="-1"/>
    <m/>
    <m/>
    <x v="2"/>
    <n v="-1"/>
    <s v="HH20230422 T3580990226 No Limit Hold'em $0.92 + $0.08.txt"/>
  </r>
  <r>
    <n v="391"/>
    <n v="31.090000000000003"/>
    <s v="22.04.2023"/>
    <n v="22"/>
    <x v="3"/>
    <x v="0"/>
    <x v="2"/>
    <n v="-1"/>
    <m/>
    <m/>
    <x v="2"/>
    <n v="-1"/>
    <s v="HH20230422 T3580991363 No Limit Hold'em $0.92 + $0.08.txt"/>
  </r>
  <r>
    <n v="392"/>
    <n v="33.090000000000003"/>
    <s v="22.04.2023"/>
    <n v="22"/>
    <x v="3"/>
    <x v="0"/>
    <x v="2"/>
    <n v="-1"/>
    <n v="3"/>
    <m/>
    <x v="1"/>
    <n v="2"/>
    <s v="HH20230422 T3580992513 No Limit Hold'em $0.92 + $0.08.txt"/>
  </r>
  <r>
    <n v="393"/>
    <n v="32.090000000000003"/>
    <s v="22.04.2023"/>
    <n v="22"/>
    <x v="3"/>
    <x v="0"/>
    <x v="2"/>
    <n v="-1"/>
    <m/>
    <m/>
    <x v="2"/>
    <n v="-1"/>
    <s v="HH20230422 T3581049314 No Limit Hold'em $0.92 + $0.08.txt"/>
  </r>
  <r>
    <n v="394"/>
    <n v="31.090000000000003"/>
    <s v="22.04.2023"/>
    <n v="22"/>
    <x v="3"/>
    <x v="0"/>
    <x v="2"/>
    <n v="-1"/>
    <m/>
    <m/>
    <x v="2"/>
    <n v="-1"/>
    <s v="HH20230422 T3581052379 No Limit Hold'em $0.92 + $0.08.txt"/>
  </r>
  <r>
    <n v="395"/>
    <n v="33.090000000000003"/>
    <s v="22.04.2023"/>
    <n v="22"/>
    <x v="3"/>
    <x v="0"/>
    <x v="2"/>
    <n v="-1"/>
    <n v="3"/>
    <m/>
    <x v="1"/>
    <n v="2"/>
    <s v="HH20230422 T3581052965 No Limit Hold'em $0.92 + $0.08.txt"/>
  </r>
  <r>
    <n v="396"/>
    <n v="32.090000000000003"/>
    <s v="22.04.2023"/>
    <n v="22"/>
    <x v="3"/>
    <x v="0"/>
    <x v="2"/>
    <n v="-1"/>
    <m/>
    <m/>
    <x v="2"/>
    <n v="-1"/>
    <s v="HH20230422 T3581056582 No Limit Hold'em $0.92 + $0.08.txt"/>
  </r>
  <r>
    <n v="397"/>
    <n v="31.090000000000003"/>
    <s v="22.04.2023"/>
    <n v="22"/>
    <x v="3"/>
    <x v="0"/>
    <x v="2"/>
    <n v="-1"/>
    <m/>
    <m/>
    <x v="2"/>
    <n v="-1"/>
    <s v="HH20230422 T3581057475 No Limit Hold'em $0.92 + $0.08.txt"/>
  </r>
  <r>
    <n v="398"/>
    <n v="30.090000000000003"/>
    <s v="22.04.2023"/>
    <n v="22"/>
    <x v="3"/>
    <x v="0"/>
    <x v="2"/>
    <n v="-1"/>
    <m/>
    <m/>
    <x v="2"/>
    <n v="-1"/>
    <s v="HH20230422 T3581060695 No Limit Hold'em $0.92 + $0.08.txt"/>
  </r>
  <r>
    <n v="399"/>
    <n v="29.090000000000003"/>
    <s v="22.04.2023"/>
    <n v="22"/>
    <x v="3"/>
    <x v="0"/>
    <x v="2"/>
    <n v="-1"/>
    <m/>
    <m/>
    <x v="2"/>
    <n v="-1"/>
    <s v="HH20230422 T3581061628 No Limit Hold'em $0.92 + $0.08.txt"/>
  </r>
  <r>
    <n v="400"/>
    <n v="28.090000000000003"/>
    <s v="22.04.2023"/>
    <n v="22"/>
    <x v="3"/>
    <x v="0"/>
    <x v="2"/>
    <n v="-1"/>
    <m/>
    <m/>
    <x v="2"/>
    <n v="-1"/>
    <s v="HH20230422 T3581062611 No Limit Hold'em $0.92 + $0.08.txt"/>
  </r>
  <r>
    <n v="401"/>
    <n v="27.090000000000003"/>
    <s v="22.04.2023"/>
    <n v="22"/>
    <x v="3"/>
    <x v="0"/>
    <x v="2"/>
    <n v="-1"/>
    <m/>
    <m/>
    <x v="2"/>
    <n v="-1"/>
    <s v="HH20230422 T3581064972 No Limit Hold'em $0.92 + $0.08.txt"/>
  </r>
  <r>
    <n v="402"/>
    <n v="31.090000000000003"/>
    <s v="22.04.2023"/>
    <n v="22"/>
    <x v="3"/>
    <x v="0"/>
    <x v="2"/>
    <n v="-1"/>
    <n v="5"/>
    <m/>
    <x v="1"/>
    <n v="4"/>
    <s v="HH20230422 T3581066535 No Limit Hold'em $0.92 + $0.08.txt"/>
  </r>
  <r>
    <n v="403"/>
    <n v="30.090000000000003"/>
    <s v="22.04.2023"/>
    <n v="22"/>
    <x v="3"/>
    <x v="0"/>
    <x v="2"/>
    <n v="-1"/>
    <m/>
    <m/>
    <x v="2"/>
    <n v="-1"/>
    <s v="HH20230422 T3581079927 No Limit Hold'em $0.92 + $0.08.txt"/>
  </r>
  <r>
    <n v="404"/>
    <n v="32.090000000000003"/>
    <s v="22.04.2023"/>
    <n v="22"/>
    <x v="3"/>
    <x v="0"/>
    <x v="2"/>
    <n v="-1"/>
    <n v="3"/>
    <m/>
    <x v="1"/>
    <n v="2"/>
    <s v="HH20230422 T3581082021 No Limit Hold'em $0.92 + $0.08.txt"/>
  </r>
  <r>
    <n v="405"/>
    <n v="31.090000000000003"/>
    <s v="22.04.2023"/>
    <n v="22"/>
    <x v="3"/>
    <x v="0"/>
    <x v="2"/>
    <n v="-1"/>
    <m/>
    <m/>
    <x v="2"/>
    <n v="-1"/>
    <s v="HH20230422 T3581084447 No Limit Hold'em $0.92 + $0.08.txt"/>
  </r>
  <r>
    <n v="406"/>
    <n v="30.090000000000003"/>
    <s v="22.04.2023"/>
    <n v="22"/>
    <x v="3"/>
    <x v="0"/>
    <x v="2"/>
    <n v="-1"/>
    <m/>
    <m/>
    <x v="2"/>
    <n v="-1"/>
    <s v="HH20230422 T3581088936 No Limit Hold'em $0.92 + $0.08.txt"/>
  </r>
  <r>
    <n v="407"/>
    <n v="29.090000000000003"/>
    <s v="22.04.2023"/>
    <n v="22"/>
    <x v="3"/>
    <x v="0"/>
    <x v="2"/>
    <n v="-1"/>
    <m/>
    <m/>
    <x v="2"/>
    <n v="-1"/>
    <s v="HH20230422 T3581090848 No Limit Hold'em $0.92 + $0.08.txt"/>
  </r>
  <r>
    <n v="408"/>
    <n v="28.090000000000003"/>
    <s v="22.04.2023"/>
    <n v="22"/>
    <x v="3"/>
    <x v="0"/>
    <x v="2"/>
    <n v="-1"/>
    <m/>
    <m/>
    <x v="2"/>
    <n v="-1"/>
    <s v="HH20230422 T3581092127 No Limit Hold'em $0.92 + $0.08.txt"/>
  </r>
  <r>
    <n v="409"/>
    <n v="27.090000000000003"/>
    <s v="22.04.2023"/>
    <n v="22"/>
    <x v="3"/>
    <x v="0"/>
    <x v="2"/>
    <n v="-1"/>
    <m/>
    <m/>
    <x v="2"/>
    <n v="-1"/>
    <s v="HH20230422 T3581107684 No Limit Hold'em $0.92 + $0.08.txt"/>
  </r>
  <r>
    <n v="410"/>
    <n v="26.090000000000003"/>
    <s v="22.04.2023"/>
    <n v="22"/>
    <x v="3"/>
    <x v="0"/>
    <x v="2"/>
    <n v="-1"/>
    <m/>
    <m/>
    <x v="2"/>
    <n v="-1"/>
    <s v="HH20230422 T3581109156 No Limit Hold'em $0.92 + $0.08.txt"/>
  </r>
  <r>
    <n v="411"/>
    <n v="27.090000000000003"/>
    <s v="22.04.2023"/>
    <n v="22"/>
    <x v="3"/>
    <x v="0"/>
    <x v="2"/>
    <n v="-1"/>
    <n v="2"/>
    <m/>
    <x v="1"/>
    <n v="1"/>
    <s v="HH20230422 T3581110659 No Limit Hold'em $0.92 + $0.08.txt"/>
  </r>
  <r>
    <n v="412"/>
    <n v="26.090000000000003"/>
    <s v="23.04.2023"/>
    <n v="23"/>
    <x v="3"/>
    <x v="0"/>
    <x v="2"/>
    <n v="-1"/>
    <m/>
    <m/>
    <x v="2"/>
    <n v="-1"/>
    <s v="HH20230423 T3581469855 No Limit Hold'em $0.92 + $0.08.txt"/>
  </r>
  <r>
    <n v="413"/>
    <n v="25.090000000000003"/>
    <s v="23.04.2023"/>
    <n v="23"/>
    <x v="3"/>
    <x v="0"/>
    <x v="2"/>
    <n v="-1"/>
    <m/>
    <m/>
    <x v="2"/>
    <n v="-1"/>
    <s v="HH20230423 T3581488605 No Limit Hold'em $0.92 + $0.08.txt"/>
  </r>
  <r>
    <n v="414"/>
    <n v="24.090000000000003"/>
    <s v="23.04.2023"/>
    <n v="23"/>
    <x v="3"/>
    <x v="0"/>
    <x v="2"/>
    <n v="-1"/>
    <m/>
    <m/>
    <x v="2"/>
    <n v="-1"/>
    <s v="HH20230423 T3581490201 No Limit Hold'em $0.92 + $0.08.txt"/>
  </r>
  <r>
    <n v="415"/>
    <n v="23.090000000000003"/>
    <s v="23.04.2023"/>
    <n v="23"/>
    <x v="3"/>
    <x v="0"/>
    <x v="2"/>
    <n v="-1"/>
    <m/>
    <m/>
    <x v="2"/>
    <n v="-1"/>
    <s v="HH20230423 T3581491553 No Limit Hold'em $0.92 + $0.08.txt"/>
  </r>
  <r>
    <n v="416"/>
    <n v="27.090000000000003"/>
    <s v="23.04.2023"/>
    <n v="23"/>
    <x v="3"/>
    <x v="0"/>
    <x v="2"/>
    <n v="-1"/>
    <n v="5"/>
    <m/>
    <x v="1"/>
    <n v="4"/>
    <s v="HH20230423 T3581492084 No Limit Hold'em $0.92 + $0.08.txt"/>
  </r>
  <r>
    <n v="417"/>
    <n v="26.090000000000003"/>
    <s v="23.04.2023"/>
    <n v="23"/>
    <x v="3"/>
    <x v="0"/>
    <x v="2"/>
    <n v="-1"/>
    <m/>
    <m/>
    <x v="2"/>
    <n v="-1"/>
    <s v="HH20230423 T3581494844 No Limit Hold'em $0.92 + $0.08.txt"/>
  </r>
  <r>
    <n v="418"/>
    <n v="28.090000000000003"/>
    <s v="23.04.2023"/>
    <n v="23"/>
    <x v="3"/>
    <x v="0"/>
    <x v="2"/>
    <n v="-1"/>
    <n v="3"/>
    <m/>
    <x v="1"/>
    <n v="2"/>
    <s v="HH20230423 T3581497448 No Limit Hold'em $0.92 + $0.08.txt"/>
  </r>
  <r>
    <n v="419"/>
    <n v="27.090000000000003"/>
    <s v="23.04.2023"/>
    <n v="23"/>
    <x v="3"/>
    <x v="0"/>
    <x v="2"/>
    <n v="-1"/>
    <m/>
    <m/>
    <x v="2"/>
    <n v="-1"/>
    <s v="HH20230423 T3581502457 No Limit Hold'em $0.92 + $0.08.txt"/>
  </r>
  <r>
    <n v="420"/>
    <n v="29.090000000000003"/>
    <s v="23.04.2023"/>
    <n v="23"/>
    <x v="3"/>
    <x v="0"/>
    <x v="2"/>
    <n v="-1"/>
    <n v="3"/>
    <m/>
    <x v="1"/>
    <n v="2"/>
    <s v="HH20230423 T3581503432 No Limit Hold'em $0.92 + $0.08.txt"/>
  </r>
  <r>
    <n v="421"/>
    <n v="28.090000000000003"/>
    <s v="23.04.2023"/>
    <n v="23"/>
    <x v="3"/>
    <x v="0"/>
    <x v="2"/>
    <n v="-1"/>
    <m/>
    <m/>
    <x v="2"/>
    <n v="-1"/>
    <s v="HH20230423 T3581505742 No Limit Hold'em $0.92 + $0.08.txt"/>
  </r>
  <r>
    <n v="422"/>
    <n v="27.090000000000003"/>
    <s v="23.04.2023"/>
    <n v="23"/>
    <x v="3"/>
    <x v="0"/>
    <x v="2"/>
    <n v="-1"/>
    <m/>
    <m/>
    <x v="2"/>
    <n v="-1"/>
    <s v="HH20230423 T3581507182 No Limit Hold'em $0.92 + $0.08.txt"/>
  </r>
  <r>
    <n v="423"/>
    <n v="28.090000000000003"/>
    <s v="23.04.2023"/>
    <n v="23"/>
    <x v="3"/>
    <x v="0"/>
    <x v="2"/>
    <n v="-1"/>
    <n v="2"/>
    <m/>
    <x v="1"/>
    <n v="1"/>
    <s v="HH20230423 T3581508411 No Limit Hold'em $0.92 + $0.08.txt"/>
  </r>
  <r>
    <n v="424"/>
    <n v="27.090000000000003"/>
    <s v="23.04.2023"/>
    <n v="23"/>
    <x v="3"/>
    <x v="0"/>
    <x v="2"/>
    <n v="-1"/>
    <m/>
    <m/>
    <x v="2"/>
    <n v="-1"/>
    <s v="HH20230423 T3581538423 No Limit Hold'em $0.92 + $0.08.txt"/>
  </r>
  <r>
    <n v="425"/>
    <n v="29.090000000000003"/>
    <s v="23.04.2023"/>
    <n v="23"/>
    <x v="3"/>
    <x v="0"/>
    <x v="2"/>
    <n v="-1"/>
    <n v="3"/>
    <m/>
    <x v="1"/>
    <n v="2"/>
    <s v="HH20230423 T3581541300 No Limit Hold'em $0.92 + $0.08.txt"/>
  </r>
  <r>
    <n v="426"/>
    <n v="26.890000000000004"/>
    <s v="23.04.2023"/>
    <n v="23"/>
    <x v="3"/>
    <x v="0"/>
    <x v="3"/>
    <n v="-2.2000000000000002"/>
    <m/>
    <m/>
    <x v="2"/>
    <n v="-1"/>
    <s v="HH20230423 T3579268622 No Limit Hold'em $1.96 + $0.24.txt"/>
  </r>
  <r>
    <n v="427"/>
    <n v="25.890000000000004"/>
    <s v="23.04.2023"/>
    <n v="23"/>
    <x v="3"/>
    <x v="0"/>
    <x v="2"/>
    <n v="-1"/>
    <m/>
    <m/>
    <x v="2"/>
    <n v="-1"/>
    <s v="HH20230423 T3581558546 No Limit Hold'em $0.92 + $0.08.txt"/>
  </r>
  <r>
    <n v="428"/>
    <n v="24.890000000000004"/>
    <s v="23.04.2023"/>
    <n v="23"/>
    <x v="3"/>
    <x v="0"/>
    <x v="2"/>
    <n v="-1"/>
    <m/>
    <m/>
    <x v="2"/>
    <n v="-1"/>
    <s v="HH20230423 T3581559734 No Limit Hold'em $0.92 + $0.08.txt"/>
  </r>
  <r>
    <n v="429"/>
    <n v="26.890000000000004"/>
    <s v="23.04.2023"/>
    <n v="23"/>
    <x v="3"/>
    <x v="0"/>
    <x v="2"/>
    <n v="-1"/>
    <n v="3"/>
    <m/>
    <x v="1"/>
    <n v="2"/>
    <s v="HH20230423 T3581561543 No Limit Hold'em $0.92 + $0.08.txt"/>
  </r>
  <r>
    <n v="430"/>
    <n v="27.890000000000004"/>
    <s v="23.04.2023"/>
    <n v="23"/>
    <x v="3"/>
    <x v="0"/>
    <x v="2"/>
    <n v="-1"/>
    <n v="2"/>
    <m/>
    <x v="1"/>
    <n v="1"/>
    <s v="HH20230423 T3581563364 No Limit Hold'em $0.92 + $0.08.txt"/>
  </r>
  <r>
    <n v="431"/>
    <n v="26.890000000000004"/>
    <s v="23.04.2023"/>
    <n v="23"/>
    <x v="3"/>
    <x v="0"/>
    <x v="2"/>
    <n v="-1"/>
    <m/>
    <m/>
    <x v="2"/>
    <n v="-1"/>
    <s v="HH20230423 T3581571697 No Limit Hold'em $0.92 + $0.08.txt"/>
  </r>
  <r>
    <n v="432"/>
    <n v="25.890000000000004"/>
    <s v="23.04.2023"/>
    <n v="23"/>
    <x v="3"/>
    <x v="0"/>
    <x v="2"/>
    <n v="-1"/>
    <m/>
    <m/>
    <x v="2"/>
    <n v="-1"/>
    <s v="HH20230423 T3581574308 No Limit Hold'em $0.92 + $0.08.txt"/>
  </r>
  <r>
    <n v="433"/>
    <n v="24.890000000000004"/>
    <s v="23.04.2023"/>
    <n v="23"/>
    <x v="3"/>
    <x v="0"/>
    <x v="2"/>
    <n v="-1"/>
    <m/>
    <m/>
    <x v="2"/>
    <n v="-1"/>
    <s v="HH20230423 T3581578317 No Limit Hold'em $0.92 + $0.08.txt"/>
  </r>
  <r>
    <n v="434"/>
    <n v="23.890000000000004"/>
    <s v="23.04.2023"/>
    <n v="23"/>
    <x v="3"/>
    <x v="0"/>
    <x v="2"/>
    <n v="-1"/>
    <m/>
    <m/>
    <x v="2"/>
    <n v="-1"/>
    <s v="HH20230423 T3581579229 No Limit Hold'em $0.92 + $0.08.txt"/>
  </r>
  <r>
    <n v="435"/>
    <n v="22.890000000000004"/>
    <s v="23.04.2023"/>
    <n v="23"/>
    <x v="3"/>
    <x v="0"/>
    <x v="2"/>
    <n v="-1"/>
    <m/>
    <m/>
    <x v="2"/>
    <n v="-1"/>
    <s v="HH20230423 T3581580220 No Limit Hold'em $0.92 + $0.08.txt"/>
  </r>
  <r>
    <n v="436"/>
    <n v="23.890000000000004"/>
    <s v="23.04.2023"/>
    <n v="23"/>
    <x v="3"/>
    <x v="0"/>
    <x v="2"/>
    <n v="-1"/>
    <n v="2"/>
    <m/>
    <x v="1"/>
    <n v="1"/>
    <s v="HH20230423 T3581582847 No Limit Hold'em $0.92 + $0.08.txt"/>
  </r>
  <r>
    <n v="437"/>
    <n v="24.890000000000004"/>
    <s v="23.04.2023"/>
    <n v="23"/>
    <x v="3"/>
    <x v="0"/>
    <x v="2"/>
    <n v="-1"/>
    <n v="2"/>
    <m/>
    <x v="1"/>
    <n v="1"/>
    <s v="HH20230423 T3581583928 No Limit Hold'em $0.92 + $0.08.txt"/>
  </r>
  <r>
    <n v="438"/>
    <n v="23.890000000000004"/>
    <s v="23.04.2023"/>
    <n v="23"/>
    <x v="3"/>
    <x v="0"/>
    <x v="2"/>
    <n v="-1"/>
    <m/>
    <m/>
    <x v="2"/>
    <n v="-1"/>
    <s v="HH20230423 T3581587757 No Limit Hold'em $0.92 + $0.08.txt"/>
  </r>
  <r>
    <n v="439"/>
    <n v="25.890000000000004"/>
    <s v="23.04.2023"/>
    <n v="23"/>
    <x v="3"/>
    <x v="0"/>
    <x v="2"/>
    <n v="-1"/>
    <n v="3"/>
    <m/>
    <x v="1"/>
    <n v="2"/>
    <s v="HH20230423 T3581592535 No Limit Hold'em $0.92 + $0.08.txt"/>
  </r>
  <r>
    <n v="440"/>
    <n v="24.890000000000004"/>
    <s v="23.04.2023"/>
    <n v="23"/>
    <x v="3"/>
    <x v="0"/>
    <x v="2"/>
    <n v="-1"/>
    <m/>
    <m/>
    <x v="2"/>
    <n v="-1"/>
    <s v="HH20230423 T3581607521 No Limit Hold'em $0.92 + $0.08.txt"/>
  </r>
  <r>
    <n v="441"/>
    <n v="26.890000000000004"/>
    <s v="23.04.2023"/>
    <n v="23"/>
    <x v="3"/>
    <x v="0"/>
    <x v="2"/>
    <n v="-1"/>
    <n v="3"/>
    <m/>
    <x v="1"/>
    <n v="2"/>
    <s v="HH20230423 T3581610199 No Limit Hold'em $0.92 + $0.08.txt"/>
  </r>
  <r>
    <n v="442"/>
    <n v="27.890000000000004"/>
    <s v="23.04.2023"/>
    <n v="23"/>
    <x v="3"/>
    <x v="0"/>
    <x v="2"/>
    <n v="-1"/>
    <n v="2"/>
    <m/>
    <x v="1"/>
    <n v="1"/>
    <s v="HH20230423 T3581622040 No Limit Hold'em $0.92 + $0.08.txt"/>
  </r>
  <r>
    <n v="443"/>
    <n v="26.890000000000004"/>
    <s v="23.04.2023"/>
    <n v="23"/>
    <x v="3"/>
    <x v="0"/>
    <x v="2"/>
    <n v="-1"/>
    <m/>
    <m/>
    <x v="2"/>
    <n v="-1"/>
    <s v="HH20230423 T3581650403 No Limit Hold'em $0.92 + $0.08.txt"/>
  </r>
  <r>
    <n v="444"/>
    <n v="25.890000000000004"/>
    <s v="23.04.2023"/>
    <n v="23"/>
    <x v="3"/>
    <x v="0"/>
    <x v="2"/>
    <n v="-1"/>
    <m/>
    <m/>
    <x v="2"/>
    <n v="-1"/>
    <s v="HH20230423 T3581652517 No Limit Hold'em $0.92 + $0.08.txt"/>
  </r>
  <r>
    <n v="445"/>
    <n v="24.890000000000004"/>
    <s v="23.04.2023"/>
    <n v="23"/>
    <x v="3"/>
    <x v="0"/>
    <x v="2"/>
    <n v="-1"/>
    <m/>
    <m/>
    <x v="2"/>
    <n v="-1"/>
    <s v="HH20230423 T3581659798 No Limit Hold'em $0.92 + $0.08.txt"/>
  </r>
  <r>
    <n v="446"/>
    <n v="23.890000000000004"/>
    <s v="23.04.2023"/>
    <n v="23"/>
    <x v="3"/>
    <x v="0"/>
    <x v="2"/>
    <n v="-1"/>
    <m/>
    <m/>
    <x v="2"/>
    <n v="-1"/>
    <s v="HH20230423 T3581662196 No Limit Hold'em $0.92 + $0.08.txt"/>
  </r>
  <r>
    <n v="447"/>
    <n v="22.890000000000004"/>
    <s v="23.04.2023"/>
    <n v="23"/>
    <x v="3"/>
    <x v="0"/>
    <x v="2"/>
    <n v="-1"/>
    <m/>
    <m/>
    <x v="2"/>
    <n v="-1"/>
    <s v="HH20230423 T3581668505 No Limit Hold'em $0.92 + $0.08.txt"/>
  </r>
  <r>
    <n v="448"/>
    <n v="21.890000000000004"/>
    <s v="23.04.2023"/>
    <n v="23"/>
    <x v="3"/>
    <x v="0"/>
    <x v="2"/>
    <n v="-1"/>
    <m/>
    <m/>
    <x v="2"/>
    <n v="-1"/>
    <s v="HH20230423 T3581669320 No Limit Hold'em $0.92 + $0.08.txt"/>
  </r>
  <r>
    <n v="449"/>
    <n v="22.890000000000004"/>
    <s v="23.04.2023"/>
    <n v="23"/>
    <x v="3"/>
    <x v="0"/>
    <x v="2"/>
    <n v="-1"/>
    <n v="2"/>
    <m/>
    <x v="1"/>
    <n v="1"/>
    <s v="HH20230423 T3581671126 No Limit Hold'em $0.92 + $0.08.txt"/>
  </r>
  <r>
    <n v="450"/>
    <n v="21.890000000000004"/>
    <s v="23.04.2023"/>
    <n v="23"/>
    <x v="3"/>
    <x v="0"/>
    <x v="2"/>
    <n v="-1"/>
    <m/>
    <m/>
    <x v="2"/>
    <n v="-1"/>
    <s v="HH20230423 T3581674763 No Limit Hold'em $0.92 + $0.08.txt"/>
  </r>
  <r>
    <n v="451"/>
    <n v="23.890000000000004"/>
    <s v="23.04.2023"/>
    <n v="23"/>
    <x v="3"/>
    <x v="0"/>
    <x v="2"/>
    <n v="-1"/>
    <n v="3"/>
    <m/>
    <x v="1"/>
    <n v="2"/>
    <s v="HH20230423 T3581677853 No Limit Hold'em $0.92 + $0.08.txt"/>
  </r>
  <r>
    <n v="452"/>
    <n v="22.890000000000004"/>
    <s v="23.04.2023"/>
    <n v="23"/>
    <x v="3"/>
    <x v="0"/>
    <x v="2"/>
    <n v="-1"/>
    <m/>
    <m/>
    <x v="2"/>
    <n v="-1"/>
    <s v="HH20230423 T3581683435 No Limit Hold'em $0.92 + $0.08.txt"/>
  </r>
  <r>
    <n v="453"/>
    <n v="21.890000000000004"/>
    <s v="23.04.2023"/>
    <n v="23"/>
    <x v="3"/>
    <x v="0"/>
    <x v="2"/>
    <n v="-1"/>
    <m/>
    <m/>
    <x v="2"/>
    <n v="-1"/>
    <s v="HH20230423 T3581687278 No Limit Hold'em $0.92 + $0.08.txt"/>
  </r>
  <r>
    <n v="454"/>
    <n v="20.890000000000004"/>
    <s v="23.04.2023"/>
    <n v="23"/>
    <x v="3"/>
    <x v="0"/>
    <x v="2"/>
    <n v="-1"/>
    <m/>
    <m/>
    <x v="2"/>
    <n v="-1"/>
    <s v="HH20230423 T3581690447 No Limit Hold'em $0.92 + $0.08.txt"/>
  </r>
  <r>
    <n v="455"/>
    <n v="21.890000000000004"/>
    <s v="23.04.2023"/>
    <n v="23"/>
    <x v="3"/>
    <x v="0"/>
    <x v="2"/>
    <n v="-1"/>
    <n v="2"/>
    <m/>
    <x v="1"/>
    <n v="1"/>
    <s v="HH20230423 T3581693225 No Limit Hold'em $0.92 + $0.08.txt"/>
  </r>
  <r>
    <n v="456"/>
    <n v="20.890000000000004"/>
    <s v="23.04.2023"/>
    <n v="23"/>
    <x v="3"/>
    <x v="0"/>
    <x v="2"/>
    <n v="-1"/>
    <m/>
    <m/>
    <x v="2"/>
    <n v="-1"/>
    <s v="HH20230423 T3581694841 No Limit Hold'em $0.92 + $0.08.txt"/>
  </r>
  <r>
    <n v="457"/>
    <n v="19.890000000000004"/>
    <s v="23.04.2023"/>
    <n v="23"/>
    <x v="3"/>
    <x v="0"/>
    <x v="2"/>
    <n v="-1"/>
    <m/>
    <m/>
    <x v="2"/>
    <n v="-1"/>
    <s v="HH20230423 T3581698278 No Limit Hold'em $0.92 + $0.08.txt"/>
  </r>
  <r>
    <n v="458"/>
    <n v="18.890000000000004"/>
    <s v="23.04.2023"/>
    <n v="23"/>
    <x v="3"/>
    <x v="0"/>
    <x v="2"/>
    <n v="-1"/>
    <m/>
    <m/>
    <x v="2"/>
    <n v="-1"/>
    <s v="HH20230423 T3581701975 No Limit Hold'em $0.92 + $0.08.txt"/>
  </r>
  <r>
    <n v="459"/>
    <n v="17.890000000000004"/>
    <s v="23.04.2023"/>
    <n v="23"/>
    <x v="3"/>
    <x v="0"/>
    <x v="2"/>
    <n v="-1"/>
    <m/>
    <m/>
    <x v="2"/>
    <n v="-1"/>
    <s v="HH20230423 T3581705589 No Limit Hold'em $0.92 + $0.08.txt"/>
  </r>
  <r>
    <n v="460"/>
    <n v="16.890000000000004"/>
    <s v="23.04.2023"/>
    <n v="23"/>
    <x v="3"/>
    <x v="0"/>
    <x v="2"/>
    <n v="-1"/>
    <m/>
    <m/>
    <x v="2"/>
    <n v="-1"/>
    <s v="HH20230423 T3581709403 No Limit Hold'em $0.92 + $0.08.txt"/>
  </r>
  <r>
    <n v="461"/>
    <n v="15.890000000000004"/>
    <s v="23.04.2023"/>
    <n v="23"/>
    <x v="3"/>
    <x v="0"/>
    <x v="2"/>
    <n v="-1"/>
    <m/>
    <m/>
    <x v="2"/>
    <n v="-1"/>
    <s v="HH20230423 T3581713125 No Limit Hold'em $0.92 + $0.08.txt"/>
  </r>
  <r>
    <n v="462"/>
    <n v="5.8900000000000041"/>
    <s v="23.04.2023"/>
    <n v="23"/>
    <x v="3"/>
    <x v="0"/>
    <x v="2"/>
    <n v="-10"/>
    <m/>
    <m/>
    <x v="2"/>
    <n v="-1"/>
    <s v="HH20230423 T3581717049 No Limit Hold'em $9.30 + $0.70.txt"/>
  </r>
  <r>
    <n v="463"/>
    <n v="0.89000000000000412"/>
    <s v="23.04.2023"/>
    <n v="23"/>
    <x v="3"/>
    <x v="0"/>
    <x v="2"/>
    <n v="-5"/>
    <m/>
    <m/>
    <x v="2"/>
    <n v="-1"/>
    <s v="HH20230423 T3581718324 No Limit Hold'em $4.60 + $0.40.txt"/>
  </r>
  <r>
    <n v="464"/>
    <n v="112.93"/>
    <s v="23.04.2023"/>
    <n v="23"/>
    <x v="3"/>
    <x v="0"/>
    <x v="1"/>
    <m/>
    <n v="112.04"/>
    <m/>
    <x v="0"/>
    <m/>
    <m/>
  </r>
  <r>
    <n v="465"/>
    <n v="132.93"/>
    <s v="23.04.2023"/>
    <n v="23"/>
    <x v="3"/>
    <x v="0"/>
    <x v="2"/>
    <n v="-10"/>
    <n v="30"/>
    <m/>
    <x v="1"/>
    <n v="2"/>
    <s v="HH20230423 T3581721786 No Limit Hold'em $9.30 + $0.70.txt"/>
  </r>
  <r>
    <n v="466"/>
    <n v="134.93"/>
    <s v="24.04.2023"/>
    <n v="24"/>
    <x v="3"/>
    <x v="0"/>
    <x v="2"/>
    <n v="-1"/>
    <n v="3"/>
    <m/>
    <x v="1"/>
    <n v="2"/>
    <s v="HH20230424 T3582030757 No Limit Hold'em $0.92 + $0.08.txt"/>
  </r>
  <r>
    <n v="467"/>
    <n v="133.93"/>
    <s v="24.04.2023"/>
    <n v="24"/>
    <x v="3"/>
    <x v="0"/>
    <x v="2"/>
    <n v="-1"/>
    <m/>
    <m/>
    <x v="2"/>
    <n v="-1"/>
    <s v="HH20230424 T3582072623 No Limit Hold'em $0.92 + $0.08.txt"/>
  </r>
  <r>
    <n v="468"/>
    <n v="132.93"/>
    <s v="24.04.2023"/>
    <n v="24"/>
    <x v="3"/>
    <x v="0"/>
    <x v="2"/>
    <n v="-1"/>
    <m/>
    <m/>
    <x v="2"/>
    <n v="-1"/>
    <s v="HH20230424 T3582086044 No Limit Hold'em $0.92 + $0.08.txt"/>
  </r>
  <r>
    <n v="469"/>
    <n v="133.93"/>
    <s v="24.04.2023"/>
    <n v="24"/>
    <x v="3"/>
    <x v="0"/>
    <x v="2"/>
    <n v="-1"/>
    <n v="2"/>
    <m/>
    <x v="1"/>
    <n v="1"/>
    <s v="HH20230424 T3582089682 No Limit Hold'em $0.92 + $0.08.txt"/>
  </r>
  <r>
    <n v="470"/>
    <n v="132.93"/>
    <s v="24.04.2023"/>
    <n v="24"/>
    <x v="3"/>
    <x v="0"/>
    <x v="2"/>
    <n v="-1"/>
    <m/>
    <m/>
    <x v="2"/>
    <n v="-1"/>
    <s v="HH20230424 T3582091236 No Limit Hold'em $0.92 + $0.08.txt"/>
  </r>
  <r>
    <n v="471"/>
    <n v="131.93"/>
    <s v="24.04.2023"/>
    <n v="24"/>
    <x v="3"/>
    <x v="0"/>
    <x v="2"/>
    <n v="-1"/>
    <m/>
    <m/>
    <x v="2"/>
    <n v="-1"/>
    <s v="HH20230424 T3582095031 No Limit Hold'em $0.92 + $0.08.txt"/>
  </r>
  <r>
    <n v="472"/>
    <n v="130.93"/>
    <s v="24.04.2023"/>
    <n v="24"/>
    <x v="3"/>
    <x v="0"/>
    <x v="2"/>
    <n v="-1"/>
    <m/>
    <m/>
    <x v="2"/>
    <n v="-1"/>
    <s v="HH20230424 T3582096267 No Limit Hold'em $0.92 + $0.08.txt"/>
  </r>
  <r>
    <n v="473"/>
    <n v="129.93"/>
    <s v="24.04.2023"/>
    <n v="24"/>
    <x v="3"/>
    <x v="0"/>
    <x v="2"/>
    <n v="-1"/>
    <m/>
    <m/>
    <x v="2"/>
    <n v="-1"/>
    <s v="HH20230424 T3582099410 No Limit Hold'em $0.92 + $0.08.txt"/>
  </r>
  <r>
    <n v="474"/>
    <n v="131.93"/>
    <s v="24.04.2023"/>
    <n v="24"/>
    <x v="3"/>
    <x v="0"/>
    <x v="2"/>
    <n v="-1"/>
    <n v="3"/>
    <m/>
    <x v="1"/>
    <n v="2"/>
    <s v="HH20230424 T3582103501 No Limit Hold'em $0.92 + $0.08.txt"/>
  </r>
  <r>
    <n v="475"/>
    <n v="135.93"/>
    <s v="24.04.2023"/>
    <n v="24"/>
    <x v="3"/>
    <x v="0"/>
    <x v="2"/>
    <n v="-1"/>
    <n v="5"/>
    <m/>
    <x v="1"/>
    <n v="4"/>
    <s v="HH20230424 T3582112573 No Limit Hold'em $0.92 + $0.08.txt"/>
  </r>
  <r>
    <n v="476"/>
    <n v="134.93"/>
    <s v="24.04.2023"/>
    <n v="24"/>
    <x v="3"/>
    <x v="0"/>
    <x v="2"/>
    <n v="-1"/>
    <m/>
    <m/>
    <x v="2"/>
    <n v="-1"/>
    <s v="HH20230424 T3582114578 No Limit Hold'em $0.92 + $0.08.txt"/>
  </r>
  <r>
    <n v="477"/>
    <n v="135.93"/>
    <s v="24.04.2023"/>
    <n v="24"/>
    <x v="3"/>
    <x v="0"/>
    <x v="2"/>
    <n v="-1"/>
    <n v="2"/>
    <m/>
    <x v="1"/>
    <n v="1"/>
    <s v="HH20230424 T3582116934 No Limit Hold'em $0.92 + $0.08.txt"/>
  </r>
  <r>
    <n v="478"/>
    <n v="136.93"/>
    <s v="28.04.2023"/>
    <n v="28"/>
    <x v="3"/>
    <x v="0"/>
    <x v="2"/>
    <n v="-1"/>
    <n v="2"/>
    <m/>
    <x v="1"/>
    <n v="1"/>
    <s v="HH20230428 T3583823210 No Limit Hold'em $0.92 + $0.08.txt"/>
  </r>
  <r>
    <n v="479"/>
    <n v="140.93"/>
    <s v="28.04.2023"/>
    <n v="28"/>
    <x v="3"/>
    <x v="0"/>
    <x v="2"/>
    <n v="-1"/>
    <n v="5"/>
    <m/>
    <x v="1"/>
    <n v="4"/>
    <s v="HH20230428 T3583853341 No Limit Hold'em $0.92 + $0.08.txt"/>
  </r>
  <r>
    <n v="480"/>
    <n v="140.9"/>
    <s v="28.04.2023"/>
    <n v="28"/>
    <x v="3"/>
    <x v="0"/>
    <x v="8"/>
    <n v="-0.03"/>
    <m/>
    <m/>
    <x v="0"/>
    <m/>
    <m/>
  </r>
  <r>
    <n v="481"/>
    <n v="139.9"/>
    <s v="28.04.2023"/>
    <n v="28"/>
    <x v="3"/>
    <x v="0"/>
    <x v="2"/>
    <n v="-1"/>
    <m/>
    <m/>
    <x v="2"/>
    <n v="-1"/>
    <s v="HH20230428 T3583889292 No Limit Hold'em $0.92 + $0.08.txt"/>
  </r>
  <r>
    <n v="482"/>
    <n v="138.9"/>
    <s v="28.04.2023"/>
    <n v="28"/>
    <x v="3"/>
    <x v="0"/>
    <x v="2"/>
    <n v="-1"/>
    <m/>
    <m/>
    <x v="2"/>
    <n v="-1"/>
    <s v="HH20230428 T3583892291 No Limit Hold'em $0.92 + $0.08.txt"/>
  </r>
  <r>
    <n v="483"/>
    <n v="137.9"/>
    <s v="28.04.2023"/>
    <n v="28"/>
    <x v="3"/>
    <x v="0"/>
    <x v="2"/>
    <n v="-1"/>
    <m/>
    <m/>
    <x v="2"/>
    <n v="-1"/>
    <s v="HH20230428 T3583896542 No Limit Hold'em $0.92 + $0.08.txt"/>
  </r>
  <r>
    <n v="484"/>
    <n v="136.9"/>
    <s v="28.04.2023"/>
    <n v="28"/>
    <x v="3"/>
    <x v="0"/>
    <x v="2"/>
    <n v="-1"/>
    <m/>
    <m/>
    <x v="2"/>
    <n v="-1"/>
    <s v="HH20230428 T3583897671 No Limit Hold'em $0.92 + $0.08.txt"/>
  </r>
  <r>
    <n v="485"/>
    <n v="135.9"/>
    <s v="29.04.2023"/>
    <n v="29"/>
    <x v="3"/>
    <x v="0"/>
    <x v="2"/>
    <n v="-1"/>
    <m/>
    <m/>
    <x v="2"/>
    <n v="-1"/>
    <s v="HH20230429 T3584127268 No Limit Hold'em $0.92 + $0.08.txt"/>
  </r>
  <r>
    <n v="486"/>
    <n v="134.9"/>
    <s v="29.04.2023"/>
    <n v="29"/>
    <x v="3"/>
    <x v="0"/>
    <x v="2"/>
    <n v="-1"/>
    <m/>
    <m/>
    <x v="2"/>
    <n v="-1"/>
    <s v="HH20230429 T3584129490 No Limit Hold'em $0.92 + $0.08.txt"/>
  </r>
  <r>
    <n v="487"/>
    <n v="133.9"/>
    <s v="29.04.2023"/>
    <n v="29"/>
    <x v="3"/>
    <x v="0"/>
    <x v="2"/>
    <n v="-1"/>
    <m/>
    <m/>
    <x v="2"/>
    <n v="-1"/>
    <s v="HH20230429 T3584131488 No Limit Hold'em $0.92 + $0.08.txt"/>
  </r>
  <r>
    <n v="488"/>
    <n v="132.9"/>
    <s v="29.04.2023"/>
    <n v="29"/>
    <x v="3"/>
    <x v="0"/>
    <x v="2"/>
    <n v="-1"/>
    <m/>
    <m/>
    <x v="2"/>
    <n v="-1"/>
    <s v="HH20230429 T3584133191 No Limit Hold'em $0.92 + $0.08.txt"/>
  </r>
  <r>
    <n v="489"/>
    <n v="131.9"/>
    <s v="29.04.2023"/>
    <n v="29"/>
    <x v="3"/>
    <x v="0"/>
    <x v="2"/>
    <n v="-1"/>
    <m/>
    <m/>
    <x v="2"/>
    <n v="-1"/>
    <s v="HH20230429 T3584135172 No Limit Hold'em $0.92 + $0.08.txt"/>
  </r>
  <r>
    <n v="490"/>
    <n v="130.9"/>
    <s v="29.04.2023"/>
    <n v="29"/>
    <x v="3"/>
    <x v="0"/>
    <x v="2"/>
    <n v="-1"/>
    <m/>
    <m/>
    <x v="2"/>
    <n v="-1"/>
    <s v="HH20230429 T3584136834 No Limit Hold'em $0.92 + $0.08.txt"/>
  </r>
  <r>
    <n v="491"/>
    <n v="131.9"/>
    <s v="29.04.2023"/>
    <n v="29"/>
    <x v="3"/>
    <x v="0"/>
    <x v="2"/>
    <n v="-1"/>
    <n v="2"/>
    <m/>
    <x v="1"/>
    <n v="1"/>
    <s v="HH20230429 T3584138629 No Limit Hold'em $0.92 + $0.08.txt"/>
  </r>
  <r>
    <n v="492"/>
    <n v="132.9"/>
    <s v="29.04.2023"/>
    <n v="29"/>
    <x v="3"/>
    <x v="0"/>
    <x v="2"/>
    <n v="-1"/>
    <n v="2"/>
    <m/>
    <x v="1"/>
    <n v="1"/>
    <s v="HH20230429 T3584145923 No Limit Hold'em $0.92 + $0.08.txt"/>
  </r>
  <r>
    <n v="493"/>
    <n v="131.9"/>
    <s v="29.04.2023"/>
    <n v="29"/>
    <x v="3"/>
    <x v="0"/>
    <x v="2"/>
    <n v="-1"/>
    <m/>
    <m/>
    <x v="2"/>
    <n v="-1"/>
    <s v="HH20230429 T3584147540 No Limit Hold'em $0.92 + $0.08.txt"/>
  </r>
  <r>
    <n v="494"/>
    <n v="130.9"/>
    <s v="29.04.2023"/>
    <n v="29"/>
    <x v="3"/>
    <x v="0"/>
    <x v="2"/>
    <n v="-1"/>
    <m/>
    <m/>
    <x v="2"/>
    <n v="-1"/>
    <s v="HH20230429 T3584275955 No Limit Hold'em $0.92 + $0.08.txt"/>
  </r>
  <r>
    <n v="495"/>
    <n v="132.9"/>
    <s v="29.04.2023"/>
    <n v="29"/>
    <x v="3"/>
    <x v="0"/>
    <x v="2"/>
    <n v="-1"/>
    <n v="3"/>
    <m/>
    <x v="1"/>
    <n v="2"/>
    <s v="HH20230429 T3584279625 No Limit Hold'em $0.92 + $0.08.txt"/>
  </r>
  <r>
    <n v="496"/>
    <n v="131.9"/>
    <s v="29.04.2023"/>
    <n v="29"/>
    <x v="3"/>
    <x v="0"/>
    <x v="2"/>
    <n v="-1"/>
    <m/>
    <m/>
    <x v="2"/>
    <n v="-1"/>
    <s v="HH20230429 T3584285446 No Limit Hold'em $0.92 + $0.08.txt"/>
  </r>
  <r>
    <n v="497"/>
    <n v="130.9"/>
    <s v="29.04.2023"/>
    <n v="29"/>
    <x v="3"/>
    <x v="0"/>
    <x v="2"/>
    <n v="-1"/>
    <m/>
    <m/>
    <x v="2"/>
    <n v="-1"/>
    <s v="HH20230429 T3584287257 No Limit Hold'em $0.92 + $0.08.txt"/>
  </r>
  <r>
    <n v="498"/>
    <n v="129.9"/>
    <s v="29.04.2023"/>
    <n v="29"/>
    <x v="3"/>
    <x v="0"/>
    <x v="2"/>
    <n v="-1"/>
    <m/>
    <m/>
    <x v="2"/>
    <n v="-1"/>
    <s v="HH20230429 T3584288679 No Limit Hold'em $0.92 + $0.08.txt"/>
  </r>
  <r>
    <n v="499"/>
    <n v="131.9"/>
    <s v="29.04.2023"/>
    <n v="29"/>
    <x v="3"/>
    <x v="0"/>
    <x v="2"/>
    <n v="-1"/>
    <n v="3"/>
    <m/>
    <x v="1"/>
    <n v="2"/>
    <s v="HH20230429 T3584292438 No Limit Hold'em $0.92 + $0.08.txt"/>
  </r>
  <r>
    <n v="500"/>
    <n v="130.9"/>
    <s v="29.04.2023"/>
    <n v="29"/>
    <x v="3"/>
    <x v="0"/>
    <x v="2"/>
    <n v="-1"/>
    <m/>
    <m/>
    <x v="2"/>
    <n v="-1"/>
    <s v="HH20230429 T3584298305 No Limit Hold'em $0.92 + $0.08.txt"/>
  </r>
  <r>
    <n v="501"/>
    <n v="129.9"/>
    <s v="29.04.2023"/>
    <n v="29"/>
    <x v="3"/>
    <x v="0"/>
    <x v="2"/>
    <n v="-1"/>
    <m/>
    <m/>
    <x v="2"/>
    <n v="-1"/>
    <s v="HH20230429 T3584303998 No Limit Hold'em $0.92 + $0.08.txt"/>
  </r>
  <r>
    <n v="502"/>
    <n v="131.9"/>
    <s v="29.04.2023"/>
    <n v="29"/>
    <x v="3"/>
    <x v="0"/>
    <x v="2"/>
    <n v="-1"/>
    <n v="3"/>
    <m/>
    <x v="1"/>
    <n v="2"/>
    <s v="HH20230429 T3584306044 No Limit Hold'em $0.92 + $0.08.txt"/>
  </r>
  <r>
    <n v="503"/>
    <n v="130.9"/>
    <s v="29.04.2023"/>
    <n v="29"/>
    <x v="3"/>
    <x v="0"/>
    <x v="2"/>
    <n v="-1"/>
    <m/>
    <m/>
    <x v="2"/>
    <n v="-1"/>
    <s v="HH20230429 T3584308496 No Limit Hold'em $0.92 + $0.08.txt"/>
  </r>
  <r>
    <n v="504"/>
    <n v="131.9"/>
    <s v="29.04.2023"/>
    <n v="29"/>
    <x v="3"/>
    <x v="0"/>
    <x v="2"/>
    <n v="-1"/>
    <n v="2"/>
    <m/>
    <x v="1"/>
    <n v="1"/>
    <s v="HH20230429 T3584311469 No Limit Hold'em $0.92 + $0.08.txt"/>
  </r>
  <r>
    <n v="505"/>
    <n v="132.9"/>
    <s v="29.04.2023"/>
    <n v="29"/>
    <x v="3"/>
    <x v="0"/>
    <x v="2"/>
    <n v="-1"/>
    <n v="2"/>
    <m/>
    <x v="1"/>
    <n v="1"/>
    <s v="HH20230429 T3584314889 No Limit Hold'em $0.92 + $0.08.txt"/>
  </r>
  <r>
    <n v="506"/>
    <n v="163.61000000000001"/>
    <s v="29.04.2023"/>
    <n v="29"/>
    <x v="3"/>
    <x v="0"/>
    <x v="3"/>
    <n v="-3.3"/>
    <n v="5.99"/>
    <n v="28.02"/>
    <x v="1"/>
    <n v="9.3060606060606066"/>
    <s v="HH20230429 T3582372843 No Limit Hold'em $2.94 + $0.36.txt"/>
  </r>
  <r>
    <n v="507"/>
    <n v="162.61000000000001"/>
    <s v="30.04.2023"/>
    <n v="30"/>
    <x v="3"/>
    <x v="0"/>
    <x v="2"/>
    <n v="-1"/>
    <m/>
    <m/>
    <x v="2"/>
    <n v="-1"/>
    <s v="HH20230430 T3584785786 No Limit Hold'em $0.92 + $0.08.txt"/>
  </r>
  <r>
    <n v="508"/>
    <n v="164.61"/>
    <s v="30.04.2023"/>
    <n v="30"/>
    <x v="3"/>
    <x v="0"/>
    <x v="2"/>
    <n v="-1"/>
    <n v="3"/>
    <m/>
    <x v="1"/>
    <n v="2"/>
    <s v="HH20230430 T3584788528 No Limit Hold'em $0.92 + $0.08.txt"/>
  </r>
  <r>
    <n v="509"/>
    <n v="163.61000000000001"/>
    <s v="30.04.2023"/>
    <n v="30"/>
    <x v="3"/>
    <x v="0"/>
    <x v="2"/>
    <n v="-1"/>
    <m/>
    <m/>
    <x v="2"/>
    <n v="-1"/>
    <s v="HH20230430 T3584795433 No Limit Hold'em $0.92 + $0.08.txt"/>
  </r>
  <r>
    <n v="510"/>
    <n v="162.61000000000001"/>
    <s v="30.04.2023"/>
    <n v="30"/>
    <x v="3"/>
    <x v="0"/>
    <x v="2"/>
    <n v="-1"/>
    <m/>
    <m/>
    <x v="2"/>
    <n v="-1"/>
    <s v="HH20230430 T3584797567 No Limit Hold'em $0.92 + $0.08.txt"/>
  </r>
  <r>
    <n v="511"/>
    <n v="161.61000000000001"/>
    <s v="30.04.2023"/>
    <n v="30"/>
    <x v="3"/>
    <x v="0"/>
    <x v="2"/>
    <n v="-1"/>
    <m/>
    <m/>
    <x v="2"/>
    <n v="-1"/>
    <s v="HH20230430 T3584800072 No Limit Hold'em $0.92 + $0.08.txt"/>
  </r>
  <r>
    <n v="512"/>
    <n v="160.61000000000001"/>
    <s v="30.04.2023"/>
    <n v="30"/>
    <x v="3"/>
    <x v="0"/>
    <x v="2"/>
    <n v="-1"/>
    <m/>
    <m/>
    <x v="2"/>
    <n v="-1"/>
    <s v="HH20230430 T3584802984 No Limit Hold'em $0.92 + $0.08.txt"/>
  </r>
  <r>
    <n v="513"/>
    <n v="159.61000000000001"/>
    <s v="30.04.2023"/>
    <n v="30"/>
    <x v="3"/>
    <x v="0"/>
    <x v="2"/>
    <n v="-1"/>
    <m/>
    <m/>
    <x v="2"/>
    <n v="-1"/>
    <s v="HH20230430 T3584834158 No Limit Hold'em $0.92 + $0.08.txt"/>
  </r>
  <r>
    <n v="514"/>
    <n v="160.61000000000001"/>
    <s v="30.04.2023"/>
    <n v="30"/>
    <x v="3"/>
    <x v="0"/>
    <x v="2"/>
    <n v="-1"/>
    <n v="2"/>
    <m/>
    <x v="1"/>
    <n v="1"/>
    <s v="HH20230430 T3584839522 No Limit Hold'em $0.92 + $0.08.txt"/>
  </r>
  <r>
    <n v="515"/>
    <n v="164.61"/>
    <s v="30.04.2023"/>
    <n v="30"/>
    <x v="3"/>
    <x v="0"/>
    <x v="2"/>
    <n v="-1"/>
    <n v="5"/>
    <m/>
    <x v="1"/>
    <n v="4"/>
    <s v="HH20230430 T3584844109 No Limit Hold'em $0.92 + $0.08.txt"/>
  </r>
  <r>
    <n v="516"/>
    <n v="165.61"/>
    <s v="01.05.2023"/>
    <n v="1"/>
    <x v="4"/>
    <x v="0"/>
    <x v="2"/>
    <n v="-1"/>
    <n v="2"/>
    <m/>
    <x v="1"/>
    <n v="1"/>
    <s v="HH20230501 T3585079422 No Limit Hold'em $0.92 + $0.08.txt"/>
  </r>
  <r>
    <n v="517"/>
    <n v="25.78"/>
    <s v="01.05.2023"/>
    <n v="1"/>
    <x v="4"/>
    <x v="0"/>
    <x v="7"/>
    <n v="-139.83000000000001"/>
    <m/>
    <m/>
    <x v="0"/>
    <m/>
    <m/>
  </r>
  <r>
    <n v="518"/>
    <n v="24.78"/>
    <s v="01.05.2023"/>
    <n v="1"/>
    <x v="4"/>
    <x v="0"/>
    <x v="2"/>
    <n v="-1"/>
    <m/>
    <m/>
    <x v="2"/>
    <n v="-1"/>
    <s v="HH20230501 T3585091582 No Limit Hold'em $0.92 + $0.08.txt"/>
  </r>
  <r>
    <n v="519"/>
    <n v="23.78"/>
    <s v="01.05.2023"/>
    <n v="1"/>
    <x v="4"/>
    <x v="0"/>
    <x v="2"/>
    <n v="-1"/>
    <m/>
    <m/>
    <x v="2"/>
    <n v="-1"/>
    <s v="HH20230501 T3585093412 No Limit Hold'em $0.92 + $0.08.txt"/>
  </r>
  <r>
    <n v="520"/>
    <n v="22.78"/>
    <s v="01.05.2023"/>
    <n v="1"/>
    <x v="4"/>
    <x v="0"/>
    <x v="2"/>
    <n v="-1"/>
    <m/>
    <m/>
    <x v="2"/>
    <n v="-1"/>
    <s v="HH20230501 T3585096067 No Limit Hold'em $0.92 + $0.08.txt"/>
  </r>
  <r>
    <n v="521"/>
    <n v="21.78"/>
    <s v="01.05.2023"/>
    <n v="1"/>
    <x v="4"/>
    <x v="0"/>
    <x v="2"/>
    <n v="-1"/>
    <m/>
    <m/>
    <x v="2"/>
    <n v="-1"/>
    <s v="HH20230501 T3585097508 No Limit Hold'em $0.92 + $0.08.txt"/>
  </r>
  <r>
    <n v="522"/>
    <n v="20.78"/>
    <s v="01.05.2023"/>
    <n v="1"/>
    <x v="4"/>
    <x v="0"/>
    <x v="2"/>
    <n v="-1"/>
    <m/>
    <m/>
    <x v="2"/>
    <n v="-1"/>
    <s v="HH20230501 T3585098414 No Limit Hold'em $0.92 + $0.08.txt"/>
  </r>
  <r>
    <n v="523"/>
    <n v="19.78"/>
    <s v="01.05.2023"/>
    <n v="1"/>
    <x v="4"/>
    <x v="0"/>
    <x v="2"/>
    <n v="-1"/>
    <m/>
    <m/>
    <x v="2"/>
    <n v="-1"/>
    <s v="HH20230501 T3585099718 No Limit Hold'em $0.92 + $0.08.txt"/>
  </r>
  <r>
    <n v="524"/>
    <n v="18.78"/>
    <s v="01.05.2023"/>
    <n v="1"/>
    <x v="4"/>
    <x v="0"/>
    <x v="2"/>
    <n v="-1"/>
    <m/>
    <m/>
    <x v="2"/>
    <n v="-1"/>
    <s v="HH20230501 T3585102293 No Limit Hold'em $0.92 + $0.08.txt"/>
  </r>
  <r>
    <n v="525"/>
    <n v="17.78"/>
    <s v="02.05.2023"/>
    <n v="2"/>
    <x v="4"/>
    <x v="0"/>
    <x v="2"/>
    <n v="-1"/>
    <m/>
    <m/>
    <x v="2"/>
    <n v="-1"/>
    <s v="HH20230502 T3585729019 No Limit Hold'em $0.92 + $0.08.txt"/>
  </r>
  <r>
    <n v="526"/>
    <n v="16.78"/>
    <s v="02.05.2023"/>
    <n v="2"/>
    <x v="4"/>
    <x v="0"/>
    <x v="2"/>
    <n v="-1"/>
    <m/>
    <m/>
    <x v="2"/>
    <n v="-1"/>
    <s v="HH20230502 T3585735259 No Limit Hold'em $0.92 + $0.08.txt"/>
  </r>
  <r>
    <n v="527"/>
    <n v="18.78"/>
    <s v="02.05.2023"/>
    <n v="2"/>
    <x v="4"/>
    <x v="0"/>
    <x v="2"/>
    <n v="-1"/>
    <n v="3"/>
    <m/>
    <x v="1"/>
    <n v="2"/>
    <s v="HH20230502 T3585739220 No Limit Hold'em $0.92 + $0.08.txt"/>
  </r>
  <r>
    <n v="528"/>
    <n v="17.78"/>
    <s v="02.05.2023"/>
    <n v="2"/>
    <x v="4"/>
    <x v="0"/>
    <x v="2"/>
    <n v="-1"/>
    <m/>
    <m/>
    <x v="2"/>
    <n v="-1"/>
    <s v="HH20230502 T3585744310 No Limit Hold'em $0.92 + $0.08.txt"/>
  </r>
  <r>
    <n v="529"/>
    <n v="16.78"/>
    <s v="02.05.2023"/>
    <n v="2"/>
    <x v="4"/>
    <x v="0"/>
    <x v="2"/>
    <n v="-1"/>
    <m/>
    <m/>
    <x v="2"/>
    <n v="-1"/>
    <s v="HH20230502 T3585747841 No Limit Hold'em $0.92 + $0.08.txt"/>
  </r>
  <r>
    <n v="530"/>
    <n v="15.780000000000001"/>
    <s v="03.05.2023"/>
    <n v="3"/>
    <x v="4"/>
    <x v="0"/>
    <x v="2"/>
    <n v="-1"/>
    <m/>
    <m/>
    <x v="2"/>
    <n v="-1"/>
    <s v="HH20230503 T3586036907 No Limit Hold'em $0.92 + $0.08.txt"/>
  </r>
  <r>
    <n v="531"/>
    <n v="14.780000000000001"/>
    <s v="03.05.2023"/>
    <n v="3"/>
    <x v="4"/>
    <x v="0"/>
    <x v="2"/>
    <n v="-1"/>
    <m/>
    <m/>
    <x v="2"/>
    <n v="-1"/>
    <s v="HH20230503 T3586040833 No Limit Hold'em $0.92 + $0.08.txt"/>
  </r>
  <r>
    <n v="532"/>
    <n v="13.780000000000001"/>
    <s v="03.05.2023"/>
    <n v="3"/>
    <x v="4"/>
    <x v="0"/>
    <x v="2"/>
    <n v="-1"/>
    <m/>
    <m/>
    <x v="2"/>
    <n v="-1"/>
    <s v="HH20230503 T3586042344 No Limit Hold'em $0.92 + $0.08.txt"/>
  </r>
  <r>
    <n v="533"/>
    <n v="12.780000000000001"/>
    <s v="03.05.2023"/>
    <n v="3"/>
    <x v="4"/>
    <x v="0"/>
    <x v="2"/>
    <n v="-1"/>
    <m/>
    <m/>
    <x v="2"/>
    <n v="-1"/>
    <s v="HH20230503 T3586045410 No Limit Hold'em $0.92 + $0.08.txt"/>
  </r>
  <r>
    <n v="534"/>
    <n v="11.780000000000001"/>
    <s v="03.05.2023"/>
    <n v="3"/>
    <x v="4"/>
    <x v="0"/>
    <x v="2"/>
    <n v="-1"/>
    <m/>
    <m/>
    <x v="2"/>
    <n v="-1"/>
    <s v="HH20230503 T3586047916 No Limit Hold'em $0.92 + $0.08.txt"/>
  </r>
  <r>
    <n v="535"/>
    <n v="10.780000000000001"/>
    <s v="03.05.2023"/>
    <n v="3"/>
    <x v="4"/>
    <x v="0"/>
    <x v="2"/>
    <n v="-1"/>
    <m/>
    <m/>
    <x v="2"/>
    <n v="-1"/>
    <s v="HH20230503 T3586051593 No Limit Hold'em $0.92 + $0.08.txt"/>
  </r>
  <r>
    <n v="536"/>
    <n v="9.7800000000000011"/>
    <s v="03.05.2023"/>
    <n v="3"/>
    <x v="4"/>
    <x v="0"/>
    <x v="2"/>
    <n v="-1"/>
    <m/>
    <m/>
    <x v="2"/>
    <n v="-1"/>
    <s v="HH20230503 T3586053998 No Limit Hold'em $0.92 + $0.08.txt"/>
  </r>
  <r>
    <n v="537"/>
    <n v="8.7800000000000011"/>
    <s v="03.05.2023"/>
    <n v="3"/>
    <x v="4"/>
    <x v="0"/>
    <x v="2"/>
    <n v="-1"/>
    <m/>
    <m/>
    <x v="2"/>
    <n v="-1"/>
    <s v="HH20230503 T3586088381 No Limit Hold'em $0.92 + $0.08.txt"/>
  </r>
  <r>
    <n v="538"/>
    <n v="7.7800000000000011"/>
    <s v="03.05.2023"/>
    <n v="3"/>
    <x v="4"/>
    <x v="0"/>
    <x v="2"/>
    <n v="-1"/>
    <m/>
    <m/>
    <x v="2"/>
    <n v="-1"/>
    <s v="HH20230503 T3586090302 No Limit Hold'em $0.92 + $0.08.txt"/>
  </r>
  <r>
    <n v="539"/>
    <n v="9.7800000000000011"/>
    <s v="03.05.2023"/>
    <n v="3"/>
    <x v="4"/>
    <x v="0"/>
    <x v="2"/>
    <n v="-1"/>
    <n v="3"/>
    <m/>
    <x v="1"/>
    <n v="2"/>
    <s v="HH20230503 T3586096994 No Limit Hold'em $0.92 + $0.08.txt"/>
  </r>
  <r>
    <n v="540"/>
    <n v="8.7800000000000011"/>
    <s v="03.05.2023"/>
    <n v="3"/>
    <x v="4"/>
    <x v="0"/>
    <x v="2"/>
    <n v="-1"/>
    <m/>
    <m/>
    <x v="2"/>
    <n v="-1"/>
    <s v="HH20230503 T3586099551 No Limit Hold'em $0.92 + $0.08.txt"/>
  </r>
  <r>
    <n v="541"/>
    <n v="10.780000000000001"/>
    <s v="03.05.2023"/>
    <n v="3"/>
    <x v="4"/>
    <x v="0"/>
    <x v="2"/>
    <n v="-1"/>
    <n v="3"/>
    <m/>
    <x v="1"/>
    <n v="2"/>
    <s v="HH20230503 T3586100638 No Limit Hold'em $0.92 + $0.08.txt"/>
  </r>
  <r>
    <n v="542"/>
    <n v="9.7800000000000011"/>
    <s v="03.05.2023"/>
    <n v="3"/>
    <x v="4"/>
    <x v="0"/>
    <x v="2"/>
    <n v="-1"/>
    <m/>
    <m/>
    <x v="2"/>
    <n v="-1"/>
    <s v="HH20230503 T3586103293 No Limit Hold'em $0.92 + $0.08.txt"/>
  </r>
  <r>
    <n v="543"/>
    <n v="8.7800000000000011"/>
    <s v="03.05.2023"/>
    <n v="3"/>
    <x v="4"/>
    <x v="0"/>
    <x v="2"/>
    <n v="-1"/>
    <m/>
    <m/>
    <x v="2"/>
    <n v="-1"/>
    <s v="HH20230503 T3586106324 No Limit Hold'em $0.92 + $0.08.txt"/>
  </r>
  <r>
    <n v="544"/>
    <n v="9.7800000000000011"/>
    <s v="03.05.2023"/>
    <n v="3"/>
    <x v="4"/>
    <x v="0"/>
    <x v="2"/>
    <n v="-1"/>
    <n v="2"/>
    <m/>
    <x v="1"/>
    <n v="1"/>
    <s v="HH20230503 T3586110902 No Limit Hold'em $0.92 + $0.08.txt"/>
  </r>
  <r>
    <n v="545"/>
    <n v="10.780000000000001"/>
    <s v="03.05.2023"/>
    <n v="3"/>
    <x v="4"/>
    <x v="0"/>
    <x v="2"/>
    <n v="-1"/>
    <n v="2"/>
    <m/>
    <x v="1"/>
    <n v="1"/>
    <s v="HH20230503 T3586115665 No Limit Hold'em $0.92 + $0.08.txt"/>
  </r>
  <r>
    <n v="546"/>
    <n v="11.780000000000001"/>
    <s v="03.05.2023"/>
    <n v="3"/>
    <x v="4"/>
    <x v="0"/>
    <x v="2"/>
    <n v="-1"/>
    <n v="2"/>
    <m/>
    <x v="1"/>
    <n v="1"/>
    <s v="HH20230503 T3586118581 No Limit Hold'em $0.92 + $0.08.txt"/>
  </r>
  <r>
    <n v="547"/>
    <n v="10.780000000000001"/>
    <s v="03.05.2023"/>
    <n v="3"/>
    <x v="4"/>
    <x v="0"/>
    <x v="2"/>
    <n v="-1"/>
    <m/>
    <m/>
    <x v="2"/>
    <n v="-1"/>
    <s v="HH20230503 T3586121001 No Limit Hold'em $0.92 + $0.08.txt"/>
  </r>
  <r>
    <n v="548"/>
    <n v="9.7800000000000011"/>
    <s v="04.05.2023"/>
    <n v="4"/>
    <x v="4"/>
    <x v="0"/>
    <x v="2"/>
    <n v="-1"/>
    <m/>
    <m/>
    <x v="2"/>
    <n v="-1"/>
    <s v="HH20230504 T3586526391 No Limit Hold'em $0.92 + $0.08.txt"/>
  </r>
  <r>
    <n v="549"/>
    <n v="11.780000000000001"/>
    <s v="04.05.2023"/>
    <n v="4"/>
    <x v="4"/>
    <x v="0"/>
    <x v="2"/>
    <n v="-1"/>
    <n v="3"/>
    <m/>
    <x v="1"/>
    <n v="2"/>
    <s v="HH20230504 T3586528917 No Limit Hold'em $0.92 + $0.08.txt"/>
  </r>
  <r>
    <n v="550"/>
    <n v="13.780000000000001"/>
    <s v="04.05.2023"/>
    <n v="4"/>
    <x v="4"/>
    <x v="0"/>
    <x v="2"/>
    <n v="-1"/>
    <n v="3"/>
    <m/>
    <x v="1"/>
    <n v="2"/>
    <s v="HH20230504 T3586601146 No Limit Hold'em $0.92 + $0.08.txt"/>
  </r>
  <r>
    <n v="551"/>
    <n v="12.780000000000001"/>
    <s v="04.05.2023"/>
    <n v="4"/>
    <x v="4"/>
    <x v="0"/>
    <x v="2"/>
    <n v="-1"/>
    <m/>
    <m/>
    <x v="2"/>
    <n v="-1"/>
    <s v="HH20230504 T3586606430 No Limit Hold'em $0.92 + $0.08.txt"/>
  </r>
  <r>
    <n v="552"/>
    <n v="14.780000000000001"/>
    <s v="04.05.2023"/>
    <n v="4"/>
    <x v="4"/>
    <x v="0"/>
    <x v="2"/>
    <n v="-1"/>
    <n v="3"/>
    <m/>
    <x v="1"/>
    <n v="2"/>
    <s v="HH20230504 T3586609236 No Limit Hold'em $0.92 + $0.08.txt"/>
  </r>
  <r>
    <n v="553"/>
    <n v="16.78"/>
    <s v="04.05.2023"/>
    <n v="4"/>
    <x v="4"/>
    <x v="0"/>
    <x v="2"/>
    <n v="-1"/>
    <n v="3"/>
    <m/>
    <x v="1"/>
    <n v="2"/>
    <s v="HH20230504 T3586615434 No Limit Hold'em $0.92 + $0.08.txt"/>
  </r>
  <r>
    <n v="554"/>
    <n v="18.78"/>
    <s v="26.05.2023"/>
    <n v="26"/>
    <x v="4"/>
    <x v="0"/>
    <x v="2"/>
    <n v="-1"/>
    <n v="3"/>
    <m/>
    <x v="1"/>
    <n v="2"/>
    <s v="HH20230526 T3596208328 No Limit Hold'em $0.92 + $0.08.txt"/>
  </r>
  <r>
    <n v="555"/>
    <n v="17.78"/>
    <s v="26.05.2023"/>
    <n v="26"/>
    <x v="4"/>
    <x v="0"/>
    <x v="2"/>
    <n v="-1"/>
    <m/>
    <m/>
    <x v="2"/>
    <n v="-1"/>
    <s v="HH20230526 T3596211060 No Limit Hold'em $0.92 + $0.08.txt"/>
  </r>
  <r>
    <n v="556"/>
    <n v="19.78"/>
    <s v="26.05.2023"/>
    <n v="26"/>
    <x v="4"/>
    <x v="0"/>
    <x v="2"/>
    <n v="-1"/>
    <n v="3"/>
    <m/>
    <x v="1"/>
    <n v="2"/>
    <s v="HH20230526 T3596230785 No Limit Hold'em $0.92 + $0.08.txt"/>
  </r>
  <r>
    <n v="557"/>
    <n v="18.78"/>
    <s v="26.05.2023"/>
    <n v="26"/>
    <x v="4"/>
    <x v="0"/>
    <x v="2"/>
    <n v="-1"/>
    <m/>
    <m/>
    <x v="2"/>
    <n v="-1"/>
    <s v="HH20230526 T3596293925 No Limit Hold'em $0.92 + $0.08.txt"/>
  </r>
  <r>
    <n v="558"/>
    <n v="17.78"/>
    <s v="27.05.2023"/>
    <n v="27"/>
    <x v="4"/>
    <x v="0"/>
    <x v="2"/>
    <n v="-1"/>
    <m/>
    <m/>
    <x v="2"/>
    <n v="-1"/>
    <s v="HH20230527 T3596671415 No Limit Hold'em $0.92 + $0.08.txt"/>
  </r>
  <r>
    <n v="559"/>
    <n v="16.78"/>
    <s v="27.05.2023"/>
    <n v="27"/>
    <x v="4"/>
    <x v="0"/>
    <x v="2"/>
    <n v="-1"/>
    <m/>
    <m/>
    <x v="2"/>
    <n v="-1"/>
    <s v="HH20230527 T3596710081 No Limit Hold'em $0.92 + $0.08.txt"/>
  </r>
  <r>
    <n v="560"/>
    <n v="15.780000000000001"/>
    <s v="27.05.2023"/>
    <n v="27"/>
    <x v="4"/>
    <x v="0"/>
    <x v="2"/>
    <n v="-1"/>
    <m/>
    <m/>
    <x v="2"/>
    <n v="-1"/>
    <s v="HH20230527 T3596711169 No Limit Hold'em $0.92 + $0.08.txt"/>
  </r>
  <r>
    <n v="561"/>
    <n v="14.780000000000001"/>
    <s v="27.05.2023"/>
    <n v="27"/>
    <x v="4"/>
    <x v="0"/>
    <x v="2"/>
    <n v="-1"/>
    <m/>
    <m/>
    <x v="2"/>
    <n v="-1"/>
    <s v="HH20230527 T3596713912 No Limit Hold'em $0.92 + $0.08.txt"/>
  </r>
  <r>
    <n v="562"/>
    <n v="15.780000000000001"/>
    <s v="27.05.2023"/>
    <n v="27"/>
    <x v="4"/>
    <x v="0"/>
    <x v="2"/>
    <n v="-1"/>
    <n v="2"/>
    <m/>
    <x v="1"/>
    <n v="1"/>
    <s v="HH20230527 T3596728892 No Limit Hold'em $0.92 + $0.08.txt"/>
  </r>
  <r>
    <n v="563"/>
    <n v="16.78"/>
    <s v="27.05.2023"/>
    <n v="27"/>
    <x v="4"/>
    <x v="0"/>
    <x v="2"/>
    <n v="-1"/>
    <n v="2"/>
    <m/>
    <x v="1"/>
    <n v="1"/>
    <s v="HH20230527 T3596832727 No Limit Hold'em $0.92 + $0.08.txt"/>
  </r>
  <r>
    <n v="564"/>
    <n v="17.78"/>
    <s v="28.05.2023"/>
    <n v="28"/>
    <x v="4"/>
    <x v="0"/>
    <x v="2"/>
    <n v="-1"/>
    <n v="2"/>
    <m/>
    <x v="1"/>
    <n v="1"/>
    <s v="HH20230528 T3597084493 No Limit Hold'em $0.92 + $0.08.txt"/>
  </r>
  <r>
    <n v="565"/>
    <n v="16.78"/>
    <s v="28.05.2023"/>
    <n v="28"/>
    <x v="4"/>
    <x v="0"/>
    <x v="2"/>
    <n v="-1"/>
    <m/>
    <m/>
    <x v="2"/>
    <n v="-1"/>
    <s v="HH20230528 T3597085800 No Limit Hold'em $0.92 + $0.08.txt"/>
  </r>
  <r>
    <n v="566"/>
    <n v="15.780000000000001"/>
    <s v="28.05.2023"/>
    <n v="28"/>
    <x v="4"/>
    <x v="0"/>
    <x v="2"/>
    <n v="-1"/>
    <m/>
    <m/>
    <x v="2"/>
    <n v="-1"/>
    <s v="HH20230528 T3597087074 No Limit Hold'em $0.92 + $0.08.txt"/>
  </r>
  <r>
    <n v="567"/>
    <n v="14.780000000000001"/>
    <s v="28.05.2023"/>
    <n v="28"/>
    <x v="4"/>
    <x v="0"/>
    <x v="2"/>
    <n v="-1"/>
    <m/>
    <m/>
    <x v="2"/>
    <n v="-1"/>
    <s v="HH20230528 T3597087991 No Limit Hold'em $0.92 + $0.08.txt"/>
  </r>
  <r>
    <n v="568"/>
    <n v="13.780000000000001"/>
    <s v="28.05.2023"/>
    <n v="28"/>
    <x v="4"/>
    <x v="0"/>
    <x v="2"/>
    <n v="-1"/>
    <m/>
    <m/>
    <x v="2"/>
    <n v="-1"/>
    <s v="HH20230528 T3597088987 No Limit Hold'em $0.92 + $0.08.txt"/>
  </r>
  <r>
    <n v="569"/>
    <n v="12.780000000000001"/>
    <s v="28.05.2023"/>
    <n v="28"/>
    <x v="4"/>
    <x v="0"/>
    <x v="2"/>
    <n v="-1"/>
    <m/>
    <m/>
    <x v="2"/>
    <n v="-1"/>
    <s v="HH20230528 T3597090619 No Limit Hold'em $0.92 + $0.08.txt"/>
  </r>
  <r>
    <n v="570"/>
    <n v="13.780000000000001"/>
    <s v="28.05.2023"/>
    <n v="28"/>
    <x v="4"/>
    <x v="0"/>
    <x v="2"/>
    <n v="-1"/>
    <n v="2"/>
    <m/>
    <x v="1"/>
    <n v="1"/>
    <s v="HH20230528 T3597091968 No Limit Hold'em $0.92 + $0.08.txt"/>
  </r>
  <r>
    <n v="571"/>
    <n v="12.780000000000001"/>
    <s v="28.05.2023"/>
    <n v="28"/>
    <x v="4"/>
    <x v="0"/>
    <x v="2"/>
    <n v="-1"/>
    <m/>
    <m/>
    <x v="2"/>
    <n v="-1"/>
    <s v="HH20230528 T3597093243 No Limit Hold'em $0.92 + $0.08.txt"/>
  </r>
  <r>
    <n v="572"/>
    <n v="11.780000000000001"/>
    <s v="28.05.2023"/>
    <n v="28"/>
    <x v="4"/>
    <x v="0"/>
    <x v="2"/>
    <n v="-1"/>
    <m/>
    <m/>
    <x v="2"/>
    <n v="-1"/>
    <s v="HH20230528 T3597094757 No Limit Hold'em $0.92 + $0.08.txt"/>
  </r>
  <r>
    <n v="573"/>
    <n v="0.78000000000000114"/>
    <s v="28.05.2023"/>
    <n v="28"/>
    <x v="4"/>
    <x v="0"/>
    <x v="5"/>
    <n v="-11"/>
    <m/>
    <m/>
    <x v="2"/>
    <n v="-1"/>
    <s v="HH20230528 T3593289165 No Limit Hold'em $9.80 + $1.20.txt"/>
  </r>
  <r>
    <n v="574"/>
    <n v="28.380000000000003"/>
    <s v="28.05.2023"/>
    <n v="28"/>
    <x v="4"/>
    <x v="0"/>
    <x v="1"/>
    <m/>
    <n v="27.6"/>
    <m/>
    <x v="0"/>
    <m/>
    <m/>
  </r>
  <r>
    <n v="575"/>
    <n v="27.380000000000003"/>
    <s v="29.05.2023"/>
    <n v="29"/>
    <x v="4"/>
    <x v="0"/>
    <x v="2"/>
    <n v="-1"/>
    <m/>
    <m/>
    <x v="2"/>
    <n v="-1"/>
    <s v="HH20230529 T3597560818 No Limit Hold'em $0.92 + $0.08.txt"/>
  </r>
  <r>
    <n v="576"/>
    <n v="26.380000000000003"/>
    <s v="29.05.2023"/>
    <n v="29"/>
    <x v="4"/>
    <x v="0"/>
    <x v="2"/>
    <n v="-1"/>
    <m/>
    <m/>
    <x v="2"/>
    <n v="-1"/>
    <s v="HH20230529 T3597563243 No Limit Hold'em $0.92 + $0.08.txt"/>
  </r>
  <r>
    <n v="577"/>
    <n v="25.380000000000003"/>
    <s v="29.05.2023"/>
    <n v="29"/>
    <x v="4"/>
    <x v="0"/>
    <x v="2"/>
    <n v="-1"/>
    <m/>
    <m/>
    <x v="2"/>
    <n v="-1"/>
    <s v="HH20230529 T3597563957 No Limit Hold'em $0.92 + $0.08.txt"/>
  </r>
  <r>
    <n v="578"/>
    <n v="27.380000000000003"/>
    <s v="29.05.2023"/>
    <n v="29"/>
    <x v="4"/>
    <x v="0"/>
    <x v="2"/>
    <n v="-1"/>
    <n v="3"/>
    <m/>
    <x v="1"/>
    <n v="2"/>
    <s v="HH20230529 T3597565951 No Limit Hold'em $0.92 + $0.08.txt"/>
  </r>
  <r>
    <n v="579"/>
    <n v="29.380000000000003"/>
    <s v="29.05.2023"/>
    <n v="29"/>
    <x v="4"/>
    <x v="0"/>
    <x v="2"/>
    <n v="-1"/>
    <n v="3"/>
    <m/>
    <x v="1"/>
    <n v="2"/>
    <s v="HH20230529 T3597620745 No Limit Hold'em $0.92 + $0.08.txt"/>
  </r>
  <r>
    <n v="580"/>
    <n v="28.380000000000003"/>
    <s v="29.05.2023"/>
    <n v="29"/>
    <x v="4"/>
    <x v="0"/>
    <x v="2"/>
    <n v="-1"/>
    <m/>
    <m/>
    <x v="2"/>
    <n v="-1"/>
    <s v="HH20230529 T3597625991 No Limit Hold'em $0.92 + $0.08.txt"/>
  </r>
  <r>
    <n v="581"/>
    <n v="27.380000000000003"/>
    <s v="29.05.2023"/>
    <n v="29"/>
    <x v="4"/>
    <x v="0"/>
    <x v="2"/>
    <n v="-1"/>
    <m/>
    <m/>
    <x v="2"/>
    <n v="-1"/>
    <s v="HH20230529 T3597724636 No Limit Hold'em $0.92 + $0.08.txt"/>
  </r>
  <r>
    <n v="582"/>
    <n v="26.380000000000003"/>
    <s v="30.05.2023"/>
    <n v="30"/>
    <x v="4"/>
    <x v="0"/>
    <x v="2"/>
    <n v="-1"/>
    <m/>
    <m/>
    <x v="2"/>
    <n v="-1"/>
    <s v="HH20230530 T3598055305 No Limit Hold'em $0.92 + $0.08.txt"/>
  </r>
  <r>
    <n v="583"/>
    <n v="25.380000000000003"/>
    <s v="30.05.2023"/>
    <n v="30"/>
    <x v="4"/>
    <x v="0"/>
    <x v="2"/>
    <n v="-1"/>
    <m/>
    <m/>
    <x v="2"/>
    <n v="-1"/>
    <s v="HH20230530 T3598057371 No Limit Hold'em $0.92 + $0.08.txt"/>
  </r>
  <r>
    <n v="584"/>
    <n v="24.380000000000003"/>
    <s v="30.05.2023"/>
    <n v="30"/>
    <x v="4"/>
    <x v="0"/>
    <x v="2"/>
    <n v="-1"/>
    <m/>
    <m/>
    <x v="2"/>
    <n v="-1"/>
    <s v="HH20230530 T3598111514 No Limit Hold'em $0.92 + $0.08.txt"/>
  </r>
  <r>
    <n v="585"/>
    <n v="23.380000000000003"/>
    <s v="30.05.2023"/>
    <n v="30"/>
    <x v="4"/>
    <x v="0"/>
    <x v="2"/>
    <n v="-1"/>
    <m/>
    <m/>
    <x v="2"/>
    <n v="-1"/>
    <s v="HH20230530 T3598116113 No Limit Hold'em $0.92 + $0.08.txt"/>
  </r>
  <r>
    <n v="586"/>
    <n v="22.380000000000003"/>
    <s v="30.05.2023"/>
    <n v="30"/>
    <x v="4"/>
    <x v="0"/>
    <x v="2"/>
    <n v="-1"/>
    <m/>
    <m/>
    <x v="2"/>
    <n v="-1"/>
    <s v="HH20230530 T3598119432 No Limit Hold'em $0.92 + $0.08.txt"/>
  </r>
  <r>
    <n v="587"/>
    <n v="21.380000000000003"/>
    <s v="30.05.2023"/>
    <n v="30"/>
    <x v="4"/>
    <x v="0"/>
    <x v="2"/>
    <n v="-1"/>
    <m/>
    <m/>
    <x v="2"/>
    <n v="-1"/>
    <s v="HH20230530 T3598121418 No Limit Hold'em $0.92 + $0.08.txt"/>
  </r>
  <r>
    <n v="588"/>
    <n v="23.380000000000003"/>
    <s v="30.05.2023"/>
    <n v="30"/>
    <x v="4"/>
    <x v="0"/>
    <x v="2"/>
    <n v="-1"/>
    <n v="3"/>
    <m/>
    <x v="1"/>
    <n v="2"/>
    <s v="HH20230530 T3598123436 No Limit Hold'em $0.92 + $0.08.txt"/>
  </r>
  <r>
    <n v="589"/>
    <n v="24.380000000000003"/>
    <s v="30.05.2023"/>
    <n v="30"/>
    <x v="4"/>
    <x v="0"/>
    <x v="2"/>
    <n v="-1"/>
    <n v="2"/>
    <m/>
    <x v="1"/>
    <n v="1"/>
    <s v="HH20230530 T3598126128 No Limit Hold'em $0.92 + $0.08.txt"/>
  </r>
  <r>
    <n v="590"/>
    <n v="25.380000000000003"/>
    <s v="31.05.2023"/>
    <n v="31"/>
    <x v="4"/>
    <x v="0"/>
    <x v="2"/>
    <n v="-1"/>
    <n v="2"/>
    <m/>
    <x v="1"/>
    <n v="1"/>
    <s v="HH20230531 T3598469886 No Limit Hold'em $0.92 + $0.08.txt"/>
  </r>
  <r>
    <n v="591"/>
    <n v="26.380000000000003"/>
    <s v="31.05.2023"/>
    <n v="31"/>
    <x v="4"/>
    <x v="0"/>
    <x v="2"/>
    <n v="-1"/>
    <n v="2"/>
    <m/>
    <x v="1"/>
    <n v="1"/>
    <s v="HH20230531 T3598514310 No Limit Hold'em $0.92 + $0.08.txt"/>
  </r>
  <r>
    <n v="592"/>
    <n v="25.380000000000003"/>
    <s v="31.05.2023"/>
    <n v="31"/>
    <x v="4"/>
    <x v="0"/>
    <x v="2"/>
    <n v="-1"/>
    <m/>
    <m/>
    <x v="2"/>
    <n v="-1"/>
    <s v="HH20230531 T3598518807 No Limit Hold'em $0.92 + $0.08.txt"/>
  </r>
  <r>
    <n v="593"/>
    <n v="24.380000000000003"/>
    <s v="31.05.2023"/>
    <n v="31"/>
    <x v="4"/>
    <x v="0"/>
    <x v="2"/>
    <n v="-1"/>
    <m/>
    <m/>
    <x v="2"/>
    <n v="-1"/>
    <s v="HH20230531 T3598522027 No Limit Hold'em $0.92 + $0.08.txt"/>
  </r>
  <r>
    <n v="594"/>
    <n v="23.380000000000003"/>
    <s v="31.05.2023"/>
    <n v="31"/>
    <x v="4"/>
    <x v="0"/>
    <x v="2"/>
    <n v="-1"/>
    <m/>
    <m/>
    <x v="2"/>
    <n v="-1"/>
    <s v="HH20230531 T3598524561 No Limit Hold'em $0.92 + $0.08.txt"/>
  </r>
  <r>
    <n v="595"/>
    <n v="25.380000000000003"/>
    <s v="31.05.2023"/>
    <n v="31"/>
    <x v="4"/>
    <x v="0"/>
    <x v="2"/>
    <n v="-1"/>
    <n v="3"/>
    <m/>
    <x v="1"/>
    <n v="2"/>
    <s v="HH20230531 T3598527743 No Limit Hold'em $0.92 + $0.08.txt"/>
  </r>
  <r>
    <n v="596"/>
    <n v="27.380000000000003"/>
    <s v="01.06.2023"/>
    <n v="1"/>
    <x v="5"/>
    <x v="0"/>
    <x v="2"/>
    <n v="-1"/>
    <n v="3"/>
    <m/>
    <x v="1"/>
    <n v="2"/>
    <s v="HH20230601 T3598748333 No Limit Hold'em $0.92 + $0.08.txt"/>
  </r>
  <r>
    <n v="597"/>
    <n v="26.380000000000003"/>
    <s v="01.06.2023"/>
    <n v="1"/>
    <x v="5"/>
    <x v="0"/>
    <x v="2"/>
    <n v="-1"/>
    <m/>
    <m/>
    <x v="2"/>
    <n v="-1"/>
    <s v="HH20230601 T3598774690 No Limit Hold'em $0.92 + $0.08.txt"/>
  </r>
  <r>
    <n v="598"/>
    <n v="25.380000000000003"/>
    <s v="01.06.2023"/>
    <n v="1"/>
    <x v="5"/>
    <x v="0"/>
    <x v="2"/>
    <n v="-1"/>
    <m/>
    <m/>
    <x v="2"/>
    <n v="-1"/>
    <s v="HH20230601 T3598777281 No Limit Hold'em $0.92 + $0.08.txt"/>
  </r>
  <r>
    <n v="599"/>
    <n v="24.380000000000003"/>
    <s v="01.06.2023"/>
    <n v="1"/>
    <x v="5"/>
    <x v="0"/>
    <x v="2"/>
    <n v="-1"/>
    <m/>
    <m/>
    <x v="2"/>
    <n v="-1"/>
    <s v="HH20230601 T3598805519 No Limit Hold'em $0.92 + $0.08.txt"/>
  </r>
  <r>
    <n v="600"/>
    <n v="23.380000000000003"/>
    <s v="01.06.2023"/>
    <n v="1"/>
    <x v="5"/>
    <x v="0"/>
    <x v="2"/>
    <n v="-1"/>
    <m/>
    <m/>
    <x v="2"/>
    <n v="-1"/>
    <s v="HH20230601 T3598807655 No Limit Hold'em $0.92 + $0.08.txt"/>
  </r>
  <r>
    <n v="601"/>
    <n v="22.380000000000003"/>
    <s v="01.06.2023"/>
    <n v="1"/>
    <x v="5"/>
    <x v="0"/>
    <x v="2"/>
    <n v="-1"/>
    <m/>
    <m/>
    <x v="2"/>
    <n v="-1"/>
    <s v="HH20230601 T3598810612 No Limit Hold'em $0.92 + $0.08.txt"/>
  </r>
  <r>
    <n v="602"/>
    <n v="21.380000000000003"/>
    <s v="01.06.2023"/>
    <n v="1"/>
    <x v="5"/>
    <x v="0"/>
    <x v="2"/>
    <n v="-1"/>
    <m/>
    <m/>
    <x v="2"/>
    <n v="-1"/>
    <s v="HH20230601 T3598814479 No Limit Hold'em $0.92 + $0.08.txt"/>
  </r>
  <r>
    <n v="603"/>
    <n v="20.380000000000003"/>
    <s v="01.06.2023"/>
    <n v="1"/>
    <x v="5"/>
    <x v="0"/>
    <x v="2"/>
    <n v="-1"/>
    <m/>
    <m/>
    <x v="2"/>
    <n v="-1"/>
    <s v="HH20230601 T3598816269 No Limit Hold'em $0.92 + $0.08.txt"/>
  </r>
  <r>
    <n v="604"/>
    <n v="19.380000000000003"/>
    <s v="01.06.2023"/>
    <n v="1"/>
    <x v="5"/>
    <x v="0"/>
    <x v="2"/>
    <n v="-1"/>
    <m/>
    <m/>
    <x v="2"/>
    <n v="-1"/>
    <s v="HH20230601 T3598847719 No Limit Hold'em $0.92 + $0.08.txt"/>
  </r>
  <r>
    <n v="605"/>
    <n v="18.380000000000003"/>
    <s v="01.06.2023"/>
    <n v="1"/>
    <x v="5"/>
    <x v="0"/>
    <x v="2"/>
    <n v="-1"/>
    <m/>
    <m/>
    <x v="2"/>
    <n v="-1"/>
    <s v="HH20230601 T3598850663 No Limit Hold'em $0.92 + $0.08.txt"/>
  </r>
  <r>
    <n v="606"/>
    <n v="19.380000000000003"/>
    <s v="01.06.2023"/>
    <n v="1"/>
    <x v="5"/>
    <x v="0"/>
    <x v="2"/>
    <n v="-1"/>
    <n v="2"/>
    <m/>
    <x v="1"/>
    <n v="1"/>
    <s v="HH20230601 T3598854905 No Limit Hold'em $0.92 + $0.08.txt"/>
  </r>
  <r>
    <n v="607"/>
    <n v="18.380000000000003"/>
    <s v="01.06.2023"/>
    <n v="1"/>
    <x v="5"/>
    <x v="0"/>
    <x v="2"/>
    <n v="-1"/>
    <m/>
    <m/>
    <x v="2"/>
    <n v="-1"/>
    <s v="HH20230601 T3598856380 No Limit Hold'em $0.92 + $0.08.txt"/>
  </r>
  <r>
    <n v="608"/>
    <n v="20.380000000000003"/>
    <s v="01.06.2023"/>
    <n v="1"/>
    <x v="5"/>
    <x v="0"/>
    <x v="2"/>
    <n v="-1"/>
    <n v="3"/>
    <m/>
    <x v="1"/>
    <n v="2"/>
    <s v="HH20230601 T3598859868 No Limit Hold'em $0.92 + $0.08.txt"/>
  </r>
  <r>
    <n v="609"/>
    <n v="19.380000000000003"/>
    <s v="01.06.2023"/>
    <n v="1"/>
    <x v="5"/>
    <x v="0"/>
    <x v="2"/>
    <n v="-1"/>
    <m/>
    <m/>
    <x v="2"/>
    <n v="-1"/>
    <s v="HH20230601 T3598861960 No Limit Hold'em $0.92 + $0.08.txt"/>
  </r>
  <r>
    <n v="610"/>
    <n v="20.380000000000003"/>
    <s v="01.06.2023"/>
    <n v="1"/>
    <x v="5"/>
    <x v="0"/>
    <x v="2"/>
    <n v="-1"/>
    <n v="2"/>
    <m/>
    <x v="1"/>
    <n v="1"/>
    <s v="HH20230601 T3598863308 No Limit Hold'em $0.92 + $0.08.txt"/>
  </r>
  <r>
    <n v="611"/>
    <n v="19.380000000000003"/>
    <s v="01.06.2023"/>
    <n v="1"/>
    <x v="5"/>
    <x v="0"/>
    <x v="2"/>
    <n v="-1"/>
    <m/>
    <m/>
    <x v="2"/>
    <n v="-1"/>
    <s v="HH20230601 T3598866622 No Limit Hold'em $0.92 + $0.08.txt"/>
  </r>
  <r>
    <n v="612"/>
    <n v="18.380000000000003"/>
    <s v="01.06.2023"/>
    <n v="1"/>
    <x v="5"/>
    <x v="0"/>
    <x v="2"/>
    <n v="-1"/>
    <m/>
    <m/>
    <x v="2"/>
    <n v="-1"/>
    <s v="HH20230601 T3598867483 No Limit Hold'em $0.92 + $0.08.txt"/>
  </r>
  <r>
    <n v="613"/>
    <n v="17.380000000000003"/>
    <s v="01.06.2023"/>
    <n v="1"/>
    <x v="5"/>
    <x v="0"/>
    <x v="2"/>
    <n v="-1"/>
    <m/>
    <m/>
    <x v="2"/>
    <n v="-1"/>
    <s v="HH20230601 T3598932254 No Limit Hold'em $0.92 + $0.08.txt"/>
  </r>
  <r>
    <n v="614"/>
    <n v="18.380000000000003"/>
    <s v="01.06.2023"/>
    <n v="1"/>
    <x v="5"/>
    <x v="0"/>
    <x v="2"/>
    <n v="-1"/>
    <n v="2"/>
    <m/>
    <x v="1"/>
    <n v="1"/>
    <s v="HH20230601 T3598935624 No Limit Hold'em $0.92 + $0.08.txt"/>
  </r>
  <r>
    <n v="615"/>
    <n v="17.380000000000003"/>
    <s v="01.06.2023"/>
    <n v="1"/>
    <x v="5"/>
    <x v="0"/>
    <x v="2"/>
    <n v="-1"/>
    <m/>
    <m/>
    <x v="2"/>
    <n v="-1"/>
    <s v="HH20230601 T3598938797 No Limit Hold'em $0.92 + $0.08.txt"/>
  </r>
  <r>
    <n v="616"/>
    <n v="18.380000000000003"/>
    <s v="01.06.2023"/>
    <n v="1"/>
    <x v="5"/>
    <x v="0"/>
    <x v="2"/>
    <n v="-1"/>
    <n v="2"/>
    <m/>
    <x v="1"/>
    <n v="1"/>
    <s v="HH20230601 T3598941675 No Limit Hold'em $0.92 + $0.08.txt"/>
  </r>
  <r>
    <n v="617"/>
    <n v="16.580000000000002"/>
    <s v="02.06.2023"/>
    <n v="2"/>
    <x v="5"/>
    <x v="0"/>
    <x v="3"/>
    <n v="-3.3"/>
    <m/>
    <n v="1.5"/>
    <x v="2"/>
    <n v="-0.54545454545454541"/>
    <s v="HH20230602 T3598363515 No Limit Hold'em $2.94 + $0.36.txt"/>
  </r>
  <r>
    <n v="618"/>
    <n v="15.580000000000002"/>
    <s v="03.06.2023"/>
    <n v="3"/>
    <x v="5"/>
    <x v="0"/>
    <x v="2"/>
    <n v="-1"/>
    <m/>
    <m/>
    <x v="2"/>
    <n v="-1"/>
    <s v="HH20230603 T3599821427 No Limit Hold'em $0.92 + $0.08.txt"/>
  </r>
  <r>
    <n v="619"/>
    <n v="17.080000000000002"/>
    <s v="03.06.2023"/>
    <n v="3"/>
    <x v="5"/>
    <x v="0"/>
    <x v="2"/>
    <n v="-1.5"/>
    <n v="3"/>
    <m/>
    <x v="1"/>
    <n v="1"/>
    <s v="HH20230603 T3599823754 No Limit Hold'em $1.38 + $0.12.txt"/>
  </r>
  <r>
    <n v="620"/>
    <n v="18.580000000000002"/>
    <s v="03.06.2023"/>
    <n v="3"/>
    <x v="5"/>
    <x v="0"/>
    <x v="2"/>
    <n v="-1.5"/>
    <n v="3"/>
    <m/>
    <x v="1"/>
    <n v="1"/>
    <s v="HH20230603 T3599827868 No Limit Hold'em $1.38 + $0.12.txt"/>
  </r>
  <r>
    <n v="621"/>
    <n v="17.080000000000002"/>
    <s v="03.06.2023"/>
    <n v="3"/>
    <x v="5"/>
    <x v="0"/>
    <x v="2"/>
    <n v="-1.5"/>
    <m/>
    <m/>
    <x v="2"/>
    <n v="-1"/>
    <s v="HH20230603 T3599831744 No Limit Hold'em $1.38 + $0.12.txt"/>
  </r>
  <r>
    <n v="622"/>
    <n v="15.580000000000002"/>
    <s v="03.06.2023"/>
    <n v="3"/>
    <x v="5"/>
    <x v="0"/>
    <x v="2"/>
    <n v="-1.5"/>
    <m/>
    <m/>
    <x v="2"/>
    <n v="-1"/>
    <s v="HH20230603 T3599833085 No Limit Hold'em $1.38 + $0.12.txt"/>
  </r>
  <r>
    <n v="623"/>
    <n v="14.080000000000002"/>
    <s v="03.06.2023"/>
    <n v="3"/>
    <x v="5"/>
    <x v="0"/>
    <x v="2"/>
    <n v="-1.5"/>
    <m/>
    <m/>
    <x v="2"/>
    <n v="-1"/>
    <s v="HH20230603 T3599836259 No Limit Hold'em $1.38 + $0.12.txt"/>
  </r>
  <r>
    <n v="624"/>
    <n v="12.580000000000002"/>
    <s v="03.06.2023"/>
    <n v="3"/>
    <x v="5"/>
    <x v="0"/>
    <x v="2"/>
    <n v="-1.5"/>
    <m/>
    <m/>
    <x v="2"/>
    <n v="-1"/>
    <s v="HH20230603 T3599838866 No Limit Hold'em $1.38 + $0.12.txt"/>
  </r>
  <r>
    <n v="625"/>
    <n v="14.080000000000002"/>
    <s v="03.06.2023"/>
    <n v="3"/>
    <x v="5"/>
    <x v="0"/>
    <x v="2"/>
    <n v="-1.5"/>
    <n v="3"/>
    <m/>
    <x v="1"/>
    <n v="1"/>
    <s v="HH20230603 T3599840738 No Limit Hold'em $1.38 + $0.12.txt"/>
  </r>
  <r>
    <n v="626"/>
    <n v="12.580000000000002"/>
    <s v="04.06.2023"/>
    <n v="4"/>
    <x v="5"/>
    <x v="0"/>
    <x v="2"/>
    <n v="-1.5"/>
    <m/>
    <m/>
    <x v="2"/>
    <n v="-1"/>
    <s v="HH20230604 T3600205944 No Limit Hold'em $1.38 + $0.12.txt"/>
  </r>
  <r>
    <n v="627"/>
    <n v="11.080000000000002"/>
    <s v="04.06.2023"/>
    <n v="4"/>
    <x v="5"/>
    <x v="0"/>
    <x v="2"/>
    <n v="-1.5"/>
    <m/>
    <m/>
    <x v="2"/>
    <n v="-1"/>
    <s v="HH20230604 T3600208237 No Limit Hold'em $1.38 + $0.12.txt"/>
  </r>
  <r>
    <n v="628"/>
    <n v="8.0000000000001847E-2"/>
    <s v="04.06.2023"/>
    <n v="4"/>
    <x v="5"/>
    <x v="0"/>
    <x v="5"/>
    <n v="-11"/>
    <m/>
    <m/>
    <x v="2"/>
    <n v="-1"/>
    <s v="HH20230604 T3596322763 No Limit Hold'em $9.80 + $1.20.txt"/>
  </r>
  <r>
    <n v="629"/>
    <n v="27.580000000000002"/>
    <s v="04.06.2023"/>
    <n v="4"/>
    <x v="5"/>
    <x v="0"/>
    <x v="1"/>
    <m/>
    <n v="27.5"/>
    <m/>
    <x v="0"/>
    <m/>
    <m/>
  </r>
  <r>
    <n v="630"/>
    <n v="26.080000000000002"/>
    <s v="05.06.2023"/>
    <n v="5"/>
    <x v="5"/>
    <x v="0"/>
    <x v="2"/>
    <n v="-1.5"/>
    <m/>
    <m/>
    <x v="2"/>
    <n v="-1"/>
    <s v="HH20230605 T3600593498 No Limit Hold'em $1.38 + $0.12.txt"/>
  </r>
  <r>
    <n v="631"/>
    <n v="25.080000000000002"/>
    <s v="05.06.2023"/>
    <n v="5"/>
    <x v="5"/>
    <x v="0"/>
    <x v="2"/>
    <n v="-1"/>
    <m/>
    <m/>
    <x v="2"/>
    <n v="-1"/>
    <s v="HH20230605 T3600595790 No Limit Hold'em $0.92 + $0.08.txt"/>
  </r>
  <r>
    <n v="632"/>
    <n v="26.080000000000002"/>
    <s v="05.06.2023"/>
    <n v="5"/>
    <x v="5"/>
    <x v="0"/>
    <x v="2"/>
    <n v="-1"/>
    <n v="2"/>
    <m/>
    <x v="1"/>
    <n v="1"/>
    <s v="HH20230605 T3600598680 No Limit Hold'em $0.92 + $0.08.txt"/>
  </r>
  <r>
    <n v="633"/>
    <n v="27.080000000000002"/>
    <s v="05.06.2023"/>
    <n v="5"/>
    <x v="5"/>
    <x v="0"/>
    <x v="2"/>
    <n v="-1"/>
    <n v="2"/>
    <m/>
    <x v="1"/>
    <n v="1"/>
    <s v="HH20230605 T3600599683 No Limit Hold'em $0.92 + $0.08.txt"/>
  </r>
  <r>
    <n v="634"/>
    <n v="26.080000000000002"/>
    <s v="05.06.2023"/>
    <n v="5"/>
    <x v="5"/>
    <x v="0"/>
    <x v="2"/>
    <n v="-1"/>
    <m/>
    <m/>
    <x v="2"/>
    <n v="-1"/>
    <s v="HH20230605 T3600646414 No Limit Hold'em $0.92 + $0.08.txt"/>
  </r>
  <r>
    <n v="635"/>
    <n v="25.080000000000002"/>
    <s v="06.06.2023"/>
    <n v="6"/>
    <x v="5"/>
    <x v="0"/>
    <x v="2"/>
    <n v="-1"/>
    <m/>
    <m/>
    <x v="2"/>
    <n v="-1"/>
    <s v="HH20230606 T3601015111 No Limit Hold'em $0.92 + $0.08.txt"/>
  </r>
  <r>
    <n v="636"/>
    <n v="26.080000000000002"/>
    <s v="06.06.2023"/>
    <n v="6"/>
    <x v="5"/>
    <x v="0"/>
    <x v="2"/>
    <n v="-1"/>
    <n v="2"/>
    <m/>
    <x v="1"/>
    <n v="1"/>
    <s v="HH20230606 T3601074931 No Limit Hold'em $0.92 + $0.08.txt"/>
  </r>
  <r>
    <n v="637"/>
    <n v="25.080000000000002"/>
    <s v="06.06.2023"/>
    <n v="6"/>
    <x v="5"/>
    <x v="0"/>
    <x v="2"/>
    <n v="-1"/>
    <m/>
    <m/>
    <x v="2"/>
    <n v="-1"/>
    <s v="HH20230606 T3601079888 No Limit Hold'em $0.92 + $0.08.txt"/>
  </r>
  <r>
    <n v="638"/>
    <n v="24.080000000000002"/>
    <s v="06.06.2023"/>
    <n v="6"/>
    <x v="5"/>
    <x v="0"/>
    <x v="2"/>
    <n v="-1"/>
    <m/>
    <m/>
    <x v="2"/>
    <n v="-1"/>
    <s v="HH20230606 T3601089404 No Limit Hold'em $0.92 + $0.08.txt"/>
  </r>
  <r>
    <n v="639"/>
    <n v="26.080000000000002"/>
    <s v="06.06.2023"/>
    <n v="6"/>
    <x v="5"/>
    <x v="0"/>
    <x v="2"/>
    <n v="-1"/>
    <n v="3"/>
    <m/>
    <x v="1"/>
    <n v="2"/>
    <s v="HH20230606 T3601094001 No Limit Hold'em $0.92 + $0.08.txt"/>
  </r>
  <r>
    <n v="640"/>
    <n v="27.080000000000002"/>
    <s v="07.06.2023"/>
    <n v="7"/>
    <x v="5"/>
    <x v="0"/>
    <x v="2"/>
    <n v="-1"/>
    <n v="2"/>
    <m/>
    <x v="1"/>
    <n v="1"/>
    <s v="HH20230607 T3601324337 No Limit Hold'em $0.92 + $0.08.txt"/>
  </r>
  <r>
    <n v="641"/>
    <n v="28.080000000000002"/>
    <s v="07.06.2023"/>
    <n v="7"/>
    <x v="5"/>
    <x v="0"/>
    <x v="2"/>
    <n v="-1"/>
    <n v="2"/>
    <m/>
    <x v="1"/>
    <n v="1"/>
    <s v="HH20230607 T3601338114 No Limit Hold'em $0.92 + $0.08.txt"/>
  </r>
  <r>
    <n v="642"/>
    <n v="30.080000000000002"/>
    <s v="07.06.2023"/>
    <n v="7"/>
    <x v="5"/>
    <x v="0"/>
    <x v="2"/>
    <n v="-1"/>
    <n v="3"/>
    <m/>
    <x v="1"/>
    <n v="2"/>
    <s v="HH20230607 T3601339578 No Limit Hold'em $0.92 + $0.08.txt"/>
  </r>
  <r>
    <n v="643"/>
    <n v="29.080000000000002"/>
    <s v="07.06.2023"/>
    <n v="7"/>
    <x v="5"/>
    <x v="0"/>
    <x v="2"/>
    <n v="-1"/>
    <m/>
    <m/>
    <x v="2"/>
    <n v="-1"/>
    <s v="HH20230607 T3601361519 No Limit Hold'em $0.92 + $0.08.txt"/>
  </r>
  <r>
    <n v="644"/>
    <n v="28.080000000000002"/>
    <s v="07.06.2023"/>
    <n v="7"/>
    <x v="5"/>
    <x v="0"/>
    <x v="2"/>
    <n v="-1"/>
    <m/>
    <m/>
    <x v="2"/>
    <n v="-1"/>
    <s v="HH20230607 T3601394208 No Limit Hold'em $0.92 + $0.08.txt"/>
  </r>
  <r>
    <n v="645"/>
    <n v="27.080000000000002"/>
    <s v="07.06.2023"/>
    <n v="7"/>
    <x v="5"/>
    <x v="0"/>
    <x v="2"/>
    <n v="-1"/>
    <m/>
    <m/>
    <x v="2"/>
    <n v="-1"/>
    <s v="HH20230607 T3601396908 No Limit Hold'em $0.92 + $0.08.txt"/>
  </r>
  <r>
    <n v="646"/>
    <n v="28.080000000000002"/>
    <s v="07.06.2023"/>
    <n v="7"/>
    <x v="5"/>
    <x v="0"/>
    <x v="2"/>
    <n v="-1"/>
    <n v="2"/>
    <m/>
    <x v="1"/>
    <n v="1"/>
    <s v="HH20230607 T3601398572 No Limit Hold'em $0.92 + $0.08.txt"/>
  </r>
  <r>
    <n v="647"/>
    <n v="27.080000000000002"/>
    <s v="08.06.2023"/>
    <n v="8"/>
    <x v="5"/>
    <x v="0"/>
    <x v="2"/>
    <n v="-1"/>
    <m/>
    <m/>
    <x v="2"/>
    <n v="-1"/>
    <s v="HH20230608 T3601718777 No Limit Hold'em $0.92 + $0.08.txt"/>
  </r>
  <r>
    <n v="648"/>
    <n v="26.080000000000002"/>
    <s v="08.06.2023"/>
    <n v="8"/>
    <x v="5"/>
    <x v="0"/>
    <x v="2"/>
    <n v="-1"/>
    <m/>
    <m/>
    <x v="2"/>
    <n v="-1"/>
    <s v="HH20230608 T3601720010 No Limit Hold'em $0.92 + $0.08.txt"/>
  </r>
  <r>
    <n v="649"/>
    <n v="25.080000000000002"/>
    <s v="11.06.2023"/>
    <n v="11"/>
    <x v="5"/>
    <x v="0"/>
    <x v="2"/>
    <n v="-1"/>
    <m/>
    <m/>
    <x v="2"/>
    <n v="-1"/>
    <s v="HH20230611 T3603085489 No Limit Hold'em $0.92 + $0.08.txt"/>
  </r>
  <r>
    <n v="650"/>
    <n v="24.080000000000002"/>
    <s v="11.06.2023"/>
    <n v="11"/>
    <x v="5"/>
    <x v="0"/>
    <x v="2"/>
    <n v="-1"/>
    <m/>
    <m/>
    <x v="2"/>
    <n v="-1"/>
    <s v="HH20230611 T3603106791 No Limit Hold'em $0.92 + $0.08.txt"/>
  </r>
  <r>
    <n v="651"/>
    <n v="23.080000000000002"/>
    <s v="11.06.2023"/>
    <n v="11"/>
    <x v="5"/>
    <x v="0"/>
    <x v="2"/>
    <n v="-1"/>
    <m/>
    <m/>
    <x v="2"/>
    <n v="-1"/>
    <s v="HH20230611 T3603110316 No Limit Hold'em $0.92 + $0.08.txt"/>
  </r>
  <r>
    <n v="652"/>
    <n v="24.080000000000002"/>
    <s v="11.06.2023"/>
    <n v="11"/>
    <x v="5"/>
    <x v="0"/>
    <x v="2"/>
    <n v="-1"/>
    <n v="2"/>
    <m/>
    <x v="1"/>
    <n v="1"/>
    <s v="HH20230611 T3603113852 No Limit Hold'em $0.92 + $0.08.txt"/>
  </r>
  <r>
    <n v="653"/>
    <n v="23.080000000000002"/>
    <s v="11.06.2023"/>
    <n v="11"/>
    <x v="5"/>
    <x v="0"/>
    <x v="2"/>
    <n v="-1"/>
    <m/>
    <m/>
    <x v="2"/>
    <n v="-1"/>
    <s v="HH20230611 T3603117118 No Limit Hold'em $0.92 + $0.08.txt"/>
  </r>
  <r>
    <n v="654"/>
    <n v="22.080000000000002"/>
    <s v="11.06.2023"/>
    <n v="11"/>
    <x v="5"/>
    <x v="0"/>
    <x v="2"/>
    <n v="-1"/>
    <m/>
    <m/>
    <x v="2"/>
    <n v="-1"/>
    <s v="HH20230611 T3603118699 No Limit Hold'em $0.92 + $0.08.txt"/>
  </r>
  <r>
    <n v="655"/>
    <n v="21.080000000000002"/>
    <s v="11.06.2023"/>
    <n v="11"/>
    <x v="5"/>
    <x v="0"/>
    <x v="2"/>
    <n v="-1"/>
    <m/>
    <m/>
    <x v="2"/>
    <n v="-1"/>
    <s v="HH20230611 T3603157931 No Limit Hold'em $0.92 + $0.08.txt"/>
  </r>
  <r>
    <n v="656"/>
    <n v="23.080000000000002"/>
    <s v="11.06.2023"/>
    <n v="11"/>
    <x v="5"/>
    <x v="0"/>
    <x v="2"/>
    <n v="-1"/>
    <n v="3"/>
    <m/>
    <x v="1"/>
    <n v="2"/>
    <s v="HH20230611 T3603158712 No Limit Hold'em $0.92 + $0.08.txt"/>
  </r>
  <r>
    <n v="657"/>
    <n v="12.080000000000002"/>
    <s v="11.06.2023"/>
    <n v="11"/>
    <x v="5"/>
    <x v="0"/>
    <x v="5"/>
    <n v="-11"/>
    <m/>
    <m/>
    <x v="2"/>
    <n v="-1"/>
    <s v="HH20230611 T3599285142 No Limit Hold'em $9.80 + $1.20.txt"/>
  </r>
  <r>
    <n v="658"/>
    <n v="8.7800000000000011"/>
    <s v="12.06.2023"/>
    <n v="12"/>
    <x v="5"/>
    <x v="0"/>
    <x v="3"/>
    <n v="-3.3"/>
    <m/>
    <m/>
    <x v="2"/>
    <n v="-1"/>
    <s v="HH20230612 T3602274817 No Limit Hold'em $2.94 + $0.36.txt"/>
  </r>
  <r>
    <n v="659"/>
    <n v="12.780000000000001"/>
    <s v="12.06.2023"/>
    <n v="12"/>
    <x v="5"/>
    <x v="0"/>
    <x v="2"/>
    <n v="-1"/>
    <n v="5"/>
    <m/>
    <x v="1"/>
    <n v="4"/>
    <s v="HH20230612 T3603625956 No Limit Hold'em $0.92 + $0.08.txt"/>
  </r>
  <r>
    <n v="660"/>
    <n v="9.48"/>
    <s v="13.06.2023"/>
    <n v="13"/>
    <x v="5"/>
    <x v="0"/>
    <x v="3"/>
    <n v="-3.3"/>
    <m/>
    <m/>
    <x v="2"/>
    <n v="-1"/>
    <s v="HH20230613 T3602274818 No Limit Hold'em $2.94 + $0.36.txt"/>
  </r>
  <r>
    <n v="661"/>
    <n v="8.48"/>
    <s v="13.06.2023"/>
    <n v="13"/>
    <x v="5"/>
    <x v="0"/>
    <x v="2"/>
    <n v="-1"/>
    <m/>
    <m/>
    <x v="2"/>
    <n v="-1"/>
    <s v="HH20230613 T3604072855 No Limit Hold'em $0.92 + $0.08.txt"/>
  </r>
  <r>
    <n v="662"/>
    <n v="7.48"/>
    <s v="13.06.2023"/>
    <n v="13"/>
    <x v="5"/>
    <x v="0"/>
    <x v="2"/>
    <n v="-1"/>
    <m/>
    <m/>
    <x v="2"/>
    <n v="-1"/>
    <s v="HH20230613 T3604076681 No Limit Hold'em $0.92 + $0.08.txt"/>
  </r>
  <r>
    <n v="663"/>
    <n v="6.48"/>
    <s v="13.06.2023"/>
    <n v="13"/>
    <x v="5"/>
    <x v="0"/>
    <x v="2"/>
    <n v="-1"/>
    <m/>
    <m/>
    <x v="2"/>
    <n v="-1"/>
    <s v="HH20230613 T3604079048 No Limit Hold'em $0.92 + $0.08.txt"/>
  </r>
  <r>
    <n v="664"/>
    <n v="5.48"/>
    <s v="14.06.2023"/>
    <n v="14"/>
    <x v="5"/>
    <x v="0"/>
    <x v="2"/>
    <n v="-1"/>
    <m/>
    <m/>
    <x v="2"/>
    <n v="-1"/>
    <s v="HH20230614 T3604397350 No Limit Hold'em $0.92 + $0.08.txt"/>
  </r>
  <r>
    <n v="665"/>
    <n v="6.48"/>
    <s v="14.06.2023"/>
    <n v="14"/>
    <x v="5"/>
    <x v="0"/>
    <x v="2"/>
    <n v="-1"/>
    <n v="2"/>
    <m/>
    <x v="1"/>
    <n v="1"/>
    <s v="HH20230614 T3604400391 No Limit Hold'em $0.92 + $0.08.txt"/>
  </r>
  <r>
    <n v="666"/>
    <n v="5.48"/>
    <s v="14.06.2023"/>
    <n v="14"/>
    <x v="5"/>
    <x v="0"/>
    <x v="2"/>
    <n v="-1"/>
    <m/>
    <m/>
    <x v="2"/>
    <n v="-1"/>
    <s v="HH20230614 T3604402029 No Limit Hold'em $0.92 + $0.08.txt"/>
  </r>
  <r>
    <n v="667"/>
    <n v="7.48"/>
    <s v="14.06.2023"/>
    <n v="14"/>
    <x v="5"/>
    <x v="0"/>
    <x v="2"/>
    <n v="-1"/>
    <n v="3"/>
    <m/>
    <x v="1"/>
    <n v="2"/>
    <s v="HH20230614 T3604403000 No Limit Hold'em $0.92 + $0.08.txt"/>
  </r>
  <r>
    <n v="668"/>
    <n v="6.48"/>
    <s v="16.06.2023"/>
    <n v="16"/>
    <x v="5"/>
    <x v="0"/>
    <x v="2"/>
    <n v="-1"/>
    <m/>
    <m/>
    <x v="2"/>
    <n v="-1"/>
    <s v="HH20230616 T3605068832 No Limit Hold'em $0.92 + $0.08.txt"/>
  </r>
  <r>
    <n v="669"/>
    <n v="5.48"/>
    <s v="16.06.2023"/>
    <n v="16"/>
    <x v="5"/>
    <x v="0"/>
    <x v="2"/>
    <n v="-1"/>
    <m/>
    <m/>
    <x v="2"/>
    <n v="-1"/>
    <s v="HH20230616 T3605088837 No Limit Hold'em $0.92 + $0.08.txt"/>
  </r>
  <r>
    <n v="670"/>
    <n v="4.4800000000000004"/>
    <s v="16.06.2023"/>
    <n v="16"/>
    <x v="5"/>
    <x v="0"/>
    <x v="2"/>
    <n v="-1"/>
    <m/>
    <m/>
    <x v="2"/>
    <n v="-1"/>
    <s v="HH20230616 T3605089621 No Limit Hold'em $0.92 + $0.08.txt"/>
  </r>
  <r>
    <n v="671"/>
    <n v="3.4800000000000004"/>
    <s v="16.06.2023"/>
    <n v="16"/>
    <x v="5"/>
    <x v="0"/>
    <x v="2"/>
    <n v="-1"/>
    <m/>
    <m/>
    <x v="2"/>
    <n v="-1"/>
    <s v="HH20230616 T3605091059 No Limit Hold'em $0.92 + $0.08.txt"/>
  </r>
  <r>
    <n v="672"/>
    <n v="2.4800000000000004"/>
    <s v="16.06.2023"/>
    <n v="16"/>
    <x v="5"/>
    <x v="0"/>
    <x v="2"/>
    <n v="-1"/>
    <m/>
    <m/>
    <x v="2"/>
    <n v="-1"/>
    <s v="HH20230616 T3605091345 No Limit Hold'em $0.92 + $0.08.txt"/>
  </r>
  <r>
    <n v="673"/>
    <n v="3.4800000000000004"/>
    <s v="16.06.2023"/>
    <n v="16"/>
    <x v="5"/>
    <x v="0"/>
    <x v="2"/>
    <n v="-1"/>
    <n v="2"/>
    <m/>
    <x v="1"/>
    <n v="1"/>
    <s v="HH20230616 T3605096370 No Limit Hold'em $0.92 + $0.08.txt"/>
  </r>
  <r>
    <n v="674"/>
    <n v="5.48"/>
    <s v="16.06.2023"/>
    <n v="16"/>
    <x v="5"/>
    <x v="0"/>
    <x v="2"/>
    <n v="-1"/>
    <n v="3"/>
    <m/>
    <x v="1"/>
    <n v="2"/>
    <s v="HH20230616 T3605098553 No Limit Hold'em $0.92 + $0.08.txt"/>
  </r>
  <r>
    <n v="675"/>
    <n v="6.48"/>
    <s v="16.06.2023"/>
    <n v="16"/>
    <x v="5"/>
    <x v="0"/>
    <x v="2"/>
    <n v="-1"/>
    <n v="2"/>
    <m/>
    <x v="1"/>
    <n v="1"/>
    <s v="HH20230616 T3605110981 No Limit Hold'em $0.92 + $0.08.txt"/>
  </r>
  <r>
    <n v="676"/>
    <n v="7.48"/>
    <s v="17.06.2023"/>
    <n v="17"/>
    <x v="5"/>
    <x v="0"/>
    <x v="2"/>
    <n v="-1"/>
    <n v="2"/>
    <m/>
    <x v="1"/>
    <n v="1"/>
    <s v="HH20230617 T3605583376 No Limit Hold'em $0.92 + $0.08.txt"/>
  </r>
  <r>
    <n v="677"/>
    <n v="26.48"/>
    <s v="17.06.2023"/>
    <n v="17"/>
    <x v="5"/>
    <x v="0"/>
    <x v="2"/>
    <n v="-1"/>
    <n v="20"/>
    <m/>
    <x v="1"/>
    <n v="19"/>
    <s v="HH20230617 T3605586898 No Limit Hold'em $0.92 + $0.08.txt"/>
  </r>
  <r>
    <n v="678"/>
    <n v="25.48"/>
    <s v="17.06.2023"/>
    <n v="17"/>
    <x v="5"/>
    <x v="0"/>
    <x v="2"/>
    <n v="-1"/>
    <m/>
    <m/>
    <x v="2"/>
    <n v="-1"/>
    <s v="HH20230617 T3605694466 No Limit Hold'em $0.92 + $0.08.txt"/>
  </r>
  <r>
    <n v="679"/>
    <n v="24.48"/>
    <s v="17.06.2023"/>
    <n v="17"/>
    <x v="5"/>
    <x v="0"/>
    <x v="2"/>
    <n v="-1"/>
    <m/>
    <m/>
    <x v="2"/>
    <n v="-1"/>
    <s v="HH20230617 T3605696640 No Limit Hold'em $0.92 + $0.08.txt"/>
  </r>
  <r>
    <n v="680"/>
    <n v="23.48"/>
    <s v="18.06.2023"/>
    <n v="18"/>
    <x v="5"/>
    <x v="0"/>
    <x v="2"/>
    <n v="-1"/>
    <m/>
    <m/>
    <x v="2"/>
    <n v="-1"/>
    <s v="HH20230618 T3606006612 No Limit Hold'em $0.92 + $0.08.txt"/>
  </r>
  <r>
    <n v="681"/>
    <n v="22.48"/>
    <s v="18.06.2023"/>
    <n v="18"/>
    <x v="5"/>
    <x v="0"/>
    <x v="2"/>
    <n v="-1"/>
    <m/>
    <m/>
    <x v="2"/>
    <n v="-1"/>
    <s v="HH20230618 T3606009288 No Limit Hold'em $0.92 + $0.08.txt"/>
  </r>
  <r>
    <n v="682"/>
    <n v="21.48"/>
    <s v="18.06.2023"/>
    <n v="18"/>
    <x v="5"/>
    <x v="0"/>
    <x v="2"/>
    <n v="-1"/>
    <m/>
    <m/>
    <x v="2"/>
    <n v="-1"/>
    <s v="HH20230618 T3606010174 No Limit Hold'em $0.92 + $0.08.txt"/>
  </r>
  <r>
    <n v="683"/>
    <n v="23.48"/>
    <s v="18.06.2023"/>
    <n v="18"/>
    <x v="5"/>
    <x v="0"/>
    <x v="2"/>
    <n v="-1"/>
    <n v="3"/>
    <m/>
    <x v="1"/>
    <n v="2"/>
    <s v="HH20230618 T3606012275 No Limit Hold'em $0.92 + $0.08.txt"/>
  </r>
  <r>
    <n v="684"/>
    <n v="22.48"/>
    <s v="18.06.2023"/>
    <n v="18"/>
    <x v="5"/>
    <x v="0"/>
    <x v="2"/>
    <n v="-1"/>
    <m/>
    <m/>
    <x v="2"/>
    <n v="-1"/>
    <s v="HH20230618 T3606050170 No Limit Hold'em $0.92 + $0.08.txt"/>
  </r>
  <r>
    <n v="685"/>
    <n v="21.48"/>
    <s v="18.06.2023"/>
    <n v="18"/>
    <x v="5"/>
    <x v="0"/>
    <x v="2"/>
    <n v="-1"/>
    <m/>
    <m/>
    <x v="2"/>
    <n v="-1"/>
    <s v="HH20230618 T3606053855 No Limit Hold'em $0.92 + $0.08.txt"/>
  </r>
  <r>
    <n v="686"/>
    <n v="20.48"/>
    <s v="18.06.2023"/>
    <n v="18"/>
    <x v="5"/>
    <x v="0"/>
    <x v="2"/>
    <n v="-1"/>
    <m/>
    <m/>
    <x v="2"/>
    <n v="-1"/>
    <s v="HH20230618 T3606055442 No Limit Hold'em $0.92 + $0.08.txt"/>
  </r>
  <r>
    <n v="687"/>
    <n v="19.48"/>
    <s v="18.06.2023"/>
    <n v="18"/>
    <x v="5"/>
    <x v="0"/>
    <x v="2"/>
    <n v="-1"/>
    <m/>
    <m/>
    <x v="2"/>
    <n v="-1"/>
    <s v="HH20230618 T3606055926 No Limit Hold'em $0.92 + $0.08.txt"/>
  </r>
  <r>
    <n v="688"/>
    <n v="8.48"/>
    <s v="18.06.2023"/>
    <n v="18"/>
    <x v="5"/>
    <x v="0"/>
    <x v="5"/>
    <n v="-11"/>
    <m/>
    <m/>
    <x v="2"/>
    <n v="-1"/>
    <s v="HH20230618 T3602279033 No Limit Hold'em $9.80 + $1.20.txt"/>
  </r>
  <r>
    <n v="689"/>
    <n v="7.48"/>
    <s v="19.06.2023"/>
    <n v="19"/>
    <x v="5"/>
    <x v="0"/>
    <x v="2"/>
    <n v="-1"/>
    <m/>
    <m/>
    <x v="2"/>
    <n v="-1"/>
    <s v="HH20230619 T3606420069 No Limit Hold'em $0.92 + $0.08.txt"/>
  </r>
  <r>
    <n v="690"/>
    <n v="6.48"/>
    <s v="19.06.2023"/>
    <n v="19"/>
    <x v="5"/>
    <x v="0"/>
    <x v="2"/>
    <n v="-1"/>
    <m/>
    <m/>
    <x v="2"/>
    <n v="-1"/>
    <s v="HH20230619 T3606420944 No Limit Hold'em $0.92 + $0.08.txt"/>
  </r>
  <r>
    <n v="691"/>
    <n v="7.48"/>
    <s v="19.06.2023"/>
    <n v="19"/>
    <x v="5"/>
    <x v="0"/>
    <x v="2"/>
    <n v="-1"/>
    <n v="2"/>
    <m/>
    <x v="1"/>
    <n v="1"/>
    <s v="HH20230619 T3606451840 No Limit Hold'em $0.92 + $0.08.txt"/>
  </r>
  <r>
    <n v="692"/>
    <n v="6.48"/>
    <s v="19.06.2023"/>
    <n v="19"/>
    <x v="5"/>
    <x v="0"/>
    <x v="2"/>
    <n v="-1"/>
    <m/>
    <m/>
    <x v="2"/>
    <n v="-1"/>
    <s v="HH20230619 T3606456051 No Limit Hold'em $0.92 + $0.08.txt"/>
  </r>
  <r>
    <n v="693"/>
    <n v="5.48"/>
    <s v="19.06.2023"/>
    <n v="19"/>
    <x v="5"/>
    <x v="0"/>
    <x v="2"/>
    <n v="-1"/>
    <m/>
    <m/>
    <x v="2"/>
    <n v="-1"/>
    <s v="HH20230619 T3606459017 No Limit Hold'em $0.92 + $0.08.txt"/>
  </r>
  <r>
    <n v="694"/>
    <n v="4.4800000000000004"/>
    <s v="19.06.2023"/>
    <n v="19"/>
    <x v="5"/>
    <x v="0"/>
    <x v="2"/>
    <n v="-1"/>
    <m/>
    <m/>
    <x v="2"/>
    <n v="-1"/>
    <s v="HH20230619 T3606463619 No Limit Hold'em $0.92 + $0.08.txt"/>
  </r>
  <r>
    <n v="695"/>
    <n v="5.48"/>
    <s v="19.06.2023"/>
    <n v="19"/>
    <x v="5"/>
    <x v="0"/>
    <x v="2"/>
    <n v="-1"/>
    <n v="2"/>
    <m/>
    <x v="1"/>
    <n v="1"/>
    <s v="HH20230619 T3606465043 No Limit Hold'em $0.92 + $0.08.txt"/>
  </r>
  <r>
    <n v="696"/>
    <n v="9.48"/>
    <s v="19.06.2023"/>
    <n v="19"/>
    <x v="5"/>
    <x v="0"/>
    <x v="2"/>
    <n v="-1"/>
    <n v="5"/>
    <m/>
    <x v="1"/>
    <n v="4"/>
    <s v="HH20230619 T3606466378 No Limit Hold'em $0.92 + $0.08.txt"/>
  </r>
  <r>
    <n v="697"/>
    <n v="8.48"/>
    <s v="20.06.2023"/>
    <n v="20"/>
    <x v="5"/>
    <x v="0"/>
    <x v="2"/>
    <n v="-1"/>
    <m/>
    <m/>
    <x v="2"/>
    <n v="-1"/>
    <s v="HH20230620 T3606849068 No Limit Hold'em $0.92 + $0.08.txt"/>
  </r>
  <r>
    <n v="698"/>
    <n v="9.48"/>
    <s v="20.06.2023"/>
    <n v="20"/>
    <x v="5"/>
    <x v="0"/>
    <x v="2"/>
    <n v="-1"/>
    <n v="2"/>
    <m/>
    <x v="1"/>
    <n v="1"/>
    <s v="HH20230620 T3606850872 No Limit Hold'em $0.92 + $0.08.txt"/>
  </r>
  <r>
    <n v="699"/>
    <n v="8.48"/>
    <s v="20.06.2023"/>
    <n v="20"/>
    <x v="5"/>
    <x v="0"/>
    <x v="2"/>
    <n v="-1"/>
    <m/>
    <m/>
    <x v="2"/>
    <n v="-1"/>
    <s v="HH20230620 T3606866004 No Limit Hold'em $0.92 + $0.08.txt"/>
  </r>
  <r>
    <n v="700"/>
    <n v="7.48"/>
    <s v="20.06.2023"/>
    <n v="20"/>
    <x v="5"/>
    <x v="0"/>
    <x v="2"/>
    <n v="-1"/>
    <m/>
    <m/>
    <x v="2"/>
    <n v="-1"/>
    <s v="HH20230620 T3606867718 No Limit Hold'em $0.92 + $0.08.txt"/>
  </r>
  <r>
    <n v="701"/>
    <n v="11.48"/>
    <s v="20.06.2023"/>
    <n v="20"/>
    <x v="5"/>
    <x v="0"/>
    <x v="2"/>
    <n v="-1"/>
    <n v="5"/>
    <m/>
    <x v="1"/>
    <n v="4"/>
    <s v="HH20230620 T3606901323 No Limit Hold'em $0.92 + $0.08.txt"/>
  </r>
  <r>
    <n v="702"/>
    <n v="12.48"/>
    <s v="22.06.2023"/>
    <n v="22"/>
    <x v="5"/>
    <x v="0"/>
    <x v="2"/>
    <n v="-1"/>
    <n v="2"/>
    <m/>
    <x v="1"/>
    <n v="1"/>
    <s v="HH20230622 T3607613962 No Limit Hold'em $0.92 + $0.08.txt"/>
  </r>
  <r>
    <n v="703"/>
    <n v="11.48"/>
    <s v="22.06.2023"/>
    <n v="22"/>
    <x v="5"/>
    <x v="0"/>
    <x v="2"/>
    <n v="-1"/>
    <m/>
    <m/>
    <x v="2"/>
    <n v="-1"/>
    <s v="HH20230622 T3607615490 No Limit Hold'em $0.92 + $0.08.txt"/>
  </r>
  <r>
    <n v="704"/>
    <n v="10.48"/>
    <s v="22.06.2023"/>
    <n v="22"/>
    <x v="5"/>
    <x v="0"/>
    <x v="2"/>
    <n v="-1"/>
    <m/>
    <m/>
    <x v="2"/>
    <n v="-1"/>
    <s v="HH20230622 T3607619110 No Limit Hold'em $0.92 + $0.08.txt"/>
  </r>
  <r>
    <n v="705"/>
    <n v="9.48"/>
    <s v="22.06.2023"/>
    <n v="22"/>
    <x v="5"/>
    <x v="0"/>
    <x v="2"/>
    <n v="-1"/>
    <m/>
    <m/>
    <x v="2"/>
    <n v="-1"/>
    <s v="HH20230622 T3607619545 No Limit Hold'em $0.92 + $0.08.txt"/>
  </r>
  <r>
    <n v="706"/>
    <n v="8.48"/>
    <s v="22.06.2023"/>
    <n v="22"/>
    <x v="5"/>
    <x v="0"/>
    <x v="2"/>
    <n v="-1"/>
    <m/>
    <m/>
    <x v="2"/>
    <n v="-1"/>
    <s v="HH20230622 T3607623464 No Limit Hold'em $0.92 + $0.08.txt"/>
  </r>
  <r>
    <n v="707"/>
    <n v="7.48"/>
    <s v="22.06.2023"/>
    <n v="22"/>
    <x v="5"/>
    <x v="0"/>
    <x v="2"/>
    <n v="-1"/>
    <m/>
    <m/>
    <x v="2"/>
    <n v="-1"/>
    <s v="HH20230622 T3607627351 No Limit Hold'em $0.92 + $0.08.txt"/>
  </r>
  <r>
    <n v="708"/>
    <n v="6.48"/>
    <s v="22.06.2023"/>
    <n v="22"/>
    <x v="5"/>
    <x v="0"/>
    <x v="2"/>
    <n v="-1"/>
    <m/>
    <m/>
    <x v="2"/>
    <n v="-1"/>
    <s v="HH20230622 T3607629627 No Limit Hold'em $0.92 + $0.08.txt"/>
  </r>
  <r>
    <n v="709"/>
    <n v="5.48"/>
    <s v="22.06.2023"/>
    <n v="22"/>
    <x v="5"/>
    <x v="0"/>
    <x v="2"/>
    <n v="-1"/>
    <m/>
    <m/>
    <x v="2"/>
    <n v="-1"/>
    <s v="HH20230622 T3607630567 No Limit Hold'em $0.92 + $0.08.txt"/>
  </r>
  <r>
    <n v="710"/>
    <n v="4.4800000000000004"/>
    <s v="22.06.2023"/>
    <n v="22"/>
    <x v="5"/>
    <x v="0"/>
    <x v="2"/>
    <n v="-1"/>
    <m/>
    <m/>
    <x v="2"/>
    <n v="-1"/>
    <s v="HH20230622 T3607631596 No Limit Hold'em $0.92 + $0.08.txt"/>
  </r>
  <r>
    <n v="711"/>
    <n v="5.48"/>
    <s v="22.06.2023"/>
    <n v="22"/>
    <x v="5"/>
    <x v="0"/>
    <x v="2"/>
    <n v="-1"/>
    <n v="2"/>
    <m/>
    <x v="1"/>
    <n v="1"/>
    <s v="HH20230622 T3607666570 No Limit Hold'em $0.92 + $0.08.txt"/>
  </r>
  <r>
    <n v="712"/>
    <n v="9.48"/>
    <s v="22.06.2023"/>
    <n v="22"/>
    <x v="5"/>
    <x v="0"/>
    <x v="2"/>
    <n v="-1"/>
    <n v="5"/>
    <m/>
    <x v="1"/>
    <n v="4"/>
    <s v="HH20230622 T3607670284 No Limit Hold'em $0.92 + $0.08.txt"/>
  </r>
  <r>
    <n v="713"/>
    <n v="8.48"/>
    <s v="23.06.2023"/>
    <n v="23"/>
    <x v="5"/>
    <x v="0"/>
    <x v="2"/>
    <n v="-1"/>
    <m/>
    <m/>
    <x v="2"/>
    <n v="-1"/>
    <s v="HH20230623 T3608076499 No Limit Hold'em $0.92 + $0.08.txt"/>
  </r>
  <r>
    <n v="714"/>
    <n v="9.48"/>
    <s v="24.06.2023"/>
    <n v="24"/>
    <x v="5"/>
    <x v="0"/>
    <x v="2"/>
    <n v="-1"/>
    <n v="2"/>
    <m/>
    <x v="1"/>
    <n v="1"/>
    <s v="HH20230624 T3608345584 No Limit Hold'em $0.92 + $0.08.txt"/>
  </r>
  <r>
    <n v="715"/>
    <n v="8.48"/>
    <s v="24.06.2023"/>
    <n v="24"/>
    <x v="5"/>
    <x v="0"/>
    <x v="2"/>
    <n v="-1"/>
    <m/>
    <m/>
    <x v="2"/>
    <n v="-1"/>
    <s v="HH20230624 T3608355323 No Limit Hold'em $0.92 + $0.08.txt"/>
  </r>
  <r>
    <n v="716"/>
    <n v="9.2100000000000009"/>
    <s v="24.06.2023"/>
    <n v="24"/>
    <x v="5"/>
    <x v="0"/>
    <x v="3"/>
    <n v="-7.5"/>
    <n v="5.68"/>
    <n v="2.5499999999999998"/>
    <x v="1"/>
    <n v="9.7333333333333494E-2"/>
    <s v="HH20230624 T3606841510 No Limit Hold'em $6.69 + $0.81.txt"/>
  </r>
  <r>
    <n v="717"/>
    <n v="8.2100000000000009"/>
    <s v="24.06.2023"/>
    <n v="24"/>
    <x v="5"/>
    <x v="0"/>
    <x v="2"/>
    <n v="-1"/>
    <m/>
    <m/>
    <x v="2"/>
    <n v="-1"/>
    <s v="HH20230624 T3608506663 No Limit Hold'em $0.92 + $0.08.txt"/>
  </r>
  <r>
    <n v="718"/>
    <n v="7.2100000000000009"/>
    <s v="24.06.2023"/>
    <n v="24"/>
    <x v="5"/>
    <x v="0"/>
    <x v="2"/>
    <n v="-1"/>
    <m/>
    <m/>
    <x v="2"/>
    <n v="-1"/>
    <s v="HH20230624 T3608508849 No Limit Hold'em $0.92 + $0.08.txt"/>
  </r>
  <r>
    <n v="719"/>
    <n v="6.2100000000000009"/>
    <s v="24.06.2023"/>
    <n v="24"/>
    <x v="5"/>
    <x v="0"/>
    <x v="2"/>
    <n v="-1"/>
    <m/>
    <m/>
    <x v="2"/>
    <n v="-1"/>
    <s v="HH20230624 T3608509878 No Limit Hold'em $0.92 + $0.08.txt"/>
  </r>
  <r>
    <n v="720"/>
    <n v="5.2100000000000009"/>
    <s v="24.06.2023"/>
    <n v="24"/>
    <x v="5"/>
    <x v="0"/>
    <x v="2"/>
    <n v="-1"/>
    <m/>
    <m/>
    <x v="2"/>
    <n v="-1"/>
    <s v="HH20230624 T3608512040 No Limit Hold'em $0.92 + $0.08.txt"/>
  </r>
  <r>
    <n v="721"/>
    <n v="10.210000000000001"/>
    <s v="24.06.2023"/>
    <n v="24"/>
    <x v="5"/>
    <x v="0"/>
    <x v="2"/>
    <n v="-5"/>
    <n v="10"/>
    <m/>
    <x v="1"/>
    <n v="1"/>
    <s v="HH20230624 T3608512706 No Limit Hold'em $4.60 + $0.40.txt"/>
  </r>
  <r>
    <n v="722"/>
    <n v="9.2100000000000009"/>
    <s v="24.06.2023"/>
    <n v="24"/>
    <x v="5"/>
    <x v="0"/>
    <x v="2"/>
    <n v="-1"/>
    <m/>
    <m/>
    <x v="2"/>
    <n v="-1"/>
    <s v="HH20230624 T3608516684 No Limit Hold'em $0.92 + $0.08.txt"/>
  </r>
  <r>
    <n v="723"/>
    <n v="10.210000000000001"/>
    <s v="24.06.2023"/>
    <n v="24"/>
    <x v="5"/>
    <x v="0"/>
    <x v="2"/>
    <n v="-1"/>
    <n v="2"/>
    <m/>
    <x v="1"/>
    <n v="1"/>
    <s v="HH20230624 T3608521293 No Limit Hold'em $0.92 + $0.08.txt"/>
  </r>
  <r>
    <n v="724"/>
    <n v="12.21"/>
    <s v="24.06.2023"/>
    <n v="24"/>
    <x v="5"/>
    <x v="0"/>
    <x v="2"/>
    <n v="-1"/>
    <n v="3"/>
    <m/>
    <x v="1"/>
    <n v="2"/>
    <s v="HH20230624 T3608524733 No Limit Hold'em $0.92 + $0.08.txt"/>
  </r>
  <r>
    <n v="725"/>
    <n v="11.21"/>
    <s v="25.06.2023"/>
    <n v="25"/>
    <x v="5"/>
    <x v="0"/>
    <x v="2"/>
    <n v="-1"/>
    <m/>
    <m/>
    <x v="2"/>
    <n v="-1"/>
    <s v="HH20230625 T3608685060 No Limit Hold'em $0.92 + $0.08.txt"/>
  </r>
  <r>
    <n v="726"/>
    <n v="21.44"/>
    <s v="25.06.2023"/>
    <n v="25"/>
    <x v="5"/>
    <x v="0"/>
    <x v="5"/>
    <n v="-11"/>
    <n v="12.65"/>
    <n v="8.58"/>
    <x v="1"/>
    <n v="0.92999999999999994"/>
    <s v="HH20230625 T3605198245 No Limit Hold'em $9.80 + $1.20.txt"/>
  </r>
  <r>
    <n v="727"/>
    <n v="22.44"/>
    <s v="26.06.2023"/>
    <n v="26"/>
    <x v="5"/>
    <x v="0"/>
    <x v="2"/>
    <n v="-1"/>
    <n v="2"/>
    <m/>
    <x v="1"/>
    <n v="1"/>
    <s v="HH20230626 T3609204752 No Limit Hold'em $0.92 + $0.08.txt"/>
  </r>
  <r>
    <n v="728"/>
    <n v="21.44"/>
    <s v="26.06.2023"/>
    <n v="26"/>
    <x v="5"/>
    <x v="0"/>
    <x v="2"/>
    <n v="-1"/>
    <m/>
    <m/>
    <x v="2"/>
    <n v="-1"/>
    <s v="HH20230626 T3609230133 No Limit Hold'em $0.92 + $0.08.txt"/>
  </r>
  <r>
    <n v="729"/>
    <n v="22.44"/>
    <s v="26.06.2023"/>
    <n v="26"/>
    <x v="5"/>
    <x v="0"/>
    <x v="2"/>
    <n v="-1"/>
    <n v="2"/>
    <m/>
    <x v="1"/>
    <n v="1"/>
    <s v="HH20230626 T3609233714 No Limit Hold'em $0.92 + $0.08.txt"/>
  </r>
  <r>
    <n v="730"/>
    <n v="23.44"/>
    <s v="26.06.2023"/>
    <n v="26"/>
    <x v="5"/>
    <x v="0"/>
    <x v="2"/>
    <n v="-1"/>
    <n v="2"/>
    <m/>
    <x v="1"/>
    <n v="1"/>
    <s v="HH20230626 T3609234824 No Limit Hold'em $0.92 + $0.08.txt"/>
  </r>
  <r>
    <n v="731"/>
    <n v="25.44"/>
    <s v="26.06.2023"/>
    <n v="26"/>
    <x v="5"/>
    <x v="0"/>
    <x v="2"/>
    <n v="-1"/>
    <n v="3"/>
    <m/>
    <x v="1"/>
    <n v="2"/>
    <s v="HH20230626 T3609238382 No Limit Hold'em $0.92 + $0.08.txt"/>
  </r>
  <r>
    <n v="732"/>
    <n v="27.44"/>
    <s v="27.06.2023"/>
    <n v="27"/>
    <x v="5"/>
    <x v="0"/>
    <x v="2"/>
    <n v="-1"/>
    <n v="3"/>
    <m/>
    <x v="1"/>
    <n v="2"/>
    <s v="HH20230627 T3609623662 No Limit Hold'em $0.92 + $0.08.txt"/>
  </r>
  <r>
    <n v="733"/>
    <n v="31.66"/>
    <s v="27.06.2023"/>
    <n v="27"/>
    <x v="5"/>
    <x v="0"/>
    <x v="3"/>
    <n v="-3.3"/>
    <n v="3.58"/>
    <n v="3.94"/>
    <x v="1"/>
    <n v="1.2787878787878788"/>
    <s v="HH20230627 T3607965759 No Limit Hold'em $2.94 + $0.36.txt"/>
  </r>
  <r>
    <n v="734"/>
    <n v="30.66"/>
    <s v="28.06.2023"/>
    <n v="28"/>
    <x v="5"/>
    <x v="0"/>
    <x v="2"/>
    <n v="-1"/>
    <m/>
    <m/>
    <x v="2"/>
    <n v="-1"/>
    <s v="HH20230628 T3609884452 No Limit Hold'em $0.92 + $0.08.txt"/>
  </r>
  <r>
    <n v="735"/>
    <n v="29.66"/>
    <s v="28.06.2023"/>
    <n v="28"/>
    <x v="5"/>
    <x v="0"/>
    <x v="2"/>
    <n v="-1"/>
    <m/>
    <m/>
    <x v="2"/>
    <n v="-1"/>
    <s v="HH20230628 T3609885843 No Limit Hold'em $0.92 + $0.08.txt"/>
  </r>
  <r>
    <n v="736"/>
    <n v="28.66"/>
    <s v="28.06.2023"/>
    <n v="28"/>
    <x v="5"/>
    <x v="0"/>
    <x v="2"/>
    <n v="-1"/>
    <m/>
    <m/>
    <x v="2"/>
    <n v="-1"/>
    <s v="HH20230628 T3609905403 No Limit Hold'em $0.92 + $0.08.txt"/>
  </r>
  <r>
    <n v="737"/>
    <n v="27.66"/>
    <s v="28.06.2023"/>
    <n v="28"/>
    <x v="5"/>
    <x v="0"/>
    <x v="2"/>
    <n v="-1"/>
    <m/>
    <m/>
    <x v="2"/>
    <n v="-1"/>
    <s v="HH20230628 T3609906722 No Limit Hold'em $0.92 + $0.08.txt"/>
  </r>
  <r>
    <n v="738"/>
    <n v="26.66"/>
    <s v="28.06.2023"/>
    <n v="28"/>
    <x v="5"/>
    <x v="0"/>
    <x v="2"/>
    <n v="-1"/>
    <m/>
    <m/>
    <x v="2"/>
    <n v="-1"/>
    <s v="HH20230628 T3609907174 No Limit Hold'em $0.92 + $0.08.txt"/>
  </r>
  <r>
    <n v="739"/>
    <n v="25.66"/>
    <s v="28.06.2023"/>
    <n v="28"/>
    <x v="5"/>
    <x v="0"/>
    <x v="2"/>
    <n v="-1"/>
    <m/>
    <m/>
    <x v="2"/>
    <n v="-1"/>
    <s v="HH20230628 T3609909783 No Limit Hold'em $0.92 + $0.08.txt"/>
  </r>
  <r>
    <n v="740"/>
    <n v="24.66"/>
    <s v="28.06.2023"/>
    <n v="28"/>
    <x v="5"/>
    <x v="0"/>
    <x v="2"/>
    <n v="-1"/>
    <m/>
    <m/>
    <x v="2"/>
    <n v="-1"/>
    <s v="HH20230628 T3609910413 No Limit Hold'em $0.92 + $0.08.txt"/>
  </r>
  <r>
    <n v="741"/>
    <n v="23.66"/>
    <s v="28.06.2023"/>
    <n v="28"/>
    <x v="5"/>
    <x v="0"/>
    <x v="2"/>
    <n v="-1"/>
    <m/>
    <m/>
    <x v="2"/>
    <n v="-1"/>
    <s v="HH20230628 T3609913033 No Limit Hold'em $0.92 + $0.08.txt"/>
  </r>
  <r>
    <n v="742"/>
    <n v="22.66"/>
    <s v="28.06.2023"/>
    <n v="28"/>
    <x v="5"/>
    <x v="0"/>
    <x v="2"/>
    <n v="-1"/>
    <m/>
    <m/>
    <x v="2"/>
    <n v="-1"/>
    <s v="HH20230628 T3609914704 No Limit Hold'em $0.92 + $0.08.txt"/>
  </r>
  <r>
    <n v="743"/>
    <n v="21.66"/>
    <s v="28.06.2023"/>
    <n v="28"/>
    <x v="5"/>
    <x v="0"/>
    <x v="2"/>
    <n v="-1"/>
    <m/>
    <m/>
    <x v="2"/>
    <n v="-1"/>
    <s v="HH20230628 T3609916058 No Limit Hold'em $0.92 + $0.08.txt"/>
  </r>
  <r>
    <n v="744"/>
    <n v="20.66"/>
    <s v="28.06.2023"/>
    <n v="28"/>
    <x v="5"/>
    <x v="0"/>
    <x v="2"/>
    <n v="-1"/>
    <m/>
    <m/>
    <x v="2"/>
    <n v="-1"/>
    <s v="HH20230628 T3609942129 No Limit Hold'em $0.92 + $0.08.txt"/>
  </r>
  <r>
    <n v="745"/>
    <n v="19.66"/>
    <s v="28.06.2023"/>
    <n v="28"/>
    <x v="5"/>
    <x v="0"/>
    <x v="2"/>
    <n v="-1"/>
    <m/>
    <m/>
    <x v="2"/>
    <n v="-1"/>
    <s v="HH20230628 T3609943786 No Limit Hold'em $0.92 + $0.08.txt"/>
  </r>
  <r>
    <n v="746"/>
    <n v="18.66"/>
    <s v="28.06.2023"/>
    <n v="28"/>
    <x v="5"/>
    <x v="0"/>
    <x v="2"/>
    <n v="-1"/>
    <m/>
    <m/>
    <x v="2"/>
    <n v="-1"/>
    <s v="HH20230628 T3609944111 No Limit Hold'em $0.92 + $0.08.txt"/>
  </r>
  <r>
    <n v="747"/>
    <n v="17.66"/>
    <s v="28.06.2023"/>
    <n v="28"/>
    <x v="5"/>
    <x v="0"/>
    <x v="2"/>
    <n v="-1"/>
    <m/>
    <m/>
    <x v="2"/>
    <n v="-1"/>
    <s v="HH20230628 T3609948033 No Limit Hold'em $0.92 + $0.08.txt"/>
  </r>
  <r>
    <n v="748"/>
    <n v="19.66"/>
    <s v="28.06.2023"/>
    <n v="28"/>
    <x v="5"/>
    <x v="0"/>
    <x v="2"/>
    <n v="-1"/>
    <n v="3"/>
    <m/>
    <x v="1"/>
    <n v="2"/>
    <s v="HH20230628 T3609951932 No Limit Hold'em $0.92 + $0.08.txt"/>
  </r>
  <r>
    <n v="749"/>
    <n v="18.66"/>
    <s v="28.06.2023"/>
    <n v="28"/>
    <x v="5"/>
    <x v="0"/>
    <x v="2"/>
    <n v="-1"/>
    <m/>
    <m/>
    <x v="2"/>
    <n v="-1"/>
    <s v="HH20230628 T3609955565 No Limit Hold'em $0.92 + $0.08.txt"/>
  </r>
  <r>
    <n v="750"/>
    <n v="17.66"/>
    <s v="28.06.2023"/>
    <n v="28"/>
    <x v="5"/>
    <x v="0"/>
    <x v="2"/>
    <n v="-1"/>
    <m/>
    <m/>
    <x v="2"/>
    <n v="-1"/>
    <s v="HH20230628 T3609956392 No Limit Hold'em $0.92 + $0.08.txt"/>
  </r>
  <r>
    <n v="751"/>
    <n v="16.66"/>
    <s v="28.06.2023"/>
    <n v="28"/>
    <x v="5"/>
    <x v="0"/>
    <x v="2"/>
    <n v="-1"/>
    <m/>
    <m/>
    <x v="2"/>
    <n v="-1"/>
    <s v="HH20230628 T3609957377 No Limit Hold'em $0.92 + $0.08.txt"/>
  </r>
  <r>
    <n v="752"/>
    <n v="15.66"/>
    <s v="28.06.2023"/>
    <n v="28"/>
    <x v="5"/>
    <x v="0"/>
    <x v="2"/>
    <n v="-1"/>
    <m/>
    <m/>
    <x v="2"/>
    <n v="-1"/>
    <s v="HH20230628 T3609958175 No Limit Hold'em $0.92 + $0.08.txt"/>
  </r>
  <r>
    <n v="753"/>
    <n v="17.66"/>
    <s v="28.06.2023"/>
    <n v="28"/>
    <x v="5"/>
    <x v="0"/>
    <x v="2"/>
    <n v="-1"/>
    <n v="3"/>
    <m/>
    <x v="1"/>
    <n v="2"/>
    <s v="HH20230628 T3609960019 No Limit Hold'em $0.92 + $0.08.txt"/>
  </r>
  <r>
    <n v="754"/>
    <n v="19.66"/>
    <s v="28.06.2023"/>
    <n v="28"/>
    <x v="5"/>
    <x v="0"/>
    <x v="2"/>
    <n v="-1"/>
    <n v="3"/>
    <m/>
    <x v="1"/>
    <n v="2"/>
    <s v="HH20230628 T3609962116 No Limit Hold'em $0.92 + $0.08.txt"/>
  </r>
  <r>
    <n v="755"/>
    <n v="18.66"/>
    <s v="28.06.2023"/>
    <n v="28"/>
    <x v="5"/>
    <x v="0"/>
    <x v="2"/>
    <n v="-1"/>
    <m/>
    <m/>
    <x v="2"/>
    <n v="-1"/>
    <s v="HH20230628 T3609966923 No Limit Hold'em $0.92 + $0.08.txt"/>
  </r>
  <r>
    <n v="756"/>
    <n v="17.66"/>
    <s v="28.06.2023"/>
    <n v="28"/>
    <x v="5"/>
    <x v="0"/>
    <x v="2"/>
    <n v="-1"/>
    <m/>
    <m/>
    <x v="2"/>
    <n v="-1"/>
    <s v="HH20230628 T3609967766 No Limit Hold'em $0.92 + $0.08.txt"/>
  </r>
  <r>
    <n v="757"/>
    <n v="16.66"/>
    <s v="28.06.2023"/>
    <n v="28"/>
    <x v="5"/>
    <x v="0"/>
    <x v="2"/>
    <n v="-1"/>
    <m/>
    <m/>
    <x v="2"/>
    <n v="-1"/>
    <s v="HH20230628 T3609968549 No Limit Hold'em $0.92 + $0.08.txt"/>
  </r>
  <r>
    <n v="758"/>
    <n v="18.66"/>
    <s v="28.06.2023"/>
    <n v="28"/>
    <x v="5"/>
    <x v="0"/>
    <x v="2"/>
    <n v="-1"/>
    <n v="3"/>
    <m/>
    <x v="1"/>
    <n v="2"/>
    <s v="HH20230628 T3609969638 No Limit Hold'em $0.92 + $0.08.txt"/>
  </r>
  <r>
    <n v="759"/>
    <n v="17.66"/>
    <s v="28.06.2023"/>
    <n v="28"/>
    <x v="5"/>
    <x v="0"/>
    <x v="2"/>
    <n v="-1"/>
    <m/>
    <m/>
    <x v="2"/>
    <n v="-1"/>
    <s v="HH20230628 T3609970850 No Limit Hold'em $0.92 + $0.08.txt"/>
  </r>
  <r>
    <n v="760"/>
    <n v="19.66"/>
    <s v="28.06.2023"/>
    <n v="28"/>
    <x v="5"/>
    <x v="0"/>
    <x v="2"/>
    <n v="-1"/>
    <n v="3"/>
    <m/>
    <x v="1"/>
    <n v="2"/>
    <s v="HH20230628 T3609973800 No Limit Hold'em $0.92 + $0.08.txt"/>
  </r>
  <r>
    <n v="761"/>
    <n v="18.66"/>
    <s v="28.06.2023"/>
    <n v="28"/>
    <x v="5"/>
    <x v="0"/>
    <x v="2"/>
    <n v="-1"/>
    <m/>
    <m/>
    <x v="2"/>
    <n v="-1"/>
    <s v="HH20230628 T3609975250 No Limit Hold'em $0.92 + $0.08.txt"/>
  </r>
  <r>
    <n v="762"/>
    <n v="20.66"/>
    <s v="28.06.2023"/>
    <n v="28"/>
    <x v="5"/>
    <x v="0"/>
    <x v="2"/>
    <n v="-1"/>
    <n v="3"/>
    <m/>
    <x v="1"/>
    <n v="2"/>
    <s v="HH20230628 T3609975954 No Limit Hold'em $0.92 + $0.08.txt"/>
  </r>
  <r>
    <n v="763"/>
    <n v="19.66"/>
    <s v="28.06.2023"/>
    <n v="28"/>
    <x v="5"/>
    <x v="0"/>
    <x v="2"/>
    <n v="-1"/>
    <m/>
    <m/>
    <x v="2"/>
    <n v="-1"/>
    <s v="HH20230628 T3609978108 No Limit Hold'em $0.92 + $0.08.txt"/>
  </r>
  <r>
    <n v="764"/>
    <n v="20.66"/>
    <s v="28.06.2023"/>
    <n v="28"/>
    <x v="5"/>
    <x v="0"/>
    <x v="2"/>
    <n v="-1"/>
    <n v="2"/>
    <m/>
    <x v="1"/>
    <n v="1"/>
    <s v="HH20230628 T3609978669 No Limit Hold'em $0.92 + $0.08.txt"/>
  </r>
  <r>
    <n v="765"/>
    <n v="10.66"/>
    <s v="28.06.2023"/>
    <n v="28"/>
    <x v="5"/>
    <x v="0"/>
    <x v="2"/>
    <n v="-10"/>
    <m/>
    <m/>
    <x v="2"/>
    <n v="-1"/>
    <s v="HH20230628 T3609980578 No Limit Hold'em $9.30 + $0.70.txt"/>
  </r>
  <r>
    <n v="766"/>
    <n v="50.66"/>
    <s v="28.06.2023"/>
    <n v="28"/>
    <x v="5"/>
    <x v="0"/>
    <x v="2"/>
    <n v="-10"/>
    <n v="50"/>
    <m/>
    <x v="1"/>
    <n v="4"/>
    <s v="HH20230628 T3609982413 No Limit Hold'em $9.30 + $0.70.txt"/>
  </r>
  <r>
    <n v="767"/>
    <n v="54.66"/>
    <s v="28.06.2023"/>
    <n v="28"/>
    <x v="5"/>
    <x v="0"/>
    <x v="2"/>
    <n v="-1"/>
    <n v="5"/>
    <m/>
    <x v="1"/>
    <n v="4"/>
    <s v="HH20230628 T3610074685 No Limit Hold'em $0.92 + $0.08.txt"/>
  </r>
  <r>
    <n v="768"/>
    <n v="55.66"/>
    <s v="28.06.2023"/>
    <n v="28"/>
    <x v="5"/>
    <x v="0"/>
    <x v="2"/>
    <n v="-1"/>
    <n v="2"/>
    <m/>
    <x v="1"/>
    <n v="1"/>
    <s v="HH20230628 T3610081084 No Limit Hold'em $0.92 + $0.08.txt"/>
  </r>
  <r>
    <n v="769"/>
    <n v="54.66"/>
    <s v="28.06.2023"/>
    <n v="28"/>
    <x v="5"/>
    <x v="0"/>
    <x v="2"/>
    <n v="-1"/>
    <m/>
    <m/>
    <x v="2"/>
    <n v="-1"/>
    <s v="HH20230628 T3610087880 No Limit Hold'em $0.92 + $0.08.txt"/>
  </r>
  <r>
    <n v="770"/>
    <n v="53.66"/>
    <s v="28.06.2023"/>
    <n v="28"/>
    <x v="5"/>
    <x v="0"/>
    <x v="2"/>
    <n v="-1"/>
    <m/>
    <m/>
    <x v="2"/>
    <n v="-1"/>
    <s v="HH20230628 T3610091989 No Limit Hold'em $0.92 + $0.08.txt"/>
  </r>
  <r>
    <n v="771"/>
    <n v="52.66"/>
    <s v="29.06.2023"/>
    <n v="29"/>
    <x v="5"/>
    <x v="0"/>
    <x v="2"/>
    <n v="-1"/>
    <m/>
    <m/>
    <x v="2"/>
    <n v="-1"/>
    <s v="HH20230629 T3610506297 No Limit Hold'em $0.92 + $0.08.txt"/>
  </r>
  <r>
    <n v="772"/>
    <n v="54.66"/>
    <s v="29.06.2023"/>
    <n v="29"/>
    <x v="5"/>
    <x v="0"/>
    <x v="2"/>
    <n v="-1"/>
    <n v="3"/>
    <m/>
    <x v="1"/>
    <n v="2"/>
    <s v="HH20230629 T3610508852 No Limit Hold'em $0.92 + $0.08.txt"/>
  </r>
  <r>
    <n v="773"/>
    <n v="55.66"/>
    <s v="29.06.2023"/>
    <n v="29"/>
    <x v="5"/>
    <x v="0"/>
    <x v="2"/>
    <n v="-1"/>
    <n v="2"/>
    <m/>
    <x v="1"/>
    <n v="1"/>
    <s v="HH20230629 T3610516719 No Limit Hold'em $0.92 + $0.08.txt"/>
  </r>
  <r>
    <n v="774"/>
    <n v="54.66"/>
    <s v="30.06.2023"/>
    <n v="30"/>
    <x v="5"/>
    <x v="0"/>
    <x v="2"/>
    <n v="-1"/>
    <m/>
    <m/>
    <x v="2"/>
    <n v="-1"/>
    <s v="HH20230630 T3610844853 No Limit Hold'em $0.92 + $0.08.txt"/>
  </r>
  <r>
    <n v="775"/>
    <n v="56.66"/>
    <s v="30.06.2023"/>
    <n v="30"/>
    <x v="5"/>
    <x v="0"/>
    <x v="2"/>
    <n v="-1"/>
    <n v="3"/>
    <m/>
    <x v="1"/>
    <n v="2"/>
    <s v="HH20230630 T3610846801 No Limit Hold'em $0.92 + $0.08.txt"/>
  </r>
  <r>
    <n v="776"/>
    <n v="54.11"/>
    <s v="30.06.2023"/>
    <n v="30"/>
    <x v="5"/>
    <x v="0"/>
    <x v="3"/>
    <n v="-3.3"/>
    <m/>
    <n v="0.75"/>
    <x v="2"/>
    <n v="-0.77272727272727271"/>
    <s v="HH20230630 T3609538438 No Limit Hold'em $2.94 + $0.36.txt"/>
  </r>
  <r>
    <n v="777"/>
    <n v="53.11"/>
    <s v="30.06.2023"/>
    <n v="30"/>
    <x v="5"/>
    <x v="0"/>
    <x v="2"/>
    <n v="-1"/>
    <m/>
    <m/>
    <x v="2"/>
    <n v="-1"/>
    <s v="HH20230630 T3610919688 No Limit Hold'em $0.92 + $0.08.txt"/>
  </r>
  <r>
    <n v="778"/>
    <n v="52.11"/>
    <s v="30.06.2023"/>
    <n v="30"/>
    <x v="5"/>
    <x v="0"/>
    <x v="2"/>
    <n v="-1"/>
    <m/>
    <m/>
    <x v="2"/>
    <n v="-1"/>
    <s v="HH20230630 T3610921154 No Limit Hold'em $0.92 + $0.08.txt"/>
  </r>
  <r>
    <n v="779"/>
    <n v="53.11"/>
    <s v="30.06.2023"/>
    <n v="30"/>
    <x v="5"/>
    <x v="0"/>
    <x v="2"/>
    <n v="-1"/>
    <n v="2"/>
    <m/>
    <x v="1"/>
    <n v="1"/>
    <s v="HH20230630 T3610922894 No Limit Hold'em $0.92 + $0.08.txt"/>
  </r>
  <r>
    <n v="780"/>
    <n v="52.11"/>
    <s v="30.06.2023"/>
    <n v="30"/>
    <x v="5"/>
    <x v="0"/>
    <x v="2"/>
    <n v="-1"/>
    <m/>
    <m/>
    <x v="2"/>
    <n v="-1"/>
    <s v="HH20230630 T3610923940 No Limit Hold'em $0.92 + $0.08.txt"/>
  </r>
  <r>
    <n v="781"/>
    <n v="51.11"/>
    <s v="30.06.2023"/>
    <n v="30"/>
    <x v="5"/>
    <x v="0"/>
    <x v="2"/>
    <n v="-1"/>
    <m/>
    <m/>
    <x v="2"/>
    <n v="-1"/>
    <s v="HH20230630 T3610928194 No Limit Hold'em $0.92 + $0.08.txt"/>
  </r>
  <r>
    <n v="782"/>
    <n v="52.11"/>
    <s v="30.06.2023"/>
    <n v="30"/>
    <x v="5"/>
    <x v="0"/>
    <x v="2"/>
    <n v="-1"/>
    <n v="2"/>
    <m/>
    <x v="1"/>
    <n v="1"/>
    <s v="HH20230630 T3610930406 No Limit Hold'em $0.92 + $0.08.txt"/>
  </r>
  <r>
    <n v="783"/>
    <n v="51.11"/>
    <s v="01.07.2023"/>
    <n v="1"/>
    <x v="6"/>
    <x v="0"/>
    <x v="2"/>
    <n v="-1"/>
    <m/>
    <m/>
    <x v="2"/>
    <n v="-1"/>
    <s v="HH20230701 T3611190371 No Limit Hold'em $0.92 + $0.08.txt"/>
  </r>
  <r>
    <n v="784"/>
    <n v="52.11"/>
    <s v="01.07.2023"/>
    <n v="1"/>
    <x v="6"/>
    <x v="0"/>
    <x v="2"/>
    <n v="-1"/>
    <n v="2"/>
    <m/>
    <x v="1"/>
    <n v="1"/>
    <s v="HH20230701 T3611192042 No Limit Hold'em $0.92 + $0.08.txt"/>
  </r>
  <r>
    <n v="785"/>
    <n v="51.11"/>
    <s v="01.07.2023"/>
    <n v="1"/>
    <x v="6"/>
    <x v="0"/>
    <x v="2"/>
    <n v="-1"/>
    <m/>
    <m/>
    <x v="2"/>
    <n v="-1"/>
    <s v="HH20230701 T3611194248 No Limit Hold'em $0.92 + $0.08.txt"/>
  </r>
  <r>
    <n v="786"/>
    <n v="50.11"/>
    <s v="01.07.2023"/>
    <n v="1"/>
    <x v="6"/>
    <x v="0"/>
    <x v="2"/>
    <n v="-1"/>
    <m/>
    <m/>
    <x v="2"/>
    <n v="-1"/>
    <s v="HH20230701 T3611196183 No Limit Hold'em $0.92 + $0.08.txt"/>
  </r>
  <r>
    <n v="787"/>
    <n v="51.11"/>
    <s v="01.07.2023"/>
    <n v="1"/>
    <x v="6"/>
    <x v="0"/>
    <x v="2"/>
    <n v="-1"/>
    <n v="2"/>
    <m/>
    <x v="1"/>
    <n v="1"/>
    <s v="HH20230701 T3611197733 No Limit Hold'em $0.92 + $0.08.txt"/>
  </r>
  <r>
    <n v="788"/>
    <n v="50.11"/>
    <s v="01.07.2023"/>
    <n v="1"/>
    <x v="6"/>
    <x v="0"/>
    <x v="2"/>
    <n v="-1"/>
    <m/>
    <m/>
    <x v="2"/>
    <n v="-1"/>
    <s v="HH20230701 T3611200508 No Limit Hold'em $0.92 + $0.08.txt"/>
  </r>
  <r>
    <n v="789"/>
    <n v="49.11"/>
    <s v="01.07.2023"/>
    <n v="1"/>
    <x v="6"/>
    <x v="0"/>
    <x v="2"/>
    <n v="-1"/>
    <m/>
    <m/>
    <x v="2"/>
    <n v="-1"/>
    <s v="HH20230701 T3611201614 No Limit Hold'em $0.92 + $0.08.txt"/>
  </r>
  <r>
    <n v="790"/>
    <n v="48.11"/>
    <s v="01.07.2023"/>
    <n v="1"/>
    <x v="6"/>
    <x v="0"/>
    <x v="2"/>
    <n v="-1"/>
    <m/>
    <m/>
    <x v="2"/>
    <n v="-1"/>
    <s v="HH20230701 T3611202188 No Limit Hold'em $0.92 + $0.08.txt"/>
  </r>
  <r>
    <n v="791"/>
    <n v="38.11"/>
    <s v="01.07.2023"/>
    <n v="1"/>
    <x v="6"/>
    <x v="0"/>
    <x v="2"/>
    <n v="-10"/>
    <m/>
    <m/>
    <x v="2"/>
    <n v="-1"/>
    <s v="HH20230701 T3611205615 No Limit Hold'em $9.30 + $0.70.txt"/>
  </r>
  <r>
    <n v="792"/>
    <n v="28.11"/>
    <s v="01.07.2023"/>
    <n v="1"/>
    <x v="6"/>
    <x v="0"/>
    <x v="2"/>
    <n v="-10"/>
    <m/>
    <m/>
    <x v="2"/>
    <n v="-1"/>
    <s v="HH20230701 T3611209845 No Limit Hold'em $9.30 + $0.70.txt"/>
  </r>
  <r>
    <n v="793"/>
    <n v="27.11"/>
    <s v="02.07.2023"/>
    <n v="2"/>
    <x v="6"/>
    <x v="0"/>
    <x v="2"/>
    <n v="-1"/>
    <m/>
    <m/>
    <x v="2"/>
    <n v="-1"/>
    <s v="HH20230702 T3611600398 No Limit Hold'em $0.92 + $0.08.txt"/>
  </r>
  <r>
    <n v="794"/>
    <n v="28.11"/>
    <s v="02.07.2023"/>
    <n v="2"/>
    <x v="6"/>
    <x v="0"/>
    <x v="2"/>
    <n v="-1"/>
    <n v="2"/>
    <m/>
    <x v="1"/>
    <n v="1"/>
    <s v="HH20230702 T3611602138 No Limit Hold'em $0.92 + $0.08.txt"/>
  </r>
  <r>
    <n v="795"/>
    <n v="27.11"/>
    <s v="02.07.2023"/>
    <n v="2"/>
    <x v="6"/>
    <x v="0"/>
    <x v="2"/>
    <n v="-1"/>
    <m/>
    <m/>
    <x v="2"/>
    <n v="-1"/>
    <s v="HH20230702 T3611604249 No Limit Hold'em $0.92 + $0.08.txt"/>
  </r>
  <r>
    <n v="796"/>
    <n v="28.11"/>
    <s v="03.07.2023"/>
    <n v="3"/>
    <x v="6"/>
    <x v="0"/>
    <x v="2"/>
    <n v="-1"/>
    <n v="2"/>
    <m/>
    <x v="1"/>
    <n v="1"/>
    <s v="HH20230703 T3612128205 No Limit Hold'em $0.92 + $0.08.txt"/>
  </r>
  <r>
    <n v="797"/>
    <n v="27.11"/>
    <s v="03.07.2023"/>
    <n v="3"/>
    <x v="6"/>
    <x v="0"/>
    <x v="2"/>
    <n v="-1"/>
    <m/>
    <m/>
    <x v="2"/>
    <n v="-1"/>
    <s v="HH20230703 T3612132590 No Limit Hold'em $0.92 + $0.08.txt"/>
  </r>
  <r>
    <n v="798"/>
    <n v="26.11"/>
    <s v="03.07.2023"/>
    <n v="3"/>
    <x v="6"/>
    <x v="0"/>
    <x v="2"/>
    <n v="-1"/>
    <m/>
    <m/>
    <x v="2"/>
    <n v="-1"/>
    <s v="HH20230703 T3612134093 No Limit Hold'em $0.92 + $0.08.txt"/>
  </r>
  <r>
    <n v="799"/>
    <n v="25.11"/>
    <s v="03.07.2023"/>
    <n v="3"/>
    <x v="6"/>
    <x v="0"/>
    <x v="2"/>
    <n v="-1"/>
    <m/>
    <m/>
    <x v="2"/>
    <n v="-1"/>
    <s v="HH20230703 T3612135839 No Limit Hold'em $0.92 + $0.08.txt"/>
  </r>
  <r>
    <n v="800"/>
    <n v="24.11"/>
    <s v="04.07.2023"/>
    <n v="4"/>
    <x v="6"/>
    <x v="0"/>
    <x v="2"/>
    <n v="-1"/>
    <m/>
    <m/>
    <x v="2"/>
    <n v="-1"/>
    <s v="HH20230704 T3612563419 No Limit Hold'em $0.92 + $0.08.txt"/>
  </r>
  <r>
    <n v="801"/>
    <n v="23.11"/>
    <s v="04.07.2023"/>
    <n v="4"/>
    <x v="6"/>
    <x v="0"/>
    <x v="2"/>
    <n v="-1"/>
    <m/>
    <m/>
    <x v="2"/>
    <n v="-1"/>
    <s v="HH20230704 T3612565387 No Limit Hold'em $0.92 + $0.08.txt"/>
  </r>
  <r>
    <n v="802"/>
    <n v="25.11"/>
    <s v="04.07.2023"/>
    <n v="4"/>
    <x v="6"/>
    <x v="0"/>
    <x v="2"/>
    <n v="-1"/>
    <n v="3"/>
    <m/>
    <x v="1"/>
    <n v="2"/>
    <s v="HH20230704 T3612645797 No Limit Hold'em $0.92 + $0.08.txt"/>
  </r>
  <r>
    <n v="803"/>
    <n v="24.11"/>
    <s v="04.07.2023"/>
    <n v="4"/>
    <x v="6"/>
    <x v="0"/>
    <x v="2"/>
    <n v="-1"/>
    <m/>
    <m/>
    <x v="2"/>
    <n v="-1"/>
    <s v="HH20230704 T3612650303 No Limit Hold'em $0.92 + $0.08.txt"/>
  </r>
  <r>
    <n v="804"/>
    <n v="23.11"/>
    <s v="04.07.2023"/>
    <n v="4"/>
    <x v="6"/>
    <x v="0"/>
    <x v="2"/>
    <n v="-1"/>
    <m/>
    <m/>
    <x v="2"/>
    <n v="-1"/>
    <s v="HH20230704 T3612652422 No Limit Hold'em $0.92 + $0.08.txt"/>
  </r>
  <r>
    <n v="805"/>
    <n v="25.11"/>
    <s v="04.07.2023"/>
    <n v="4"/>
    <x v="6"/>
    <x v="0"/>
    <x v="2"/>
    <n v="-1"/>
    <n v="3"/>
    <m/>
    <x v="1"/>
    <n v="2"/>
    <s v="HH20230704 T3612653766 No Limit Hold'em $0.92 + $0.08.txt"/>
  </r>
  <r>
    <n v="806"/>
    <n v="24.11"/>
    <s v="04.07.2023"/>
    <n v="4"/>
    <x v="6"/>
    <x v="0"/>
    <x v="2"/>
    <n v="-1"/>
    <m/>
    <m/>
    <x v="2"/>
    <n v="-1"/>
    <s v="HH20230704 T3612660547 No Limit Hold'em $0.92 + $0.08.txt"/>
  </r>
  <r>
    <n v="807"/>
    <n v="25.11"/>
    <s v="05.07.2023"/>
    <n v="5"/>
    <x v="6"/>
    <x v="0"/>
    <x v="2"/>
    <n v="-1"/>
    <n v="2"/>
    <m/>
    <x v="1"/>
    <n v="1"/>
    <s v="HH20230705 T3612829590 No Limit Hold'em $0.92 + $0.08.txt"/>
  </r>
  <r>
    <n v="808"/>
    <n v="24.11"/>
    <s v="05.07.2023"/>
    <n v="5"/>
    <x v="6"/>
    <x v="0"/>
    <x v="2"/>
    <n v="-1"/>
    <m/>
    <m/>
    <x v="2"/>
    <n v="-1"/>
    <s v="HH20230705 T3612832805 No Limit Hold'em $0.92 + $0.08.txt"/>
  </r>
  <r>
    <n v="809"/>
    <n v="23.11"/>
    <s v="05.07.2023"/>
    <n v="5"/>
    <x v="6"/>
    <x v="0"/>
    <x v="2"/>
    <n v="-1"/>
    <m/>
    <m/>
    <x v="2"/>
    <n v="-1"/>
    <s v="HH20230705 T3612833229 No Limit Hold'em $0.92 + $0.08.txt"/>
  </r>
  <r>
    <n v="810"/>
    <n v="25.11"/>
    <s v="05.07.2023"/>
    <n v="5"/>
    <x v="6"/>
    <x v="0"/>
    <x v="2"/>
    <n v="-1"/>
    <n v="3"/>
    <m/>
    <x v="1"/>
    <n v="2"/>
    <s v="HH20230705 T3612834070 No Limit Hold'em $0.92 + $0.08.txt"/>
  </r>
  <r>
    <n v="811"/>
    <n v="24.11"/>
    <s v="05.07.2023"/>
    <n v="5"/>
    <x v="6"/>
    <x v="0"/>
    <x v="2"/>
    <n v="-1"/>
    <m/>
    <m/>
    <x v="2"/>
    <n v="-1"/>
    <s v="HH20230705 T3612852637 No Limit Hold'em $0.92 + $0.08.txt"/>
  </r>
  <r>
    <n v="812"/>
    <n v="23.11"/>
    <s v="05.07.2023"/>
    <n v="5"/>
    <x v="6"/>
    <x v="0"/>
    <x v="2"/>
    <n v="-1"/>
    <m/>
    <m/>
    <x v="2"/>
    <n v="-1"/>
    <s v="HH20230705 T3612855794 No Limit Hold'em $0.92 + $0.08.txt"/>
  </r>
  <r>
    <n v="813"/>
    <n v="22.11"/>
    <s v="05.07.2023"/>
    <n v="5"/>
    <x v="6"/>
    <x v="0"/>
    <x v="2"/>
    <n v="-1"/>
    <m/>
    <m/>
    <x v="2"/>
    <n v="-1"/>
    <s v="HH20230705 T3612856550 No Limit Hold'em $0.92 + $0.08.txt"/>
  </r>
  <r>
    <n v="814"/>
    <n v="21.11"/>
    <s v="05.07.2023"/>
    <n v="5"/>
    <x v="6"/>
    <x v="0"/>
    <x v="2"/>
    <n v="-1"/>
    <m/>
    <m/>
    <x v="2"/>
    <n v="-1"/>
    <s v="HH20230705 T3612858236 No Limit Hold'em $0.92 + $0.08.txt"/>
  </r>
  <r>
    <n v="815"/>
    <n v="20.11"/>
    <s v="05.07.2023"/>
    <n v="5"/>
    <x v="6"/>
    <x v="0"/>
    <x v="2"/>
    <n v="-1"/>
    <m/>
    <m/>
    <x v="2"/>
    <n v="-1"/>
    <s v="HH20230705 T3612858611 No Limit Hold'em $0.92 + $0.08.txt"/>
  </r>
  <r>
    <n v="816"/>
    <n v="19.11"/>
    <s v="05.07.2023"/>
    <n v="5"/>
    <x v="6"/>
    <x v="0"/>
    <x v="2"/>
    <n v="-1"/>
    <m/>
    <m/>
    <x v="2"/>
    <n v="-1"/>
    <s v="HH20230705 T3612859395 No Limit Hold'em $0.92 + $0.08.txt"/>
  </r>
  <r>
    <n v="817"/>
    <n v="18.11"/>
    <s v="05.07.2023"/>
    <n v="5"/>
    <x v="6"/>
    <x v="0"/>
    <x v="2"/>
    <n v="-1"/>
    <m/>
    <m/>
    <x v="2"/>
    <n v="-1"/>
    <s v="HH20230705 T3612984149 No Limit Hold'em $0.92 + $0.08.txt"/>
  </r>
  <r>
    <n v="818"/>
    <n v="17.11"/>
    <s v="05.07.2023"/>
    <n v="5"/>
    <x v="6"/>
    <x v="0"/>
    <x v="2"/>
    <n v="-1"/>
    <m/>
    <m/>
    <x v="2"/>
    <n v="-1"/>
    <s v="HH20230705 T3612985426 No Limit Hold'em $0.92 + $0.08.txt"/>
  </r>
  <r>
    <n v="819"/>
    <n v="7.1099999999999994"/>
    <s v="05.07.2023"/>
    <n v="5"/>
    <x v="6"/>
    <x v="0"/>
    <x v="2"/>
    <n v="-10"/>
    <m/>
    <m/>
    <x v="2"/>
    <n v="-1"/>
    <s v="HH20230705 T3612990118 No Limit Hold'em $9.30 + $0.70.txt"/>
  </r>
  <r>
    <n v="820"/>
    <n v="12.11"/>
    <s v="05.07.2023"/>
    <n v="5"/>
    <x v="6"/>
    <x v="0"/>
    <x v="2"/>
    <n v="-5"/>
    <n v="10"/>
    <m/>
    <x v="1"/>
    <n v="1"/>
    <s v="HH20230705 T3612992898 No Limit Hold'em $4.60 + $0.40.txt"/>
  </r>
  <r>
    <n v="821"/>
    <n v="32.11"/>
    <s v="05.07.2023"/>
    <n v="5"/>
    <x v="6"/>
    <x v="0"/>
    <x v="2"/>
    <n v="-10"/>
    <n v="30"/>
    <m/>
    <x v="1"/>
    <n v="2"/>
    <s v="HH20230705 T3612994743 No Limit Hold'em $9.30 + $0.70.txt"/>
  </r>
  <r>
    <n v="822"/>
    <n v="34.11"/>
    <s v="06.07.2023"/>
    <n v="6"/>
    <x v="6"/>
    <x v="0"/>
    <x v="2"/>
    <n v="-1"/>
    <n v="3"/>
    <m/>
    <x v="1"/>
    <n v="2"/>
    <s v="HH20230706 T3613418471 No Limit Hold'em $0.92 + $0.08.txt"/>
  </r>
  <r>
    <n v="823"/>
    <n v="33.11"/>
    <s v="06.07.2023"/>
    <n v="6"/>
    <x v="6"/>
    <x v="0"/>
    <x v="2"/>
    <n v="-1"/>
    <m/>
    <m/>
    <x v="2"/>
    <n v="-1"/>
    <s v="HH20230706 T3613475101 No Limit Hold'em $0.92 + $0.08.txt"/>
  </r>
  <r>
    <n v="824"/>
    <n v="32.11"/>
    <s v="06.07.2023"/>
    <n v="6"/>
    <x v="6"/>
    <x v="0"/>
    <x v="2"/>
    <n v="-1"/>
    <m/>
    <m/>
    <x v="2"/>
    <n v="-1"/>
    <s v="HH20230706 T3613478797 No Limit Hold'em $0.92 + $0.08.txt"/>
  </r>
  <r>
    <n v="825"/>
    <n v="31.11"/>
    <s v="06.07.2023"/>
    <n v="6"/>
    <x v="6"/>
    <x v="0"/>
    <x v="2"/>
    <n v="-1"/>
    <m/>
    <m/>
    <x v="2"/>
    <n v="-1"/>
    <s v="HH20230706 T3613480324 No Limit Hold'em $0.92 + $0.08.txt"/>
  </r>
  <r>
    <n v="826"/>
    <n v="32.11"/>
    <s v="06.07.2023"/>
    <n v="6"/>
    <x v="6"/>
    <x v="0"/>
    <x v="2"/>
    <n v="-1"/>
    <n v="2"/>
    <m/>
    <x v="1"/>
    <n v="1"/>
    <s v="HH20230706 T3613481170 No Limit Hold'em $0.92 + $0.08.txt"/>
  </r>
  <r>
    <n v="827"/>
    <n v="22.11"/>
    <s v="06.07.2023"/>
    <n v="6"/>
    <x v="6"/>
    <x v="0"/>
    <x v="2"/>
    <n v="-10"/>
    <m/>
    <m/>
    <x v="2"/>
    <n v="-1"/>
    <s v="HH20230706 T3613483078 No Limit Hold'em $9.30 + $0.70.txt"/>
  </r>
  <r>
    <n v="828"/>
    <n v="12.11"/>
    <s v="06.07.2023"/>
    <n v="6"/>
    <x v="6"/>
    <x v="0"/>
    <x v="2"/>
    <n v="-10"/>
    <m/>
    <m/>
    <x v="2"/>
    <n v="-1"/>
    <s v="HH20230706 T3613487159 No Limit Hold'em $9.30 + $0.70.txt"/>
  </r>
  <r>
    <n v="829"/>
    <n v="2.1099999999999994"/>
    <s v="06.07.2023"/>
    <n v="6"/>
    <x v="6"/>
    <x v="0"/>
    <x v="2"/>
    <n v="-10"/>
    <m/>
    <m/>
    <x v="2"/>
    <n v="-1"/>
    <s v="HH20230706 T3613491969 No Limit Hold'em $9.30 + $0.70.txt"/>
  </r>
  <r>
    <n v="830"/>
    <n v="0.10999999999999943"/>
    <s v="06.07.2023"/>
    <n v="6"/>
    <x v="6"/>
    <x v="0"/>
    <x v="2"/>
    <n v="-2"/>
    <m/>
    <m/>
    <x v="2"/>
    <n v="-1"/>
    <s v="HH20230706 T3613493699 No Limit Hold'em $1.84 + $0.16.txt"/>
  </r>
  <r>
    <n v="831"/>
    <n v="28.24"/>
    <s v="09.07.2023"/>
    <n v="9"/>
    <x v="6"/>
    <x v="0"/>
    <x v="1"/>
    <m/>
    <n v="28.13"/>
    <m/>
    <x v="0"/>
    <m/>
    <m/>
  </r>
  <r>
    <n v="832"/>
    <n v="17.239999999999998"/>
    <s v="09.07.2023"/>
    <n v="9"/>
    <x v="6"/>
    <x v="0"/>
    <x v="5"/>
    <n v="-11"/>
    <m/>
    <m/>
    <x v="2"/>
    <n v="-1"/>
    <s v="HH20230709 T3610811799 No Limit Hold'em $9.80 + $1.20.txt"/>
  </r>
  <r>
    <n v="833"/>
    <n v="7.2399999999999984"/>
    <s v="10.07.2023"/>
    <n v="10"/>
    <x v="6"/>
    <x v="0"/>
    <x v="2"/>
    <n v="-10"/>
    <m/>
    <m/>
    <x v="2"/>
    <n v="-1"/>
    <s v="HH20230710 T3615206311 No Limit Hold'em $9.30 + $0.70.txt"/>
  </r>
  <r>
    <n v="834"/>
    <n v="12.239999999999998"/>
    <s v="10.07.2023"/>
    <n v="10"/>
    <x v="6"/>
    <x v="0"/>
    <x v="2"/>
    <n v="-5"/>
    <n v="10"/>
    <m/>
    <x v="1"/>
    <n v="1"/>
    <s v="HH20230710 T3615210574 No Limit Hold'em $4.60 + $0.40.txt"/>
  </r>
  <r>
    <n v="835"/>
    <n v="32.239999999999995"/>
    <s v="10.07.2023"/>
    <n v="10"/>
    <x v="6"/>
    <x v="0"/>
    <x v="2"/>
    <n v="-10"/>
    <n v="30"/>
    <m/>
    <x v="1"/>
    <n v="2"/>
    <s v="HH20230710 T3615213540 No Limit Hold'em $9.30 + $0.70.txt"/>
  </r>
  <r>
    <n v="836"/>
    <n v="28.939999999999994"/>
    <s v="11.07.2023"/>
    <n v="11"/>
    <x v="6"/>
    <x v="0"/>
    <x v="3"/>
    <n v="-3.3"/>
    <m/>
    <m/>
    <x v="2"/>
    <n v="-1"/>
    <s v="HH20230711 T3613779399 No Limit Hold'em $2.94 + $0.36.txt"/>
  </r>
  <r>
    <n v="837"/>
    <n v="30.939999999999994"/>
    <s v="11.07.2023"/>
    <n v="11"/>
    <x v="6"/>
    <x v="0"/>
    <x v="2"/>
    <n v="-1"/>
    <n v="3"/>
    <m/>
    <x v="1"/>
    <n v="2"/>
    <s v="HH20230711 T3615654069 No Limit Hold'em $0.92 + $0.08"/>
  </r>
  <r>
    <n v="838"/>
    <n v="29.939999999999994"/>
    <s v="11.07.2023"/>
    <n v="11"/>
    <x v="6"/>
    <x v="0"/>
    <x v="2"/>
    <n v="-1"/>
    <m/>
    <m/>
    <x v="2"/>
    <n v="-1"/>
    <s v="HH20230711 T3615657533 No Limit Hold'em $0.92 + $0.08.txt"/>
  </r>
  <r>
    <n v="839"/>
    <n v="31.939999999999994"/>
    <s v="11.07.2023"/>
    <n v="11"/>
    <x v="6"/>
    <x v="0"/>
    <x v="2"/>
    <n v="-1"/>
    <n v="3"/>
    <m/>
    <x v="1"/>
    <n v="2"/>
    <s v="HH20230711 T3615660758 No Limit Hold'em $0.92 + $0.08.txt"/>
  </r>
  <r>
    <n v="840"/>
    <n v="51.94"/>
    <s v="11.07.2023"/>
    <n v="11"/>
    <x v="6"/>
    <x v="0"/>
    <x v="2"/>
    <n v="-10"/>
    <n v="30"/>
    <m/>
    <x v="1"/>
    <n v="2"/>
    <s v="HH20230711 T3615662228 No Limit Hold'em $9.30 + $0.70.txt"/>
  </r>
  <r>
    <n v="841"/>
    <n v="52.94"/>
    <s v="12.07.2023"/>
    <n v="12"/>
    <x v="6"/>
    <x v="0"/>
    <x v="2"/>
    <n v="-1"/>
    <n v="2"/>
    <m/>
    <x v="1"/>
    <n v="1"/>
    <s v="HH20230712 T3615911739 No Limit Hold'em $0.92 + $0.08.txt"/>
  </r>
  <r>
    <n v="842"/>
    <n v="51.94"/>
    <s v="12.07.2023"/>
    <n v="12"/>
    <x v="6"/>
    <x v="0"/>
    <x v="2"/>
    <n v="-1"/>
    <m/>
    <m/>
    <x v="2"/>
    <n v="-1"/>
    <s v="HH20230712 T3615950717 No Limit Hold'em $0.92 + $0.08.txt"/>
  </r>
  <r>
    <n v="843"/>
    <n v="53.94"/>
    <s v="12.07.2023"/>
    <n v="12"/>
    <x v="6"/>
    <x v="0"/>
    <x v="2"/>
    <n v="-1"/>
    <n v="3"/>
    <m/>
    <x v="1"/>
    <n v="2"/>
    <s v="HH20230712 T3615951946 No Limit Hold'em $0.92 + $0.08.txt"/>
  </r>
  <r>
    <n v="844"/>
    <n v="54.94"/>
    <s v="12.07.2023"/>
    <n v="12"/>
    <x v="6"/>
    <x v="0"/>
    <x v="2"/>
    <n v="-1"/>
    <n v="2"/>
    <m/>
    <x v="1"/>
    <n v="1"/>
    <s v="HH20230712 T3615955113 No Limit Hold'em $0.92 + $0.08.txt"/>
  </r>
  <r>
    <n v="845"/>
    <n v="53.94"/>
    <s v="12.07.2023"/>
    <n v="12"/>
    <x v="6"/>
    <x v="0"/>
    <x v="2"/>
    <n v="-1"/>
    <m/>
    <m/>
    <x v="2"/>
    <n v="-1"/>
    <s v="HH20230712 T3616010035 No Limit Hold'em $0.92 + $0.08.txt"/>
  </r>
  <r>
    <n v="846"/>
    <n v="52.94"/>
    <s v="12.07.2023"/>
    <n v="12"/>
    <x v="6"/>
    <x v="0"/>
    <x v="2"/>
    <n v="-1"/>
    <m/>
    <m/>
    <x v="2"/>
    <n v="-1"/>
    <s v="HH20230712 T3616012061 No Limit Hold'em $0.92 + $0.08.txt"/>
  </r>
  <r>
    <n v="847"/>
    <n v="51.94"/>
    <s v="12.07.2023"/>
    <n v="12"/>
    <x v="6"/>
    <x v="0"/>
    <x v="2"/>
    <n v="-1"/>
    <m/>
    <m/>
    <x v="2"/>
    <n v="-1"/>
    <s v="HH20230712 T3616015593 No Limit Hold'em $0.92 + $0.08.txt"/>
  </r>
  <r>
    <n v="848"/>
    <n v="53.94"/>
    <s v="12.07.2023"/>
    <n v="12"/>
    <x v="6"/>
    <x v="0"/>
    <x v="2"/>
    <n v="-1"/>
    <n v="3"/>
    <m/>
    <x v="1"/>
    <n v="2"/>
    <s v="HH20230712 T3616016957 No Limit Hold'em $0.92 + $0.08.txt"/>
  </r>
  <r>
    <n v="849"/>
    <n v="54.94"/>
    <s v="12.07.2023"/>
    <n v="12"/>
    <x v="6"/>
    <x v="0"/>
    <x v="2"/>
    <n v="-1"/>
    <n v="2"/>
    <m/>
    <x v="1"/>
    <n v="1"/>
    <s v="HH20230712 T3616022591 No Limit Hold'em $0.92 + $0.08.txt"/>
  </r>
  <r>
    <n v="850"/>
    <n v="53.94"/>
    <s v="12.07.2023"/>
    <n v="12"/>
    <x v="6"/>
    <x v="0"/>
    <x v="2"/>
    <n v="-1"/>
    <m/>
    <m/>
    <x v="2"/>
    <n v="-1"/>
    <s v="HH20230712 T3616026325 No Limit Hold'em $0.92 + $0.08.txt"/>
  </r>
  <r>
    <n v="851"/>
    <n v="52.94"/>
    <s v="12.07.2023"/>
    <n v="12"/>
    <x v="6"/>
    <x v="0"/>
    <x v="2"/>
    <n v="-1"/>
    <m/>
    <m/>
    <x v="2"/>
    <n v="-1"/>
    <s v="HH20230712 T3616038159 No Limit Hold'em $0.92 + $0.08.txt"/>
  </r>
  <r>
    <n v="852"/>
    <n v="42.94"/>
    <s v="12.07.2023"/>
    <n v="12"/>
    <x v="6"/>
    <x v="0"/>
    <x v="2"/>
    <n v="-10"/>
    <m/>
    <m/>
    <x v="2"/>
    <n v="-1"/>
    <s v="HH20230712 T3616113150 No Limit Hold'em $9.30 + $0.70.txt"/>
  </r>
  <r>
    <n v="853"/>
    <n v="32.94"/>
    <s v="12.07.2023"/>
    <n v="12"/>
    <x v="6"/>
    <x v="0"/>
    <x v="2"/>
    <n v="-10"/>
    <m/>
    <m/>
    <x v="2"/>
    <n v="-1"/>
    <s v="HH20230712 T3616116445 No Limit Hold'em $9.30 + $0.70.txt"/>
  </r>
  <r>
    <n v="854"/>
    <n v="22.939999999999998"/>
    <s v="12.07.2023"/>
    <n v="12"/>
    <x v="6"/>
    <x v="0"/>
    <x v="2"/>
    <n v="-10"/>
    <m/>
    <m/>
    <x v="2"/>
    <n v="-1"/>
    <s v="HH20230712 T3616118364 No Limit Hold'em $9.30 + $0.70.txt"/>
  </r>
  <r>
    <n v="855"/>
    <n v="12.939999999999998"/>
    <s v="12.07.2023"/>
    <n v="12"/>
    <x v="6"/>
    <x v="0"/>
    <x v="2"/>
    <n v="-10"/>
    <m/>
    <m/>
    <x v="2"/>
    <n v="-1"/>
    <s v="HH20230712 T3616119595 No Limit Hold'em $9.30 + $0.70.txt"/>
  </r>
  <r>
    <n v="856"/>
    <n v="2.9399999999999977"/>
    <s v="12.07.2023"/>
    <n v="12"/>
    <x v="6"/>
    <x v="0"/>
    <x v="2"/>
    <n v="-10"/>
    <m/>
    <m/>
    <x v="2"/>
    <n v="-1"/>
    <s v="HH20230712 T3616121828 No Limit Hold'em $9.30 + $0.70.txt"/>
  </r>
  <r>
    <n v="857"/>
    <n v="1.9399999999999977"/>
    <s v="27.07.2023"/>
    <n v="27"/>
    <x v="6"/>
    <x v="0"/>
    <x v="2"/>
    <n v="-1"/>
    <m/>
    <m/>
    <x v="2"/>
    <n v="-1"/>
    <s v="HH20230727 T3623017199 No Limit Hold'em $0.92 + $0.08.txt"/>
  </r>
  <r>
    <n v="858"/>
    <n v="0.93999999999999773"/>
    <s v="27.07.2023"/>
    <n v="27"/>
    <x v="6"/>
    <x v="0"/>
    <x v="2"/>
    <n v="-1"/>
    <m/>
    <m/>
    <x v="2"/>
    <n v="-1"/>
    <s v="HH20230727 T3623018333 No Limit Hold'em $0.92 + $0.08.txt"/>
  </r>
  <r>
    <n v="859"/>
    <n v="30.119999999999997"/>
    <s v="27.07.2023"/>
    <n v="27"/>
    <x v="6"/>
    <x v="0"/>
    <x v="1"/>
    <m/>
    <n v="29.18"/>
    <m/>
    <x v="0"/>
    <m/>
    <m/>
  </r>
  <r>
    <n v="860"/>
    <n v="29.119999999999997"/>
    <s v="27.07.2023"/>
    <n v="27"/>
    <x v="6"/>
    <x v="0"/>
    <x v="2"/>
    <n v="-1"/>
    <m/>
    <m/>
    <x v="2"/>
    <n v="-1"/>
    <s v="HH20230727 T3623048069 No Limit Hold'em $0.92 + $0.08.txt"/>
  </r>
  <r>
    <n v="861"/>
    <n v="28.119999999999997"/>
    <s v="27.07.2023"/>
    <n v="27"/>
    <x v="6"/>
    <x v="0"/>
    <x v="2"/>
    <n v="-1"/>
    <m/>
    <m/>
    <x v="2"/>
    <n v="-1"/>
    <s v="HH20230727 T3623052227 No Limit Hold'em $0.92 + $0.08.txt"/>
  </r>
  <r>
    <n v="862"/>
    <n v="27.119999999999997"/>
    <s v="27.07.2023"/>
    <n v="27"/>
    <x v="6"/>
    <x v="0"/>
    <x v="2"/>
    <n v="-1"/>
    <m/>
    <m/>
    <x v="2"/>
    <n v="-1"/>
    <s v="HH20230727 T3623053348 No Limit Hold'em $0.92 + $0.08.txt"/>
  </r>
  <r>
    <n v="863"/>
    <n v="26.119999999999997"/>
    <s v="27.07.2023"/>
    <n v="27"/>
    <x v="6"/>
    <x v="0"/>
    <x v="2"/>
    <n v="-1"/>
    <m/>
    <m/>
    <x v="2"/>
    <n v="-1"/>
    <s v="HH20230727 T3623054557 No Limit Hold'em $0.92 + $0.08.txt"/>
  </r>
  <r>
    <n v="864"/>
    <n v="25.119999999999997"/>
    <s v="27.07.2023"/>
    <n v="27"/>
    <x v="6"/>
    <x v="0"/>
    <x v="2"/>
    <n v="-1"/>
    <m/>
    <m/>
    <x v="2"/>
    <n v="-1"/>
    <s v="HH20230727 T3623056208 No Limit Hold'em $0.92 + $0.08.txt"/>
  </r>
  <r>
    <n v="865"/>
    <n v="26.119999999999997"/>
    <s v="27.07.2023"/>
    <n v="27"/>
    <x v="6"/>
    <x v="0"/>
    <x v="2"/>
    <n v="-1"/>
    <n v="2"/>
    <m/>
    <x v="1"/>
    <n v="1"/>
    <s v="HH20230727 T3623057123 No Limit Hold'em $0.92 + $0.08.txt"/>
  </r>
  <r>
    <n v="866"/>
    <n v="25.119999999999997"/>
    <s v="27.07.2023"/>
    <n v="27"/>
    <x v="6"/>
    <x v="0"/>
    <x v="2"/>
    <n v="-1"/>
    <m/>
    <m/>
    <x v="2"/>
    <n v="-1"/>
    <s v="HH20230727 T3623060246 No Limit Hold'em $0.92 + $0.08.txt"/>
  </r>
  <r>
    <n v="867"/>
    <n v="22.919999999999998"/>
    <s v="27.07.2023"/>
    <n v="27"/>
    <x v="6"/>
    <x v="0"/>
    <x v="3"/>
    <n v="-2.2000000000000002"/>
    <m/>
    <m/>
    <x v="2"/>
    <n v="-1"/>
    <s v="HH20230727 T3622149822 No Limit Hold'em $1.96 + $0.24.txt"/>
  </r>
  <r>
    <n v="868"/>
    <n v="23.919999999999998"/>
    <s v="27.07.2023"/>
    <n v="27"/>
    <x v="6"/>
    <x v="0"/>
    <x v="2"/>
    <n v="-1"/>
    <n v="2"/>
    <m/>
    <x v="1"/>
    <n v="1"/>
    <s v="HH20230727 T3623110082 No Limit Hold'em $0.92 + $0.08.txt"/>
  </r>
  <r>
    <n v="869"/>
    <n v="22.919999999999998"/>
    <s v="27.07.2023"/>
    <n v="27"/>
    <x v="6"/>
    <x v="0"/>
    <x v="2"/>
    <n v="-1"/>
    <m/>
    <m/>
    <x v="2"/>
    <n v="-1"/>
    <s v="HH20230727 T3623114096 No Limit Hold'em $0.92 + $0.08.txt"/>
  </r>
  <r>
    <n v="870"/>
    <n v="21.919999999999998"/>
    <s v="27.07.2023"/>
    <n v="27"/>
    <x v="6"/>
    <x v="0"/>
    <x v="2"/>
    <n v="-1"/>
    <m/>
    <m/>
    <x v="2"/>
    <n v="-1"/>
    <s v="HH20230727 T3623117914 No Limit Hold'em $0.92 + $0.08.txt"/>
  </r>
  <r>
    <n v="871"/>
    <n v="22.919999999999998"/>
    <s v="27.07.2023"/>
    <n v="27"/>
    <x v="6"/>
    <x v="0"/>
    <x v="2"/>
    <n v="-1"/>
    <n v="2"/>
    <m/>
    <x v="1"/>
    <n v="1"/>
    <s v="HH20230727 T3623119089 No Limit Hold'em $0.92 + $0.08.txt"/>
  </r>
  <r>
    <n v="872"/>
    <n v="21.919999999999998"/>
    <s v="27.07.2023"/>
    <n v="27"/>
    <x v="6"/>
    <x v="0"/>
    <x v="2"/>
    <n v="-1"/>
    <m/>
    <m/>
    <x v="2"/>
    <n v="-1"/>
    <s v="HH20230727 T3623122196 No Limit Hold'em $0.92 + $0.08.txt"/>
  </r>
  <r>
    <n v="873"/>
    <n v="20.919999999999998"/>
    <s v="28.07.2023"/>
    <n v="28"/>
    <x v="6"/>
    <x v="0"/>
    <x v="2"/>
    <n v="-1"/>
    <m/>
    <m/>
    <x v="2"/>
    <n v="-1"/>
    <s v="HH20230729 T3623991927 No Limit Hold'em $0.92 + $0.08.txt"/>
  </r>
  <r>
    <n v="874"/>
    <n v="21.919999999999998"/>
    <s v="28.07.2023"/>
    <n v="28"/>
    <x v="6"/>
    <x v="0"/>
    <x v="2"/>
    <n v="-1"/>
    <n v="2"/>
    <m/>
    <x v="1"/>
    <n v="1"/>
    <s v="HH20230729 T3623994204 No Limit Hold'em $0.92 + $0.08.txt"/>
  </r>
  <r>
    <n v="875"/>
    <n v="20.919999999999998"/>
    <s v="28.07.2023"/>
    <n v="28"/>
    <x v="6"/>
    <x v="0"/>
    <x v="2"/>
    <n v="-1"/>
    <m/>
    <m/>
    <x v="2"/>
    <n v="-1"/>
    <s v="HH20230729 T3623997600 No Limit Hold'em $0.92 + $0.08.txt"/>
  </r>
  <r>
    <n v="876"/>
    <n v="22.919999999999998"/>
    <s v="28.07.2023"/>
    <n v="28"/>
    <x v="6"/>
    <x v="0"/>
    <x v="2"/>
    <n v="-1"/>
    <n v="3"/>
    <m/>
    <x v="1"/>
    <n v="2"/>
    <s v="HH20230729 T3624000965 No Limit Hold'em $0.92 + $0.08.txt"/>
  </r>
  <r>
    <n v="877"/>
    <n v="21.919999999999998"/>
    <s v="28.07.2023"/>
    <n v="28"/>
    <x v="6"/>
    <x v="0"/>
    <x v="2"/>
    <n v="-1"/>
    <m/>
    <m/>
    <x v="2"/>
    <n v="-1"/>
    <s v="HH20230729 T3624031030 No Limit Hold'em $0.92 + $0.08.txt"/>
  </r>
  <r>
    <n v="878"/>
    <n v="20.919999999999998"/>
    <s v="28.07.2023"/>
    <n v="28"/>
    <x v="6"/>
    <x v="0"/>
    <x v="2"/>
    <n v="-1"/>
    <m/>
    <m/>
    <x v="2"/>
    <n v="-1"/>
    <s v="HH20230729 T3624033429 No Limit Hold'em $0.92 + $0.08.txt"/>
  </r>
  <r>
    <n v="879"/>
    <n v="19.919999999999998"/>
    <s v="30.07.2023"/>
    <n v="30"/>
    <x v="6"/>
    <x v="0"/>
    <x v="2"/>
    <n v="-1"/>
    <m/>
    <m/>
    <x v="2"/>
    <n v="-1"/>
    <s v="HH20230730 T3624348877 No Limit Hold'em $0.92 + $0.08.txt"/>
  </r>
  <r>
    <n v="880"/>
    <n v="18.919999999999998"/>
    <s v="30.07.2023"/>
    <n v="30"/>
    <x v="6"/>
    <x v="0"/>
    <x v="2"/>
    <n v="-1"/>
    <m/>
    <m/>
    <x v="2"/>
    <n v="-1"/>
    <s v="HH20230730 T3624352234 No Limit Hold'em $0.92 + $0.08.txt"/>
  </r>
  <r>
    <n v="881"/>
    <n v="17.919999999999998"/>
    <s v="30.07.2023"/>
    <n v="30"/>
    <x v="6"/>
    <x v="0"/>
    <x v="2"/>
    <n v="-1"/>
    <m/>
    <m/>
    <x v="2"/>
    <n v="-1"/>
    <s v="HH20230730 T3624354175 No Limit Hold'em $0.92 + $0.08.txt"/>
  </r>
  <r>
    <n v="882"/>
    <n v="16.919999999999998"/>
    <s v="30.07.2023"/>
    <n v="30"/>
    <x v="6"/>
    <x v="0"/>
    <x v="2"/>
    <n v="-1"/>
    <m/>
    <m/>
    <x v="2"/>
    <n v="-1"/>
    <s v="HH20230730 T3624354792 No Limit Hold'em $0.92 + $0.08.txt"/>
  </r>
  <r>
    <n v="883"/>
    <n v="15.919999999999998"/>
    <s v="30.07.2023"/>
    <n v="30"/>
    <x v="6"/>
    <x v="0"/>
    <x v="2"/>
    <n v="-1"/>
    <m/>
    <m/>
    <x v="2"/>
    <n v="-1"/>
    <s v="HH20230730 T3624357495 No Limit Hold'em $0.92 + $0.08.txt"/>
  </r>
  <r>
    <n v="884"/>
    <n v="14.919999999999998"/>
    <s v="30.07.2023"/>
    <n v="30"/>
    <x v="6"/>
    <x v="0"/>
    <x v="2"/>
    <n v="-1"/>
    <m/>
    <m/>
    <x v="2"/>
    <n v="-1"/>
    <s v="HH20230730 T3624358645 No Limit Hold'em $0.92 + $0.08.txt"/>
  </r>
  <r>
    <n v="885"/>
    <n v="13.919999999999998"/>
    <s v="30.07.2023"/>
    <n v="30"/>
    <x v="6"/>
    <x v="0"/>
    <x v="2"/>
    <n v="-1"/>
    <m/>
    <m/>
    <x v="2"/>
    <n v="-1"/>
    <s v="HH20230730 T3624358815 No Limit Hold'em $0.92 + $0.08.txt"/>
  </r>
  <r>
    <n v="886"/>
    <n v="15.919999999999998"/>
    <s v="30.07.2023"/>
    <n v="30"/>
    <x v="6"/>
    <x v="0"/>
    <x v="2"/>
    <n v="-1"/>
    <n v="3"/>
    <m/>
    <x v="1"/>
    <n v="2"/>
    <s v="HH20230730 T3624359103 No Limit Hold'em $0.92 + $0.08.txt"/>
  </r>
  <r>
    <n v="887"/>
    <n v="14.919999999999998"/>
    <s v="30.07.2023"/>
    <n v="30"/>
    <x v="6"/>
    <x v="0"/>
    <x v="2"/>
    <n v="-1"/>
    <m/>
    <m/>
    <x v="2"/>
    <n v="-1"/>
    <s v="HH20230730 T3624360978 No Limit Hold'em $0.92 + $0.08.txt"/>
  </r>
  <r>
    <n v="888"/>
    <n v="16.919999999999998"/>
    <s v="30.07.2023"/>
    <n v="30"/>
    <x v="6"/>
    <x v="0"/>
    <x v="2"/>
    <n v="-1"/>
    <n v="3"/>
    <m/>
    <x v="1"/>
    <n v="2"/>
    <s v="HH20230730 T3624552504 No Limit Hold'em $0.92 + $0.08.txt"/>
  </r>
  <r>
    <n v="889"/>
    <n v="17.919999999999998"/>
    <s v="31.07.2023"/>
    <n v="31"/>
    <x v="6"/>
    <x v="0"/>
    <x v="2"/>
    <n v="-1"/>
    <n v="2"/>
    <m/>
    <x v="1"/>
    <n v="1"/>
    <s v="HH20230731 T3624783322 No Limit Hold'em $0.92 + $0.08.txt"/>
  </r>
  <r>
    <n v="890"/>
    <n v="16.919999999999998"/>
    <s v="31.07.2023"/>
    <n v="31"/>
    <x v="6"/>
    <x v="0"/>
    <x v="2"/>
    <n v="-1"/>
    <m/>
    <m/>
    <x v="2"/>
    <n v="-1"/>
    <s v="HH20230731 T3624799606 No Limit Hold'em $0.92 + $0.08.txt"/>
  </r>
  <r>
    <n v="891"/>
    <n v="18.919999999999998"/>
    <s v="31.07.2023"/>
    <n v="31"/>
    <x v="6"/>
    <x v="0"/>
    <x v="2"/>
    <n v="-1"/>
    <n v="3"/>
    <m/>
    <x v="1"/>
    <n v="2"/>
    <s v="HH20230731 T3624936159 No Limit Hold'em $0.92 + $0.08.txt"/>
  </r>
  <r>
    <n v="892"/>
    <n v="17.919999999999998"/>
    <s v="31.07.2023"/>
    <n v="31"/>
    <x v="6"/>
    <x v="0"/>
    <x v="2"/>
    <n v="-1"/>
    <m/>
    <m/>
    <x v="2"/>
    <n v="-1"/>
    <s v="HH20230731 T3624942944 No Limit Hold'em $0.92 + $0.08.txt"/>
  </r>
  <r>
    <n v="893"/>
    <n v="18.919999999999998"/>
    <s v="31.07.2023"/>
    <n v="31"/>
    <x v="6"/>
    <x v="0"/>
    <x v="2"/>
    <n v="-1"/>
    <n v="2"/>
    <m/>
    <x v="1"/>
    <n v="1"/>
    <s v="HH20230731 T3624944736 No Limit Hold'em $0.92 + $0.08.txt"/>
  </r>
  <r>
    <n v="894"/>
    <n v="20.919999999999998"/>
    <s v="31.07.2023"/>
    <n v="31"/>
    <x v="6"/>
    <x v="0"/>
    <x v="2"/>
    <n v="-1"/>
    <n v="3"/>
    <m/>
    <x v="1"/>
    <n v="2"/>
    <s v="HH20230731 T3624948626 No Limit Hold'em $0.92 + $0.08.txt"/>
  </r>
  <r>
    <n v="895"/>
    <n v="19.919999999999998"/>
    <s v="01.08.2023"/>
    <n v="1"/>
    <x v="7"/>
    <x v="0"/>
    <x v="2"/>
    <n v="-1"/>
    <m/>
    <m/>
    <x v="2"/>
    <n v="-1"/>
    <s v="HH20230801 T3625329049 No Limit Hold'em $0.92 + $0.08.txt"/>
  </r>
  <r>
    <n v="896"/>
    <n v="24.089999999999996"/>
    <s v="01.08.2023"/>
    <n v="1"/>
    <x v="7"/>
    <x v="0"/>
    <x v="3"/>
    <n v="-5.5"/>
    <n v="5.92"/>
    <n v="3.75"/>
    <x v="1"/>
    <n v="0.75818181818181807"/>
    <s v="HH20230801 T3623511780 No Limit Hold'em $4.90 + $0.60.txt"/>
  </r>
  <r>
    <n v="897"/>
    <n v="26.089999999999996"/>
    <s v="03.08.2023"/>
    <n v="3"/>
    <x v="7"/>
    <x v="0"/>
    <x v="2"/>
    <n v="-1"/>
    <n v="3"/>
    <m/>
    <x v="1"/>
    <n v="2"/>
    <s v="HH20230803 T3626094469 No Limit Hold'em $0.92 + $0.08.txt"/>
  </r>
  <r>
    <n v="898"/>
    <n v="25.089999999999996"/>
    <s v="03.08.2023"/>
    <n v="3"/>
    <x v="7"/>
    <x v="0"/>
    <x v="2"/>
    <n v="-1"/>
    <m/>
    <m/>
    <x v="2"/>
    <n v="-1"/>
    <s v="HH20230803 T3626119892 No Limit Hold'em $0.92 + $0.08.txt"/>
  </r>
  <r>
    <n v="899"/>
    <n v="24.089999999999996"/>
    <s v="03.08.2023"/>
    <n v="3"/>
    <x v="7"/>
    <x v="0"/>
    <x v="2"/>
    <n v="-1"/>
    <m/>
    <m/>
    <x v="2"/>
    <n v="-1"/>
    <s v="HH20230803 T3626121232 No Limit Hold'em $0.92 + $0.08.txt"/>
  </r>
  <r>
    <n v="900"/>
    <n v="23.089999999999996"/>
    <s v="03.08.2023"/>
    <n v="3"/>
    <x v="7"/>
    <x v="0"/>
    <x v="2"/>
    <n v="-1"/>
    <m/>
    <m/>
    <x v="2"/>
    <n v="-1"/>
    <s v="HH20230803 T3626122470 No Limit Hold'em $0.92 + $0.08.txt"/>
  </r>
  <r>
    <n v="901"/>
    <n v="22.089999999999996"/>
    <s v="03.08.2023"/>
    <n v="3"/>
    <x v="7"/>
    <x v="0"/>
    <x v="2"/>
    <n v="-1"/>
    <m/>
    <m/>
    <x v="2"/>
    <n v="-1"/>
    <s v="HH20230803 T3626123542 No Limit Hold'em $0.92 + $0.08.txt"/>
  </r>
  <r>
    <n v="902"/>
    <n v="21.089999999999996"/>
    <s v="03.08.2023"/>
    <n v="3"/>
    <x v="7"/>
    <x v="0"/>
    <x v="2"/>
    <n v="-1"/>
    <m/>
    <m/>
    <x v="2"/>
    <n v="-1"/>
    <s v="HH20230803 T3626123971 No Limit Hold'em $0.92 + $0.08.txt"/>
  </r>
  <r>
    <n v="903"/>
    <n v="22.089999999999996"/>
    <s v="03.08.2023"/>
    <n v="3"/>
    <x v="7"/>
    <x v="0"/>
    <x v="2"/>
    <n v="-1"/>
    <n v="2"/>
    <m/>
    <x v="1"/>
    <n v="1"/>
    <s v="HH20230803 T3626333112 No Limit Hold'em $0.92 + $0.08.txt"/>
  </r>
  <r>
    <n v="904"/>
    <n v="21.089999999999996"/>
    <s v="03.08.2023"/>
    <n v="3"/>
    <x v="7"/>
    <x v="0"/>
    <x v="2"/>
    <n v="-1"/>
    <m/>
    <m/>
    <x v="2"/>
    <n v="-1"/>
    <s v="HH20230803 T3626335063 No Limit Hold'em $0.92 + $0.08.txt"/>
  </r>
  <r>
    <n v="905"/>
    <n v="22.089999999999996"/>
    <s v="03.08.2023"/>
    <n v="3"/>
    <x v="7"/>
    <x v="0"/>
    <x v="2"/>
    <n v="-1"/>
    <n v="2"/>
    <m/>
    <x v="1"/>
    <n v="1"/>
    <s v="HH20230803 T3626336932 No Limit Hold'em $0.92 + $0.08.txt"/>
  </r>
  <r>
    <n v="906"/>
    <n v="26.089999999999996"/>
    <s v="04.08.2023"/>
    <n v="4"/>
    <x v="7"/>
    <x v="0"/>
    <x v="2"/>
    <n v="-1"/>
    <n v="5"/>
    <m/>
    <x v="1"/>
    <n v="4"/>
    <s v="HH20230804 T3626732974 No Limit Hold'em $0.92 + $0.08.txt"/>
  </r>
  <r>
    <n v="907"/>
    <n v="27.089999999999996"/>
    <s v="04.08.2023"/>
    <n v="4"/>
    <x v="7"/>
    <x v="0"/>
    <x v="2"/>
    <n v="-1"/>
    <n v="2"/>
    <m/>
    <x v="1"/>
    <n v="1"/>
    <s v="HH20230804 T3626737929 No Limit Hold'em $0.92 + $0.08.txt"/>
  </r>
  <r>
    <n v="908"/>
    <n v="23.789999999999996"/>
    <s v="04.08.2023"/>
    <n v="4"/>
    <x v="7"/>
    <x v="0"/>
    <x v="3"/>
    <n v="-3.3"/>
    <m/>
    <m/>
    <x v="2"/>
    <n v="-1"/>
    <s v="HH20230804 T3625279047 No Limit Hold'em $2.94 + $0.36.txt"/>
  </r>
  <r>
    <n v="909"/>
    <n v="24.789999999999996"/>
    <s v="04.08.2023"/>
    <n v="4"/>
    <x v="7"/>
    <x v="0"/>
    <x v="2"/>
    <n v="-1"/>
    <n v="2"/>
    <m/>
    <x v="1"/>
    <n v="1"/>
    <s v="HH20230804 T3626806454 No Limit Hold'em $0.92 + $0.08.txt"/>
  </r>
  <r>
    <n v="910"/>
    <n v="23.789999999999996"/>
    <s v="04.08.2023"/>
    <n v="4"/>
    <x v="7"/>
    <x v="0"/>
    <x v="2"/>
    <n v="-1"/>
    <m/>
    <m/>
    <x v="2"/>
    <n v="-1"/>
    <s v="HH20230804 T3626807413 No Limit Hold'em $0.92 + $0.08.txt"/>
  </r>
  <r>
    <n v="911"/>
    <n v="22.789999999999996"/>
    <s v="04.08.2023"/>
    <n v="4"/>
    <x v="7"/>
    <x v="0"/>
    <x v="2"/>
    <n v="-1"/>
    <m/>
    <m/>
    <x v="2"/>
    <n v="-1"/>
    <s v="HH20230804 T3626812655 No Limit Hold'em $0.92 + $0.08.txt"/>
  </r>
  <r>
    <n v="912"/>
    <n v="21.789999999999996"/>
    <s v="04.08.2023"/>
    <n v="4"/>
    <x v="7"/>
    <x v="0"/>
    <x v="2"/>
    <n v="-1"/>
    <m/>
    <m/>
    <x v="2"/>
    <n v="-1"/>
    <s v="HH20230804 T3626813877 No Limit Hold'em $0.92 + $0.08.txt"/>
  </r>
  <r>
    <n v="913"/>
    <n v="20.789999999999996"/>
    <s v="05.08.2023"/>
    <n v="5"/>
    <x v="7"/>
    <x v="0"/>
    <x v="2"/>
    <n v="-1"/>
    <m/>
    <m/>
    <x v="2"/>
    <n v="-1"/>
    <s v="HH20230805 T3627168646 No Limit Hold'em $0.92 + $0.08.txt"/>
  </r>
  <r>
    <n v="914"/>
    <n v="19.789999999999996"/>
    <s v="05.08.2023"/>
    <n v="5"/>
    <x v="7"/>
    <x v="0"/>
    <x v="2"/>
    <n v="-1"/>
    <m/>
    <m/>
    <x v="2"/>
    <n v="-1"/>
    <s v="HH20230805 T3627169698 No Limit Hold'em $0.92 + $0.08.txt"/>
  </r>
  <r>
    <n v="915"/>
    <n v="18.689999999999994"/>
    <s v="05.08.2023"/>
    <n v="5"/>
    <x v="7"/>
    <x v="0"/>
    <x v="3"/>
    <n v="-1.1000000000000001"/>
    <m/>
    <m/>
    <x v="2"/>
    <n v="-1"/>
    <s v="HH20230805 T3625278993 No Limit Hold'em $0.98 + $0.12.txt"/>
  </r>
  <r>
    <n v="916"/>
    <n v="17.689999999999994"/>
    <s v="05.08.2023"/>
    <n v="5"/>
    <x v="7"/>
    <x v="0"/>
    <x v="2"/>
    <n v="-1"/>
    <m/>
    <m/>
    <x v="2"/>
    <n v="-1"/>
    <s v="HH20230805 T3627181936 No Limit Hold'em $0.92 + $0.08.txt"/>
  </r>
  <r>
    <n v="917"/>
    <n v="16.689999999999994"/>
    <s v="05.08.2023"/>
    <n v="5"/>
    <x v="7"/>
    <x v="0"/>
    <x v="2"/>
    <n v="-1"/>
    <m/>
    <m/>
    <x v="2"/>
    <n v="-1"/>
    <s v="HH20230805 T3627188307 No Limit Hold'em $0.92 + $0.08.txt"/>
  </r>
  <r>
    <n v="918"/>
    <n v="17.689999999999994"/>
    <s v="05.08.2023"/>
    <n v="5"/>
    <x v="7"/>
    <x v="0"/>
    <x v="2"/>
    <n v="-1"/>
    <n v="2"/>
    <m/>
    <x v="1"/>
    <n v="1"/>
    <s v="HH20230805 T3627190286 No Limit Hold'em $0.92 + $0.08.txt"/>
  </r>
  <r>
    <n v="919"/>
    <n v="16.689999999999994"/>
    <s v="05.08.2023"/>
    <n v="5"/>
    <x v="7"/>
    <x v="0"/>
    <x v="2"/>
    <n v="-1"/>
    <m/>
    <m/>
    <x v="2"/>
    <n v="-1"/>
    <s v="HH20230805 T3627190914 No Limit Hold'em $0.92 + $0.08.txt$"/>
  </r>
  <r>
    <n v="920"/>
    <n v="15.689999999999994"/>
    <s v="05.08.2023"/>
    <n v="5"/>
    <x v="7"/>
    <x v="0"/>
    <x v="2"/>
    <n v="-1"/>
    <m/>
    <m/>
    <x v="2"/>
    <n v="-1"/>
    <s v="HH20230805 T3627191423 No Limit Hold'em $0.92 + $0.08.txt"/>
  </r>
  <r>
    <n v="921"/>
    <n v="14.689999999999994"/>
    <s v="05.08.2023"/>
    <n v="5"/>
    <x v="7"/>
    <x v="0"/>
    <x v="2"/>
    <n v="-1"/>
    <m/>
    <m/>
    <x v="2"/>
    <n v="-1"/>
    <s v="HH20230805 T3627192617 No Limit Hold'em $0.92 + $0.08.txt"/>
  </r>
  <r>
    <n v="922"/>
    <n v="13.689999999999994"/>
    <s v="05.08.2023"/>
    <n v="5"/>
    <x v="7"/>
    <x v="0"/>
    <x v="2"/>
    <n v="-1"/>
    <m/>
    <m/>
    <x v="2"/>
    <n v="-1"/>
    <s v="HH20230805 T3627193681 No Limit Hold'em $0.92 + $0.08.txt"/>
  </r>
  <r>
    <n v="923"/>
    <n v="15.689999999999994"/>
    <s v="05.08.2023"/>
    <n v="5"/>
    <x v="7"/>
    <x v="0"/>
    <x v="2"/>
    <n v="-1"/>
    <n v="3"/>
    <m/>
    <x v="1"/>
    <n v="2"/>
    <s v="HH20230805 T3627194768 No Limit Hold'em $0.92 + $0.08.txt"/>
  </r>
  <r>
    <n v="924"/>
    <n v="14.689999999999994"/>
    <s v="05.08.2023"/>
    <n v="5"/>
    <x v="7"/>
    <x v="0"/>
    <x v="2"/>
    <n v="-1"/>
    <m/>
    <m/>
    <x v="2"/>
    <n v="-1"/>
    <s v="HH20230805 T3627197263 No Limit Hold'em $0.92 + $0.08.txt"/>
  </r>
  <r>
    <n v="925"/>
    <n v="13.689999999999994"/>
    <s v="05.08.2023"/>
    <n v="5"/>
    <x v="7"/>
    <x v="0"/>
    <x v="2"/>
    <n v="-1"/>
    <m/>
    <m/>
    <x v="2"/>
    <n v="-1"/>
    <s v="HH20230805 T3627200242 No Limit Hold'em $0.92 + $0.08.txt"/>
  </r>
  <r>
    <n v="926"/>
    <n v="12.689999999999994"/>
    <s v="05.08.2023"/>
    <n v="5"/>
    <x v="7"/>
    <x v="0"/>
    <x v="2"/>
    <n v="-1"/>
    <m/>
    <m/>
    <x v="2"/>
    <n v="-1"/>
    <s v="HH20230805 T3627202589 No Limit Hold'em $0.92 + $0.08.txt"/>
  </r>
  <r>
    <n v="927"/>
    <n v="11.689999999999994"/>
    <s v="05.08.2023"/>
    <n v="5"/>
    <x v="7"/>
    <x v="0"/>
    <x v="2"/>
    <n v="-1"/>
    <m/>
    <m/>
    <x v="2"/>
    <n v="-1"/>
    <s v="HH20230805 T3627204890 No Limit Hold'em $0.92 + $0.08.txt"/>
  </r>
  <r>
    <n v="928"/>
    <n v="10.689999999999994"/>
    <s v="05.08.2023"/>
    <n v="5"/>
    <x v="7"/>
    <x v="0"/>
    <x v="2"/>
    <n v="-1"/>
    <m/>
    <m/>
    <x v="2"/>
    <n v="-1"/>
    <s v="HH20230805 T3627212696 No Limit Hold'em $0.92 + $0.08.txt"/>
  </r>
  <r>
    <n v="929"/>
    <n v="0.68999999999999417"/>
    <s v="05.08.2023"/>
    <n v="5"/>
    <x v="7"/>
    <x v="0"/>
    <x v="2"/>
    <n v="-10"/>
    <m/>
    <m/>
    <x v="2"/>
    <n v="-1"/>
    <s v="HH20230805 T3627214244 No Limit Hold'em $9.30 + $0.70.txt"/>
  </r>
  <r>
    <n v="930"/>
    <n v="86.61"/>
    <s v="05.08.2023"/>
    <n v="5"/>
    <x v="7"/>
    <x v="0"/>
    <x v="1"/>
    <m/>
    <n v="85.92"/>
    <m/>
    <x v="0"/>
    <m/>
    <m/>
  </r>
  <r>
    <n v="931"/>
    <n v="85.61"/>
    <s v="06.08.2023"/>
    <n v="6"/>
    <x v="7"/>
    <x v="0"/>
    <x v="2"/>
    <n v="-1"/>
    <m/>
    <m/>
    <x v="2"/>
    <n v="-1"/>
    <s v="HH20230806 T3627523129 No Limit Hold'em $0.92 + $0.08.txt"/>
  </r>
  <r>
    <n v="932"/>
    <n v="86.61"/>
    <s v="15.08.2023"/>
    <n v="15"/>
    <x v="7"/>
    <x v="0"/>
    <x v="2"/>
    <n v="-1"/>
    <n v="2"/>
    <m/>
    <x v="1"/>
    <n v="1"/>
    <s v="HH20230815 T3631740025 No Limit Hold'em $0.92 + $0.08.txt"/>
  </r>
  <r>
    <n v="933"/>
    <n v="85.61"/>
    <s v="15.08.2023"/>
    <n v="15"/>
    <x v="7"/>
    <x v="0"/>
    <x v="2"/>
    <n v="-1"/>
    <m/>
    <m/>
    <x v="2"/>
    <n v="-1"/>
    <s v="HH20230815 T3631742600 No Limit Hold'em $0.92 + $0.08.txt"/>
  </r>
  <r>
    <n v="934"/>
    <n v="86.61"/>
    <s v="15.08.2023"/>
    <n v="15"/>
    <x v="7"/>
    <x v="0"/>
    <x v="2"/>
    <n v="-1"/>
    <n v="2"/>
    <m/>
    <x v="1"/>
    <n v="1"/>
    <s v="HH20230815 T3631744910 No Limit Hold'em $0.92 + $0.08.txt"/>
  </r>
  <r>
    <n v="935"/>
    <n v="85.61"/>
    <s v="15.08.2023"/>
    <n v="15"/>
    <x v="7"/>
    <x v="0"/>
    <x v="2"/>
    <n v="-1"/>
    <m/>
    <m/>
    <x v="2"/>
    <n v="-1"/>
    <s v="HH20230815 T3631761938 No Limit Hold'em $0.92 + $0.08.txt"/>
  </r>
  <r>
    <n v="936"/>
    <n v="84.61"/>
    <s v="15.08.2023"/>
    <n v="15"/>
    <x v="7"/>
    <x v="0"/>
    <x v="2"/>
    <n v="-1"/>
    <m/>
    <m/>
    <x v="2"/>
    <n v="-1"/>
    <s v="HH20230815 T3631763586 No Limit Hold'em $0.92 + $0.08.txt"/>
  </r>
  <r>
    <n v="937"/>
    <n v="83.61"/>
    <s v="15.08.2023"/>
    <n v="15"/>
    <x v="7"/>
    <x v="0"/>
    <x v="2"/>
    <n v="-1"/>
    <m/>
    <m/>
    <x v="2"/>
    <n v="-1"/>
    <s v="HH20230815 T3631766534 No Limit Hold'em $0.92 + $0.08.txt"/>
  </r>
  <r>
    <n v="938"/>
    <n v="82.61"/>
    <s v="15.08.2023"/>
    <n v="15"/>
    <x v="7"/>
    <x v="0"/>
    <x v="2"/>
    <n v="-1"/>
    <m/>
    <m/>
    <x v="2"/>
    <n v="-1"/>
    <s v="HH20230815 T3631769166 No Limit Hold'em $0.92 + $0.08.txt"/>
  </r>
  <r>
    <n v="939"/>
    <n v="81.61"/>
    <s v="15.08.2023"/>
    <n v="15"/>
    <x v="7"/>
    <x v="0"/>
    <x v="2"/>
    <n v="-1"/>
    <m/>
    <m/>
    <x v="2"/>
    <n v="-1"/>
    <s v="HH20230815 T3631773719 No Limit Hold'em $0.92 + $0.08.txt"/>
  </r>
  <r>
    <n v="940"/>
    <n v="83.61"/>
    <s v="16.08.2023"/>
    <n v="16"/>
    <x v="7"/>
    <x v="0"/>
    <x v="2"/>
    <n v="-1"/>
    <n v="3"/>
    <m/>
    <x v="1"/>
    <n v="2"/>
    <s v="HH20230816 T3632176345 No Limit Hold'em $0.92 + $0.08.txt"/>
  </r>
  <r>
    <n v="941"/>
    <n v="82.61"/>
    <s v="16.08.2023"/>
    <n v="16"/>
    <x v="7"/>
    <x v="0"/>
    <x v="2"/>
    <n v="-1"/>
    <m/>
    <m/>
    <x v="2"/>
    <n v="-1"/>
    <s v="HH20230816 T3632180540 No Limit Hold'em $0.92 + $0.08.txt"/>
  </r>
  <r>
    <n v="942"/>
    <n v="81.61"/>
    <s v="16.08.2023"/>
    <n v="16"/>
    <x v="7"/>
    <x v="0"/>
    <x v="2"/>
    <n v="-1"/>
    <m/>
    <m/>
    <x v="2"/>
    <n v="-1"/>
    <s v="HH20230816 T3632181295 No Limit Hold'em $0.92 + $0.08.txt"/>
  </r>
  <r>
    <n v="943"/>
    <n v="80.61"/>
    <s v="16.08.2023"/>
    <n v="16"/>
    <x v="7"/>
    <x v="0"/>
    <x v="2"/>
    <n v="-1"/>
    <m/>
    <m/>
    <x v="2"/>
    <n v="-1"/>
    <s v="HH20230816 T3632186988 No Limit Hold'em $0.92 + $0.08.txt"/>
  </r>
  <r>
    <n v="944"/>
    <n v="79.61"/>
    <s v="17.08.2023"/>
    <n v="17"/>
    <x v="7"/>
    <x v="0"/>
    <x v="2"/>
    <n v="-1"/>
    <m/>
    <m/>
    <x v="2"/>
    <n v="-1"/>
    <s v="HH20230817 T3632627466 No Limit Hold'em $0.92 + $0.08.txt"/>
  </r>
  <r>
    <n v="945"/>
    <n v="80.61"/>
    <s v="17.08.2023"/>
    <n v="17"/>
    <x v="7"/>
    <x v="0"/>
    <x v="2"/>
    <n v="-1"/>
    <n v="2"/>
    <m/>
    <x v="1"/>
    <n v="1"/>
    <s v="HH20230817 T3632630730 No Limit Hold'em $0.92 + $0.08.txt"/>
  </r>
  <r>
    <n v="946"/>
    <n v="82.61"/>
    <s v="18.08.2023"/>
    <n v="18"/>
    <x v="7"/>
    <x v="0"/>
    <x v="2"/>
    <n v="-1"/>
    <n v="3"/>
    <m/>
    <x v="1"/>
    <n v="2"/>
    <s v="HH20230818 T3633048367 No Limit Hold'em $0.92 + $0.08.txt"/>
  </r>
  <r>
    <n v="947"/>
    <n v="83.61"/>
    <s v="19.08.2023"/>
    <n v="19"/>
    <x v="7"/>
    <x v="0"/>
    <x v="2"/>
    <n v="-1"/>
    <n v="2"/>
    <m/>
    <x v="1"/>
    <n v="1"/>
    <s v="HH20230819 T3633357644 No Limit Hold'em $0.92 + $0.08.txt"/>
  </r>
  <r>
    <n v="948"/>
    <n v="82.61"/>
    <s v="19.08.2023"/>
    <n v="19"/>
    <x v="7"/>
    <x v="0"/>
    <x v="2"/>
    <n v="-1"/>
    <m/>
    <m/>
    <x v="2"/>
    <n v="-1"/>
    <s v="HH20230819 T3633360732 No Limit Hold'em $0.92 + $0.08.txt"/>
  </r>
  <r>
    <n v="949"/>
    <n v="81.61"/>
    <s v="25.08.2023"/>
    <n v="25"/>
    <x v="7"/>
    <x v="0"/>
    <x v="2"/>
    <n v="-1"/>
    <m/>
    <m/>
    <x v="2"/>
    <n v="-1"/>
    <s v="HH20230825 T3635973295 No Limit Hold'em $0.92 + $0.08.txt"/>
  </r>
  <r>
    <n v="950"/>
    <n v="80.61"/>
    <s v="26.08.2023"/>
    <n v="26"/>
    <x v="7"/>
    <x v="0"/>
    <x v="2"/>
    <n v="-1"/>
    <m/>
    <m/>
    <x v="2"/>
    <n v="-1"/>
    <s v="HH20230826 T3636379112 No Limit Hold'em $0.92 + $0.08.txt"/>
  </r>
  <r>
    <n v="951"/>
    <n v="79.61"/>
    <s v="26.08.2023"/>
    <n v="26"/>
    <x v="7"/>
    <x v="0"/>
    <x v="2"/>
    <n v="-1"/>
    <m/>
    <m/>
    <x v="2"/>
    <n v="-1"/>
    <s v="HH20230826 T3636448682 No Limit Hold'em $0.92 + $0.08.txt"/>
  </r>
  <r>
    <n v="952"/>
    <n v="78.61"/>
    <s v="26.08.2023"/>
    <n v="26"/>
    <x v="7"/>
    <x v="0"/>
    <x v="2"/>
    <n v="-1"/>
    <m/>
    <m/>
    <x v="2"/>
    <n v="-1"/>
    <s v="HH20230826 T3636449401 No Limit Hold'em $0.92 + $0.08.txt"/>
  </r>
  <r>
    <n v="953"/>
    <n v="77.61"/>
    <s v="26.08.2023"/>
    <n v="26"/>
    <x v="7"/>
    <x v="0"/>
    <x v="2"/>
    <n v="-1"/>
    <m/>
    <m/>
    <x v="2"/>
    <n v="-1"/>
    <s v="HH20230826 T3636452934 No Limit Hold'em $0.92 + $0.08.txt"/>
  </r>
  <r>
    <n v="954"/>
    <n v="76.61"/>
    <s v="26.08.2023"/>
    <n v="26"/>
    <x v="7"/>
    <x v="0"/>
    <x v="2"/>
    <n v="-1"/>
    <m/>
    <m/>
    <x v="2"/>
    <n v="-1"/>
    <s v="HH20230826 T3636455453 No Limit Hold'em $0.92 + $0.08.txt"/>
  </r>
  <r>
    <n v="955"/>
    <n v="77.61"/>
    <s v="26.08.2023"/>
    <n v="26"/>
    <x v="7"/>
    <x v="0"/>
    <x v="2"/>
    <n v="-1"/>
    <n v="2"/>
    <m/>
    <x v="1"/>
    <n v="1"/>
    <s v="HH20230826 T3636458427 No Limit Hold'em $0.92 + $0.08.txt"/>
  </r>
  <r>
    <n v="956"/>
    <n v="76.61"/>
    <s v="26.08.2023"/>
    <n v="26"/>
    <x v="7"/>
    <x v="0"/>
    <x v="2"/>
    <n v="-1"/>
    <m/>
    <m/>
    <x v="2"/>
    <n v="-1"/>
    <s v="HH20230826 T3636461412 No Limit Hold'em $0.92 + $0.08.txt"/>
  </r>
  <r>
    <n v="957"/>
    <n v="75.61"/>
    <s v="26.08.2023"/>
    <n v="26"/>
    <x v="7"/>
    <x v="0"/>
    <x v="2"/>
    <n v="-1"/>
    <m/>
    <m/>
    <x v="2"/>
    <n v="-1"/>
    <s v="HH20230826 T3636462179 No Limit Hold'em $0.92 + $0.08.txt"/>
  </r>
  <r>
    <n v="958"/>
    <n v="74.61"/>
    <s v="26.08.2023"/>
    <n v="26"/>
    <x v="7"/>
    <x v="0"/>
    <x v="2"/>
    <n v="-1"/>
    <m/>
    <m/>
    <x v="2"/>
    <n v="-1"/>
    <s v="HH20230826 T3636499924 No Limit Hold'em $0.92 + $0.08.txt"/>
  </r>
  <r>
    <n v="959"/>
    <n v="73.61"/>
    <s v="30.08.2023"/>
    <n v="30"/>
    <x v="7"/>
    <x v="0"/>
    <x v="2"/>
    <n v="-1"/>
    <m/>
    <m/>
    <x v="2"/>
    <n v="-1"/>
    <s v="HH20230830 T3638253521 No Limit Hold'em $0.92 + $0.08.txt"/>
  </r>
  <r>
    <n v="960"/>
    <n v="75.61"/>
    <s v="30.08.2023"/>
    <n v="30"/>
    <x v="7"/>
    <x v="0"/>
    <x v="2"/>
    <n v="-1"/>
    <n v="3"/>
    <m/>
    <x v="1"/>
    <n v="2"/>
    <s v="HH20230830 T3638255550 No Limit Hold'em $0.92 + $0.08.txt"/>
  </r>
  <r>
    <n v="961"/>
    <n v="74.61"/>
    <s v="31.08.2023"/>
    <n v="31"/>
    <x v="7"/>
    <x v="0"/>
    <x v="2"/>
    <n v="-1"/>
    <m/>
    <m/>
    <x v="2"/>
    <n v="-1"/>
    <s v="HH20230831 T3638581939 No Limit Hold'em $0.92 + $0.08.txt"/>
  </r>
  <r>
    <n v="962"/>
    <n v="78.61"/>
    <s v="31.08.2023"/>
    <n v="31"/>
    <x v="7"/>
    <x v="0"/>
    <x v="2"/>
    <n v="-1"/>
    <n v="5"/>
    <m/>
    <x v="1"/>
    <n v="4"/>
    <s v="HH20230831 T3638585129 No Limit Hold'em $0.92 + $0.08.txt"/>
  </r>
  <r>
    <n v="963"/>
    <n v="77.61"/>
    <s v="31.08.2023"/>
    <n v="31"/>
    <x v="7"/>
    <x v="0"/>
    <x v="9"/>
    <n v="-1"/>
    <m/>
    <m/>
    <x v="2"/>
    <n v="-1"/>
    <s v="HH20230831 T3638650068 No Limit Hold'em $0.88 + $0.12.txt"/>
  </r>
  <r>
    <n v="964"/>
    <n v="76.61"/>
    <s v="31.08.2023"/>
    <n v="31"/>
    <x v="7"/>
    <x v="0"/>
    <x v="2"/>
    <n v="-1"/>
    <m/>
    <m/>
    <x v="2"/>
    <n v="-1"/>
    <s v="HH20230831 T3638658076 No Limit Hold'em $0.92 + $0.08.txt"/>
  </r>
  <r>
    <n v="965"/>
    <n v="75.61"/>
    <s v="31.08.2023"/>
    <n v="31"/>
    <x v="7"/>
    <x v="0"/>
    <x v="2"/>
    <n v="-1"/>
    <m/>
    <m/>
    <x v="2"/>
    <n v="-1"/>
    <s v="HH20230831 T3638660120 No Limit Hold'em $0.92 + $0.08.txt"/>
  </r>
  <r>
    <n v="966"/>
    <n v="74.61"/>
    <s v="31.08.2023"/>
    <n v="31"/>
    <x v="7"/>
    <x v="0"/>
    <x v="2"/>
    <n v="-1"/>
    <m/>
    <m/>
    <x v="2"/>
    <n v="-1"/>
    <s v="HH20230831 T3638661767 No Limit Hold'em $0.92 + $0.08.txt"/>
  </r>
  <r>
    <n v="967"/>
    <n v="75.61"/>
    <s v="31.08.2023"/>
    <n v="31"/>
    <x v="7"/>
    <x v="0"/>
    <x v="2"/>
    <n v="-1"/>
    <n v="2"/>
    <m/>
    <x v="1"/>
    <n v="1"/>
    <s v="HH20230831 T3638663228 No Limit Hold'em $0.92 + $0.08.txt"/>
  </r>
  <r>
    <n v="968"/>
    <n v="79.61"/>
    <s v="31.08.2023"/>
    <n v="31"/>
    <x v="7"/>
    <x v="0"/>
    <x v="2"/>
    <n v="-1"/>
    <n v="5"/>
    <m/>
    <x v="1"/>
    <n v="4"/>
    <s v="HH20230831 T3638664656 No Limit Hold'em $0.92 + $0.08.txt"/>
  </r>
  <r>
    <n v="969"/>
    <n v="78.61"/>
    <s v="02.09.2023"/>
    <n v="2"/>
    <x v="8"/>
    <x v="0"/>
    <x v="2"/>
    <n v="-1"/>
    <m/>
    <m/>
    <x v="2"/>
    <n v="-1"/>
    <s v="HH20230902 T3639375383 No Limit Hold'em $0.92 + $0.08.txt"/>
  </r>
  <r>
    <n v="970"/>
    <n v="79.61"/>
    <s v="02.09.2023"/>
    <n v="2"/>
    <x v="8"/>
    <x v="0"/>
    <x v="2"/>
    <n v="-1"/>
    <n v="2"/>
    <m/>
    <x v="1"/>
    <n v="1"/>
    <s v="HH20230902 T3639376136 No Limit Hold'em $0.92 + $0.08.txt"/>
  </r>
  <r>
    <n v="971"/>
    <n v="78.61"/>
    <s v="02.09.2023"/>
    <n v="2"/>
    <x v="8"/>
    <x v="0"/>
    <x v="2"/>
    <n v="-1"/>
    <m/>
    <m/>
    <x v="2"/>
    <n v="-1"/>
    <s v="HH20230902 T3639391636 No Limit Hold'em $0.92 + $0.08.txt"/>
  </r>
  <r>
    <n v="972"/>
    <n v="77.61"/>
    <s v="02.09.2023"/>
    <n v="2"/>
    <x v="8"/>
    <x v="0"/>
    <x v="2"/>
    <n v="-1"/>
    <m/>
    <m/>
    <x v="2"/>
    <n v="-1"/>
    <s v="HH20230902 T3639393364 No Limit Hold'em $0.92 + $0.08.txt"/>
  </r>
  <r>
    <n v="973"/>
    <n v="76.61"/>
    <s v="02.09.2023"/>
    <n v="2"/>
    <x v="8"/>
    <x v="0"/>
    <x v="2"/>
    <n v="-1"/>
    <m/>
    <m/>
    <x v="2"/>
    <n v="-1"/>
    <s v="HH20230902 T3639394140 No Limit Hold'em $0.92 + $0.08.txt"/>
  </r>
  <r>
    <n v="974"/>
    <n v="78.61"/>
    <s v="02.09.2023"/>
    <n v="2"/>
    <x v="8"/>
    <x v="0"/>
    <x v="2"/>
    <n v="-1"/>
    <n v="3"/>
    <m/>
    <x v="1"/>
    <n v="2"/>
    <s v="HH20230902 T3639396914 No Limit Hold'em $0.92 + $0.08.txt"/>
  </r>
  <r>
    <n v="975"/>
    <n v="77.61"/>
    <s v="02.09.2023"/>
    <n v="2"/>
    <x v="8"/>
    <x v="0"/>
    <x v="2"/>
    <n v="-1"/>
    <m/>
    <m/>
    <x v="2"/>
    <n v="-1"/>
    <s v="HH20230902 T3639424359 No Limit Hold'em $0.92 + $0.08.txt"/>
  </r>
  <r>
    <n v="976"/>
    <n v="78.61"/>
    <s v="02.09.2023"/>
    <n v="2"/>
    <x v="8"/>
    <x v="0"/>
    <x v="2"/>
    <n v="-1"/>
    <n v="2"/>
    <m/>
    <x v="1"/>
    <n v="1"/>
    <s v="HH20230902 T3639425452 No Limit Hold'em $0.92 + $0.08.txt"/>
  </r>
  <r>
    <n v="977"/>
    <n v="79.61"/>
    <s v="02.09.2023"/>
    <n v="2"/>
    <x v="8"/>
    <x v="0"/>
    <x v="2"/>
    <n v="-1"/>
    <n v="2"/>
    <m/>
    <x v="1"/>
    <n v="1"/>
    <s v="HH20230902 T3639426844 No Limit Hold'em $0.92 + $0.08.txt"/>
  </r>
  <r>
    <n v="978"/>
    <n v="78.61"/>
    <s v="02.09.2023"/>
    <n v="2"/>
    <x v="8"/>
    <x v="0"/>
    <x v="2"/>
    <n v="-1"/>
    <m/>
    <m/>
    <x v="2"/>
    <n v="-1"/>
    <s v="HH20230902 T3639440431 No Limit Hold'em $0.92 + $0.08.txt"/>
  </r>
  <r>
    <n v="979"/>
    <n v="77.61"/>
    <s v="02.09.2023"/>
    <n v="2"/>
    <x v="8"/>
    <x v="0"/>
    <x v="2"/>
    <n v="-1"/>
    <m/>
    <m/>
    <x v="2"/>
    <n v="-1"/>
    <s v="HH20230902 T3639441257 No Limit Hold'em $0.92 + $0.08.txt"/>
  </r>
  <r>
    <n v="980"/>
    <n v="76.61"/>
    <s v="02.09.2023"/>
    <n v="2"/>
    <x v="8"/>
    <x v="0"/>
    <x v="2"/>
    <n v="-1"/>
    <m/>
    <m/>
    <x v="2"/>
    <n v="-1"/>
    <s v="HH20230902 T3639442051 No Limit Hold'em $0.92 + $0.08.txt"/>
  </r>
  <r>
    <n v="981"/>
    <n v="75.61"/>
    <s v="02.09.2023"/>
    <n v="2"/>
    <x v="8"/>
    <x v="0"/>
    <x v="2"/>
    <n v="-1"/>
    <m/>
    <m/>
    <x v="2"/>
    <n v="-1"/>
    <s v="HH20230902 T3639444583 No Limit Hold'em $0.92 + $0.08.txt"/>
  </r>
  <r>
    <n v="982"/>
    <n v="79.61"/>
    <s v="02.09.2023"/>
    <n v="2"/>
    <x v="8"/>
    <x v="0"/>
    <x v="2"/>
    <n v="-1"/>
    <n v="5"/>
    <m/>
    <x v="1"/>
    <n v="4"/>
    <s v="HH20230902 T3639446931 No Limit Hold'em $0.92 + $0.08.txt"/>
  </r>
  <r>
    <n v="983"/>
    <n v="78.61"/>
    <s v="02.09.2023"/>
    <n v="2"/>
    <x v="8"/>
    <x v="0"/>
    <x v="2"/>
    <n v="-1"/>
    <m/>
    <m/>
    <x v="2"/>
    <n v="-1"/>
    <s v="HH20230902 T3639449308 No Limit Hold'em $0.92 + $0.08.txt"/>
  </r>
  <r>
    <n v="984"/>
    <n v="77.61"/>
    <s v="02.09.2023"/>
    <n v="2"/>
    <x v="8"/>
    <x v="0"/>
    <x v="2"/>
    <n v="-1"/>
    <m/>
    <m/>
    <x v="2"/>
    <n v="-1"/>
    <s v="HH20230902 T3639450885 No Limit Hold'em $0.92 + $0.08.txt"/>
  </r>
  <r>
    <n v="985"/>
    <n v="76.61"/>
    <s v="02.09.2023"/>
    <n v="2"/>
    <x v="8"/>
    <x v="0"/>
    <x v="2"/>
    <n v="-1"/>
    <m/>
    <m/>
    <x v="2"/>
    <n v="-1"/>
    <s v="HH20230902 T3639452625 No Limit Hold'em $0.92 + $0.08.txt"/>
  </r>
  <r>
    <n v="986"/>
    <n v="75.61"/>
    <s v="02.09.2023"/>
    <n v="2"/>
    <x v="8"/>
    <x v="0"/>
    <x v="2"/>
    <n v="-1"/>
    <m/>
    <m/>
    <x v="2"/>
    <n v="-1"/>
    <s v="HH20230902 T3639453631 No Limit Hold'em $0.92 + $0.08.txt"/>
  </r>
  <r>
    <n v="987"/>
    <n v="74.61"/>
    <s v="02.09.2023"/>
    <n v="2"/>
    <x v="8"/>
    <x v="0"/>
    <x v="2"/>
    <n v="-1"/>
    <m/>
    <m/>
    <x v="2"/>
    <n v="-1"/>
    <s v="HH20230902 T3639456495 No Limit Hold'em $0.92 + $0.08.txt"/>
  </r>
  <r>
    <n v="988"/>
    <n v="73.61"/>
    <s v="02.09.2023"/>
    <n v="2"/>
    <x v="8"/>
    <x v="0"/>
    <x v="2"/>
    <n v="-1"/>
    <m/>
    <m/>
    <x v="2"/>
    <n v="-1"/>
    <s v="HH20230902 T3639458236 No Limit Hold'em $0.92 + $0.08.txt"/>
  </r>
  <r>
    <n v="989"/>
    <n v="72.61"/>
    <s v="02.09.2023"/>
    <n v="2"/>
    <x v="8"/>
    <x v="0"/>
    <x v="2"/>
    <n v="-1"/>
    <m/>
    <m/>
    <x v="2"/>
    <n v="-1"/>
    <s v="HH20230902 T3639462394 No Limit Hold'em $0.92 + $0.08.txt"/>
  </r>
  <r>
    <n v="990"/>
    <n v="73.61"/>
    <s v="02.09.2023"/>
    <n v="2"/>
    <x v="8"/>
    <x v="0"/>
    <x v="2"/>
    <n v="-1"/>
    <n v="2"/>
    <m/>
    <x v="1"/>
    <n v="1"/>
    <s v="HH20230902 T3639462814 No Limit Hold'em $0.92 + $0.08.txt"/>
  </r>
  <r>
    <n v="991"/>
    <n v="74.61"/>
    <s v="02.09.2023"/>
    <n v="2"/>
    <x v="8"/>
    <x v="0"/>
    <x v="2"/>
    <n v="-1"/>
    <n v="2"/>
    <m/>
    <x v="1"/>
    <n v="1"/>
    <s v="HH20230902 T3639466321 No Limit Hold'em $0.92 + $0.08.txt"/>
  </r>
  <r>
    <n v="992"/>
    <n v="73.61"/>
    <s v="02.09.2023"/>
    <n v="2"/>
    <x v="8"/>
    <x v="0"/>
    <x v="2"/>
    <n v="-1"/>
    <m/>
    <m/>
    <x v="2"/>
    <n v="-1"/>
    <s v="HH20230902 T3639601104 No Limit Hold'em $0.92 + $0.08.txt"/>
  </r>
  <r>
    <n v="993"/>
    <n v="72.61"/>
    <s v="02.09.2023"/>
    <n v="2"/>
    <x v="8"/>
    <x v="0"/>
    <x v="2"/>
    <n v="-1"/>
    <m/>
    <m/>
    <x v="2"/>
    <n v="-1"/>
    <s v="HH20230902 T3639604840 No Limit Hold'em $0.92 + $0.08.txt"/>
  </r>
  <r>
    <n v="994"/>
    <n v="71.61"/>
    <s v="02.09.2023"/>
    <n v="2"/>
    <x v="8"/>
    <x v="0"/>
    <x v="2"/>
    <n v="-1"/>
    <m/>
    <m/>
    <x v="2"/>
    <n v="-1"/>
    <s v="HH20230902 T3639608629 No Limit Hold'em $0.92 + $0.08.txt"/>
  </r>
  <r>
    <n v="995"/>
    <n v="70.61"/>
    <s v="02.09.2023"/>
    <n v="2"/>
    <x v="8"/>
    <x v="0"/>
    <x v="2"/>
    <n v="-1"/>
    <m/>
    <m/>
    <x v="2"/>
    <n v="-1"/>
    <s v="HH20230902 T3639614356 No Limit Hold'em $0.92 + $0.08.txt"/>
  </r>
  <r>
    <n v="996"/>
    <n v="69.61"/>
    <s v="02.09.2023"/>
    <n v="2"/>
    <x v="8"/>
    <x v="0"/>
    <x v="2"/>
    <n v="-1"/>
    <m/>
    <m/>
    <x v="2"/>
    <n v="-1"/>
    <s v="HH20230902 T3639615249 No Limit Hold'em $0.92 + $0.08.txt"/>
  </r>
  <r>
    <n v="997"/>
    <n v="68.61"/>
    <s v="02.09.2023"/>
    <n v="2"/>
    <x v="8"/>
    <x v="0"/>
    <x v="2"/>
    <n v="-1"/>
    <m/>
    <m/>
    <x v="2"/>
    <n v="-1"/>
    <s v="HH20230902 T3639615905 No Limit Hold'em $0.92 + $0.08.txt"/>
  </r>
  <r>
    <n v="998"/>
    <n v="69.61"/>
    <s v="03.09.2023"/>
    <n v="3"/>
    <x v="8"/>
    <x v="0"/>
    <x v="2"/>
    <n v="-1"/>
    <n v="2"/>
    <m/>
    <x v="1"/>
    <n v="1"/>
    <s v="HH20230903 T3639827686 No Limit Hold'em $0.92 + $0.08.txt"/>
  </r>
  <r>
    <n v="999"/>
    <n v="68.61"/>
    <s v="03.09.2023"/>
    <n v="3"/>
    <x v="8"/>
    <x v="0"/>
    <x v="2"/>
    <n v="-1"/>
    <m/>
    <m/>
    <x v="2"/>
    <n v="-1"/>
    <s v="HH20230903 T3639828543 No Limit Hold'em $0.92 + $0.08.txt"/>
  </r>
  <r>
    <n v="1000"/>
    <n v="67.61"/>
    <s v="03.09.2023"/>
    <n v="3"/>
    <x v="8"/>
    <x v="0"/>
    <x v="2"/>
    <n v="-1"/>
    <m/>
    <m/>
    <x v="2"/>
    <n v="-1"/>
    <s v="HH20230903 T3639829278 No Limit Hold'em $0.92 + $0.08.txt"/>
  </r>
  <r>
    <n v="1001"/>
    <n v="69.61"/>
    <s v="03.09.2023"/>
    <n v="3"/>
    <x v="8"/>
    <x v="0"/>
    <x v="2"/>
    <n v="-1"/>
    <n v="3"/>
    <m/>
    <x v="1"/>
    <n v="2"/>
    <s v="HH20230903 T3639830630 No Limit Hold'em $0.92 + $0.08.txt"/>
  </r>
  <r>
    <n v="1002"/>
    <n v="71.61"/>
    <s v="03.09.2023"/>
    <n v="3"/>
    <x v="8"/>
    <x v="0"/>
    <x v="2"/>
    <n v="-1"/>
    <n v="3"/>
    <m/>
    <x v="1"/>
    <n v="2"/>
    <s v="HH20230903 T3639832703 No Limit Hold'em $0.92 + $0.08.txt"/>
  </r>
  <r>
    <n v="1003"/>
    <n v="70.61"/>
    <s v="03.09.2023"/>
    <n v="3"/>
    <x v="8"/>
    <x v="0"/>
    <x v="2"/>
    <n v="-1"/>
    <m/>
    <m/>
    <x v="2"/>
    <n v="-1"/>
    <s v="HH20230903 T3639834993 No Limit Hold'em $0.92 + $0.08.txt"/>
  </r>
  <r>
    <n v="1004"/>
    <n v="69.61"/>
    <s v="03.09.2023"/>
    <n v="3"/>
    <x v="8"/>
    <x v="0"/>
    <x v="2"/>
    <n v="-1"/>
    <m/>
    <m/>
    <x v="2"/>
    <n v="-1"/>
    <s v="HH20230903 T3639835470 No Limit Hold'em $0.92 + $0.08.txt"/>
  </r>
  <r>
    <n v="1005"/>
    <n v="68.61"/>
    <s v="03.09.2023"/>
    <n v="3"/>
    <x v="8"/>
    <x v="0"/>
    <x v="2"/>
    <n v="-1"/>
    <m/>
    <m/>
    <x v="2"/>
    <n v="-1"/>
    <s v="HH20230903 T3639837877 No Limit Hold'em $0.92 + $0.08.txt"/>
  </r>
  <r>
    <n v="1006"/>
    <n v="69.61"/>
    <s v="03.09.2023"/>
    <n v="3"/>
    <x v="8"/>
    <x v="0"/>
    <x v="2"/>
    <n v="-1"/>
    <n v="2"/>
    <m/>
    <x v="1"/>
    <n v="1"/>
    <s v="HH20230903 T3639867397 No Limit Hold'em $0.92 + $0.08.txt"/>
  </r>
  <r>
    <n v="1007"/>
    <n v="71.61"/>
    <s v="03.09.2023"/>
    <n v="3"/>
    <x v="8"/>
    <x v="0"/>
    <x v="2"/>
    <n v="-1"/>
    <n v="3"/>
    <m/>
    <x v="1"/>
    <n v="2"/>
    <s v="HH20230903 T3639869712 No Limit Hold'em $0.92 + $0.08.txt"/>
  </r>
  <r>
    <n v="1008"/>
    <n v="73.61"/>
    <s v="03.09.2023"/>
    <n v="3"/>
    <x v="8"/>
    <x v="0"/>
    <x v="2"/>
    <n v="-1"/>
    <n v="3"/>
    <m/>
    <x v="1"/>
    <n v="2"/>
    <s v="HH20230903 T3639871694 No Limit Hold'em $0.92 + $0.08.txt"/>
  </r>
  <r>
    <n v="1009"/>
    <n v="75.61"/>
    <s v="03.09.2023"/>
    <n v="3"/>
    <x v="8"/>
    <x v="0"/>
    <x v="2"/>
    <n v="-1"/>
    <n v="3"/>
    <m/>
    <x v="1"/>
    <n v="2"/>
    <s v="HH20230903 T3639875578 No Limit Hold'em $0.92 + $0.08.txt"/>
  </r>
  <r>
    <n v="1010"/>
    <n v="74.61"/>
    <s v="03.09.2023"/>
    <n v="3"/>
    <x v="8"/>
    <x v="0"/>
    <x v="2"/>
    <n v="-1"/>
    <m/>
    <m/>
    <x v="2"/>
    <n v="-1"/>
    <s v="HH20230903 T3640051694 No Limit Hold'em $0.92 + $0.08.txt"/>
  </r>
  <r>
    <n v="1011"/>
    <n v="73.61"/>
    <s v="03.09.2023"/>
    <n v="3"/>
    <x v="8"/>
    <x v="0"/>
    <x v="2"/>
    <n v="-1"/>
    <m/>
    <m/>
    <x v="2"/>
    <n v="-1"/>
    <s v="HH20230903 T3640052821 No Limit Hold'em $0.92 + $0.08.txt"/>
  </r>
  <r>
    <n v="1012"/>
    <n v="74.61"/>
    <s v="03.09.2023"/>
    <n v="3"/>
    <x v="8"/>
    <x v="0"/>
    <x v="2"/>
    <n v="-1"/>
    <n v="2"/>
    <m/>
    <x v="1"/>
    <n v="1"/>
    <s v="HH20230903 T3640054407 No Limit Hold'em $0.92 + $0.08.txt"/>
  </r>
  <r>
    <n v="1013"/>
    <n v="73.61"/>
    <s v="03.09.2023"/>
    <n v="3"/>
    <x v="8"/>
    <x v="0"/>
    <x v="2"/>
    <n v="-1"/>
    <m/>
    <m/>
    <x v="2"/>
    <n v="-1"/>
    <s v="HH20230903 T3640058619 No Limit Hold'em $0.92 + $0.08.txt"/>
  </r>
  <r>
    <n v="1014"/>
    <n v="72.61"/>
    <s v="04.09.2023"/>
    <n v="4"/>
    <x v="8"/>
    <x v="0"/>
    <x v="2"/>
    <n v="-1"/>
    <m/>
    <m/>
    <x v="2"/>
    <n v="-1"/>
    <s v="HH20230904 T3640420887 No Limit Hold'em $0.92 + $0.08.txt"/>
  </r>
  <r>
    <n v="1015"/>
    <n v="71.61"/>
    <s v="04.09.2023"/>
    <n v="4"/>
    <x v="8"/>
    <x v="0"/>
    <x v="2"/>
    <n v="-1"/>
    <m/>
    <m/>
    <x v="2"/>
    <n v="-1"/>
    <s v="HH20230904 T3640422936 No Limit Hold'em $0.92 + $0.08.txt"/>
  </r>
  <r>
    <n v="1016"/>
    <n v="73.61"/>
    <s v="04.09.2023"/>
    <n v="4"/>
    <x v="8"/>
    <x v="0"/>
    <x v="2"/>
    <n v="-1"/>
    <n v="3"/>
    <m/>
    <x v="1"/>
    <n v="2"/>
    <s v="HH20230904 T3640425345 No Limit Hold'em $0.92 + $0.08.txt"/>
  </r>
  <r>
    <n v="1017"/>
    <n v="72.61"/>
    <s v="04.09.2023"/>
    <n v="4"/>
    <x v="8"/>
    <x v="0"/>
    <x v="2"/>
    <n v="-1"/>
    <m/>
    <m/>
    <x v="2"/>
    <n v="-1"/>
    <s v="HH20230904 T3640430884 No Limit Hold'em $0.92 + $0.08.txt"/>
  </r>
  <r>
    <n v="1018"/>
    <n v="71.61"/>
    <s v="04.09.2023"/>
    <n v="4"/>
    <x v="8"/>
    <x v="0"/>
    <x v="2"/>
    <n v="-1"/>
    <m/>
    <m/>
    <x v="2"/>
    <n v="-1"/>
    <s v="HH20230904 T3640434393 No Limit Hold'em $0.92 + $0.08.txt"/>
  </r>
  <r>
    <n v="1019"/>
    <n v="70.61"/>
    <s v="04.09.2023"/>
    <n v="4"/>
    <x v="8"/>
    <x v="0"/>
    <x v="2"/>
    <n v="-1"/>
    <m/>
    <m/>
    <x v="2"/>
    <n v="-1"/>
    <s v="HH20230904 T3640438873 No Limit Hold'em $0.92 + $0.08.txt"/>
  </r>
  <r>
    <n v="1020"/>
    <n v="71.61"/>
    <s v="04.09.2023"/>
    <n v="4"/>
    <x v="8"/>
    <x v="0"/>
    <x v="2"/>
    <n v="-1"/>
    <n v="2"/>
    <m/>
    <x v="1"/>
    <n v="1"/>
    <s v="HH20230904 T3640442094 No Limit Hold'em $0.92 + $0.08.txt"/>
  </r>
  <r>
    <n v="1021"/>
    <n v="70.61"/>
    <s v="04.09.2023"/>
    <n v="4"/>
    <x v="8"/>
    <x v="0"/>
    <x v="2"/>
    <n v="-1"/>
    <m/>
    <m/>
    <x v="2"/>
    <n v="-1"/>
    <s v="HH20230904 T3640471810 No Limit Hold'em $0.92 + $0.08.txt"/>
  </r>
  <r>
    <n v="1022"/>
    <n v="71.61"/>
    <s v="04.09.2023"/>
    <n v="4"/>
    <x v="8"/>
    <x v="0"/>
    <x v="2"/>
    <n v="-1"/>
    <n v="2"/>
    <m/>
    <x v="1"/>
    <n v="1"/>
    <s v="HH20230904 T3640474725 No Limit Hold'em $0.92 + $0.08.txt"/>
  </r>
  <r>
    <n v="1023"/>
    <n v="70.61"/>
    <s v="04.09.2023"/>
    <n v="4"/>
    <x v="8"/>
    <x v="0"/>
    <x v="2"/>
    <n v="-1"/>
    <m/>
    <m/>
    <x v="2"/>
    <n v="-1"/>
    <s v="HH20230904 T3640478845 No Limit Hold'em $0.92 + $0.08.txt"/>
  </r>
  <r>
    <n v="1024"/>
    <n v="71.61"/>
    <s v="04.09.2023"/>
    <n v="4"/>
    <x v="8"/>
    <x v="0"/>
    <x v="2"/>
    <n v="-1"/>
    <n v="2"/>
    <m/>
    <x v="1"/>
    <n v="1"/>
    <s v="HH20230904 T3640483150 No Limit Hold'em $0.92 + $0.08.txt"/>
  </r>
  <r>
    <n v="1025"/>
    <n v="70.61"/>
    <s v="04.09.2023"/>
    <n v="4"/>
    <x v="8"/>
    <x v="0"/>
    <x v="2"/>
    <n v="-1"/>
    <m/>
    <m/>
    <x v="2"/>
    <n v="-1"/>
    <s v="HH20230904 T3640487004 No Limit Hold'em $0.92 + $0.08.txt"/>
  </r>
  <r>
    <n v="1026"/>
    <n v="69.61"/>
    <s v="04.09.2023"/>
    <n v="4"/>
    <x v="8"/>
    <x v="0"/>
    <x v="2"/>
    <n v="-1"/>
    <m/>
    <m/>
    <x v="2"/>
    <n v="-1"/>
    <s v="HH20230904 T3640489892 No Limit Hold'em $0.92 + $0.08.txt"/>
  </r>
  <r>
    <n v="1027"/>
    <n v="59.61"/>
    <s v="04.09.2023"/>
    <n v="4"/>
    <x v="8"/>
    <x v="0"/>
    <x v="2"/>
    <n v="-10"/>
    <m/>
    <m/>
    <x v="2"/>
    <n v="-1"/>
    <s v="HH20230904 T3640492546 No Limit Hold'em $9.30 + $0.70.txt"/>
  </r>
  <r>
    <n v="1028"/>
    <n v="49.61"/>
    <s v="04.09.2023"/>
    <n v="4"/>
    <x v="8"/>
    <x v="0"/>
    <x v="2"/>
    <n v="-10"/>
    <m/>
    <m/>
    <x v="2"/>
    <n v="-1"/>
    <s v="HH20230904 T3640494902 No Limit Hold'em $9.30 + $0.70.txt"/>
  </r>
  <r>
    <n v="1029"/>
    <n v="47.61"/>
    <s v="04.09.2023"/>
    <n v="4"/>
    <x v="8"/>
    <x v="0"/>
    <x v="2"/>
    <n v="-2"/>
    <m/>
    <m/>
    <x v="2"/>
    <n v="-1"/>
    <s v="HH20230904 T3640498596 No Limit Hold'em $1.84 + $0.16.txt"/>
  </r>
  <r>
    <n v="1030"/>
    <n v="57.61"/>
    <s v="04.09.2023"/>
    <n v="4"/>
    <x v="8"/>
    <x v="0"/>
    <x v="6"/>
    <m/>
    <n v="10"/>
    <m/>
    <x v="1"/>
    <m/>
    <m/>
  </r>
  <r>
    <n v="1031"/>
    <n v="56.61"/>
    <s v="05.09.2023"/>
    <n v="5"/>
    <x v="8"/>
    <x v="0"/>
    <x v="2"/>
    <n v="-1"/>
    <m/>
    <m/>
    <x v="2"/>
    <n v="-1"/>
    <s v="HH20230905 T3640881677 No Limit Hold'em $0.92 + $0.08.txt"/>
  </r>
  <r>
    <n v="1032"/>
    <n v="55.61"/>
    <s v="05.09.2023"/>
    <n v="5"/>
    <x v="8"/>
    <x v="0"/>
    <x v="2"/>
    <n v="-1"/>
    <m/>
    <m/>
    <x v="2"/>
    <n v="-1"/>
    <s v="HH20230905 T3640884283 No Limit Hold'em $0.92 + $0.08.txt"/>
  </r>
  <r>
    <n v="1033"/>
    <n v="54.61"/>
    <s v="05.09.2023"/>
    <n v="5"/>
    <x v="8"/>
    <x v="0"/>
    <x v="2"/>
    <n v="-1"/>
    <m/>
    <m/>
    <x v="2"/>
    <n v="-1"/>
    <s v="HH20230905 T3640886671 No Limit Hold'em $0.92 + $0.08.txt"/>
  </r>
  <r>
    <n v="1034"/>
    <n v="53.61"/>
    <s v="05.09.2023"/>
    <n v="5"/>
    <x v="8"/>
    <x v="0"/>
    <x v="2"/>
    <n v="-1"/>
    <m/>
    <m/>
    <x v="2"/>
    <n v="-1"/>
    <s v="HH20230905 T3640890740 No Limit Hold'em $0.92 + $0.08.txt"/>
  </r>
  <r>
    <n v="1035"/>
    <n v="52.61"/>
    <s v="05.09.2023"/>
    <n v="5"/>
    <x v="8"/>
    <x v="0"/>
    <x v="2"/>
    <n v="-1"/>
    <m/>
    <m/>
    <x v="2"/>
    <n v="-1"/>
    <s v="HH20230905 T3640893810 No Limit Hold'em $0.92 + $0.08.txt"/>
  </r>
  <r>
    <n v="1036"/>
    <n v="51.61"/>
    <s v="05.09.2023"/>
    <n v="5"/>
    <x v="8"/>
    <x v="0"/>
    <x v="2"/>
    <n v="-1"/>
    <m/>
    <m/>
    <x v="2"/>
    <n v="-1"/>
    <s v="HH20230905 T3640895347 No Limit Hold'em $0.92 + $0.08.txt"/>
  </r>
  <r>
    <n v="1037"/>
    <n v="50.61"/>
    <s v="05.09.2023"/>
    <n v="5"/>
    <x v="8"/>
    <x v="0"/>
    <x v="2"/>
    <n v="-1"/>
    <m/>
    <m/>
    <x v="2"/>
    <n v="-1"/>
    <s v="HH20230905 T3640896551 No Limit Hold'em $0.92 + $0.08.txt"/>
  </r>
  <r>
    <n v="1038"/>
    <n v="52.61"/>
    <s v="05.09.2023"/>
    <n v="5"/>
    <x v="8"/>
    <x v="0"/>
    <x v="2"/>
    <n v="-1"/>
    <n v="3"/>
    <m/>
    <x v="1"/>
    <n v="2"/>
    <s v="HH20230905 T3640932246 No Limit Hold'em $0.92 + $0.08.txt"/>
  </r>
  <r>
    <n v="1039"/>
    <n v="54.61"/>
    <s v="05.09.2023"/>
    <n v="5"/>
    <x v="8"/>
    <x v="0"/>
    <x v="2"/>
    <n v="-1"/>
    <n v="3"/>
    <m/>
    <x v="1"/>
    <n v="2"/>
    <s v="HH20230905 T3640948056 No Limit Hold'em $0.92 + $0.08.txt"/>
  </r>
  <r>
    <n v="1040"/>
    <n v="53.61"/>
    <s v="05.09.2023"/>
    <n v="5"/>
    <x v="8"/>
    <x v="0"/>
    <x v="2"/>
    <n v="-1"/>
    <m/>
    <m/>
    <x v="2"/>
    <n v="-1"/>
    <s v="HH20230905 T3640954759 No Limit Hold'em $0.92 + $0.08.txt"/>
  </r>
  <r>
    <n v="1041"/>
    <n v="52.61"/>
    <s v="05.09.2023"/>
    <n v="5"/>
    <x v="8"/>
    <x v="0"/>
    <x v="2"/>
    <n v="-1"/>
    <m/>
    <m/>
    <x v="2"/>
    <n v="-1"/>
    <s v="HH20230905 T3640957288 No Limit Hold'em $0.92 + $0.08.txt"/>
  </r>
  <r>
    <n v="1042"/>
    <n v="54.61"/>
    <s v="05.09.2023"/>
    <n v="5"/>
    <x v="8"/>
    <x v="0"/>
    <x v="2"/>
    <n v="-1"/>
    <n v="3"/>
    <m/>
    <x v="1"/>
    <n v="2"/>
    <s v="HH20230905 T3640961510 No Limit Hold'em $0.92 + $0.08.txt"/>
  </r>
  <r>
    <n v="1043"/>
    <n v="53.61"/>
    <s v="12.09.2023"/>
    <n v="12"/>
    <x v="8"/>
    <x v="0"/>
    <x v="2"/>
    <n v="-1"/>
    <m/>
    <m/>
    <x v="2"/>
    <n v="-1"/>
    <s v="HH20230912 T3644090177 No Limit Hold'em $0.92 + $0.08.txt"/>
  </r>
  <r>
    <n v="1044"/>
    <n v="57.61"/>
    <s v="12.09.2023"/>
    <n v="12"/>
    <x v="8"/>
    <x v="0"/>
    <x v="2"/>
    <n v="-1"/>
    <n v="5"/>
    <m/>
    <x v="1"/>
    <n v="4"/>
    <s v="HH20230912 T3644091707 No Limit Hold'em $0.92 + $0.08.txt"/>
  </r>
  <r>
    <n v="1045"/>
    <n v="59.61"/>
    <s v="12.09.2023"/>
    <n v="12"/>
    <x v="8"/>
    <x v="0"/>
    <x v="2"/>
    <n v="-1"/>
    <n v="3"/>
    <m/>
    <x v="1"/>
    <n v="2"/>
    <s v="HH20230912 T3644096251 No Limit Hold'em $0.92 + $0.08.txt"/>
  </r>
  <r>
    <n v="1046"/>
    <n v="60.61"/>
    <s v="12.09.2023"/>
    <n v="12"/>
    <x v="8"/>
    <x v="0"/>
    <x v="2"/>
    <n v="-1"/>
    <n v="2"/>
    <m/>
    <x v="1"/>
    <n v="1"/>
    <s v="HH20230912 T3644103123 No Limit Hold'em $0.92 + $0.08.txt"/>
  </r>
  <r>
    <n v="1047"/>
    <n v="59.61"/>
    <s v="15.09.2023"/>
    <n v="15"/>
    <x v="8"/>
    <x v="0"/>
    <x v="2"/>
    <n v="-1"/>
    <m/>
    <m/>
    <x v="2"/>
    <n v="-1"/>
    <s v="HH20230915 T3645426636 No Limit Hold'em $0.92 + $0.08.txt"/>
  </r>
  <r>
    <n v="1048"/>
    <n v="61.61"/>
    <s v="15.09.2023"/>
    <n v="15"/>
    <x v="8"/>
    <x v="0"/>
    <x v="2"/>
    <n v="-1"/>
    <n v="3"/>
    <m/>
    <x v="1"/>
    <n v="2"/>
    <s v="HH20230915 T3645430908 No Limit Hold'em $0.92 + $0.08.txt"/>
  </r>
  <r>
    <n v="1049"/>
    <n v="60.61"/>
    <s v="16.09.2023"/>
    <n v="16"/>
    <x v="8"/>
    <x v="0"/>
    <x v="2"/>
    <n v="-1"/>
    <m/>
    <m/>
    <x v="2"/>
    <n v="-1"/>
    <s v="HH20230916 T3645845189 No Limit Hold'em $0.92 + $0.08.txt"/>
  </r>
  <r>
    <n v="1050"/>
    <n v="63.61"/>
    <s v="16.09.2023"/>
    <n v="16"/>
    <x v="8"/>
    <x v="0"/>
    <x v="2"/>
    <n v="-1"/>
    <n v="4"/>
    <m/>
    <x v="1"/>
    <n v="3"/>
    <s v="HH20230916 T3645848304 No Limit Hold'em $0.92 + $0.08.txt"/>
  </r>
  <r>
    <n v="1051"/>
    <n v="62.61"/>
    <s v="17.09.2023"/>
    <n v="17"/>
    <x v="8"/>
    <x v="0"/>
    <x v="2"/>
    <n v="-1"/>
    <m/>
    <m/>
    <x v="2"/>
    <n v="-1"/>
    <s v="HH20230917 T3646193133 No Limit Hold'em $0.92 + $0.08.txt"/>
  </r>
  <r>
    <n v="1052"/>
    <n v="61.61"/>
    <s v="17.09.2023"/>
    <n v="17"/>
    <x v="8"/>
    <x v="0"/>
    <x v="2"/>
    <n v="-1"/>
    <m/>
    <m/>
    <x v="2"/>
    <n v="-1"/>
    <s v="HH20230917 T3646195558 No Limit Hold'em $0.92 + $0.08.txt"/>
  </r>
  <r>
    <n v="1053"/>
    <n v="60.61"/>
    <s v="21.09.2023"/>
    <n v="21"/>
    <x v="8"/>
    <x v="0"/>
    <x v="2"/>
    <n v="-1"/>
    <m/>
    <m/>
    <x v="2"/>
    <n v="-1"/>
    <s v="HH20230921 T3648163758 No Limit Hold'em $0.92 + $0.08.txt"/>
  </r>
  <r>
    <n v="1054"/>
    <n v="59.61"/>
    <s v="21.09.2023"/>
    <n v="21"/>
    <x v="8"/>
    <x v="0"/>
    <x v="2"/>
    <n v="-1"/>
    <m/>
    <m/>
    <x v="2"/>
    <n v="-1"/>
    <s v="HH20230921 T3648166216 No Limit Hold'em $0.92 + $0.08.txt"/>
  </r>
  <r>
    <n v="1055"/>
    <n v="58.61"/>
    <s v="21.09.2023"/>
    <n v="21"/>
    <x v="8"/>
    <x v="0"/>
    <x v="2"/>
    <n v="-1"/>
    <m/>
    <m/>
    <x v="2"/>
    <n v="-1"/>
    <s v="HH20230921 T3648169375 No Limit Hold'em $0.92 + $0.08.txt"/>
  </r>
  <r>
    <n v="1056"/>
    <n v="57.61"/>
    <s v="23.09.2023"/>
    <n v="23"/>
    <x v="8"/>
    <x v="0"/>
    <x v="2"/>
    <n v="-1"/>
    <m/>
    <m/>
    <x v="2"/>
    <n v="-1"/>
    <s v="HH20230923 T3648889636 No Limit Hold'em $0.92 + $0.08.txt"/>
  </r>
  <r>
    <n v="1057"/>
    <n v="56.61"/>
    <s v="23.09.2023"/>
    <n v="23"/>
    <x v="8"/>
    <x v="0"/>
    <x v="2"/>
    <n v="-1"/>
    <m/>
    <m/>
    <x v="2"/>
    <n v="-1"/>
    <s v="HH20230923 T3648890860 No Limit Hold'em $0.92 + $0.08.txt"/>
  </r>
  <r>
    <n v="1058"/>
    <n v="57.61"/>
    <s v="23.09.2023"/>
    <n v="23"/>
    <x v="8"/>
    <x v="0"/>
    <x v="2"/>
    <n v="-1"/>
    <n v="2"/>
    <m/>
    <x v="1"/>
    <n v="1"/>
    <s v="HH20230923 T3649114772 No Limit Hold'em $0.92 + $0.08.txt"/>
  </r>
  <r>
    <n v="1059"/>
    <n v="59.61"/>
    <s v="23.09.2023"/>
    <n v="23"/>
    <x v="8"/>
    <x v="0"/>
    <x v="2"/>
    <n v="-1"/>
    <n v="3"/>
    <m/>
    <x v="1"/>
    <n v="2"/>
    <s v="HH20230923 T3649120364 No Limit Hold'em $0.92 + $0.08.txt"/>
  </r>
  <r>
    <n v="1060"/>
    <n v="58.61"/>
    <s v="23.09.2023"/>
    <n v="23"/>
    <x v="8"/>
    <x v="0"/>
    <x v="2"/>
    <n v="-1"/>
    <m/>
    <m/>
    <x v="2"/>
    <n v="-1"/>
    <s v="HH20230923 T3649143478 No Limit Hold'em $0.92 + $0.08.txt"/>
  </r>
  <r>
    <n v="1061"/>
    <n v="57.61"/>
    <s v="23.09.2023"/>
    <n v="23"/>
    <x v="8"/>
    <x v="0"/>
    <x v="2"/>
    <n v="-1"/>
    <m/>
    <m/>
    <x v="2"/>
    <n v="-1"/>
    <s v="HH20230923 T3649145862 No Limit Hold'em $0.92 + $0.08.txt"/>
  </r>
  <r>
    <n v="1062"/>
    <n v="56.61"/>
    <s v="24.09.2023"/>
    <n v="24"/>
    <x v="8"/>
    <x v="0"/>
    <x v="2"/>
    <n v="-1"/>
    <m/>
    <m/>
    <x v="2"/>
    <n v="-1"/>
    <s v="HH20230924 T3649338993 No Limit Hold'em $0.92 + $0.08.txt"/>
  </r>
  <r>
    <n v="1063"/>
    <n v="58.61"/>
    <s v="24.09.2023"/>
    <n v="24"/>
    <x v="8"/>
    <x v="0"/>
    <x v="2"/>
    <n v="-1"/>
    <n v="3"/>
    <m/>
    <x v="1"/>
    <n v="2"/>
    <s v="HH20230924 T3649339801 No Limit Hold'em $0.92 + $0.08.txt"/>
  </r>
  <r>
    <n v="1064"/>
    <n v="62.61"/>
    <s v="24.09.2023"/>
    <n v="24"/>
    <x v="8"/>
    <x v="0"/>
    <x v="2"/>
    <n v="-1"/>
    <n v="5"/>
    <m/>
    <x v="1"/>
    <n v="4"/>
    <s v="HH20230924 T3649341347 No Limit Hold'em $0.92 + $0.08.txt"/>
  </r>
  <r>
    <n v="1065"/>
    <n v="61.61"/>
    <s v="24.09.2023"/>
    <n v="24"/>
    <x v="8"/>
    <x v="0"/>
    <x v="2"/>
    <n v="-1"/>
    <m/>
    <m/>
    <x v="2"/>
    <n v="-1"/>
    <s v="HH20230924 T3649392460 No Limit Hold'em $0.92 + $0.08.txt"/>
  </r>
  <r>
    <n v="1066"/>
    <n v="60.61"/>
    <s v="24.09.2023"/>
    <n v="24"/>
    <x v="8"/>
    <x v="0"/>
    <x v="2"/>
    <n v="-1"/>
    <m/>
    <m/>
    <x v="2"/>
    <n v="-1"/>
    <s v="HH20230924 T3649404643 No Limit Hold'em $0.92 + $0.08.txt"/>
  </r>
  <r>
    <n v="1067"/>
    <n v="61.61"/>
    <s v="24.09.2023"/>
    <n v="24"/>
    <x v="8"/>
    <x v="0"/>
    <x v="2"/>
    <n v="-1"/>
    <n v="2"/>
    <m/>
    <x v="1"/>
    <n v="1"/>
    <s v="HH20230924 T3649435148 No Limit Hold'em $0.92 + $0.08.txt"/>
  </r>
  <r>
    <n v="1068"/>
    <n v="62.61"/>
    <s v="24.09.2023"/>
    <n v="24"/>
    <x v="8"/>
    <x v="0"/>
    <x v="2"/>
    <n v="-1"/>
    <n v="2"/>
    <m/>
    <x v="1"/>
    <n v="1"/>
    <s v="HH20230924 T3649456343 No Limit Hold'em $0.92 + $0.08.txt"/>
  </r>
  <r>
    <n v="1069"/>
    <n v="61.61"/>
    <s v="24.09.2023"/>
    <n v="24"/>
    <x v="8"/>
    <x v="0"/>
    <x v="2"/>
    <n v="-1"/>
    <m/>
    <m/>
    <x v="2"/>
    <n v="-1"/>
    <s v="HH20230924 T3649478141 No Limit Hold'em $0.92 + $0.08.txt"/>
  </r>
  <r>
    <n v="1070"/>
    <n v="60.61"/>
    <s v="24.09.2023"/>
    <n v="24"/>
    <x v="8"/>
    <x v="0"/>
    <x v="2"/>
    <n v="-1"/>
    <m/>
    <m/>
    <x v="2"/>
    <n v="-1"/>
    <s v="HH20230924 T3649515439 No Limit Hold'em $0.92 + $0.08.txt"/>
  </r>
  <r>
    <n v="1071"/>
    <n v="59.61"/>
    <s v="24.09.2023"/>
    <n v="24"/>
    <x v="8"/>
    <x v="0"/>
    <x v="2"/>
    <n v="-1"/>
    <m/>
    <m/>
    <x v="2"/>
    <n v="-1"/>
    <s v="HH20230924 T3649517128 No Limit Hold'em $0.92 + $0.08.txt"/>
  </r>
  <r>
    <n v="1072"/>
    <n v="58.61"/>
    <s v="24.09.2023"/>
    <n v="24"/>
    <x v="8"/>
    <x v="0"/>
    <x v="2"/>
    <n v="-1"/>
    <m/>
    <m/>
    <x v="2"/>
    <n v="-1"/>
    <s v="HH20230924 T3649521039 No Limit Hold'em $0.92 + $0.08.txt"/>
  </r>
  <r>
    <n v="1073"/>
    <n v="59.61"/>
    <s v="24.09.2023"/>
    <n v="24"/>
    <x v="8"/>
    <x v="0"/>
    <x v="2"/>
    <n v="-1"/>
    <n v="2"/>
    <m/>
    <x v="1"/>
    <n v="1"/>
    <s v="HH20230924 T3649521602 No Limit Hold'em $0.92 + $0.08.txt"/>
  </r>
  <r>
    <n v="1074"/>
    <n v="58.61"/>
    <s v="25.09.2023"/>
    <n v="25"/>
    <x v="8"/>
    <x v="0"/>
    <x v="2"/>
    <n v="-1"/>
    <m/>
    <m/>
    <x v="2"/>
    <n v="-1"/>
    <s v="HH20230925 T3649934301 No Limit Hold'em $0.92 + $0.08.txt"/>
  </r>
  <r>
    <n v="1075"/>
    <n v="57.61"/>
    <s v="25.09.2023"/>
    <n v="25"/>
    <x v="8"/>
    <x v="0"/>
    <x v="2"/>
    <n v="-1"/>
    <m/>
    <m/>
    <x v="2"/>
    <n v="-1"/>
    <s v="HH20230925 T3649939076 No Limit Hold'em $0.92 + $0.08.txt"/>
  </r>
  <r>
    <n v="1076"/>
    <n v="56.61"/>
    <s v="25.09.2023"/>
    <n v="25"/>
    <x v="8"/>
    <x v="0"/>
    <x v="2"/>
    <n v="-1"/>
    <m/>
    <m/>
    <x v="2"/>
    <n v="-1"/>
    <s v="HH20230925 T3649940985 No Limit Hold'em $0.92 + $0.08.txt"/>
  </r>
  <r>
    <n v="1077"/>
    <n v="58.61"/>
    <s v="25.09.2023"/>
    <n v="25"/>
    <x v="8"/>
    <x v="0"/>
    <x v="2"/>
    <n v="-1"/>
    <n v="3"/>
    <m/>
    <x v="1"/>
    <n v="2"/>
    <s v="HH20230925 T3649941800 No Limit Hold'em $0.92 + $0.08.txt"/>
  </r>
  <r>
    <n v="1078"/>
    <n v="57.61"/>
    <s v="25.09.2023"/>
    <n v="25"/>
    <x v="8"/>
    <x v="0"/>
    <x v="2"/>
    <n v="-1"/>
    <m/>
    <m/>
    <x v="2"/>
    <n v="-1"/>
    <s v="HH20230925 T3649944929 No Limit Hold'em $0.92 + $0.08.txt"/>
  </r>
  <r>
    <n v="1079"/>
    <n v="56.61"/>
    <s v="25.09.2023"/>
    <n v="25"/>
    <x v="8"/>
    <x v="0"/>
    <x v="2"/>
    <n v="-1"/>
    <m/>
    <m/>
    <x v="2"/>
    <n v="-1"/>
    <s v="HH20230925 T3649950796 No Limit Hold'em $0.92 + $0.08.txt"/>
  </r>
  <r>
    <n v="1080"/>
    <n v="55.61"/>
    <s v="25.09.2023"/>
    <n v="25"/>
    <x v="8"/>
    <x v="0"/>
    <x v="2"/>
    <n v="-1"/>
    <m/>
    <m/>
    <x v="2"/>
    <n v="-1"/>
    <s v="HH20230925 T3649953267 No Limit Hold'em $0.92 + $0.08.txt"/>
  </r>
  <r>
    <n v="1081"/>
    <n v="56.61"/>
    <s v="28.09.2023"/>
    <n v="28"/>
    <x v="8"/>
    <x v="0"/>
    <x v="2"/>
    <n v="-1"/>
    <n v="2"/>
    <m/>
    <x v="1"/>
    <n v="1"/>
    <s v="HH20230928 T3651164515 No Limit Hold'em $0.92 + $0.08.txt"/>
  </r>
  <r>
    <n v="1082"/>
    <n v="57.61"/>
    <s v="28.09.2023"/>
    <n v="28"/>
    <x v="8"/>
    <x v="0"/>
    <x v="2"/>
    <n v="-1"/>
    <n v="2"/>
    <m/>
    <x v="1"/>
    <n v="1"/>
    <s v="HH20230928 T3651166219 No Limit Hold'em $0.92 + $0.08.txt"/>
  </r>
  <r>
    <n v="1083"/>
    <n v="56.61"/>
    <s v="28.09.2023"/>
    <n v="28"/>
    <x v="8"/>
    <x v="0"/>
    <x v="2"/>
    <n v="-1"/>
    <m/>
    <m/>
    <x v="2"/>
    <n v="-1"/>
    <s v="HH20230928 T3651167792 No Limit Hold'em $0.92 + $0.08.txt"/>
  </r>
  <r>
    <n v="1084"/>
    <n v="55.61"/>
    <s v="03.10.2023"/>
    <n v="3"/>
    <x v="9"/>
    <x v="0"/>
    <x v="2"/>
    <n v="-1"/>
    <m/>
    <m/>
    <x v="2"/>
    <n v="-1"/>
    <s v="HH20231003 T3653483624 No Limit Hold'em $0.92 + $0.08.txt"/>
  </r>
  <r>
    <n v="1085"/>
    <n v="56.61"/>
    <s v="03.10.2023"/>
    <n v="3"/>
    <x v="9"/>
    <x v="0"/>
    <x v="2"/>
    <n v="-1"/>
    <n v="2"/>
    <m/>
    <x v="1"/>
    <n v="1"/>
    <s v="HH20231003 T3653487958 No Limit Hold'em $0.92 + $0.08.txt"/>
  </r>
  <r>
    <n v="1086"/>
    <n v="55.61"/>
    <s v="03.10.2023"/>
    <n v="3"/>
    <x v="9"/>
    <x v="0"/>
    <x v="2"/>
    <n v="-1"/>
    <m/>
    <m/>
    <x v="2"/>
    <n v="-1"/>
    <s v="HH20231003 T3653491261 No Limit Hold'em $0.92 + $0.08.txt"/>
  </r>
  <r>
    <n v="1087"/>
    <n v="45.61"/>
    <s v="03.10.2023"/>
    <n v="3"/>
    <x v="9"/>
    <x v="0"/>
    <x v="2"/>
    <n v="-10"/>
    <m/>
    <m/>
    <x v="2"/>
    <n v="-1"/>
    <s v="HH20231003 T3653492644 No Limit Hold'em $9.30 + $0.70.txt"/>
  </r>
  <r>
    <n v="1088"/>
    <n v="35.61"/>
    <s v="03.10.2023"/>
    <n v="3"/>
    <x v="9"/>
    <x v="0"/>
    <x v="2"/>
    <n v="-10"/>
    <m/>
    <m/>
    <x v="2"/>
    <n v="-1"/>
    <s v="HH20231003 T3653495411 No Limit Hold'em $9.30 + $0.70.txt"/>
  </r>
  <r>
    <n v="1089"/>
    <n v="25.61"/>
    <s v="03.10.2023"/>
    <n v="3"/>
    <x v="9"/>
    <x v="0"/>
    <x v="2"/>
    <n v="-10"/>
    <m/>
    <m/>
    <x v="2"/>
    <n v="-1"/>
    <s v="HH20231003 T3653499174 No Limit Hold'em $9.30 + $0.70.txt"/>
  </r>
  <r>
    <n v="1090"/>
    <n v="15.61"/>
    <s v="03.10.2023"/>
    <n v="3"/>
    <x v="9"/>
    <x v="0"/>
    <x v="2"/>
    <n v="-10"/>
    <m/>
    <m/>
    <x v="2"/>
    <n v="-1"/>
    <s v="HH20231003 T3653600629 No Limit Hold'em $9.30 + $0.70.txt"/>
  </r>
  <r>
    <n v="1091"/>
    <n v="25.61"/>
    <s v="03.10.2023"/>
    <n v="3"/>
    <x v="9"/>
    <x v="0"/>
    <x v="2"/>
    <n v="-10"/>
    <n v="20"/>
    <m/>
    <x v="1"/>
    <n v="1"/>
    <s v="HH20231003 T3653605094 No Limit Hold'em $9.30 + $0.70.txt"/>
  </r>
  <r>
    <n v="1092"/>
    <n v="15.61"/>
    <s v="03.10.2023"/>
    <n v="3"/>
    <x v="9"/>
    <x v="0"/>
    <x v="2"/>
    <n v="-10"/>
    <m/>
    <m/>
    <x v="2"/>
    <n v="-1"/>
    <s v="HH20231003 T3653612617 No Limit Hold'em $9.30 + $0.70.txt"/>
  </r>
  <r>
    <n v="1093"/>
    <n v="20.61"/>
    <s v="03.10.2023"/>
    <n v="3"/>
    <x v="9"/>
    <x v="0"/>
    <x v="2"/>
    <n v="-5"/>
    <n v="10"/>
    <m/>
    <x v="1"/>
    <n v="1"/>
    <s v="HH20231003 T3653615780 No Limit Hold'em $4.60 + $0.40.txt"/>
  </r>
  <r>
    <n v="1094"/>
    <n v="10.61"/>
    <s v="03.10.2023"/>
    <n v="3"/>
    <x v="9"/>
    <x v="0"/>
    <x v="2"/>
    <n v="-10"/>
    <m/>
    <m/>
    <x v="2"/>
    <n v="-1"/>
    <s v="HH20231003 T3653617302 No Limit Hold'em $9.30 + $0.70.txt"/>
  </r>
  <r>
    <n v="1095"/>
    <n v="0.60999999999999943"/>
    <s v="03.10.2023"/>
    <n v="3"/>
    <x v="9"/>
    <x v="0"/>
    <x v="2"/>
    <n v="-10"/>
    <m/>
    <m/>
    <x v="2"/>
    <n v="-1"/>
    <s v="HH20231003 T3653619992 No Limit Hold'em $9.30 + $0.70.txt"/>
  </r>
  <r>
    <n v="1096"/>
    <n v="28.08"/>
    <s v="07.10.2023"/>
    <n v="7"/>
    <x v="9"/>
    <x v="0"/>
    <x v="1"/>
    <m/>
    <n v="27.47"/>
    <m/>
    <x v="0"/>
    <m/>
    <m/>
  </r>
  <r>
    <n v="1097"/>
    <n v="27.08"/>
    <s v="07.10.2023"/>
    <n v="7"/>
    <x v="9"/>
    <x v="0"/>
    <x v="2"/>
    <n v="-1"/>
    <m/>
    <m/>
    <x v="2"/>
    <n v="-1"/>
    <s v="HH20231007 T3655302351 No Limit Hold'em $0.92 + $0.08.txt"/>
  </r>
  <r>
    <n v="1098"/>
    <n v="28.08"/>
    <s v="07.10.2023"/>
    <n v="7"/>
    <x v="9"/>
    <x v="0"/>
    <x v="2"/>
    <n v="-1"/>
    <n v="2"/>
    <m/>
    <x v="1"/>
    <n v="1"/>
    <s v="HH20231007 T3655304512 No Limit Hold'em $0.92 + $0.08.txt"/>
  </r>
  <r>
    <n v="1099"/>
    <n v="31.08"/>
    <s v="07.10.2023"/>
    <n v="7"/>
    <x v="9"/>
    <x v="0"/>
    <x v="2"/>
    <m/>
    <n v="3"/>
    <m/>
    <x v="1"/>
    <n v="0"/>
    <s v="HH20231007 T3655366086 No Limit Hold'em $0.92 + $0.08.txt"/>
  </r>
  <r>
    <n v="1100"/>
    <n v="32.08"/>
    <s v="07.10.2023"/>
    <n v="7"/>
    <x v="9"/>
    <x v="0"/>
    <x v="2"/>
    <n v="-1"/>
    <n v="2"/>
    <m/>
    <x v="1"/>
    <n v="1"/>
    <s v="HH20231007 T3655368058 No Limit Hold'em $0.92 + $0.08.txt"/>
  </r>
  <r>
    <n v="1101"/>
    <n v="33.08"/>
    <s v="07.10.2023"/>
    <n v="7"/>
    <x v="9"/>
    <x v="0"/>
    <x v="2"/>
    <n v="-1"/>
    <n v="2"/>
    <m/>
    <x v="1"/>
    <n v="1"/>
    <s v="HH20231007 T3655370132 No Limit Hold'em $0.92 + $0.08.txt"/>
  </r>
  <r>
    <n v="1102"/>
    <n v="35.08"/>
    <s v="07.10.2023"/>
    <n v="7"/>
    <x v="9"/>
    <x v="0"/>
    <x v="2"/>
    <n v="-1"/>
    <n v="3"/>
    <m/>
    <x v="1"/>
    <n v="2"/>
    <s v="HH20231007 T3655374067 No Limit Hold'em $0.92 + $0.08.txt"/>
  </r>
  <r>
    <n v="1103"/>
    <n v="36.08"/>
    <s v="07.10.2023"/>
    <n v="7"/>
    <x v="9"/>
    <x v="0"/>
    <x v="2"/>
    <n v="-1"/>
    <n v="2"/>
    <m/>
    <x v="1"/>
    <n v="1"/>
    <s v="HH20231007 T3655377543 No Limit Hold'em $0.92 + $0.08.txt"/>
  </r>
  <r>
    <n v="1104"/>
    <n v="35.08"/>
    <s v="08.10.2023"/>
    <n v="8"/>
    <x v="9"/>
    <x v="0"/>
    <x v="2"/>
    <n v="-1"/>
    <m/>
    <m/>
    <x v="2"/>
    <n v="-1"/>
    <s v="HH20231008 T3655631834 No Limit Hold'em $0.92 + $0.08.txt"/>
  </r>
  <r>
    <n v="1105"/>
    <n v="36.08"/>
    <s v="08.10.2023"/>
    <n v="8"/>
    <x v="9"/>
    <x v="0"/>
    <x v="2"/>
    <n v="-1"/>
    <n v="2"/>
    <m/>
    <x v="1"/>
    <n v="1"/>
    <s v="HH20231008 T3655632490 No Limit Hold'em $0.92 + $0.08.txt"/>
  </r>
  <r>
    <n v="1106"/>
    <n v="35.08"/>
    <s v="08.10.2023"/>
    <n v="8"/>
    <x v="9"/>
    <x v="0"/>
    <x v="2"/>
    <n v="-1"/>
    <m/>
    <m/>
    <x v="2"/>
    <n v="-1"/>
    <s v="HH20231008 T3655635812 No Limit Hold'em $0.92 + $0.08.txt"/>
  </r>
  <r>
    <n v="1107"/>
    <n v="34.08"/>
    <s v="08.10.2023"/>
    <n v="8"/>
    <x v="9"/>
    <x v="0"/>
    <x v="2"/>
    <n v="-1"/>
    <m/>
    <m/>
    <x v="2"/>
    <n v="-1"/>
    <s v="HH20231008 T3655636808 No Limit Hold'em $0.92 + $0.08.txt"/>
  </r>
  <r>
    <n v="1108"/>
    <n v="35.08"/>
    <s v="08.10.2023"/>
    <n v="8"/>
    <x v="9"/>
    <x v="0"/>
    <x v="2"/>
    <n v="-1"/>
    <n v="2"/>
    <m/>
    <x v="1"/>
    <n v="1"/>
    <s v="HH20231008 T3655638889 No Limit Hold'em $0.92 + $0.08.txt"/>
  </r>
  <r>
    <n v="1109"/>
    <n v="34.08"/>
    <s v="08.10.2023"/>
    <n v="8"/>
    <x v="9"/>
    <x v="0"/>
    <x v="2"/>
    <n v="-1"/>
    <m/>
    <m/>
    <x v="2"/>
    <n v="-1"/>
    <s v="HH20231008 T3655759144 No Limit Hold'em $0.92 + $0.08.txt"/>
  </r>
  <r>
    <n v="1110"/>
    <n v="33.08"/>
    <s v="08.10.2023"/>
    <n v="8"/>
    <x v="9"/>
    <x v="0"/>
    <x v="2"/>
    <n v="-1"/>
    <m/>
    <m/>
    <x v="2"/>
    <n v="-1"/>
    <s v="HH20231008 T3655760425 No Limit Hold'em $0.92 + $0.08.txt"/>
  </r>
  <r>
    <n v="1111"/>
    <n v="32.08"/>
    <s v="08.10.2023"/>
    <n v="8"/>
    <x v="9"/>
    <x v="0"/>
    <x v="2"/>
    <n v="-1"/>
    <m/>
    <m/>
    <x v="2"/>
    <n v="-1"/>
    <s v="HH20231008 T3655762660 No Limit Hold'em $0.92 + $0.08.txt"/>
  </r>
  <r>
    <n v="1112"/>
    <n v="31.08"/>
    <s v="08.10.2023"/>
    <n v="8"/>
    <x v="9"/>
    <x v="0"/>
    <x v="2"/>
    <n v="-1"/>
    <m/>
    <m/>
    <x v="2"/>
    <n v="-1"/>
    <s v="HH20231008 T3655764752 No Limit Hold'em $0.92 + $0.08.txt"/>
  </r>
  <r>
    <n v="1113"/>
    <n v="32.08"/>
    <s v="08.10.2023"/>
    <n v="8"/>
    <x v="9"/>
    <x v="0"/>
    <x v="2"/>
    <n v="-1"/>
    <n v="2"/>
    <m/>
    <x v="1"/>
    <n v="1"/>
    <s v="HH20231008 T3655767476 No Limit Hold'em $0.92 + $0.08.txt"/>
  </r>
  <r>
    <n v="1114"/>
    <n v="31.08"/>
    <s v="08.10.2023"/>
    <n v="8"/>
    <x v="9"/>
    <x v="0"/>
    <x v="2"/>
    <n v="-1"/>
    <m/>
    <m/>
    <x v="2"/>
    <n v="-1"/>
    <s v="HH20231008 T3655770119 No Limit Hold'em $0.92 + $0.08.txt"/>
  </r>
  <r>
    <n v="1115"/>
    <n v="33.08"/>
    <s v="08.10.2023"/>
    <n v="8"/>
    <x v="9"/>
    <x v="0"/>
    <x v="2"/>
    <n v="-1"/>
    <n v="3"/>
    <m/>
    <x v="1"/>
    <n v="2"/>
    <s v="HH20231008 T3655774681 No Limit Hold'em $0.92 + $0.08.txt"/>
  </r>
  <r>
    <n v="1116"/>
    <n v="34.08"/>
    <s v="09.10.2023"/>
    <n v="9"/>
    <x v="9"/>
    <x v="0"/>
    <x v="2"/>
    <n v="-1"/>
    <n v="2"/>
    <m/>
    <x v="1"/>
    <n v="1"/>
    <s v="HH20231009 T3656223592 No Limit Hold'em $0.92 + $0.08.txt"/>
  </r>
  <r>
    <n v="1117"/>
    <n v="36.08"/>
    <s v="09.10.2023"/>
    <n v="9"/>
    <x v="9"/>
    <x v="0"/>
    <x v="2"/>
    <n v="-1"/>
    <n v="3"/>
    <m/>
    <x v="1"/>
    <n v="2"/>
    <s v="HH20231009 T3656259724 No Limit Hold'em $0.92 + $0.08.txt"/>
  </r>
  <r>
    <n v="1118"/>
    <n v="35.08"/>
    <s v="10.10.2023"/>
    <n v="10"/>
    <x v="9"/>
    <x v="0"/>
    <x v="2"/>
    <n v="-1"/>
    <m/>
    <m/>
    <x v="2"/>
    <n v="-1"/>
    <s v="HH20231010 T3656579365 No Limit Hold'em $0.92 + $0.08.txt"/>
  </r>
  <r>
    <n v="1119"/>
    <n v="36.08"/>
    <s v="11.10.2023"/>
    <n v="11"/>
    <x v="9"/>
    <x v="0"/>
    <x v="2"/>
    <n v="-1"/>
    <n v="2"/>
    <m/>
    <x v="1"/>
    <n v="1"/>
    <s v="HH20231011 T3657087783 No Limit Hold'em $0.92 + $0.08.txt"/>
  </r>
  <r>
    <n v="1120"/>
    <n v="37.08"/>
    <s v="12.10.2023"/>
    <n v="12"/>
    <x v="9"/>
    <x v="0"/>
    <x v="2"/>
    <n v="-1"/>
    <n v="2"/>
    <m/>
    <x v="1"/>
    <n v="1"/>
    <s v="HH20231012 T3657516215 No Limit Hold'em $0.92 + $0.08.txt"/>
  </r>
  <r>
    <n v="1121"/>
    <n v="38.08"/>
    <s v="12.10.2023"/>
    <n v="12"/>
    <x v="9"/>
    <x v="0"/>
    <x v="2"/>
    <n v="-1"/>
    <n v="2"/>
    <m/>
    <x v="1"/>
    <n v="1"/>
    <s v="HH20231012 T3657520460 No Limit Hold'em $0.92 + $0.08.txt"/>
  </r>
  <r>
    <n v="1122"/>
    <n v="37.08"/>
    <s v="13.10.2023"/>
    <n v="13"/>
    <x v="9"/>
    <x v="0"/>
    <x v="2"/>
    <n v="-1"/>
    <m/>
    <m/>
    <x v="2"/>
    <n v="-1"/>
    <s v="HH20231013 T3657776350 No Limit Hold'em $0.92 + $0.08.txt"/>
  </r>
  <r>
    <n v="1123"/>
    <n v="36.08"/>
    <s v="13.10.2023"/>
    <n v="13"/>
    <x v="9"/>
    <x v="0"/>
    <x v="2"/>
    <n v="-1"/>
    <m/>
    <m/>
    <x v="2"/>
    <n v="-1"/>
    <s v="HH20231013 T3657777192 No Limit Hold'em $0.92 + $0.08.txt"/>
  </r>
  <r>
    <n v="1124"/>
    <n v="35.08"/>
    <s v="13.10.2023"/>
    <n v="13"/>
    <x v="9"/>
    <x v="0"/>
    <x v="2"/>
    <n v="-1"/>
    <m/>
    <m/>
    <x v="2"/>
    <n v="-1"/>
    <s v="HH20231013 T3657778159 No Limit Hold'em $0.92 + $0.08.txt"/>
  </r>
  <r>
    <n v="1125"/>
    <n v="37.08"/>
    <s v="13.10.2023"/>
    <n v="13"/>
    <x v="9"/>
    <x v="0"/>
    <x v="2"/>
    <n v="-1"/>
    <n v="3"/>
    <m/>
    <x v="1"/>
    <n v="2"/>
    <s v="HH20231013 T3657778313 No Limit Hold'em $0.92 + $0.08.txt"/>
  </r>
  <r>
    <n v="1126"/>
    <n v="39.08"/>
    <s v="13.10.2023"/>
    <n v="13"/>
    <x v="9"/>
    <x v="0"/>
    <x v="2"/>
    <n v="-1"/>
    <n v="3"/>
    <m/>
    <x v="1"/>
    <n v="2"/>
    <s v="HH20231013 T3657779842 No Limit Hold'em $0.92 + $0.08.txt"/>
  </r>
  <r>
    <n v="1127"/>
    <n v="41.08"/>
    <s v="13.10.2023"/>
    <n v="13"/>
    <x v="9"/>
    <x v="0"/>
    <x v="2"/>
    <n v="-1"/>
    <n v="3"/>
    <m/>
    <x v="1"/>
    <n v="2"/>
    <s v="HH20231013 T3658310023 No Limit Hold'em $0.92 + $0.08.txt"/>
  </r>
  <r>
    <n v="1128"/>
    <n v="40.08"/>
    <s v="13.10.2023"/>
    <n v="13"/>
    <x v="9"/>
    <x v="0"/>
    <x v="2"/>
    <n v="-1"/>
    <m/>
    <m/>
    <x v="2"/>
    <n v="-1"/>
    <s v="HH20231013 T3658370708 No Limit Hold'em $0.92 + $0.08.txt"/>
  </r>
  <r>
    <n v="1129"/>
    <n v="39.08"/>
    <s v="13.10.2023"/>
    <n v="13"/>
    <x v="9"/>
    <x v="0"/>
    <x v="2"/>
    <n v="-1"/>
    <m/>
    <m/>
    <x v="2"/>
    <n v="-1"/>
    <s v="HH20231013 T3658524290 No Limit Hold'em $0.92 + $0.08.txt"/>
  </r>
  <r>
    <n v="1130"/>
    <n v="41.08"/>
    <s v="13.10.2023"/>
    <n v="13"/>
    <x v="9"/>
    <x v="0"/>
    <x v="2"/>
    <n v="-1"/>
    <n v="3"/>
    <m/>
    <x v="1"/>
    <n v="2"/>
    <s v="HH20231013 T3658525386 No Limit Hold'em $0.92 + $0.08.txt"/>
  </r>
  <r>
    <n v="1131"/>
    <n v="40.08"/>
    <s v="13.10.2023"/>
    <n v="13"/>
    <x v="9"/>
    <x v="0"/>
    <x v="2"/>
    <n v="-1"/>
    <m/>
    <m/>
    <x v="2"/>
    <n v="-1"/>
    <s v="HH20231013 T3658527653 No Limit Hold'em $0.92 + $0.08.txt"/>
  </r>
  <r>
    <n v="1132"/>
    <n v="39.08"/>
    <s v="13.10.2023"/>
    <n v="13"/>
    <x v="9"/>
    <x v="0"/>
    <x v="2"/>
    <n v="-1"/>
    <m/>
    <m/>
    <x v="2"/>
    <n v="-1"/>
    <s v="HH20231013 T3658542798 No Limit Hold'em $0.92 + $0.08.txt"/>
  </r>
  <r>
    <n v="1133"/>
    <n v="38.08"/>
    <s v="15.10.2023"/>
    <n v="15"/>
    <x v="9"/>
    <x v="0"/>
    <x v="2"/>
    <n v="-1"/>
    <m/>
    <m/>
    <x v="2"/>
    <n v="-1"/>
    <s v="HH20231015 T3659198981 No Limit Hold'em $0.92 + $0.08.txt"/>
  </r>
  <r>
    <n v="1134"/>
    <n v="37.08"/>
    <s v="15.10.2023"/>
    <n v="15"/>
    <x v="9"/>
    <x v="0"/>
    <x v="2"/>
    <n v="-1"/>
    <m/>
    <m/>
    <x v="2"/>
    <n v="-1"/>
    <s v="HH20231015 T3659200406 No Limit Hold'em $0.92 + $0.08.txt"/>
  </r>
  <r>
    <n v="1135"/>
    <n v="36.08"/>
    <s v="15.10.2023"/>
    <n v="15"/>
    <x v="9"/>
    <x v="0"/>
    <x v="2"/>
    <n v="-1"/>
    <m/>
    <m/>
    <x v="2"/>
    <n v="-1"/>
    <s v="HH20231015 T3659200933 No Limit Hold'em $0.92 + $0.08.txt"/>
  </r>
  <r>
    <n v="1136"/>
    <n v="35.08"/>
    <s v="15.10.2023"/>
    <n v="15"/>
    <x v="9"/>
    <x v="0"/>
    <x v="2"/>
    <n v="-1"/>
    <m/>
    <m/>
    <x v="2"/>
    <n v="-1"/>
    <s v="HH20231015 T3659201402 No Limit Hold'em $0.92 + $0.08.txt"/>
  </r>
  <r>
    <n v="1137"/>
    <n v="34.08"/>
    <s v="15.10.2023"/>
    <n v="15"/>
    <x v="9"/>
    <x v="0"/>
    <x v="2"/>
    <n v="-1"/>
    <m/>
    <m/>
    <x v="2"/>
    <n v="-1"/>
    <s v="HH20231015 T3659203082 No Limit Hold'em $0.92 + $0.08.txt"/>
  </r>
  <r>
    <n v="1138"/>
    <n v="33.08"/>
    <s v="15.10.2023"/>
    <n v="15"/>
    <x v="9"/>
    <x v="0"/>
    <x v="2"/>
    <n v="-1"/>
    <m/>
    <m/>
    <x v="2"/>
    <n v="-1"/>
    <s v="HH20231015 T3659203889 No Limit Hold'em $0.92 + $0.08.txt"/>
  </r>
  <r>
    <n v="1139"/>
    <n v="32.08"/>
    <s v="15.10.2023"/>
    <n v="15"/>
    <x v="9"/>
    <x v="0"/>
    <x v="2"/>
    <n v="-1"/>
    <m/>
    <m/>
    <x v="2"/>
    <n v="-1"/>
    <s v="HH20231015 T3659204772 No Limit Hold'em $0.92 + $0.08.txt"/>
  </r>
  <r>
    <n v="1140"/>
    <n v="31.08"/>
    <s v="15.10.2023"/>
    <n v="15"/>
    <x v="9"/>
    <x v="0"/>
    <x v="2"/>
    <n v="-1"/>
    <m/>
    <m/>
    <x v="2"/>
    <n v="-1"/>
    <s v="HH20231015 T3659205522 No Limit Hold'em $0.92 + $0.08.txt"/>
  </r>
  <r>
    <n v="1141"/>
    <n v="34.08"/>
    <s v="15.10.2023"/>
    <n v="15"/>
    <x v="9"/>
    <x v="0"/>
    <x v="2"/>
    <m/>
    <n v="3"/>
    <m/>
    <x v="1"/>
    <n v="0"/>
    <s v="HH20231015 T3659208033 No Limit Hold'em $0.92 + $0.08.txt"/>
  </r>
  <r>
    <n v="1142"/>
    <n v="36.08"/>
    <s v="15.10.2023"/>
    <n v="15"/>
    <x v="9"/>
    <x v="0"/>
    <x v="2"/>
    <n v="-1"/>
    <n v="3"/>
    <m/>
    <x v="1"/>
    <n v="2"/>
    <s v="HH20231015 T3659298420 No Limit Hold'em $0.92 + $0.08.txt"/>
  </r>
  <r>
    <n v="1143"/>
    <n v="19.579999999999998"/>
    <s v="15.10.2023"/>
    <n v="15"/>
    <x v="9"/>
    <x v="0"/>
    <x v="3"/>
    <n v="-16.5"/>
    <m/>
    <m/>
    <x v="2"/>
    <n v="-1"/>
    <s v="HH20231015 T3657324672 No Limit Hold'em $14.70 + $1.80.txt"/>
  </r>
  <r>
    <n v="1144"/>
    <n v="18.579999999999998"/>
    <s v="15.10.2023"/>
    <n v="15"/>
    <x v="9"/>
    <x v="0"/>
    <x v="2"/>
    <n v="-1"/>
    <m/>
    <m/>
    <x v="2"/>
    <n v="-1"/>
    <s v="HH20231015 T3659322863 No Limit Hold'em $0.92 + $0.08.txt"/>
  </r>
  <r>
    <n v="1145"/>
    <n v="17.579999999999998"/>
    <s v="15.10.2023"/>
    <n v="15"/>
    <x v="9"/>
    <x v="0"/>
    <x v="2"/>
    <n v="-1"/>
    <m/>
    <m/>
    <x v="2"/>
    <n v="-1"/>
    <s v="HH20231015 T3659380349 No Limit Hold'em $0.92 + $0.08.txt"/>
  </r>
  <r>
    <n v="1146"/>
    <n v="16.579999999999998"/>
    <s v="15.10.2023"/>
    <n v="15"/>
    <x v="9"/>
    <x v="0"/>
    <x v="2"/>
    <n v="-1"/>
    <m/>
    <m/>
    <x v="2"/>
    <n v="-1"/>
    <s v="HH20231015 T3659428683 No Limit Hold'em $0.92 + $0.08.txt"/>
  </r>
  <r>
    <n v="1147"/>
    <n v="15.579999999999998"/>
    <s v="15.10.2023"/>
    <n v="15"/>
    <x v="9"/>
    <x v="0"/>
    <x v="2"/>
    <n v="-1"/>
    <m/>
    <m/>
    <x v="2"/>
    <n v="-1"/>
    <s v="HH20231015 T3659433604 No Limit Hold'em $0.92 + $0.08.txt"/>
  </r>
  <r>
    <n v="1148"/>
    <n v="14.579999999999998"/>
    <s v="15.10.2023"/>
    <n v="15"/>
    <x v="9"/>
    <x v="0"/>
    <x v="2"/>
    <n v="-1"/>
    <m/>
    <m/>
    <x v="2"/>
    <n v="-1"/>
    <s v="HH20231015 T3659435377 No Limit Hold'em $0.92 + $0.08.txt"/>
  </r>
  <r>
    <n v="1149"/>
    <n v="13.579999999999998"/>
    <s v="15.10.2023"/>
    <n v="15"/>
    <x v="9"/>
    <x v="0"/>
    <x v="2"/>
    <n v="-1"/>
    <m/>
    <m/>
    <x v="2"/>
    <n v="-1"/>
    <s v="HH20231015 T3659437693 No Limit Hold'em $0.92 + $0.08.txt"/>
  </r>
  <r>
    <n v="1150"/>
    <n v="12.579999999999998"/>
    <s v="15.10.2023"/>
    <n v="15"/>
    <x v="9"/>
    <x v="0"/>
    <x v="2"/>
    <n v="-1"/>
    <m/>
    <m/>
    <x v="2"/>
    <n v="-1"/>
    <s v="HH20231015 T3659438229 No Limit Hold'em $0.92 + $0.08.txt"/>
  </r>
  <r>
    <n v="1151"/>
    <n v="32.58"/>
    <s v="15.10.2023"/>
    <n v="15"/>
    <x v="9"/>
    <x v="0"/>
    <x v="2"/>
    <n v="-10"/>
    <n v="30"/>
    <m/>
    <x v="1"/>
    <n v="2"/>
    <s v="HH20231015 T3659439336 No Limit Hold'em $9.30 + $0.70.txt"/>
  </r>
  <r>
    <n v="1152"/>
    <n v="31.58"/>
    <s v="15.10.2023"/>
    <n v="15"/>
    <x v="9"/>
    <x v="0"/>
    <x v="2"/>
    <n v="-1"/>
    <m/>
    <m/>
    <x v="2"/>
    <n v="-1"/>
    <s v="HH20231015 T3659454794 No Limit Hold'em $0.92 + $0.08.txt"/>
  </r>
  <r>
    <n v="1153"/>
    <n v="30.58"/>
    <s v="15.10.2023"/>
    <n v="15"/>
    <x v="9"/>
    <x v="0"/>
    <x v="2"/>
    <n v="-1"/>
    <m/>
    <m/>
    <x v="2"/>
    <n v="-1"/>
    <s v="HH20231015 T3659456050 No Limit Hold'em $0.92 + $0.08.txt"/>
  </r>
  <r>
    <n v="1154"/>
    <n v="29.58"/>
    <s v="15.10.2023"/>
    <n v="15"/>
    <x v="9"/>
    <x v="0"/>
    <x v="2"/>
    <n v="-1"/>
    <m/>
    <m/>
    <x v="2"/>
    <n v="-1"/>
    <s v="HH20231015 T3659457149 No Limit Hold'em $0.92 + $0.08.txt"/>
  </r>
  <r>
    <n v="1155"/>
    <n v="33.58"/>
    <s v="15.10.2023"/>
    <n v="15"/>
    <x v="9"/>
    <x v="0"/>
    <x v="2"/>
    <n v="-1"/>
    <n v="5"/>
    <m/>
    <x v="1"/>
    <n v="4"/>
    <s v="HH20231015 T3659461366 No Limit Hold'em $0.92 + $0.08.txt"/>
  </r>
  <r>
    <n v="1156"/>
    <n v="32.58"/>
    <s v="16.10.2023"/>
    <n v="16"/>
    <x v="9"/>
    <x v="0"/>
    <x v="2"/>
    <n v="-1"/>
    <m/>
    <m/>
    <x v="2"/>
    <n v="-1"/>
    <s v="HH20231016 T3659630520 No Limit Hold'em $0.92 + $0.08.txt"/>
  </r>
  <r>
    <n v="1157"/>
    <n v="34.58"/>
    <s v="16.10.2023"/>
    <n v="16"/>
    <x v="9"/>
    <x v="0"/>
    <x v="2"/>
    <n v="-1"/>
    <n v="3"/>
    <m/>
    <x v="1"/>
    <n v="2"/>
    <s v="HH20231016 T3659631197 No Limit Hold'em $0.92 + $0.08.txt"/>
  </r>
  <r>
    <n v="1158"/>
    <n v="33.58"/>
    <s v="16.10.2023"/>
    <n v="16"/>
    <x v="9"/>
    <x v="0"/>
    <x v="2"/>
    <n v="-1"/>
    <m/>
    <m/>
    <x v="2"/>
    <n v="-1"/>
    <s v="HH20231016 T3659634683 No Limit Hold'em $0.92 + $0.08.txt"/>
  </r>
  <r>
    <n v="1159"/>
    <n v="34.58"/>
    <s v="16.10.2023"/>
    <n v="16"/>
    <x v="9"/>
    <x v="0"/>
    <x v="2"/>
    <n v="-1"/>
    <n v="2"/>
    <m/>
    <x v="1"/>
    <n v="1"/>
    <s v="HH20231016 T3659646346 No Limit Hold'em $0.92 + $0.08.txt"/>
  </r>
  <r>
    <n v="1160"/>
    <n v="33.58"/>
    <s v="16.10.2023"/>
    <n v="16"/>
    <x v="9"/>
    <x v="0"/>
    <x v="2"/>
    <n v="-1"/>
    <m/>
    <m/>
    <x v="2"/>
    <n v="-1"/>
    <s v="HH20231016 T3659647256 No Limit Hold'em $0.92 + $0.08.txt"/>
  </r>
  <r>
    <n v="1161"/>
    <n v="36.58"/>
    <s v="16.10.2023"/>
    <n v="16"/>
    <x v="9"/>
    <x v="0"/>
    <x v="2"/>
    <n v="-1"/>
    <n v="4"/>
    <m/>
    <x v="1"/>
    <n v="3"/>
    <s v="HH20231016 T3659647599 No Limit Hold'em $0.92 + $0.08.txt"/>
  </r>
  <r>
    <n v="1162"/>
    <n v="35.58"/>
    <s v="16.10.2023"/>
    <n v="16"/>
    <x v="9"/>
    <x v="0"/>
    <x v="2"/>
    <n v="-1"/>
    <m/>
    <m/>
    <x v="2"/>
    <n v="-1"/>
    <s v="HH20231016 T3659651373 No Limit Hold'em $0.92 + $0.08.txt"/>
  </r>
  <r>
    <n v="1163"/>
    <n v="34.58"/>
    <s v="16.10.2023"/>
    <n v="16"/>
    <x v="9"/>
    <x v="0"/>
    <x v="2"/>
    <n v="-1"/>
    <m/>
    <m/>
    <x v="2"/>
    <n v="-1"/>
    <s v="HH20231016 T3659651753 No Limit Hold'em $0.92 + $0.08.txt"/>
  </r>
  <r>
    <n v="1164"/>
    <n v="36.58"/>
    <s v="16.10.2023"/>
    <n v="16"/>
    <x v="9"/>
    <x v="0"/>
    <x v="2"/>
    <n v="-1"/>
    <n v="3"/>
    <m/>
    <x v="1"/>
    <n v="2"/>
    <s v="HH20231016 T3659653003 No Limit Hold'em $0.92 + $0.08.txt"/>
  </r>
  <r>
    <n v="1165"/>
    <n v="35.58"/>
    <s v="16.10.2023"/>
    <n v="16"/>
    <x v="9"/>
    <x v="0"/>
    <x v="2"/>
    <n v="-1"/>
    <m/>
    <m/>
    <x v="2"/>
    <n v="-1"/>
    <s v="HH20231016 T3659654485 No Limit Hold'em $0.92 + $0.08.txt"/>
  </r>
  <r>
    <n v="1166"/>
    <n v="37.58"/>
    <s v="16.10.2023"/>
    <n v="16"/>
    <x v="9"/>
    <x v="0"/>
    <x v="2"/>
    <n v="-1"/>
    <n v="3"/>
    <m/>
    <x v="1"/>
    <n v="2"/>
    <s v="HH20231016 T3659676974 No Limit Hold'em $0.92 + $0.08.txt"/>
  </r>
  <r>
    <n v="1167"/>
    <n v="36.58"/>
    <s v="16.10.2023"/>
    <n v="16"/>
    <x v="9"/>
    <x v="0"/>
    <x v="2"/>
    <n v="-1"/>
    <m/>
    <m/>
    <x v="2"/>
    <n v="-1"/>
    <s v="HH20231016 T3659702149 No Limit Hold'em $0.92 + $0.08.txt"/>
  </r>
  <r>
    <n v="1168"/>
    <n v="35.58"/>
    <s v="16.10.2023"/>
    <n v="16"/>
    <x v="9"/>
    <x v="0"/>
    <x v="2"/>
    <n v="-1"/>
    <m/>
    <m/>
    <x v="2"/>
    <n v="-1"/>
    <s v="HH20231016 T3659704015 No Limit Hold'em $0.92 + $0.08.txt"/>
  </r>
  <r>
    <n v="1169"/>
    <n v="36.58"/>
    <s v="16.10.2023"/>
    <n v="16"/>
    <x v="9"/>
    <x v="0"/>
    <x v="2"/>
    <n v="-1"/>
    <n v="2"/>
    <m/>
    <x v="1"/>
    <n v="1"/>
    <s v="HH20231016 T3659705681 No Limit Hold'em $0.92 + $0.08.txt"/>
  </r>
  <r>
    <n v="1170"/>
    <n v="35.58"/>
    <s v="16.10.2023"/>
    <n v="16"/>
    <x v="9"/>
    <x v="0"/>
    <x v="2"/>
    <n v="-1"/>
    <m/>
    <m/>
    <x v="2"/>
    <n v="-1"/>
    <s v="HH20231016 T3659707447 No Limit Hold'em $0.92 + $0.08.txt"/>
  </r>
  <r>
    <n v="1171"/>
    <n v="37.58"/>
    <s v="16.10.2023"/>
    <n v="16"/>
    <x v="9"/>
    <x v="0"/>
    <x v="2"/>
    <n v="-1"/>
    <n v="3"/>
    <m/>
    <x v="1"/>
    <n v="2"/>
    <s v="HH20231016 T3659710275 No Limit Hold'em $0.92 + $0.08.txt"/>
  </r>
  <r>
    <n v="1172"/>
    <n v="36.58"/>
    <s v="16.10.2023"/>
    <n v="16"/>
    <x v="9"/>
    <x v="0"/>
    <x v="2"/>
    <n v="-1"/>
    <m/>
    <m/>
    <x v="2"/>
    <n v="-1"/>
    <s v="HH20231016 T3659759859 No Limit Hold'em $0.92 + $0.08.txt"/>
  </r>
  <r>
    <n v="1173"/>
    <n v="35.58"/>
    <s v="16.10.2023"/>
    <n v="16"/>
    <x v="9"/>
    <x v="0"/>
    <x v="2"/>
    <n v="-1"/>
    <m/>
    <m/>
    <x v="2"/>
    <n v="-1"/>
    <s v="HH20231016 T3659801189 No Limit Hold'em $0.92 + $0.08.txt"/>
  </r>
  <r>
    <n v="1174"/>
    <n v="42.58"/>
    <s v="16.10.2023"/>
    <n v="16"/>
    <x v="9"/>
    <x v="0"/>
    <x v="2"/>
    <n v="-1"/>
    <n v="8"/>
    <m/>
    <x v="1"/>
    <n v="7"/>
    <s v="HH20231016 T3659802104 No Limit Hold'em $0.92 + $0.08.txt"/>
  </r>
  <r>
    <n v="1175"/>
    <n v="41.58"/>
    <s v="18.10.2023"/>
    <n v="18"/>
    <x v="9"/>
    <x v="0"/>
    <x v="2"/>
    <n v="-1"/>
    <m/>
    <m/>
    <x v="2"/>
    <n v="-1"/>
    <s v="HH20231018 T3660754759 No Limit Hold'em $0.92 + $0.08.txt"/>
  </r>
  <r>
    <n v="1176"/>
    <n v="40.58"/>
    <s v="18.10.2023"/>
    <n v="18"/>
    <x v="9"/>
    <x v="0"/>
    <x v="2"/>
    <n v="-1"/>
    <m/>
    <m/>
    <x v="2"/>
    <n v="-1"/>
    <s v="HH20231018 T3660757510 No Limit Hold'em $0.92 + $0.08.txt"/>
  </r>
  <r>
    <n v="1177"/>
    <n v="39.58"/>
    <s v="18.10.2023"/>
    <n v="18"/>
    <x v="9"/>
    <x v="0"/>
    <x v="2"/>
    <n v="-1"/>
    <m/>
    <m/>
    <x v="2"/>
    <n v="-1"/>
    <s v="HH20231018 T3660759741 No Limit Hold'em $0.92 + $0.08.txt"/>
  </r>
  <r>
    <n v="1178"/>
    <n v="43.58"/>
    <s v="18.10.2023"/>
    <n v="18"/>
    <x v="9"/>
    <x v="0"/>
    <x v="2"/>
    <n v="-1"/>
    <n v="5"/>
    <m/>
    <x v="1"/>
    <n v="4"/>
    <s v="HH20231018 T3660760778 No Limit Hold'em $0.92 + $0.08.txt"/>
  </r>
  <r>
    <n v="1179"/>
    <n v="46.58"/>
    <s v="19.10.2023"/>
    <n v="19"/>
    <x v="9"/>
    <x v="0"/>
    <x v="2"/>
    <n v="-1"/>
    <n v="4"/>
    <m/>
    <x v="1"/>
    <n v="3"/>
    <s v="HH20231019 T3661126276 No Limit Hold'em $0.92 + $0.08.txt"/>
  </r>
  <r>
    <n v="1180"/>
    <n v="43.28"/>
    <s v="19.10.2023"/>
    <n v="19"/>
    <x v="9"/>
    <x v="0"/>
    <x v="3"/>
    <n v="-3.3"/>
    <m/>
    <m/>
    <x v="2"/>
    <n v="-1"/>
    <s v="HH20231019 T3660168842 No Limit Hold'em $2.94 + $0.36.txt"/>
  </r>
  <r>
    <n v="1181"/>
    <n v="44.28"/>
    <s v="19.10.2023"/>
    <n v="19"/>
    <x v="9"/>
    <x v="0"/>
    <x v="2"/>
    <n v="-1"/>
    <n v="2"/>
    <m/>
    <x v="1"/>
    <n v="1"/>
    <s v="HH20231019 T3661157533 No Limit Hold'em $0.92 + $0.08.txt"/>
  </r>
  <r>
    <n v="1182"/>
    <n v="46.28"/>
    <s v="19.10.2023"/>
    <n v="19"/>
    <x v="9"/>
    <x v="0"/>
    <x v="2"/>
    <n v="-1"/>
    <n v="3"/>
    <m/>
    <x v="1"/>
    <n v="2"/>
    <s v="HH20231019 T3661162480 No Limit Hold'em $0.92 + $0.08.txt"/>
  </r>
  <r>
    <n v="1183"/>
    <n v="48.28"/>
    <s v="21.10.2023"/>
    <n v="21"/>
    <x v="9"/>
    <x v="0"/>
    <x v="2"/>
    <n v="-1"/>
    <n v="3"/>
    <m/>
    <x v="1"/>
    <n v="2"/>
    <s v="HH20231021 T3661896900 No Limit Hold'em $0.92 + $0.08.txt"/>
  </r>
  <r>
    <n v="1184"/>
    <n v="47.28"/>
    <s v="21.10.2023"/>
    <n v="21"/>
    <x v="9"/>
    <x v="0"/>
    <x v="2"/>
    <n v="-1"/>
    <m/>
    <m/>
    <x v="2"/>
    <n v="-1"/>
    <s v="HH20231021 T3661904408 No Limit Hold'em $0.92 + $0.08.txt"/>
  </r>
  <r>
    <n v="1185"/>
    <n v="46.28"/>
    <s v="21.10.2023"/>
    <n v="21"/>
    <x v="9"/>
    <x v="0"/>
    <x v="2"/>
    <n v="-1"/>
    <m/>
    <m/>
    <x v="2"/>
    <n v="-1"/>
    <s v="HH20231021 T3662046055 No Limit Hold'em $0.92 + $0.08.txt"/>
  </r>
  <r>
    <n v="1186"/>
    <n v="47.28"/>
    <s v="21.10.2023"/>
    <n v="21"/>
    <x v="9"/>
    <x v="0"/>
    <x v="2"/>
    <n v="-1"/>
    <n v="2"/>
    <m/>
    <x v="1"/>
    <n v="1"/>
    <s v="HH20231021 T3662047615 No Limit Hold'em $0.92 + $0.08.txt"/>
  </r>
  <r>
    <n v="1187"/>
    <n v="44.730000000000004"/>
    <s v="23.10.2023"/>
    <n v="23"/>
    <x v="9"/>
    <x v="0"/>
    <x v="3"/>
    <n v="-3.3"/>
    <m/>
    <n v="0.75"/>
    <x v="2"/>
    <n v="-0.77272727272727271"/>
    <s v="HH20231023 T3661060792 No Limit Hold'em $2.94 + $0.36.txt"/>
  </r>
  <r>
    <n v="1188"/>
    <n v="43.730000000000004"/>
    <s v="23.10.2023"/>
    <n v="23"/>
    <x v="9"/>
    <x v="0"/>
    <x v="2"/>
    <n v="-1"/>
    <m/>
    <m/>
    <x v="2"/>
    <n v="-1"/>
    <s v="HH20231023 T3662964057 No Limit Hold'em $0.92 + $0.08.txt"/>
  </r>
  <r>
    <n v="1189"/>
    <n v="42.730000000000004"/>
    <s v="23.10.2023"/>
    <n v="23"/>
    <x v="9"/>
    <x v="0"/>
    <x v="2"/>
    <n v="-1"/>
    <m/>
    <m/>
    <x v="2"/>
    <n v="-1"/>
    <s v="HH20231023 T3662964637 No Limit Hold'em $0.92 + $0.08.txt"/>
  </r>
  <r>
    <n v="1190"/>
    <n v="44.730000000000004"/>
    <s v="23.10.2023"/>
    <n v="23"/>
    <x v="9"/>
    <x v="0"/>
    <x v="2"/>
    <n v="-1"/>
    <n v="3"/>
    <m/>
    <x v="1"/>
    <n v="2"/>
    <s v="HH20231023 T3662965792 No Limit Hold'em $0.92 + $0.08.txt"/>
  </r>
  <r>
    <n v="1191"/>
    <n v="45.730000000000004"/>
    <s v="23.10.2023"/>
    <n v="23"/>
    <x v="9"/>
    <x v="0"/>
    <x v="2"/>
    <n v="-1"/>
    <n v="2"/>
    <m/>
    <x v="1"/>
    <n v="1"/>
    <s v="HH20231023 T3662968829 No Limit Hold'em $0.92 + $0.08.txt"/>
  </r>
  <r>
    <n v="1192"/>
    <n v="46.730000000000004"/>
    <s v="23.10.2023"/>
    <n v="23"/>
    <x v="9"/>
    <x v="0"/>
    <x v="2"/>
    <n v="-1"/>
    <n v="2"/>
    <m/>
    <x v="1"/>
    <n v="1"/>
    <s v="HH20231023 T3662972935 No Limit Hold'em $0.92 + $0.08.txt"/>
  </r>
  <r>
    <n v="1193"/>
    <n v="48.730000000000004"/>
    <s v="23.10.2023"/>
    <n v="23"/>
    <x v="9"/>
    <x v="0"/>
    <x v="2"/>
    <m/>
    <n v="2"/>
    <m/>
    <x v="1"/>
    <n v="0"/>
    <s v="HH20231023 T3662977149 No Limit Hold'em $0.92 + $0.08.txt"/>
  </r>
  <r>
    <n v="1194"/>
    <n v="51.730000000000004"/>
    <s v="24.10.2023"/>
    <n v="24"/>
    <x v="9"/>
    <x v="0"/>
    <x v="2"/>
    <n v="-1"/>
    <n v="4"/>
    <m/>
    <x v="1"/>
    <n v="3"/>
    <s v="HH20231024 T3663321240 No Limit Hold'em $0.92 + $0.08.txt"/>
  </r>
  <r>
    <n v="1195"/>
    <n v="52.730000000000004"/>
    <s v="24.10.2023"/>
    <n v="24"/>
    <x v="9"/>
    <x v="0"/>
    <x v="2"/>
    <n v="-1"/>
    <n v="2"/>
    <m/>
    <x v="1"/>
    <n v="1"/>
    <s v="HH20231024 T3663324528 No Limit Hold'em $0.92 + $0.08.txt"/>
  </r>
  <r>
    <n v="1196"/>
    <n v="54.730000000000004"/>
    <s v="25.10.2023"/>
    <n v="25"/>
    <x v="9"/>
    <x v="0"/>
    <x v="2"/>
    <n v="-1"/>
    <n v="3"/>
    <m/>
    <x v="1"/>
    <n v="2"/>
    <s v="HH20231025 T3663745563 No Limit Hold'em $0.92 + $0.08.txt"/>
  </r>
  <r>
    <n v="1197"/>
    <n v="53.730000000000004"/>
    <s v="25.10.2023"/>
    <n v="25"/>
    <x v="9"/>
    <x v="0"/>
    <x v="2"/>
    <n v="-1"/>
    <m/>
    <m/>
    <x v="2"/>
    <n v="-1"/>
    <s v="HH20231025 T3663813680 No Limit Hold'em $0.92 + $0.08.txt"/>
  </r>
  <r>
    <n v="1198"/>
    <n v="55.730000000000004"/>
    <s v="25.10.2023"/>
    <n v="25"/>
    <x v="9"/>
    <x v="0"/>
    <x v="2"/>
    <n v="-1"/>
    <n v="3"/>
    <m/>
    <x v="1"/>
    <n v="2"/>
    <s v="HH20231025 T3663816376 No Limit Hold'em $0.92 + $0.08.txt"/>
  </r>
  <r>
    <n v="1199"/>
    <n v="54.730000000000004"/>
    <s v="25.10.2023"/>
    <n v="25"/>
    <x v="9"/>
    <x v="0"/>
    <x v="2"/>
    <n v="-1"/>
    <m/>
    <m/>
    <x v="2"/>
    <n v="-1"/>
    <s v="HH20231025 T3663822446 No Limit Hold'em $0.92 + $0.08.txt"/>
  </r>
  <r>
    <n v="1200"/>
    <n v="55.730000000000004"/>
    <s v="25.10.2023"/>
    <n v="25"/>
    <x v="9"/>
    <x v="0"/>
    <x v="2"/>
    <n v="-1"/>
    <n v="2"/>
    <m/>
    <x v="1"/>
    <n v="1"/>
    <s v="HH20231025 T3663841125 No Limit Hold'em $0.92 + $0.08.txt"/>
  </r>
  <r>
    <n v="1201"/>
    <n v="54.730000000000004"/>
    <s v="26.10.2023"/>
    <n v="26"/>
    <x v="9"/>
    <x v="0"/>
    <x v="2"/>
    <n v="-1"/>
    <m/>
    <m/>
    <x v="2"/>
    <n v="-1"/>
    <s v="HH20231026 T3664131552 No Limit Hold'em $0.92 + $0.08.txt"/>
  </r>
  <r>
    <n v="1202"/>
    <n v="53.730000000000004"/>
    <s v="26.10.2023"/>
    <n v="26"/>
    <x v="9"/>
    <x v="0"/>
    <x v="2"/>
    <n v="-1"/>
    <m/>
    <m/>
    <x v="2"/>
    <n v="-1"/>
    <s v="HH20231026 T3664141362 No Limit Hold'em $0.92 + $0.08.txt"/>
  </r>
  <r>
    <n v="1203"/>
    <n v="55.730000000000004"/>
    <s v="26.10.2023"/>
    <n v="26"/>
    <x v="9"/>
    <x v="0"/>
    <x v="2"/>
    <n v="-1"/>
    <n v="3"/>
    <m/>
    <x v="1"/>
    <n v="2"/>
    <s v="HH20231026 T3664144875 No Limit Hold'em $0.92 + $0.08.txt"/>
  </r>
  <r>
    <n v="1204"/>
    <n v="54.730000000000004"/>
    <s v="26.10.2023"/>
    <n v="26"/>
    <x v="9"/>
    <x v="0"/>
    <x v="2"/>
    <n v="-1"/>
    <m/>
    <m/>
    <x v="2"/>
    <n v="-1"/>
    <s v="HH20231026 T3664154540 No Limit Hold'em $0.92 + $0.08.txt"/>
  </r>
  <r>
    <n v="1205"/>
    <n v="53.730000000000004"/>
    <s v="26.10.2023"/>
    <n v="26"/>
    <x v="9"/>
    <x v="0"/>
    <x v="2"/>
    <n v="-1"/>
    <m/>
    <m/>
    <x v="2"/>
    <n v="-1"/>
    <s v="HH20231026 T3664157653 No Limit Hold'em $0.92 + $0.08.txt"/>
  </r>
  <r>
    <n v="1206"/>
    <n v="48.730000000000004"/>
    <s v="26.10.2023"/>
    <n v="26"/>
    <x v="9"/>
    <x v="0"/>
    <x v="2"/>
    <n v="-5"/>
    <m/>
    <m/>
    <x v="2"/>
    <n v="-1"/>
    <s v="HH20231026 T3664158405 No Limit Hold'em $4.60 + $0.40.txt"/>
  </r>
  <r>
    <n v="1207"/>
    <n v="43.730000000000004"/>
    <s v="26.10.2023"/>
    <n v="26"/>
    <x v="9"/>
    <x v="0"/>
    <x v="2"/>
    <n v="-5"/>
    <m/>
    <m/>
    <x v="2"/>
    <n v="-1"/>
    <s v="HH20231026 T3664160030 No Limit Hold'em $4.60 + $0.40.txt"/>
  </r>
  <r>
    <n v="1208"/>
    <n v="48.730000000000004"/>
    <s v="26.10.2023"/>
    <n v="26"/>
    <x v="9"/>
    <x v="0"/>
    <x v="2"/>
    <n v="-5"/>
    <n v="10"/>
    <m/>
    <x v="1"/>
    <n v="1"/>
    <s v="HH20231026 T3664162199 No Limit Hold'em $4.60 + $0.40.txt"/>
  </r>
  <r>
    <n v="1209"/>
    <n v="43.730000000000004"/>
    <s v="26.10.2023"/>
    <n v="26"/>
    <x v="9"/>
    <x v="0"/>
    <x v="2"/>
    <n v="-5"/>
    <m/>
    <m/>
    <x v="2"/>
    <n v="-1"/>
    <s v="HH20231026 T3664164120 No Limit Hold'em $4.60 + $0.40.txt"/>
  </r>
  <r>
    <n v="1210"/>
    <n v="38.730000000000004"/>
    <s v="26.10.2023"/>
    <n v="26"/>
    <x v="9"/>
    <x v="0"/>
    <x v="2"/>
    <n v="-5"/>
    <m/>
    <m/>
    <x v="2"/>
    <n v="-1"/>
    <s v="HH20231026 T3664167017 No Limit Hold'em $4.60 + $0.40.txt"/>
  </r>
  <r>
    <n v="1211"/>
    <n v="33.730000000000004"/>
    <s v="26.10.2023"/>
    <n v="26"/>
    <x v="9"/>
    <x v="0"/>
    <x v="2"/>
    <n v="-5"/>
    <m/>
    <m/>
    <x v="2"/>
    <n v="-1"/>
    <s v="HH20231026 T3664169452 No Limit Hold'em $4.60 + $0.40.txt"/>
  </r>
  <r>
    <n v="1212"/>
    <n v="28.730000000000004"/>
    <s v="26.10.2023"/>
    <n v="26"/>
    <x v="9"/>
    <x v="0"/>
    <x v="2"/>
    <n v="-5"/>
    <m/>
    <m/>
    <x v="2"/>
    <n v="-1"/>
    <s v="HH20231026 T3664171317 No Limit Hold'em $4.60 + $0.40.txt"/>
  </r>
  <r>
    <n v="1213"/>
    <n v="23.230000000000004"/>
    <s v="26.10.2023"/>
    <n v="26"/>
    <x v="9"/>
    <x v="0"/>
    <x v="3"/>
    <n v="-5.5"/>
    <m/>
    <m/>
    <x v="2"/>
    <n v="-1"/>
    <s v="HH20231026 T3663274405 No Limit Hold'em $4.90 + $0.60.txt"/>
  </r>
  <r>
    <n v="1214"/>
    <n v="18.830000000000005"/>
    <s v="26.10.2023"/>
    <n v="26"/>
    <x v="9"/>
    <x v="0"/>
    <x v="3"/>
    <n v="-4.4000000000000004"/>
    <m/>
    <m/>
    <x v="2"/>
    <n v="-1"/>
    <s v="HH20231026 T3663274427 No Limit Hold'em $3.92 + $0.48.txt"/>
  </r>
  <r>
    <n v="1215"/>
    <n v="19.830000000000005"/>
    <s v="26.10.2023"/>
    <n v="26"/>
    <x v="9"/>
    <x v="0"/>
    <x v="2"/>
    <n v="-1"/>
    <n v="2"/>
    <m/>
    <x v="1"/>
    <n v="1"/>
    <s v="HH20231026 T3664267304 No Limit Hold'em $0.92 + $0.08.txt"/>
  </r>
  <r>
    <n v="1216"/>
    <n v="9.8300000000000054"/>
    <s v="26.10.2023"/>
    <n v="26"/>
    <x v="9"/>
    <x v="0"/>
    <x v="2"/>
    <n v="-10"/>
    <m/>
    <m/>
    <x v="2"/>
    <n v="-1"/>
    <s v="HH20231026 T3664272553 No Limit Hold'em $9.30 + $0.70.txt"/>
  </r>
  <r>
    <n v="1217"/>
    <n v="10.830000000000005"/>
    <s v="26.10.2023"/>
    <n v="26"/>
    <x v="9"/>
    <x v="0"/>
    <x v="2"/>
    <n v="-1"/>
    <n v="2"/>
    <m/>
    <x v="1"/>
    <n v="1"/>
    <s v="HH20231026 T3664278102 No Limit Hold'em $0.92 + $0.08.txt"/>
  </r>
  <r>
    <n v="1218"/>
    <n v="0.8300000000000054"/>
    <s v="26.10.2023"/>
    <n v="26"/>
    <x v="9"/>
    <x v="0"/>
    <x v="2"/>
    <n v="-10"/>
    <m/>
    <m/>
    <x v="2"/>
    <n v="-1"/>
    <s v="HH20231026 T3664279284 No Limit Hold'em $9.30 + $0.70.txt"/>
  </r>
  <r>
    <n v="1219"/>
    <n v="56.420000000000009"/>
    <s v="27.10.2023"/>
    <n v="27"/>
    <x v="9"/>
    <x v="0"/>
    <x v="1"/>
    <m/>
    <n v="55.59"/>
    <m/>
    <x v="0"/>
    <m/>
    <m/>
  </r>
  <r>
    <n v="1220"/>
    <n v="55.420000000000009"/>
    <s v="27.10.2023"/>
    <n v="27"/>
    <x v="9"/>
    <x v="0"/>
    <x v="2"/>
    <n v="-1"/>
    <m/>
    <m/>
    <x v="2"/>
    <n v="-1"/>
    <s v="HH20231027 T3664474435 No Limit Hold'em $0.92 + $0.08.txt"/>
  </r>
  <r>
    <n v="1221"/>
    <n v="54.420000000000009"/>
    <s v="27.10.2023"/>
    <n v="27"/>
    <x v="9"/>
    <x v="0"/>
    <x v="2"/>
    <n v="-1"/>
    <m/>
    <m/>
    <x v="2"/>
    <n v="-1"/>
    <s v="HH20231027 T3664475678 No Limit Hold'em $0.92 + $0.08.txt"/>
  </r>
  <r>
    <n v="1222"/>
    <n v="57.420000000000009"/>
    <s v="27.10.2023"/>
    <n v="27"/>
    <x v="9"/>
    <x v="0"/>
    <x v="2"/>
    <n v="-1"/>
    <n v="4"/>
    <m/>
    <x v="1"/>
    <n v="3"/>
    <s v="HH20231027 T3664476291 No Limit Hold'em $0.92 + $0.08.txt"/>
  </r>
  <r>
    <n v="1223"/>
    <n v="56.420000000000009"/>
    <s v="27.10.2023"/>
    <n v="27"/>
    <x v="9"/>
    <x v="0"/>
    <x v="2"/>
    <n v="-1"/>
    <m/>
    <m/>
    <x v="2"/>
    <n v="-1"/>
    <s v="HH20231027 T3664501532 No Limit Hold'em $0.92 + $0.08.txt"/>
  </r>
  <r>
    <n v="1224"/>
    <n v="55.420000000000009"/>
    <s v="27.10.2023"/>
    <n v="27"/>
    <x v="9"/>
    <x v="0"/>
    <x v="2"/>
    <n v="-1"/>
    <m/>
    <m/>
    <x v="2"/>
    <n v="-1"/>
    <s v="HH20231027 T3664501862 No Limit Hold'em $0.92 + $0.08.txt"/>
  </r>
  <r>
    <n v="1225"/>
    <n v="57.420000000000009"/>
    <s v="27.10.2023"/>
    <n v="27"/>
    <x v="9"/>
    <x v="0"/>
    <x v="2"/>
    <n v="-1"/>
    <n v="3"/>
    <m/>
    <x v="1"/>
    <n v="2"/>
    <s v="HH20231027 T3664503624 No Limit Hold'em $0.92 + $0.08.txt"/>
  </r>
  <r>
    <n v="1226"/>
    <n v="56.420000000000009"/>
    <s v="27.10.2023"/>
    <n v="27"/>
    <x v="9"/>
    <x v="0"/>
    <x v="2"/>
    <n v="-1"/>
    <m/>
    <m/>
    <x v="2"/>
    <n v="-1"/>
    <s v="HH20231027 T3664505169 No Limit Hold'em $0.92 + $0.08.txt"/>
  </r>
  <r>
    <n v="1227"/>
    <n v="55.420000000000009"/>
    <s v="27.10.2023"/>
    <n v="27"/>
    <x v="9"/>
    <x v="0"/>
    <x v="2"/>
    <n v="-1"/>
    <m/>
    <m/>
    <x v="2"/>
    <n v="-1"/>
    <s v="HH20231027 T3664506334 No Limit Hold'em $0.92 + $0.08.txt"/>
  </r>
  <r>
    <n v="1228"/>
    <n v="57.420000000000009"/>
    <s v="27.10.2023"/>
    <n v="27"/>
    <x v="9"/>
    <x v="0"/>
    <x v="2"/>
    <n v="-1"/>
    <n v="3"/>
    <m/>
    <x v="1"/>
    <n v="2"/>
    <s v="HH20231027 T3664509886 No Limit Hold'em $0.92 + $0.08.txt"/>
  </r>
  <r>
    <n v="1229"/>
    <n v="56.420000000000009"/>
    <s v="27.10.2023"/>
    <n v="27"/>
    <x v="9"/>
    <x v="0"/>
    <x v="2"/>
    <n v="-1"/>
    <m/>
    <m/>
    <x v="2"/>
    <n v="-1"/>
    <s v="HH20231027 T3664522357 No Limit Hold'em $0.92 + $0.08.txt"/>
  </r>
  <r>
    <n v="1230"/>
    <n v="58.420000000000009"/>
    <s v="27.10.2023"/>
    <n v="27"/>
    <x v="9"/>
    <x v="0"/>
    <x v="2"/>
    <n v="-1"/>
    <n v="3"/>
    <m/>
    <x v="1"/>
    <n v="2"/>
    <s v="HH20231027 T3664524008 No Limit Hold'em $0.92 + $0.08.txt"/>
  </r>
  <r>
    <n v="1231"/>
    <n v="60.420000000000009"/>
    <s v="27.10.2023"/>
    <n v="27"/>
    <x v="9"/>
    <x v="0"/>
    <x v="2"/>
    <n v="-1"/>
    <n v="3"/>
    <m/>
    <x v="1"/>
    <n v="2"/>
    <s v="HH20231027 T3664554896 No Limit Hold'em $0.92 + $0.08.txt"/>
  </r>
  <r>
    <n v="1232"/>
    <n v="58.420000000000009"/>
    <s v="27.10.2023"/>
    <n v="27"/>
    <x v="9"/>
    <x v="0"/>
    <x v="2"/>
    <n v="-2"/>
    <m/>
    <m/>
    <x v="2"/>
    <n v="-1"/>
    <s v="HH20231027 T3664556686 No Limit Hold'em $1.84 + $0.16.txt"/>
  </r>
  <r>
    <n v="1233"/>
    <n v="60.420000000000009"/>
    <s v="27.10.2023"/>
    <n v="27"/>
    <x v="9"/>
    <x v="0"/>
    <x v="2"/>
    <n v="-2"/>
    <n v="4"/>
    <m/>
    <x v="1"/>
    <n v="1"/>
    <s v="HH20231027 T3664558512 No Limit Hold'em $1.84 + $0.16.txt"/>
  </r>
  <r>
    <n v="1234"/>
    <n v="62.420000000000009"/>
    <s v="28.10.2023"/>
    <n v="28"/>
    <x v="9"/>
    <x v="0"/>
    <x v="2"/>
    <n v="-2"/>
    <n v="4"/>
    <m/>
    <x v="1"/>
    <n v="1"/>
    <s v="HH20231028 T3665060349 No Limit Hold'em $1.84 + $0.16.txt"/>
  </r>
  <r>
    <n v="1235"/>
    <n v="64.420000000000016"/>
    <s v="28.10.2023"/>
    <n v="28"/>
    <x v="9"/>
    <x v="0"/>
    <x v="2"/>
    <n v="-2"/>
    <n v="4"/>
    <m/>
    <x v="1"/>
    <n v="1"/>
    <s v="HH20231028 T3665065456 No Limit Hold'em $1.84 + $0.16.txt"/>
  </r>
  <r>
    <n v="1236"/>
    <n v="58.920000000000016"/>
    <s v="28.10.2023"/>
    <n v="28"/>
    <x v="9"/>
    <x v="0"/>
    <x v="3"/>
    <n v="-5.5"/>
    <m/>
    <m/>
    <x v="2"/>
    <n v="-1"/>
    <s v="HH20231028 T3663274408 No Limit Hold'em $4.90 + $0.60.txt"/>
  </r>
  <r>
    <n v="1237"/>
    <n v="56.920000000000016"/>
    <s v="28.10.2023"/>
    <n v="28"/>
    <x v="9"/>
    <x v="0"/>
    <x v="2"/>
    <n v="-2"/>
    <m/>
    <m/>
    <x v="2"/>
    <n v="-1"/>
    <s v="HH20231028 T3665110020 No Limit Hold'em $1.84 + $0.16.txt"/>
  </r>
  <r>
    <n v="1238"/>
    <n v="54.920000000000016"/>
    <s v="28.10.2023"/>
    <n v="28"/>
    <x v="9"/>
    <x v="0"/>
    <x v="2"/>
    <n v="-2"/>
    <m/>
    <m/>
    <x v="2"/>
    <n v="-1"/>
    <s v="HH20231028 T3665110446 No Limit Hold'em $1.84 + $0.16.txt"/>
  </r>
  <r>
    <n v="1239"/>
    <n v="58.920000000000016"/>
    <s v="28.10.2023"/>
    <n v="28"/>
    <x v="9"/>
    <x v="0"/>
    <x v="2"/>
    <n v="-2"/>
    <n v="6"/>
    <m/>
    <x v="1"/>
    <n v="2"/>
    <s v="HH20231028 T3665112019 No Limit Hold'em $1.84 + $0.16.txt"/>
  </r>
  <r>
    <n v="1240"/>
    <n v="56.920000000000016"/>
    <s v="28.10.2023"/>
    <n v="28"/>
    <x v="9"/>
    <x v="0"/>
    <x v="2"/>
    <n v="-2"/>
    <m/>
    <m/>
    <x v="2"/>
    <n v="-1"/>
    <s v="HH20231028 T3665115101 No Limit Hold'em $1.84 + $0.16.txt"/>
  </r>
  <r>
    <n v="1241"/>
    <n v="54.920000000000016"/>
    <s v="28.10.2023"/>
    <n v="28"/>
    <x v="9"/>
    <x v="0"/>
    <x v="2"/>
    <n v="-2"/>
    <m/>
    <m/>
    <x v="2"/>
    <n v="-1"/>
    <s v="HH20231028 T3665116782 No Limit Hold'em $1.84 + $0.16.txt"/>
  </r>
  <r>
    <n v="1242"/>
    <n v="52.920000000000016"/>
    <s v="28.10.2023"/>
    <n v="28"/>
    <x v="9"/>
    <x v="0"/>
    <x v="2"/>
    <n v="-2"/>
    <m/>
    <m/>
    <x v="2"/>
    <n v="-1"/>
    <s v="HH20231028 T3665118753 No Limit Hold'em $1.84 + $0.16.txt"/>
  </r>
  <r>
    <n v="1243"/>
    <n v="50.920000000000016"/>
    <s v="28.10.2023"/>
    <n v="28"/>
    <x v="9"/>
    <x v="0"/>
    <x v="2"/>
    <n v="-2"/>
    <m/>
    <m/>
    <x v="2"/>
    <n v="-1"/>
    <s v="HH20231028 T3665122836 No Limit Hold'em $1.84 + $0.16.txt"/>
  </r>
  <r>
    <n v="1244"/>
    <n v="54.920000000000016"/>
    <s v="30.10.2023"/>
    <n v="30"/>
    <x v="9"/>
    <x v="0"/>
    <x v="2"/>
    <n v="-2"/>
    <n v="6"/>
    <m/>
    <x v="1"/>
    <n v="2"/>
    <s v="HH20231030 T3665991906 No Limit Hold'em $1.84 + $0.16.txt"/>
  </r>
  <r>
    <n v="1245"/>
    <n v="52.920000000000016"/>
    <s v="30.10.2023"/>
    <n v="30"/>
    <x v="9"/>
    <x v="0"/>
    <x v="2"/>
    <n v="-2"/>
    <m/>
    <m/>
    <x v="2"/>
    <n v="-1"/>
    <s v="HH20231030 T3665996483 No Limit Hold'em $1.84 + $0.16.txt"/>
  </r>
  <r>
    <n v="1246"/>
    <n v="56.920000000000016"/>
    <s v="30.10.2023"/>
    <n v="30"/>
    <x v="9"/>
    <x v="0"/>
    <x v="2"/>
    <n v="-2"/>
    <n v="6"/>
    <m/>
    <x v="1"/>
    <n v="2"/>
    <s v="HH20231030 T3665998056 No Limit Hold'em $1.84 + $0.16.txt"/>
  </r>
  <r>
    <n v="1247"/>
    <n v="62.920000000000016"/>
    <s v="30.10.2023"/>
    <n v="30"/>
    <x v="9"/>
    <x v="0"/>
    <x v="2"/>
    <n v="-2"/>
    <n v="8"/>
    <m/>
    <x v="1"/>
    <n v="3"/>
    <s v="HH20231030 T3666002172 No Limit Hold'em $1.84 + $0.16.txt"/>
  </r>
  <r>
    <n v="1248"/>
    <n v="64.920000000000016"/>
    <s v="30.10.2023"/>
    <n v="30"/>
    <x v="9"/>
    <x v="0"/>
    <x v="2"/>
    <n v="-2"/>
    <n v="4"/>
    <m/>
    <x v="1"/>
    <n v="1"/>
    <s v="HH20231030 T3666089390 No Limit Hold'em $1.84 + $0.16.txt"/>
  </r>
  <r>
    <n v="1249"/>
    <n v="66.920000000000016"/>
    <s v="01.11.2023"/>
    <n v="1"/>
    <x v="10"/>
    <x v="0"/>
    <x v="2"/>
    <n v="-2"/>
    <n v="4"/>
    <m/>
    <x v="1"/>
    <n v="1"/>
    <s v="HH20231101 T3666859921 No Limit Hold'em $1.84 + $0.16.txt"/>
  </r>
  <r>
    <n v="1250"/>
    <n v="64.920000000000016"/>
    <s v="01.11.2023"/>
    <n v="1"/>
    <x v="10"/>
    <x v="0"/>
    <x v="2"/>
    <n v="-2"/>
    <m/>
    <m/>
    <x v="2"/>
    <n v="-1"/>
    <s v="HH20231101 T3666864161 No Limit Hold'em $1.84 + $0.16.txt"/>
  </r>
  <r>
    <n v="1251"/>
    <n v="65.930000000000021"/>
    <s v="01.11.2023"/>
    <n v="1"/>
    <x v="10"/>
    <x v="0"/>
    <x v="10"/>
    <n v="-1.92"/>
    <n v="2.93"/>
    <m/>
    <x v="1"/>
    <n v="0.52604166666666674"/>
    <s v="HH20231101 Halley - $0.01-$0.02 - USD No Limit Hold'em.txt"/>
  </r>
  <r>
    <n v="1252"/>
    <n v="64.000000000000014"/>
    <s v="01.11.2023"/>
    <n v="1"/>
    <x v="10"/>
    <x v="0"/>
    <x v="10"/>
    <n v="-1.93"/>
    <m/>
    <m/>
    <x v="2"/>
    <n v="-1"/>
    <s v="HH20231101 Halley - $0.01-$0.02 - USD No Limit Hold'em 2.txt"/>
  </r>
  <r>
    <n v="1253"/>
    <n v="68.000000000000014"/>
    <s v="01.11.2023"/>
    <n v="1"/>
    <x v="10"/>
    <x v="0"/>
    <x v="2"/>
    <n v="-2"/>
    <n v="6"/>
    <m/>
    <x v="1"/>
    <n v="2"/>
    <s v="HH20231101 T3666928596 No Limit Hold'em $1.84 + $0.16.txt"/>
  </r>
  <r>
    <n v="1254"/>
    <n v="66.000000000000014"/>
    <s v="01.11.2023"/>
    <n v="1"/>
    <x v="10"/>
    <x v="0"/>
    <x v="2"/>
    <n v="-2"/>
    <m/>
    <m/>
    <x v="2"/>
    <n v="-1"/>
    <s v="HH20231101 T3666935673 No Limit Hold'em $1.84 + $0.16.txt"/>
  </r>
  <r>
    <n v="1255"/>
    <n v="64.000000000000014"/>
    <s v="02.11.2023"/>
    <n v="2"/>
    <x v="10"/>
    <x v="0"/>
    <x v="2"/>
    <n v="-2"/>
    <m/>
    <m/>
    <x v="2"/>
    <n v="-1"/>
    <s v="HH20231102 T3667176345 No Limit Hold'em $1.84 + $0.16.txt"/>
  </r>
  <r>
    <n v="1256"/>
    <n v="62.000000000000014"/>
    <s v="02.11.2023"/>
    <n v="2"/>
    <x v="10"/>
    <x v="0"/>
    <x v="2"/>
    <n v="-2"/>
    <m/>
    <m/>
    <x v="2"/>
    <n v="-1"/>
    <s v="HH20231102 T3667177964 No Limit Hold'em $1.84 + $0.16.txt"/>
  </r>
  <r>
    <n v="1257"/>
    <n v="60.000000000000014"/>
    <s v="02.11.2023"/>
    <n v="2"/>
    <x v="10"/>
    <x v="0"/>
    <x v="2"/>
    <n v="-2"/>
    <m/>
    <m/>
    <x v="2"/>
    <n v="-1"/>
    <s v="HH20231102 T3667187986 No Limit Hold'em $1.84 + $0.16.txt"/>
  </r>
  <r>
    <n v="1258"/>
    <n v="58.000000000000014"/>
    <s v="02.11.2023"/>
    <n v="2"/>
    <x v="10"/>
    <x v="0"/>
    <x v="2"/>
    <n v="-2"/>
    <m/>
    <m/>
    <x v="2"/>
    <n v="-1"/>
    <s v="HH20231102 T3667189488 No Limit Hold'em $1.84 + $0.16.txt"/>
  </r>
  <r>
    <n v="1259"/>
    <n v="66.000000000000014"/>
    <s v="02.11.2023"/>
    <n v="2"/>
    <x v="10"/>
    <x v="0"/>
    <x v="2"/>
    <m/>
    <n v="8"/>
    <m/>
    <x v="1"/>
    <n v="0"/>
    <s v="HH20231102 T3667191206 No Limit Hold'em $1.84 + $0.16.txt"/>
  </r>
  <r>
    <n v="1260"/>
    <n v="64.000000000000014"/>
    <s v="02.11.2023"/>
    <n v="2"/>
    <x v="10"/>
    <x v="0"/>
    <x v="2"/>
    <n v="-2"/>
    <m/>
    <m/>
    <x v="2"/>
    <n v="-1"/>
    <s v="HH20231102 T3667204906 No Limit Hold'em $1.84 + $0.16.txt"/>
  </r>
  <r>
    <n v="1261"/>
    <n v="66.000000000000014"/>
    <s v="02.11.2023"/>
    <n v="2"/>
    <x v="10"/>
    <x v="0"/>
    <x v="2"/>
    <n v="-2"/>
    <n v="4"/>
    <m/>
    <x v="1"/>
    <n v="1"/>
    <s v="HH20231102 T3667206451 No Limit Hold'em $1.84 + $0.16.txt"/>
  </r>
  <r>
    <n v="1262"/>
    <n v="68.000000000000014"/>
    <s v="02.11.2023"/>
    <n v="2"/>
    <x v="10"/>
    <x v="0"/>
    <x v="2"/>
    <n v="-2"/>
    <n v="4"/>
    <m/>
    <x v="1"/>
    <n v="1"/>
    <s v="HH20231102 T3667220826 No Limit Hold'em $1.84 + $0.16.txt"/>
  </r>
  <r>
    <n v="1263"/>
    <n v="70.000000000000014"/>
    <s v="02.11.2023"/>
    <n v="2"/>
    <x v="10"/>
    <x v="0"/>
    <x v="2"/>
    <n v="-2"/>
    <n v="4"/>
    <m/>
    <x v="1"/>
    <n v="1"/>
    <s v="HH20231102 T3667222279 No Limit Hold'em $1.84 + $0.16.txt"/>
  </r>
  <r>
    <n v="1264"/>
    <n v="68.000000000000014"/>
    <s v="02.11.2023"/>
    <n v="2"/>
    <x v="10"/>
    <x v="0"/>
    <x v="2"/>
    <n v="-2"/>
    <m/>
    <m/>
    <x v="2"/>
    <n v="-1"/>
    <s v="HH20231102 T3667290452 No Limit Hold'em $1.84 + $0.16.txt"/>
  </r>
  <r>
    <n v="1265"/>
    <n v="66.000000000000014"/>
    <s v="02.11.2023"/>
    <n v="2"/>
    <x v="10"/>
    <x v="0"/>
    <x v="2"/>
    <n v="-2"/>
    <m/>
    <m/>
    <x v="2"/>
    <n v="-1"/>
    <s v="HH20231102 T3667294196 No Limit Hold'em $1.84 + $0.16.txt"/>
  </r>
  <r>
    <n v="1266"/>
    <n v="64.000000000000014"/>
    <s v="02.11.2023"/>
    <n v="2"/>
    <x v="10"/>
    <x v="0"/>
    <x v="2"/>
    <n v="-2"/>
    <m/>
    <m/>
    <x v="2"/>
    <n v="-1"/>
    <s v="HH20231102 T3667295995 No Limit Hold'em $1.84 + $0.16.txt"/>
  </r>
  <r>
    <n v="1267"/>
    <n v="62.000000000000014"/>
    <s v="02.11.2023"/>
    <n v="2"/>
    <x v="10"/>
    <x v="0"/>
    <x v="2"/>
    <n v="-2"/>
    <m/>
    <m/>
    <x v="2"/>
    <n v="-1"/>
    <s v="HH20231102 T3667296743 No Limit Hold'em $1.84 + $0.16.txt"/>
  </r>
  <r>
    <n v="1268"/>
    <n v="60.000000000000014"/>
    <s v="02.11.2023"/>
    <n v="2"/>
    <x v="10"/>
    <x v="0"/>
    <x v="2"/>
    <n v="-2"/>
    <m/>
    <m/>
    <x v="2"/>
    <n v="-1"/>
    <s v="HH20231102 T3667299985 No Limit Hold'em $1.84 + $0.16.txt"/>
  </r>
  <r>
    <n v="1269"/>
    <n v="58.000000000000014"/>
    <s v="02.11.2023"/>
    <n v="2"/>
    <x v="10"/>
    <x v="0"/>
    <x v="2"/>
    <n v="-2"/>
    <m/>
    <m/>
    <x v="2"/>
    <n v="-1"/>
    <s v="HH20231102 T3667301499 No Limit Hold'em $1.84 + $0.16.txt"/>
  </r>
  <r>
    <n v="1270"/>
    <n v="60.000000000000014"/>
    <s v="02.11.2023"/>
    <n v="2"/>
    <x v="10"/>
    <x v="0"/>
    <x v="2"/>
    <n v="-2"/>
    <n v="4"/>
    <m/>
    <x v="1"/>
    <n v="1"/>
    <s v="HH20231102 T3667303506 No Limit Hold'em $1.84 + $0.16.txt"/>
  </r>
  <r>
    <n v="1271"/>
    <n v="58.000000000000014"/>
    <s v="02.11.2023"/>
    <n v="2"/>
    <x v="10"/>
    <x v="0"/>
    <x v="2"/>
    <n v="-2"/>
    <m/>
    <m/>
    <x v="2"/>
    <n v="-1"/>
    <s v="HH20231102 T3667306844 No Limit Hold'em $1.84 + $0.16.txt"/>
  </r>
  <r>
    <n v="1272"/>
    <n v="60.000000000000014"/>
    <s v="02.11.2023"/>
    <n v="2"/>
    <x v="10"/>
    <x v="0"/>
    <x v="2"/>
    <n v="-2"/>
    <n v="4"/>
    <m/>
    <x v="1"/>
    <n v="1"/>
    <s v="HH20231102 T3667307374 No Limit Hold'em $1.84 + $0.16.txt"/>
  </r>
  <r>
    <n v="1273"/>
    <n v="62.000000000000014"/>
    <s v="02.11.2023"/>
    <n v="2"/>
    <x v="10"/>
    <x v="0"/>
    <x v="2"/>
    <n v="-2"/>
    <n v="4"/>
    <m/>
    <x v="1"/>
    <n v="1"/>
    <s v="HH20231102 T3667403062 No Limit Hold'em $1.84 + $0.16.txt"/>
  </r>
  <r>
    <n v="1274"/>
    <n v="60.000000000000014"/>
    <s v="02.11.2023"/>
    <n v="2"/>
    <x v="10"/>
    <x v="0"/>
    <x v="2"/>
    <n v="-2"/>
    <m/>
    <m/>
    <x v="2"/>
    <n v="-1"/>
    <s v="HH20231102 T3667405862 No Limit Hold'em $1.84 + $0.16.txt"/>
  </r>
  <r>
    <n v="1275"/>
    <n v="62.000000000000014"/>
    <s v="02.11.2023"/>
    <n v="2"/>
    <x v="10"/>
    <x v="0"/>
    <x v="2"/>
    <n v="-2"/>
    <n v="4"/>
    <m/>
    <x v="1"/>
    <n v="1"/>
    <s v="HH20231102 T3667410927 No Limit Hold'em $1.84 + $0.16.txt"/>
  </r>
  <r>
    <n v="1276"/>
    <n v="64.000000000000014"/>
    <s v="02.11.2023"/>
    <n v="2"/>
    <x v="10"/>
    <x v="0"/>
    <x v="2"/>
    <n v="-2"/>
    <n v="4"/>
    <m/>
    <x v="1"/>
    <n v="1"/>
    <s v="HH20231102 T3667413961 No Limit Hold'em $1.84 + $0.16.txt"/>
  </r>
  <r>
    <n v="1277"/>
    <n v="62.000000000000014"/>
    <s v="02.11.2023"/>
    <n v="2"/>
    <x v="10"/>
    <x v="0"/>
    <x v="2"/>
    <n v="-2"/>
    <m/>
    <m/>
    <x v="2"/>
    <n v="-1"/>
    <s v="HH20231102 T3667426422 No Limit Hold'em $1.84 + $0.16.txt"/>
  </r>
  <r>
    <n v="1278"/>
    <n v="60.000000000000014"/>
    <s v="02.11.2023"/>
    <n v="2"/>
    <x v="10"/>
    <x v="0"/>
    <x v="2"/>
    <n v="-2"/>
    <m/>
    <m/>
    <x v="2"/>
    <n v="-1"/>
    <s v="HH20231102 T3667429801 No Limit Hold'em $1.84 + $0.16.txt"/>
  </r>
  <r>
    <n v="1279"/>
    <n v="58.000000000000014"/>
    <s v="02.11.2023"/>
    <n v="2"/>
    <x v="10"/>
    <x v="0"/>
    <x v="2"/>
    <n v="-2"/>
    <m/>
    <m/>
    <x v="2"/>
    <n v="-1"/>
    <s v="HH20231102 T3667433400 No Limit Hold'em $1.84 + $0.16.txt"/>
  </r>
  <r>
    <n v="1280"/>
    <n v="56.000000000000014"/>
    <s v="02.11.2023"/>
    <n v="2"/>
    <x v="10"/>
    <x v="0"/>
    <x v="2"/>
    <n v="-2"/>
    <m/>
    <m/>
    <x v="2"/>
    <n v="-1"/>
    <s v="HH20231102 T3667439937 No Limit Hold'em $1.84 + $0.16.txt"/>
  </r>
  <r>
    <n v="1281"/>
    <n v="58.000000000000014"/>
    <s v="03.11.2023"/>
    <n v="3"/>
    <x v="10"/>
    <x v="0"/>
    <x v="2"/>
    <n v="-2"/>
    <n v="4"/>
    <m/>
    <x v="1"/>
    <n v="1"/>
    <s v="HH20231103 T3667648543 No Limit Hold'em $1.84 + $0.16.txt"/>
  </r>
  <r>
    <n v="1282"/>
    <n v="62.000000000000014"/>
    <s v="03.11.2023"/>
    <n v="3"/>
    <x v="10"/>
    <x v="0"/>
    <x v="2"/>
    <n v="-2"/>
    <n v="6"/>
    <m/>
    <x v="1"/>
    <n v="2"/>
    <s v="HH20231103 T3667649952 No Limit Hold'em $1.84 + $0.16.txt"/>
  </r>
  <r>
    <n v="1283"/>
    <n v="60.000000000000014"/>
    <s v="04.11.2023"/>
    <n v="4"/>
    <x v="10"/>
    <x v="0"/>
    <x v="2"/>
    <n v="-2"/>
    <m/>
    <m/>
    <x v="2"/>
    <n v="-1"/>
    <s v="HH20231104 T3668234880 No Limit Hold'em $1.84 + $0.16.txt"/>
  </r>
  <r>
    <n v="1284"/>
    <n v="64.000000000000014"/>
    <s v="04.11.2023"/>
    <n v="4"/>
    <x v="10"/>
    <x v="0"/>
    <x v="2"/>
    <n v="-2"/>
    <n v="6"/>
    <m/>
    <x v="1"/>
    <n v="2"/>
    <s v="HH20231104 T3668238303 No Limit Hold'em $1.84 + $0.16.txt"/>
  </r>
  <r>
    <n v="1285"/>
    <n v="62.000000000000014"/>
    <s v="04.11.2023"/>
    <n v="4"/>
    <x v="10"/>
    <x v="0"/>
    <x v="2"/>
    <n v="-2"/>
    <m/>
    <m/>
    <x v="2"/>
    <n v="-1"/>
    <s v="HH20231104 T3668241255 No Limit Hold'em $1.84 + $0.16.txt"/>
  </r>
  <r>
    <n v="1286"/>
    <n v="64.000000000000014"/>
    <s v="04.11.2023"/>
    <n v="4"/>
    <x v="10"/>
    <x v="0"/>
    <x v="2"/>
    <n v="-2"/>
    <n v="4"/>
    <m/>
    <x v="1"/>
    <n v="1"/>
    <s v="HH20231104 T3668243663 No Limit Hold'em $1.84 + $0.16.txt"/>
  </r>
  <r>
    <n v="1287"/>
    <n v="62.000000000000014"/>
    <s v="05.11.2023"/>
    <n v="5"/>
    <x v="10"/>
    <x v="0"/>
    <x v="2"/>
    <n v="-2"/>
    <m/>
    <m/>
    <x v="2"/>
    <n v="-1"/>
    <s v="HH20231105 T3668608353 No Limit Hold'em $1.84 + $0.16.txt"/>
  </r>
  <r>
    <n v="1288"/>
    <n v="64.000000000000014"/>
    <s v="05.11.2023"/>
    <n v="5"/>
    <x v="10"/>
    <x v="0"/>
    <x v="2"/>
    <n v="-2"/>
    <n v="4"/>
    <m/>
    <x v="1"/>
    <n v="1"/>
    <s v="HH20231105 T3668608807 No Limit Hold'em $1.84 + $0.16.txt"/>
  </r>
  <r>
    <n v="1289"/>
    <n v="70.000000000000014"/>
    <s v="05.11.2023"/>
    <n v="5"/>
    <x v="10"/>
    <x v="0"/>
    <x v="2"/>
    <n v="-2"/>
    <n v="8"/>
    <m/>
    <x v="1"/>
    <n v="3"/>
    <s v="HH20231105 T3668609782 No Limit Hold'em $1.84 + $0.16.txt"/>
  </r>
  <r>
    <n v="1290"/>
    <n v="74.000000000000014"/>
    <s v="05.11.2023"/>
    <n v="5"/>
    <x v="10"/>
    <x v="0"/>
    <x v="2"/>
    <n v="-2"/>
    <n v="6"/>
    <m/>
    <x v="1"/>
    <n v="2"/>
    <s v="HH20231105 T3668627585 No Limit Hold'em $1.84 + $0.16.txt"/>
  </r>
  <r>
    <n v="1291"/>
    <n v="78.000000000000014"/>
    <s v="05.11.2023"/>
    <n v="5"/>
    <x v="10"/>
    <x v="0"/>
    <x v="2"/>
    <n v="-2"/>
    <n v="6"/>
    <m/>
    <x v="1"/>
    <n v="2"/>
    <s v="HH20231105 T3668661960 No Limit Hold'em $1.84 + $0.16.txt"/>
  </r>
  <r>
    <n v="1292"/>
    <n v="76.000000000000014"/>
    <s v="05.11.2023"/>
    <n v="5"/>
    <x v="10"/>
    <x v="0"/>
    <x v="2"/>
    <n v="-2"/>
    <m/>
    <m/>
    <x v="2"/>
    <n v="-1"/>
    <s v="HH20231105 T3668664881 No Limit Hold'em $1.84 + $0.16.txt"/>
  </r>
  <r>
    <n v="1293"/>
    <n v="74.000000000000014"/>
    <s v="05.11.2023"/>
    <n v="5"/>
    <x v="10"/>
    <x v="0"/>
    <x v="2"/>
    <n v="-2"/>
    <m/>
    <m/>
    <x v="2"/>
    <n v="-1"/>
    <s v="HH20231105 T3668709154 No Limit Hold'em $1.84 + $0.16.txt"/>
  </r>
  <r>
    <n v="1294"/>
    <n v="80.000000000000014"/>
    <s v="05.11.2023"/>
    <n v="5"/>
    <x v="10"/>
    <x v="0"/>
    <x v="2"/>
    <n v="-2"/>
    <n v="8"/>
    <m/>
    <x v="1"/>
    <n v="3"/>
    <s v="HH20231105 T3668712186 No Limit Hold'em $1.84 + $0.16.txt"/>
  </r>
  <r>
    <n v="1295"/>
    <n v="82.000000000000014"/>
    <s v="05.11.2023"/>
    <n v="5"/>
    <x v="10"/>
    <x v="0"/>
    <x v="2"/>
    <n v="-2"/>
    <n v="4"/>
    <m/>
    <x v="1"/>
    <n v="1"/>
    <s v="HH20231105 T3668735480 No Limit Hold'em $1.84 + $0.16.txt"/>
  </r>
  <r>
    <n v="1296"/>
    <n v="80.000000000000014"/>
    <s v="05.11.2023"/>
    <n v="5"/>
    <x v="10"/>
    <x v="0"/>
    <x v="2"/>
    <n v="-2"/>
    <m/>
    <m/>
    <x v="2"/>
    <n v="-1"/>
    <s v="HH20231105 T3668792942 No Limit Hold'em $1.84 + $0.16.txt"/>
  </r>
  <r>
    <n v="1297"/>
    <n v="78.000000000000014"/>
    <s v="05.11.2023"/>
    <n v="5"/>
    <x v="10"/>
    <x v="0"/>
    <x v="2"/>
    <n v="-2"/>
    <m/>
    <m/>
    <x v="2"/>
    <n v="-1"/>
    <s v="HH20231105 T3668822201 No Limit Hold'em $1.84 + $0.16.txt"/>
  </r>
  <r>
    <n v="1298"/>
    <n v="82.000000000000014"/>
    <s v="05.11.2023"/>
    <n v="5"/>
    <x v="10"/>
    <x v="0"/>
    <x v="2"/>
    <n v="-2"/>
    <n v="6"/>
    <m/>
    <x v="1"/>
    <n v="2"/>
    <s v="HH20231105 T3668824849 No Limit Hold'em $1.84 + $0.16.txt"/>
  </r>
  <r>
    <n v="1299"/>
    <n v="84.000000000000014"/>
    <s v="05.11.2023"/>
    <n v="5"/>
    <x v="10"/>
    <x v="0"/>
    <x v="2"/>
    <n v="-2"/>
    <n v="4"/>
    <m/>
    <x v="1"/>
    <n v="1"/>
    <s v="HH20231105 T3668829587 No Limit Hold'em $1.84 + $0.16.txt"/>
  </r>
  <r>
    <n v="1300"/>
    <n v="98.000000000000014"/>
    <s v="05.11.2023"/>
    <n v="5"/>
    <x v="10"/>
    <x v="0"/>
    <x v="2"/>
    <n v="-2"/>
    <n v="16"/>
    <m/>
    <x v="1"/>
    <n v="7"/>
    <s v="HH20231105 T3668857780 No Limit Hold'em $1.84 + $0.16.txt"/>
  </r>
  <r>
    <n v="1301"/>
    <n v="96.000000000000014"/>
    <s v="06.11.2023"/>
    <n v="6"/>
    <x v="10"/>
    <x v="0"/>
    <x v="2"/>
    <n v="-2"/>
    <m/>
    <m/>
    <x v="2"/>
    <n v="-1"/>
    <s v="HH20231106 T3669082180 No Limit Hold'em $1.84 + $0.16.txt"/>
  </r>
  <r>
    <n v="1302"/>
    <n v="94.000000000000014"/>
    <s v="06.11.2023"/>
    <n v="6"/>
    <x v="10"/>
    <x v="0"/>
    <x v="2"/>
    <n v="-2"/>
    <m/>
    <m/>
    <x v="2"/>
    <n v="-1"/>
    <s v="HH20231106 T3669086212 No Limit Hold'em $1.84 + $0.16.txt"/>
  </r>
  <r>
    <n v="1303"/>
    <n v="92.000000000000014"/>
    <s v="06.11.2023"/>
    <n v="6"/>
    <x v="10"/>
    <x v="0"/>
    <x v="2"/>
    <n v="-2"/>
    <m/>
    <m/>
    <x v="2"/>
    <n v="-1"/>
    <s v="HH20231106 T3669088669 No Limit Hold'em $1.84 + $0.16.txt"/>
  </r>
  <r>
    <n v="1304"/>
    <n v="96.000000000000014"/>
    <s v="06.11.2023"/>
    <n v="6"/>
    <x v="10"/>
    <x v="0"/>
    <x v="2"/>
    <n v="-2"/>
    <n v="6"/>
    <m/>
    <x v="1"/>
    <n v="2"/>
    <s v="HH20231106 T3669089861 No Limit Hold'em $1.84 + $0.16.txt"/>
  </r>
  <r>
    <n v="1305"/>
    <n v="94.000000000000014"/>
    <s v="06.11.2023"/>
    <n v="6"/>
    <x v="10"/>
    <x v="0"/>
    <x v="2"/>
    <n v="-2"/>
    <m/>
    <m/>
    <x v="2"/>
    <n v="-1"/>
    <s v="HH20231106 T3669092703 No Limit Hold'em $1.84 + $0.16.txt"/>
  </r>
  <r>
    <n v="1306"/>
    <n v="102.00000000000001"/>
    <s v="06.11.2023"/>
    <n v="6"/>
    <x v="10"/>
    <x v="0"/>
    <x v="2"/>
    <n v="-2"/>
    <n v="10"/>
    <m/>
    <x v="1"/>
    <n v="4"/>
    <s v="HH20231106 T3669094890 No Limit Hold'em $1.84 + $0.16.txt"/>
  </r>
  <r>
    <n v="1307"/>
    <n v="100.00000000000001"/>
    <s v="06.11.2023"/>
    <n v="6"/>
    <x v="10"/>
    <x v="0"/>
    <x v="2"/>
    <n v="-2"/>
    <m/>
    <m/>
    <x v="2"/>
    <n v="-1"/>
    <s v="HH20231106 T3669100565 No Limit Hold'em $1.84 + $0.16.txt"/>
  </r>
  <r>
    <n v="1308"/>
    <n v="104.00000000000001"/>
    <s v="06.11.2023"/>
    <n v="6"/>
    <x v="10"/>
    <x v="0"/>
    <x v="2"/>
    <n v="-2"/>
    <n v="6"/>
    <m/>
    <x v="1"/>
    <n v="2"/>
    <s v="HH20231106 T3669102390 No Limit Hold'em $1.84 + $0.16.txt"/>
  </r>
  <r>
    <n v="1309"/>
    <n v="102.00000000000001"/>
    <s v="06.11.2023"/>
    <n v="6"/>
    <x v="10"/>
    <x v="0"/>
    <x v="2"/>
    <n v="-2"/>
    <m/>
    <m/>
    <x v="2"/>
    <n v="-1"/>
    <s v="HH20231106 T3669155335 No Limit Hold'em $1.84 + $0.16.txt"/>
  </r>
  <r>
    <n v="1310"/>
    <n v="106.00000000000001"/>
    <s v="06.11.2023"/>
    <n v="6"/>
    <x v="10"/>
    <x v="0"/>
    <x v="2"/>
    <n v="-2"/>
    <n v="6"/>
    <m/>
    <x v="1"/>
    <n v="2"/>
    <s v="HH20231106 T3669156359 No Limit Hold'em $1.84 + $0.16.txt"/>
  </r>
  <r>
    <n v="1311"/>
    <n v="104.00000000000001"/>
    <s v="06.11.2023"/>
    <n v="6"/>
    <x v="10"/>
    <x v="0"/>
    <x v="2"/>
    <n v="-2"/>
    <m/>
    <m/>
    <x v="2"/>
    <n v="-1"/>
    <s v="HH20231106 T3669168254 No Limit Hold'em $1.84 + $0.16.txt"/>
  </r>
  <r>
    <n v="1312"/>
    <n v="108.00000000000001"/>
    <s v="06.11.2023"/>
    <n v="6"/>
    <x v="10"/>
    <x v="0"/>
    <x v="2"/>
    <n v="-2"/>
    <n v="6"/>
    <m/>
    <x v="1"/>
    <n v="2"/>
    <s v="HH20231106 T3669170572 No Limit Hold'em $1.84 + $0.16.txt"/>
  </r>
  <r>
    <n v="1313"/>
    <n v="106.00000000000001"/>
    <s v="06.11.2023"/>
    <n v="6"/>
    <x v="10"/>
    <x v="0"/>
    <x v="2"/>
    <n v="-2"/>
    <m/>
    <m/>
    <x v="2"/>
    <n v="-1"/>
    <s v="HH20231106 T3669174681 No Limit Hold'em $1.84 + $0.16.txt"/>
  </r>
  <r>
    <n v="1314"/>
    <n v="104.00000000000001"/>
    <s v="06.11.2023"/>
    <n v="6"/>
    <x v="10"/>
    <x v="0"/>
    <x v="2"/>
    <n v="-2"/>
    <m/>
    <m/>
    <x v="2"/>
    <n v="-1"/>
    <s v="HH20231106 T3669177676 No Limit Hold'em $1.84 + $0.16.txt"/>
  </r>
  <r>
    <n v="1315"/>
    <n v="106.00000000000001"/>
    <s v="06.11.2023"/>
    <n v="6"/>
    <x v="10"/>
    <x v="0"/>
    <x v="2"/>
    <n v="-2"/>
    <n v="4"/>
    <m/>
    <x v="1"/>
    <n v="1"/>
    <s v="HH20231106 T3669179704 No Limit Hold'em $1.84 + $0.16.txt"/>
  </r>
  <r>
    <n v="1316"/>
    <n v="108.00000000000001"/>
    <s v="06.11.2023"/>
    <n v="6"/>
    <x v="10"/>
    <x v="0"/>
    <x v="2"/>
    <n v="-2"/>
    <n v="4"/>
    <m/>
    <x v="1"/>
    <n v="1"/>
    <s v="HH20231106 T3669182231 No Limit Hold'em $1.84 + $0.16.txt"/>
  </r>
  <r>
    <n v="1317"/>
    <n v="106.00000000000001"/>
    <s v="06.11.2023"/>
    <n v="6"/>
    <x v="10"/>
    <x v="0"/>
    <x v="2"/>
    <n v="-2"/>
    <m/>
    <m/>
    <x v="2"/>
    <n v="-1"/>
    <s v="HH20231106 T3669198860 No Limit Hold'em $1.84 + $0.16.txt"/>
  </r>
  <r>
    <n v="1318"/>
    <n v="104.00000000000001"/>
    <s v="06.11.2023"/>
    <n v="6"/>
    <x v="10"/>
    <x v="0"/>
    <x v="2"/>
    <n v="-2"/>
    <m/>
    <m/>
    <x v="2"/>
    <n v="-1"/>
    <s v="HH20231106 T3669201449 No Limit Hold'em $1.84 + $0.16.txt"/>
  </r>
  <r>
    <n v="1319"/>
    <n v="106.00000000000001"/>
    <s v="06.11.2023"/>
    <n v="6"/>
    <x v="10"/>
    <x v="0"/>
    <x v="2"/>
    <n v="-2"/>
    <n v="4"/>
    <m/>
    <x v="1"/>
    <n v="1"/>
    <s v="HH20231106 T3669202012 No Limit Hold'em $1.84 + $0.16.txt"/>
  </r>
  <r>
    <n v="1320"/>
    <n v="104.00000000000001"/>
    <s v="06.11.2023"/>
    <n v="6"/>
    <x v="10"/>
    <x v="0"/>
    <x v="2"/>
    <n v="-2"/>
    <m/>
    <m/>
    <x v="2"/>
    <n v="-1"/>
    <s v="HH20231106 T3669284385 No Limit Hold'em $1.84 + $0.16.txt"/>
  </r>
  <r>
    <n v="1321"/>
    <n v="102.00000000000001"/>
    <s v="07.11.2023"/>
    <n v="7"/>
    <x v="10"/>
    <x v="0"/>
    <x v="2"/>
    <n v="-2"/>
    <m/>
    <m/>
    <x v="2"/>
    <n v="-1"/>
    <s v="HH20231107 T3669510307 No Limit Hold'em $1.84 + $0.16.txt"/>
  </r>
  <r>
    <n v="1322"/>
    <n v="100.00000000000001"/>
    <s v="07.11.2023"/>
    <n v="7"/>
    <x v="10"/>
    <x v="0"/>
    <x v="2"/>
    <n v="-2"/>
    <m/>
    <m/>
    <x v="2"/>
    <n v="-1"/>
    <s v="HH20231107 T3669513368 No Limit Hold'em $1.84 + $0.16.txt"/>
  </r>
  <r>
    <n v="1323"/>
    <n v="98.000000000000014"/>
    <s v="07.11.2023"/>
    <n v="7"/>
    <x v="10"/>
    <x v="0"/>
    <x v="2"/>
    <n v="-2"/>
    <m/>
    <m/>
    <x v="2"/>
    <n v="-1"/>
    <s v="HH20231107 T3669515043 No Limit Hold'em $1.84 + $0.16.txt"/>
  </r>
  <r>
    <n v="1324"/>
    <n v="88.000000000000014"/>
    <s v="07.11.2023"/>
    <n v="7"/>
    <x v="10"/>
    <x v="0"/>
    <x v="2"/>
    <n v="-10"/>
    <m/>
    <m/>
    <x v="2"/>
    <n v="-1"/>
    <s v="HH20231107 T3669517830 No Limit Hold'em $9.30 + $0.70.txt"/>
  </r>
  <r>
    <n v="1325"/>
    <n v="78.000000000000014"/>
    <s v="07.11.2023"/>
    <n v="7"/>
    <x v="10"/>
    <x v="0"/>
    <x v="2"/>
    <n v="-10"/>
    <m/>
    <m/>
    <x v="2"/>
    <n v="-1"/>
    <s v="HH20231107 T3669518573 No Limit Hold'em $9.30 + $0.70.txt"/>
  </r>
  <r>
    <n v="1326"/>
    <n v="88.000000000000014"/>
    <s v="07.11.2023"/>
    <n v="7"/>
    <x v="10"/>
    <x v="0"/>
    <x v="2"/>
    <n v="-10"/>
    <n v="20"/>
    <m/>
    <x v="1"/>
    <n v="1"/>
    <s v="HH20231107 T3669519079 No Limit Hold'em $9.30 + $0.70.txt"/>
  </r>
  <r>
    <n v="1327"/>
    <n v="78.000000000000014"/>
    <s v="07.11.2023"/>
    <n v="7"/>
    <x v="10"/>
    <x v="0"/>
    <x v="2"/>
    <n v="-10"/>
    <m/>
    <m/>
    <x v="2"/>
    <n v="-1"/>
    <s v="HH20231107 T3669520389 No Limit Hold'em $9.30 + $0.70.txt"/>
  </r>
  <r>
    <n v="1328"/>
    <n v="68.000000000000014"/>
    <s v="07.11.2023"/>
    <n v="7"/>
    <x v="10"/>
    <x v="0"/>
    <x v="2"/>
    <n v="-10"/>
    <m/>
    <m/>
    <x v="2"/>
    <n v="-1"/>
    <s v="HH20231107 T3669521406 No Limit Hold'em $9.30 + $0.70.txt"/>
  </r>
  <r>
    <n v="1329"/>
    <n v="98.000000000000014"/>
    <s v="07.11.2023"/>
    <n v="7"/>
    <x v="10"/>
    <x v="0"/>
    <x v="2"/>
    <n v="-10"/>
    <n v="40"/>
    <m/>
    <x v="1"/>
    <n v="3"/>
    <s v="HH20231107 T3669521876 No Limit Hold'em $9.30 + $0.70.txt"/>
  </r>
  <r>
    <n v="1330"/>
    <n v="88.000000000000014"/>
    <s v="07.11.2023"/>
    <n v="7"/>
    <x v="10"/>
    <x v="0"/>
    <x v="2"/>
    <n v="-10"/>
    <m/>
    <m/>
    <x v="2"/>
    <n v="-1"/>
    <s v="HH20231107 T3669525511 No Limit Hold'em $9.30 + $0.70.txt"/>
  </r>
  <r>
    <n v="1331"/>
    <n v="78.000000000000014"/>
    <s v="07.11.2023"/>
    <n v="7"/>
    <x v="10"/>
    <x v="0"/>
    <x v="2"/>
    <n v="-10"/>
    <m/>
    <m/>
    <x v="2"/>
    <n v="-1"/>
    <s v="HH20231107 T3669529150 No Limit Hold'em $9.30 + $0.70.txt"/>
  </r>
  <r>
    <n v="1332"/>
    <n v="83.000000000000014"/>
    <s v="07.11.2023"/>
    <n v="7"/>
    <x v="10"/>
    <x v="0"/>
    <x v="2"/>
    <n v="-5"/>
    <n v="10"/>
    <m/>
    <x v="1"/>
    <n v="1"/>
    <s v="HH20231107 T3669531026 No Limit Hold'em $4.60 + $0.40.txt"/>
  </r>
  <r>
    <n v="1333"/>
    <n v="78.000000000000014"/>
    <s v="07.11.2023"/>
    <n v="7"/>
    <x v="10"/>
    <x v="0"/>
    <x v="2"/>
    <n v="-5"/>
    <m/>
    <m/>
    <x v="2"/>
    <n v="-1"/>
    <s v="HH20231107 T3669558271 No Limit Hold'em $4.60 + $0.40.txt"/>
  </r>
  <r>
    <n v="1334"/>
    <n v="73.000000000000014"/>
    <s v="07.11.2023"/>
    <n v="7"/>
    <x v="10"/>
    <x v="0"/>
    <x v="2"/>
    <n v="-5"/>
    <m/>
    <m/>
    <x v="2"/>
    <n v="-1"/>
    <s v="HH20231107 T3669561558 No Limit Hold'em $4.60 + $0.40.txt"/>
  </r>
  <r>
    <n v="1335"/>
    <n v="68.000000000000014"/>
    <s v="07.11.2023"/>
    <n v="7"/>
    <x v="10"/>
    <x v="0"/>
    <x v="2"/>
    <n v="-5"/>
    <m/>
    <m/>
    <x v="2"/>
    <n v="-1"/>
    <s v="HH20231107 T3669562520 No Limit Hold'em $4.60 + $0.40.txt"/>
  </r>
  <r>
    <n v="1336"/>
    <n v="78.000000000000014"/>
    <s v="07.11.2023"/>
    <n v="7"/>
    <x v="10"/>
    <x v="0"/>
    <x v="2"/>
    <n v="-5"/>
    <n v="15"/>
    <m/>
    <x v="1"/>
    <n v="2"/>
    <s v="HH20231107 T3669563663 No Limit Hold'em $4.60 + $0.40.txt"/>
  </r>
  <r>
    <n v="1337"/>
    <n v="83.000000000000014"/>
    <s v="07.11.2023"/>
    <n v="7"/>
    <x v="10"/>
    <x v="0"/>
    <x v="2"/>
    <n v="-5"/>
    <n v="10"/>
    <m/>
    <x v="1"/>
    <n v="1"/>
    <s v="HH20231107 T3669567280 No Limit Hold'em $4.60 + $0.40.txt"/>
  </r>
  <r>
    <n v="1338"/>
    <n v="78.000000000000014"/>
    <s v="07.11.2023"/>
    <n v="7"/>
    <x v="10"/>
    <x v="0"/>
    <x v="2"/>
    <n v="-5"/>
    <m/>
    <m/>
    <x v="2"/>
    <n v="-1"/>
    <s v="HH20231107 T3669568542 No Limit Hold'em $4.60 + $0.40.txt"/>
  </r>
  <r>
    <n v="1339"/>
    <n v="73.000000000000014"/>
    <s v="07.11.2023"/>
    <n v="7"/>
    <x v="10"/>
    <x v="0"/>
    <x v="2"/>
    <n v="-5"/>
    <m/>
    <m/>
    <x v="2"/>
    <n v="-1"/>
    <s v="HH20231107 T3669575272 No Limit Hold'em $4.60 + $0.40.txt"/>
  </r>
  <r>
    <n v="1340"/>
    <n v="68.000000000000014"/>
    <s v="07.11.2023"/>
    <n v="7"/>
    <x v="10"/>
    <x v="0"/>
    <x v="2"/>
    <n v="-5"/>
    <m/>
    <m/>
    <x v="2"/>
    <n v="-1"/>
    <s v="HH20231107 T3669578859 No Limit Hold'em $4.60 + $0.40.txt"/>
  </r>
  <r>
    <n v="1341"/>
    <n v="63.000000000000014"/>
    <s v="07.11.2023"/>
    <n v="7"/>
    <x v="10"/>
    <x v="0"/>
    <x v="2"/>
    <n v="-5"/>
    <m/>
    <m/>
    <x v="2"/>
    <n v="-1"/>
    <s v="HH20231107 T3669579251 No Limit Hold'em $4.60 + $0.40.txt"/>
  </r>
  <r>
    <n v="1342"/>
    <n v="73.000000000000014"/>
    <s v="07.11.2023"/>
    <n v="7"/>
    <x v="10"/>
    <x v="0"/>
    <x v="2"/>
    <n v="-5"/>
    <n v="15"/>
    <m/>
    <x v="1"/>
    <n v="2"/>
    <s v="HH20231107 T3669580358 No Limit Hold'em $4.60 + $0.40.txt"/>
  </r>
  <r>
    <n v="1343"/>
    <n v="78.000000000000014"/>
    <s v="07.11.2023"/>
    <n v="7"/>
    <x v="10"/>
    <x v="0"/>
    <x v="2"/>
    <n v="-5"/>
    <n v="10"/>
    <m/>
    <x v="1"/>
    <n v="1"/>
    <s v="HH20231107 T3669585382 No Limit Hold'em $4.60 + $0.40.txt"/>
  </r>
  <r>
    <n v="1344"/>
    <n v="73.000000000000014"/>
    <s v="07.11.2023"/>
    <n v="7"/>
    <x v="10"/>
    <x v="0"/>
    <x v="2"/>
    <n v="-5"/>
    <m/>
    <m/>
    <x v="2"/>
    <n v="-1"/>
    <s v="HH20231107 T3669590945 No Limit Hold'em $4.60 + $0.40.txt"/>
  </r>
  <r>
    <n v="1345"/>
    <n v="68.000000000000014"/>
    <s v="07.11.2023"/>
    <n v="7"/>
    <x v="10"/>
    <x v="0"/>
    <x v="2"/>
    <n v="-5"/>
    <m/>
    <m/>
    <x v="2"/>
    <n v="-1"/>
    <s v="HH20231107 T3669594085 No Limit Hold'em $4.60 + $0.40.txt"/>
  </r>
  <r>
    <n v="1346"/>
    <n v="63.000000000000014"/>
    <s v="07.11.2023"/>
    <n v="7"/>
    <x v="10"/>
    <x v="0"/>
    <x v="2"/>
    <n v="-5"/>
    <m/>
    <m/>
    <x v="2"/>
    <n v="-1"/>
    <s v="HH20231107 T3669595118 No Limit Hold'em $4.60 + $0.40.txt"/>
  </r>
  <r>
    <n v="1347"/>
    <n v="58.000000000000014"/>
    <s v="07.11.2023"/>
    <n v="7"/>
    <x v="10"/>
    <x v="0"/>
    <x v="2"/>
    <n v="-5"/>
    <m/>
    <m/>
    <x v="2"/>
    <n v="-1"/>
    <s v="HH20231107 T3669599559 No Limit Hold'em $4.60 + $0.40.txt"/>
  </r>
  <r>
    <n v="1348"/>
    <n v="62.000000000000014"/>
    <s v="07.11.2023"/>
    <n v="7"/>
    <x v="10"/>
    <x v="0"/>
    <x v="2"/>
    <n v="-2"/>
    <n v="6"/>
    <m/>
    <x v="1"/>
    <n v="2"/>
    <s v="HH20231107 T3669600884 No Limit Hold'em $1.84 + $0.16.txt"/>
  </r>
  <r>
    <n v="1349"/>
    <n v="60.000000000000014"/>
    <s v="07.11.2023"/>
    <n v="7"/>
    <x v="10"/>
    <x v="0"/>
    <x v="2"/>
    <n v="-2"/>
    <m/>
    <m/>
    <x v="2"/>
    <n v="-1"/>
    <s v="HH20231107 T3669604927 No Limit Hold'em $1.84 + $0.16.txt"/>
  </r>
  <r>
    <n v="1350"/>
    <n v="58.000000000000014"/>
    <s v="07.11.2023"/>
    <n v="7"/>
    <x v="10"/>
    <x v="0"/>
    <x v="2"/>
    <n v="-2"/>
    <m/>
    <m/>
    <x v="2"/>
    <n v="-1"/>
    <s v="HH20231107 T3669631676 No Limit Hold'em $1.84 + $0.16.txt"/>
  </r>
  <r>
    <n v="1351"/>
    <n v="56.000000000000014"/>
    <s v="07.11.2023"/>
    <n v="7"/>
    <x v="10"/>
    <x v="0"/>
    <x v="2"/>
    <n v="-2"/>
    <m/>
    <m/>
    <x v="2"/>
    <n v="-1"/>
    <s v="HH20231107 T3669633935 No Limit Hold'em $1.84 + $0.16.txt"/>
  </r>
  <r>
    <n v="1352"/>
    <n v="58.000000000000014"/>
    <s v="07.11.2023"/>
    <n v="7"/>
    <x v="10"/>
    <x v="0"/>
    <x v="2"/>
    <n v="-2"/>
    <n v="4"/>
    <m/>
    <x v="1"/>
    <n v="1"/>
    <s v="HH20231107 T3669635277 No Limit Hold'em $1.84 + $0.16.txt"/>
  </r>
  <r>
    <n v="1353"/>
    <n v="56.000000000000014"/>
    <s v="07.11.2023"/>
    <n v="7"/>
    <x v="10"/>
    <x v="0"/>
    <x v="2"/>
    <n v="-2"/>
    <m/>
    <m/>
    <x v="2"/>
    <n v="-1"/>
    <s v="HH20231107 T3669639659 No Limit Hold'em $1.84 + $0.16.txt"/>
  </r>
  <r>
    <n v="1354"/>
    <n v="54.000000000000014"/>
    <s v="07.11.2023"/>
    <n v="7"/>
    <x v="10"/>
    <x v="0"/>
    <x v="2"/>
    <n v="-2"/>
    <m/>
    <m/>
    <x v="2"/>
    <n v="-1"/>
    <s v="HH20231107 T3669658924 No Limit Hold'em $1.84 + $0.16.txt"/>
  </r>
  <r>
    <n v="1355"/>
    <n v="52.000000000000014"/>
    <s v="07.11.2023"/>
    <n v="7"/>
    <x v="10"/>
    <x v="0"/>
    <x v="2"/>
    <n v="-2"/>
    <m/>
    <m/>
    <x v="2"/>
    <n v="-1"/>
    <s v="HH20231107 T3669677893 No Limit Hold'em $1.84 + $0.16.txt"/>
  </r>
  <r>
    <n v="1356"/>
    <n v="50.000000000000014"/>
    <s v="07.11.2023"/>
    <n v="7"/>
    <x v="10"/>
    <x v="0"/>
    <x v="2"/>
    <n v="-2"/>
    <m/>
    <m/>
    <x v="2"/>
    <n v="-1"/>
    <s v="HH20231107 T3669681702 No Limit Hold'em $1.84 + $0.16.txt"/>
  </r>
  <r>
    <n v="1357"/>
    <n v="48.000000000000014"/>
    <s v="07.11.2023"/>
    <n v="7"/>
    <x v="10"/>
    <x v="0"/>
    <x v="2"/>
    <n v="-2"/>
    <m/>
    <m/>
    <x v="2"/>
    <n v="-1"/>
    <s v="HH20231107 T3669729956 No Limit Hold'em $1.84 + $0.16.txt"/>
  </r>
  <r>
    <n v="1358"/>
    <n v="46.000000000000014"/>
    <s v="07.11.2023"/>
    <n v="7"/>
    <x v="10"/>
    <x v="0"/>
    <x v="2"/>
    <n v="-2"/>
    <m/>
    <m/>
    <x v="2"/>
    <n v="-1"/>
    <s v="HH20231107 T3669732575 No Limit Hold'em $1.84 + $0.16.txt"/>
  </r>
  <r>
    <n v="1359"/>
    <n v="50.000000000000014"/>
    <s v="07.11.2023"/>
    <n v="7"/>
    <x v="10"/>
    <x v="0"/>
    <x v="2"/>
    <n v="-2"/>
    <n v="6"/>
    <m/>
    <x v="1"/>
    <n v="2"/>
    <s v="HH20231107 T3669735571 No Limit Hold'em $1.84 + $0.16.txt"/>
  </r>
  <r>
    <n v="1360"/>
    <n v="48.000000000000014"/>
    <s v="08.11.2023"/>
    <n v="8"/>
    <x v="10"/>
    <x v="0"/>
    <x v="2"/>
    <n v="-2"/>
    <m/>
    <m/>
    <x v="2"/>
    <n v="-1"/>
    <s v="HH20231108 T3670146705 No Limit Hold'em $1.84 + $0.16.txt"/>
  </r>
  <r>
    <n v="1361"/>
    <n v="50.000000000000014"/>
    <s v="08.11.2023"/>
    <n v="8"/>
    <x v="10"/>
    <x v="0"/>
    <x v="2"/>
    <n v="-2"/>
    <n v="4"/>
    <m/>
    <x v="1"/>
    <n v="1"/>
    <s v="HH20231108 T3670149849 No Limit Hold'em $1.84 + $0.16.txt"/>
  </r>
  <r>
    <n v="1362"/>
    <n v="54.000000000000014"/>
    <s v="08.11.2023"/>
    <n v="8"/>
    <x v="10"/>
    <x v="0"/>
    <x v="2"/>
    <n v="-2"/>
    <n v="6"/>
    <m/>
    <x v="1"/>
    <n v="2"/>
    <s v="HH20231108 T3670152886 No Limit Hold'em $1.84 + $0.16.txt"/>
  </r>
  <r>
    <n v="1363"/>
    <n v="52.000000000000014"/>
    <s v="09.11.2023"/>
    <n v="9"/>
    <x v="10"/>
    <x v="0"/>
    <x v="2"/>
    <n v="-2"/>
    <m/>
    <m/>
    <x v="2"/>
    <n v="-1"/>
    <s v="HH20231109 T3670390897 No Limit Hold'em $1.84 + $0.16.txt"/>
  </r>
  <r>
    <n v="1364"/>
    <n v="50.000000000000014"/>
    <s v="09.11.2023"/>
    <n v="9"/>
    <x v="10"/>
    <x v="0"/>
    <x v="2"/>
    <n v="-2"/>
    <m/>
    <m/>
    <x v="2"/>
    <n v="-1"/>
    <s v="HH20231109 T3670397093 No Limit Hold'em $1.84 + $0.16.txt"/>
  </r>
  <r>
    <n v="1365"/>
    <n v="48.000000000000014"/>
    <s v="09.11.2023"/>
    <n v="9"/>
    <x v="10"/>
    <x v="0"/>
    <x v="2"/>
    <n v="-2"/>
    <m/>
    <m/>
    <x v="2"/>
    <n v="-1"/>
    <s v="HH20231109 T3670398857 No Limit Hold'em $1.84 + $0.16.txt"/>
  </r>
  <r>
    <n v="1366"/>
    <n v="54.000000000000014"/>
    <s v="09.11.2023"/>
    <n v="9"/>
    <x v="10"/>
    <x v="0"/>
    <x v="2"/>
    <n v="-2"/>
    <n v="8"/>
    <m/>
    <x v="1"/>
    <n v="3"/>
    <s v="HH20231109 T3670402545 No Limit Hold'em $1.84 + $0.16.txt"/>
  </r>
  <r>
    <n v="1367"/>
    <n v="50.700000000000017"/>
    <s v="09.11.2023"/>
    <n v="9"/>
    <x v="10"/>
    <x v="0"/>
    <x v="3"/>
    <n v="-3.3"/>
    <m/>
    <m/>
    <x v="2"/>
    <n v="-1"/>
    <s v="HH20231109 T3669571536 No Limit Hold'em $2.94 + $0.36.txt"/>
  </r>
  <r>
    <n v="1368"/>
    <n v="48.700000000000017"/>
    <s v="09.11.2023"/>
    <n v="9"/>
    <x v="10"/>
    <x v="0"/>
    <x v="2"/>
    <n v="-2"/>
    <m/>
    <m/>
    <x v="2"/>
    <n v="-1"/>
    <s v="HH20231109 T3670443570 No Limit Hold'em $1.84 + $0.16.txt"/>
  </r>
  <r>
    <n v="1369"/>
    <n v="46.700000000000017"/>
    <s v="09.11.2023"/>
    <n v="9"/>
    <x v="10"/>
    <x v="0"/>
    <x v="2"/>
    <n v="-2"/>
    <m/>
    <m/>
    <x v="2"/>
    <n v="-1"/>
    <s v="HH20231109 T3670459331 No Limit Hold'em $1.84 + $0.16.txt"/>
  </r>
  <r>
    <n v="1370"/>
    <n v="46.650000000000013"/>
    <s v="09.11.2023"/>
    <n v="9"/>
    <x v="10"/>
    <x v="0"/>
    <x v="10"/>
    <n v="-1.7"/>
    <n v="1.65"/>
    <m/>
    <x v="2"/>
    <n v="-2.9411764705882359E-2"/>
    <s v="HH20231109 Halley - $0.01-$0.02 - USD No Limit Hold'em.txt"/>
  </r>
  <r>
    <n v="1371"/>
    <n v="44.650000000000013"/>
    <s v="09.11.2023"/>
    <n v="9"/>
    <x v="10"/>
    <x v="0"/>
    <x v="2"/>
    <n v="-2"/>
    <m/>
    <m/>
    <x v="2"/>
    <n v="-1"/>
    <s v="HH20231109 T3670492659 No Limit Hold'em $1.84 + $0.16.txt"/>
  </r>
  <r>
    <n v="1372"/>
    <n v="42.650000000000013"/>
    <s v="09.11.2023"/>
    <n v="9"/>
    <x v="10"/>
    <x v="0"/>
    <x v="2"/>
    <n v="-2"/>
    <m/>
    <m/>
    <x v="2"/>
    <n v="-1"/>
    <s v="HH20231109 T3670493372 No Limit Hold'em $1.84 + $0.16.txt"/>
  </r>
  <r>
    <n v="1373"/>
    <n v="40.650000000000013"/>
    <s v="09.11.2023"/>
    <n v="9"/>
    <x v="10"/>
    <x v="0"/>
    <x v="2"/>
    <n v="-2"/>
    <m/>
    <m/>
    <x v="2"/>
    <n v="-1"/>
    <s v="HH20231109 T3670496105 No Limit Hold'em $1.84 + $0.16.txt"/>
  </r>
  <r>
    <n v="1374"/>
    <n v="38.650000000000013"/>
    <s v="09.11.2023"/>
    <n v="9"/>
    <x v="10"/>
    <x v="0"/>
    <x v="2"/>
    <n v="-2"/>
    <m/>
    <m/>
    <x v="2"/>
    <n v="-1"/>
    <s v="HH20231109 T3670499350 No Limit Hold'em $1.84 + $0.16.txt"/>
  </r>
  <r>
    <n v="1375"/>
    <n v="40.650000000000013"/>
    <s v="09.11.2023"/>
    <n v="9"/>
    <x v="10"/>
    <x v="0"/>
    <x v="2"/>
    <n v="-2"/>
    <n v="4"/>
    <m/>
    <x v="1"/>
    <n v="1"/>
    <s v="HH20231109 T3670501910 No Limit Hold'em $1.84 + $0.16.txt"/>
  </r>
  <r>
    <n v="1376"/>
    <n v="38.650000000000013"/>
    <s v="09.11.2023"/>
    <n v="9"/>
    <x v="10"/>
    <x v="0"/>
    <x v="2"/>
    <n v="-2"/>
    <m/>
    <m/>
    <x v="2"/>
    <n v="-1"/>
    <s v="HH20231109 T3670503706 No Limit Hold'em $1.84 + $0.16.txt"/>
  </r>
  <r>
    <n v="1377"/>
    <n v="42.650000000000013"/>
    <s v="09.11.2023"/>
    <n v="9"/>
    <x v="10"/>
    <x v="0"/>
    <x v="2"/>
    <n v="-2"/>
    <n v="6"/>
    <m/>
    <x v="1"/>
    <n v="2"/>
    <s v="HH20231109 T3670506447 No Limit Hold'em $1.84 + $0.16.txt"/>
  </r>
  <r>
    <n v="1378"/>
    <n v="40.650000000000013"/>
    <s v="09.11.2023"/>
    <n v="9"/>
    <x v="10"/>
    <x v="0"/>
    <x v="2"/>
    <n v="-2"/>
    <m/>
    <m/>
    <x v="2"/>
    <n v="-1"/>
    <s v="HH20231109 T3670509134 No Limit Hold'em $1.84 + $0.16.txt"/>
  </r>
  <r>
    <n v="1379"/>
    <n v="44.650000000000013"/>
    <s v="09.11.2023"/>
    <n v="9"/>
    <x v="10"/>
    <x v="0"/>
    <x v="2"/>
    <n v="-2"/>
    <n v="6"/>
    <m/>
    <x v="1"/>
    <n v="2"/>
    <s v="HH20231109 T3670511931 No Limit Hold'em $1.84 + $0.16.txt"/>
  </r>
  <r>
    <n v="1380"/>
    <n v="42.650000000000013"/>
    <s v="09.11.2023"/>
    <n v="9"/>
    <x v="10"/>
    <x v="0"/>
    <x v="2"/>
    <n v="-2"/>
    <m/>
    <m/>
    <x v="2"/>
    <n v="-1"/>
    <s v="HH20231109 T3670516877 No Limit Hold'em $1.84 + $0.16.txt"/>
  </r>
  <r>
    <n v="1381"/>
    <n v="40.650000000000013"/>
    <s v="09.11.2023"/>
    <n v="9"/>
    <x v="10"/>
    <x v="0"/>
    <x v="2"/>
    <n v="-2"/>
    <m/>
    <m/>
    <x v="2"/>
    <n v="-1"/>
    <s v="HH20231109 T3670518288 No Limit Hold'em $1.84 + $0.16.txt"/>
  </r>
  <r>
    <n v="1382"/>
    <n v="48.650000000000013"/>
    <s v="10.11.2023"/>
    <n v="10"/>
    <x v="10"/>
    <x v="0"/>
    <x v="2"/>
    <n v="-2"/>
    <n v="10"/>
    <m/>
    <x v="1"/>
    <n v="4"/>
    <s v="HH20231110 T3671181921 No Limit Hold'em $1.84 + $0.16.txt"/>
  </r>
  <r>
    <n v="1383"/>
    <n v="47.000000000000014"/>
    <s v="10.11.2023"/>
    <n v="10"/>
    <x v="10"/>
    <x v="0"/>
    <x v="10"/>
    <n v="-1.65"/>
    <m/>
    <m/>
    <x v="2"/>
    <n v="-1"/>
    <s v="HH20231110 Halley - $0.01-$0.02 - USD No Limit Hold'em.txt"/>
  </r>
  <r>
    <n v="1384"/>
    <n v="51.000000000000014"/>
    <s v="10.11.2023"/>
    <n v="10"/>
    <x v="10"/>
    <x v="0"/>
    <x v="2"/>
    <n v="-2"/>
    <n v="6"/>
    <m/>
    <x v="1"/>
    <n v="2"/>
    <s v="HH20231110 T3671185629 No Limit Hold'em $1.84 + $0.16.txt"/>
  </r>
  <r>
    <n v="1385"/>
    <n v="53.000000000000014"/>
    <s v="10.11.2023"/>
    <n v="10"/>
    <x v="10"/>
    <x v="0"/>
    <x v="2"/>
    <n v="-2"/>
    <n v="4"/>
    <m/>
    <x v="1"/>
    <n v="1"/>
    <s v="HH20231110 T3671237046 No Limit Hold'em $1.84 + $0.16.txt"/>
  </r>
  <r>
    <n v="1386"/>
    <n v="57.000000000000014"/>
    <s v="10.11.2023"/>
    <n v="10"/>
    <x v="10"/>
    <x v="0"/>
    <x v="2"/>
    <n v="-2"/>
    <n v="6"/>
    <m/>
    <x v="1"/>
    <n v="2"/>
    <s v="HH20231110 T3671284022 No Limit Hold'em $1.84 + $0.16.txt"/>
  </r>
  <r>
    <n v="1387"/>
    <n v="55.000000000000014"/>
    <s v="10.11.2023"/>
    <n v="10"/>
    <x v="10"/>
    <x v="0"/>
    <x v="2"/>
    <n v="-2"/>
    <m/>
    <m/>
    <x v="2"/>
    <n v="-1"/>
    <s v="HH20231110 T3671285860 No Limit Hold'em $1.84 + $0.16.txt"/>
  </r>
  <r>
    <n v="1388"/>
    <n v="57.000000000000014"/>
    <s v="10.11.2023"/>
    <n v="10"/>
    <x v="10"/>
    <x v="0"/>
    <x v="2"/>
    <n v="-2"/>
    <n v="4"/>
    <m/>
    <x v="1"/>
    <n v="1"/>
    <s v="HH20231110 T3671288566 No Limit Hold'em $1.84 + $0.16.txt"/>
  </r>
  <r>
    <n v="1389"/>
    <n v="55.000000000000014"/>
    <s v="10.11.2023"/>
    <n v="10"/>
    <x v="10"/>
    <x v="0"/>
    <x v="2"/>
    <n v="-2"/>
    <m/>
    <m/>
    <x v="2"/>
    <n v="-1"/>
    <s v="HH20231110 T3671291379 No Limit Hold'em $1.84 + $0.16.txt"/>
  </r>
  <r>
    <n v="1390"/>
    <n v="53.000000000000014"/>
    <s v="10.11.2023"/>
    <n v="10"/>
    <x v="10"/>
    <x v="0"/>
    <x v="2"/>
    <n v="-2"/>
    <m/>
    <m/>
    <x v="2"/>
    <n v="-1"/>
    <s v="HH20231110 T3671293103 No Limit Hold'em $1.84 + $0.16.txt"/>
  </r>
  <r>
    <n v="1391"/>
    <n v="51.000000000000014"/>
    <s v="10.11.2023"/>
    <n v="10"/>
    <x v="10"/>
    <x v="0"/>
    <x v="2"/>
    <n v="-2"/>
    <m/>
    <m/>
    <x v="2"/>
    <n v="-1"/>
    <s v="HH20231110 T3671298428 No Limit Hold'em $1.84 + $0.16.txt"/>
  </r>
  <r>
    <n v="1392"/>
    <n v="49.000000000000014"/>
    <s v="10.11.2023"/>
    <n v="10"/>
    <x v="10"/>
    <x v="0"/>
    <x v="2"/>
    <n v="-2"/>
    <m/>
    <m/>
    <x v="2"/>
    <n v="-1"/>
    <s v="HH20231110 T3671302757 No Limit Hold'em $1.84 + $0.16.txt"/>
  </r>
  <r>
    <n v="1393"/>
    <n v="47.000000000000014"/>
    <s v="10.11.2023"/>
    <n v="10"/>
    <x v="10"/>
    <x v="0"/>
    <x v="2"/>
    <n v="-2"/>
    <m/>
    <m/>
    <x v="2"/>
    <n v="-1"/>
    <s v="HH20231110 T3671303385 No Limit Hold'em $1.84 + $0.16.txt"/>
  </r>
  <r>
    <n v="1394"/>
    <n v="51.000000000000014"/>
    <s v="10.11.2023"/>
    <n v="10"/>
    <x v="10"/>
    <x v="0"/>
    <x v="2"/>
    <n v="-2"/>
    <n v="6"/>
    <m/>
    <x v="1"/>
    <n v="2"/>
    <s v="HH20231110 T3671306551 No Limit Hold'em $1.84 + $0.16.txt"/>
  </r>
  <r>
    <n v="1395"/>
    <n v="49.000000000000014"/>
    <s v="10.11.2023"/>
    <n v="10"/>
    <x v="10"/>
    <x v="0"/>
    <x v="2"/>
    <n v="-2"/>
    <m/>
    <m/>
    <x v="2"/>
    <n v="-1"/>
    <s v="HH20231110 T3671310013 No Limit Hold'em $1.84 + $0.16.txt"/>
  </r>
  <r>
    <n v="1396"/>
    <n v="47.000000000000014"/>
    <s v="10.11.2023"/>
    <n v="10"/>
    <x v="10"/>
    <x v="0"/>
    <x v="2"/>
    <n v="-2"/>
    <m/>
    <m/>
    <x v="2"/>
    <n v="-1"/>
    <s v="HH20231110 T3671311702 No Limit Hold'em $1.84 + $0.16.txt"/>
  </r>
  <r>
    <n v="1397"/>
    <n v="45.000000000000014"/>
    <s v="10.11.2023"/>
    <n v="10"/>
    <x v="10"/>
    <x v="0"/>
    <x v="2"/>
    <n v="-2"/>
    <m/>
    <m/>
    <x v="2"/>
    <n v="-1"/>
    <s v="HH20231110 T3671313320 No Limit Hold'em $1.84 + $0.16.txt"/>
  </r>
  <r>
    <n v="1398"/>
    <n v="43.000000000000014"/>
    <s v="10.11.2023"/>
    <n v="10"/>
    <x v="10"/>
    <x v="0"/>
    <x v="2"/>
    <n v="-2"/>
    <m/>
    <m/>
    <x v="2"/>
    <n v="-1"/>
    <s v="HH20231110 T3671316563 No Limit Hold'em $1.84 + $0.16.txt"/>
  </r>
  <r>
    <n v="1399"/>
    <n v="47.000000000000014"/>
    <s v="10.11.2023"/>
    <n v="10"/>
    <x v="10"/>
    <x v="0"/>
    <x v="2"/>
    <n v="-2"/>
    <n v="6"/>
    <m/>
    <x v="1"/>
    <n v="2"/>
    <s v="HH20231110 T3671318064 No Limit Hold'em $1.84 + $0.16.txt"/>
  </r>
  <r>
    <n v="1400"/>
    <n v="45.000000000000014"/>
    <s v="10.11.2023"/>
    <n v="10"/>
    <x v="10"/>
    <x v="0"/>
    <x v="2"/>
    <n v="-2"/>
    <m/>
    <m/>
    <x v="2"/>
    <n v="-1"/>
    <s v="HH20231110 T3671321651 No Limit Hold'em $1.84 + $0.16.txt"/>
  </r>
  <r>
    <n v="1401"/>
    <n v="43.000000000000014"/>
    <s v="10.11.2023"/>
    <n v="10"/>
    <x v="10"/>
    <x v="0"/>
    <x v="2"/>
    <n v="-2"/>
    <m/>
    <m/>
    <x v="2"/>
    <n v="-1"/>
    <s v="HH20231110 T3671324456 No Limit Hold'em $1.84 + $0.16.txt"/>
  </r>
  <r>
    <n v="1402"/>
    <n v="41.000000000000014"/>
    <s v="10.11.2023"/>
    <n v="10"/>
    <x v="10"/>
    <x v="0"/>
    <x v="2"/>
    <n v="-2"/>
    <m/>
    <m/>
    <x v="2"/>
    <n v="-1"/>
    <s v="HH20231110 T3671327973 No Limit Hold'em $1.84 + $0.16.txt"/>
  </r>
  <r>
    <n v="1403"/>
    <n v="43.000000000000014"/>
    <s v="10.11.2023"/>
    <n v="10"/>
    <x v="10"/>
    <x v="0"/>
    <x v="2"/>
    <n v="-2"/>
    <n v="4"/>
    <m/>
    <x v="1"/>
    <n v="1"/>
    <s v="HH20231110 T3671331107 No Limit Hold'em $1.84 + $0.16.txt"/>
  </r>
  <r>
    <n v="1404"/>
    <n v="45.000000000000014"/>
    <s v="10.11.2023"/>
    <n v="10"/>
    <x v="10"/>
    <x v="0"/>
    <x v="2"/>
    <n v="-2"/>
    <n v="4"/>
    <m/>
    <x v="1"/>
    <n v="1"/>
    <s v="HH20231110 T3671334182 No Limit Hold'em $1.84 + $0.16.txt"/>
  </r>
  <r>
    <n v="1405"/>
    <n v="49.000000000000014"/>
    <s v="10.11.2023"/>
    <n v="10"/>
    <x v="10"/>
    <x v="0"/>
    <x v="2"/>
    <n v="-2"/>
    <n v="6"/>
    <m/>
    <x v="1"/>
    <n v="2"/>
    <s v="HH20231110 T3671339485 No Limit Hold'em $1.84 + $0.16.txt"/>
  </r>
  <r>
    <n v="1406"/>
    <n v="55.000000000000014"/>
    <s v="10.11.2023"/>
    <n v="10"/>
    <x v="10"/>
    <x v="0"/>
    <x v="2"/>
    <n v="-2"/>
    <n v="8"/>
    <m/>
    <x v="1"/>
    <n v="3"/>
    <s v="HH20231110 T3671343748 No Limit Hold'em $1.84 + $0.16.txt"/>
  </r>
  <r>
    <n v="1407"/>
    <n v="59.000000000000014"/>
    <s v="10.11.2023"/>
    <n v="10"/>
    <x v="10"/>
    <x v="0"/>
    <x v="2"/>
    <n v="-2"/>
    <n v="6"/>
    <m/>
    <x v="1"/>
    <n v="2"/>
    <s v="HH20231110 T3671501524 No Limit Hold'em $1.84 + $0.16.txt"/>
  </r>
  <r>
    <n v="1408"/>
    <n v="57.000000000000014"/>
    <s v="10.11.2023"/>
    <n v="10"/>
    <x v="10"/>
    <x v="0"/>
    <x v="2"/>
    <n v="-2"/>
    <m/>
    <m/>
    <x v="2"/>
    <n v="-1"/>
    <s v="HH20231110 T3671508191 No Limit Hold'em $1.84 + $0.16.txt"/>
  </r>
  <r>
    <n v="1409"/>
    <n v="55.000000000000014"/>
    <s v="10.11.2023"/>
    <n v="10"/>
    <x v="10"/>
    <x v="0"/>
    <x v="2"/>
    <n v="-2"/>
    <m/>
    <m/>
    <x v="2"/>
    <n v="-1"/>
    <s v="HH20231110 T3671513653 No Limit Hold'em $1.84 + $0.16.txt"/>
  </r>
  <r>
    <n v="1410"/>
    <n v="53.000000000000014"/>
    <s v="10.11.2023"/>
    <n v="10"/>
    <x v="10"/>
    <x v="0"/>
    <x v="2"/>
    <n v="-2"/>
    <m/>
    <m/>
    <x v="2"/>
    <n v="-1"/>
    <s v="HH20231110 T3671518071 No Limit Hold'em $1.84 + $0.16.txt"/>
  </r>
  <r>
    <n v="1411"/>
    <n v="51.000000000000014"/>
    <s v="10.11.2023"/>
    <n v="10"/>
    <x v="10"/>
    <x v="0"/>
    <x v="2"/>
    <n v="-2"/>
    <m/>
    <m/>
    <x v="2"/>
    <n v="-1"/>
    <s v="HH20231110 T3671521280 No Limit Hold'em $1.84 + $0.16.txt"/>
  </r>
  <r>
    <n v="1412"/>
    <n v="49.000000000000014"/>
    <s v="11.11.2023"/>
    <n v="11"/>
    <x v="10"/>
    <x v="0"/>
    <x v="2"/>
    <n v="-2"/>
    <m/>
    <m/>
    <x v="2"/>
    <n v="-1"/>
    <s v="HH20231111 T3671887822 No Limit Hold'em $1.84 + $0.16.txt"/>
  </r>
  <r>
    <n v="1413"/>
    <n v="47.000000000000014"/>
    <s v="11.11.2023"/>
    <n v="11"/>
    <x v="10"/>
    <x v="0"/>
    <x v="2"/>
    <n v="-2"/>
    <m/>
    <m/>
    <x v="2"/>
    <n v="-1"/>
    <s v="HH20231111 T3671891216 No Limit Hold'em $1.84 + $0.16.txt"/>
  </r>
  <r>
    <n v="1414"/>
    <n v="45.000000000000014"/>
    <s v="11.11.2023"/>
    <n v="11"/>
    <x v="10"/>
    <x v="0"/>
    <x v="2"/>
    <n v="-2"/>
    <m/>
    <m/>
    <x v="2"/>
    <n v="-1"/>
    <s v="HH20231111 T3671892728 No Limit Hold'em $1.84 + $0.16.txt"/>
  </r>
  <r>
    <n v="1415"/>
    <n v="43.000000000000014"/>
    <s v="11.11.2023"/>
    <n v="11"/>
    <x v="10"/>
    <x v="0"/>
    <x v="2"/>
    <n v="-2"/>
    <m/>
    <m/>
    <x v="2"/>
    <n v="-1"/>
    <s v="HH20231111 T3671895850 No Limit Hold'em $1.84 + $0.16.txt"/>
  </r>
  <r>
    <n v="1416"/>
    <n v="41.000000000000014"/>
    <s v="11.11.2023"/>
    <n v="11"/>
    <x v="10"/>
    <x v="0"/>
    <x v="2"/>
    <n v="-2"/>
    <m/>
    <m/>
    <x v="2"/>
    <n v="-1"/>
    <s v="HH20231111 T3671897594 No Limit Hold'em $1.84 + $0.16.txt"/>
  </r>
  <r>
    <n v="1417"/>
    <n v="39.000000000000014"/>
    <s v="11.11.2023"/>
    <n v="11"/>
    <x v="10"/>
    <x v="0"/>
    <x v="2"/>
    <n v="-2"/>
    <m/>
    <m/>
    <x v="2"/>
    <n v="-1"/>
    <s v="HH20231111 T3671902028 No Limit Hold'em $1.84 + $0.16.txt"/>
  </r>
  <r>
    <n v="1418"/>
    <n v="37.000000000000014"/>
    <s v="11.11.2023"/>
    <n v="11"/>
    <x v="10"/>
    <x v="0"/>
    <x v="2"/>
    <n v="-2"/>
    <m/>
    <m/>
    <x v="2"/>
    <n v="-1"/>
    <s v="HH20231111 T3671904762 No Limit Hold'em $1.84 + $0.16.txt"/>
  </r>
  <r>
    <n v="1419"/>
    <n v="35.000000000000014"/>
    <s v="11.11.2023"/>
    <n v="11"/>
    <x v="10"/>
    <x v="0"/>
    <x v="2"/>
    <n v="-2"/>
    <m/>
    <m/>
    <x v="2"/>
    <n v="-1"/>
    <s v="HH20231111 T3671908823 No Limit Hold'em $1.84 + $0.16.txt"/>
  </r>
  <r>
    <n v="1420"/>
    <n v="35.320000000000014"/>
    <s v="11.11.2023"/>
    <n v="11"/>
    <x v="10"/>
    <x v="0"/>
    <x v="10"/>
    <n v="-2"/>
    <n v="2.3199999999999998"/>
    <m/>
    <x v="1"/>
    <n v="0.15999999999999992"/>
    <s v="HH20231111 Halley - $0.01-$0.02 - USD No Limit Hold'em.txt"/>
  </r>
  <r>
    <n v="1421"/>
    <n v="33.320000000000014"/>
    <s v="11.11.2023"/>
    <n v="11"/>
    <x v="10"/>
    <x v="0"/>
    <x v="2"/>
    <n v="-2"/>
    <m/>
    <m/>
    <x v="2"/>
    <n v="-1"/>
    <s v="HH20231111 T3671964447 No Limit Hold'em $1.84 + $0.16.txt"/>
  </r>
  <r>
    <n v="1422"/>
    <n v="35.320000000000014"/>
    <s v="11.11.2023"/>
    <n v="11"/>
    <x v="10"/>
    <x v="0"/>
    <x v="2"/>
    <n v="-2"/>
    <n v="4"/>
    <m/>
    <x v="1"/>
    <n v="1"/>
    <s v="HH20231111 T3671969437 No Limit Hold'em $1.84 + $0.16.txt"/>
  </r>
  <r>
    <n v="1423"/>
    <n v="33.320000000000014"/>
    <s v="11.11.2023"/>
    <n v="11"/>
    <x v="10"/>
    <x v="0"/>
    <x v="2"/>
    <n v="-2"/>
    <m/>
    <m/>
    <x v="2"/>
    <n v="-1"/>
    <s v="HH20231111 T3671971065 No Limit Hold'em $1.84 + $0.16.txt"/>
  </r>
  <r>
    <n v="1424"/>
    <n v="35.320000000000014"/>
    <s v="11.11.2023"/>
    <n v="11"/>
    <x v="10"/>
    <x v="0"/>
    <x v="2"/>
    <n v="-2"/>
    <n v="4"/>
    <m/>
    <x v="1"/>
    <n v="1"/>
    <s v="HH20231111 T3671974437 No Limit Hold'em $1.84 + $0.16.txt"/>
  </r>
  <r>
    <n v="1425"/>
    <n v="33.320000000000014"/>
    <s v="11.11.2023"/>
    <n v="11"/>
    <x v="10"/>
    <x v="0"/>
    <x v="2"/>
    <n v="-2"/>
    <m/>
    <m/>
    <x v="2"/>
    <n v="-1"/>
    <s v="HH20231111 T3671975612 No Limit Hold'em $1.84 + $0.16.txt"/>
  </r>
  <r>
    <n v="1426"/>
    <n v="31.320000000000014"/>
    <s v="11.11.2023"/>
    <n v="11"/>
    <x v="10"/>
    <x v="0"/>
    <x v="2"/>
    <n v="-2"/>
    <m/>
    <m/>
    <x v="2"/>
    <n v="-1"/>
    <s v="HH20231111 T3671977933 No Limit Hold'em $1.84 + $0.16.txt"/>
  </r>
  <r>
    <n v="1427"/>
    <n v="29.320000000000014"/>
    <s v="11.11.2023"/>
    <n v="11"/>
    <x v="10"/>
    <x v="0"/>
    <x v="2"/>
    <n v="-2"/>
    <m/>
    <m/>
    <x v="2"/>
    <n v="-1"/>
    <s v="HH20231111 T3671979348 No Limit Hold'em $1.84 + $0.16.txt"/>
  </r>
  <r>
    <n v="1428"/>
    <n v="33.320000000000014"/>
    <s v="11.11.2023"/>
    <n v="11"/>
    <x v="10"/>
    <x v="0"/>
    <x v="2"/>
    <n v="-2"/>
    <n v="6"/>
    <m/>
    <x v="1"/>
    <n v="2"/>
    <s v="HH20231111 T3671981277 No Limit Hold'em $1.84 + $0.16.txt"/>
  </r>
  <r>
    <n v="1429"/>
    <n v="37.320000000000014"/>
    <s v="11.11.2023"/>
    <n v="11"/>
    <x v="10"/>
    <x v="0"/>
    <x v="2"/>
    <n v="-2"/>
    <n v="6"/>
    <m/>
    <x v="1"/>
    <n v="2"/>
    <s v="HH20231111 T3671987967 No Limit Hold'em $1.84 + $0.16.txt"/>
  </r>
  <r>
    <n v="1430"/>
    <n v="41.320000000000014"/>
    <s v="12.11.2023"/>
    <n v="12"/>
    <x v="10"/>
    <x v="0"/>
    <x v="2"/>
    <n v="-2"/>
    <n v="6"/>
    <m/>
    <x v="1"/>
    <n v="2"/>
    <s v="HH20231112 T3672264096 No Limit Hold'em $1.84 + $0.16.txt"/>
  </r>
  <r>
    <n v="1431"/>
    <n v="39.320000000000014"/>
    <s v="12.11.2023"/>
    <n v="12"/>
    <x v="10"/>
    <x v="0"/>
    <x v="2"/>
    <n v="-2"/>
    <m/>
    <m/>
    <x v="2"/>
    <n v="-1"/>
    <s v="HH20231112 T3672265669 No Limit Hold'em $1.84 + $0.16.txt"/>
  </r>
  <r>
    <n v="1432"/>
    <n v="37.320000000000014"/>
    <s v="12.11.2023"/>
    <n v="12"/>
    <x v="10"/>
    <x v="0"/>
    <x v="2"/>
    <n v="-2"/>
    <m/>
    <m/>
    <x v="2"/>
    <n v="-1"/>
    <s v="HH20231112 T3672268865 No Limit Hold'em $1.84 + $0.16.txt"/>
  </r>
  <r>
    <n v="1433"/>
    <n v="35.320000000000014"/>
    <s v="12.11.2023"/>
    <n v="12"/>
    <x v="10"/>
    <x v="0"/>
    <x v="2"/>
    <n v="-2"/>
    <m/>
    <m/>
    <x v="2"/>
    <n v="-1"/>
    <s v="HH20231112 T3672269844 No Limit Hold'em $1.84 + $0.16.txt"/>
  </r>
  <r>
    <n v="1434"/>
    <n v="36.000000000000014"/>
    <s v="12.11.2023"/>
    <n v="12"/>
    <x v="10"/>
    <x v="0"/>
    <x v="10"/>
    <n v="-1.32"/>
    <n v="2"/>
    <m/>
    <x v="1"/>
    <n v="0.51515151515151514"/>
    <s v="HH20231112 Halley - $0.01-$0.02 - USD No Limit Hold'em.txt"/>
  </r>
  <r>
    <n v="1435"/>
    <n v="34.000000000000014"/>
    <s v="12.11.2023"/>
    <n v="12"/>
    <x v="10"/>
    <x v="0"/>
    <x v="2"/>
    <n v="-2"/>
    <m/>
    <m/>
    <x v="2"/>
    <n v="-1"/>
    <s v="HH20231112 T3672278150 No Limit Hold'em $1.84 + $0.16.txt"/>
  </r>
  <r>
    <n v="1436"/>
    <n v="36.000000000000014"/>
    <s v="12.11.2023"/>
    <n v="12"/>
    <x v="10"/>
    <x v="0"/>
    <x v="2"/>
    <n v="-2"/>
    <n v="4"/>
    <m/>
    <x v="1"/>
    <n v="1"/>
    <s v="HH20231112 T3672280912 No Limit Hold'em $1.84 + $0.16.txt"/>
  </r>
  <r>
    <n v="1437"/>
    <n v="34.000000000000014"/>
    <s v="12.11.2023"/>
    <n v="12"/>
    <x v="10"/>
    <x v="0"/>
    <x v="2"/>
    <n v="-2"/>
    <m/>
    <m/>
    <x v="2"/>
    <n v="-1"/>
    <s v="HH20231112 T3672283975 No Limit Hold'em $1.84 + $0.16.txt"/>
  </r>
  <r>
    <n v="1438"/>
    <n v="32.000000000000014"/>
    <s v="12.11.2023"/>
    <n v="12"/>
    <x v="10"/>
    <x v="0"/>
    <x v="2"/>
    <n v="-2"/>
    <m/>
    <m/>
    <x v="2"/>
    <n v="-1"/>
    <s v="HH20231112 T3672287221 No Limit Hold'em $1.84 + $0.16.txt"/>
  </r>
  <r>
    <n v="1439"/>
    <n v="38.000000000000014"/>
    <s v="12.11.2023"/>
    <n v="12"/>
    <x v="10"/>
    <x v="0"/>
    <x v="2"/>
    <n v="-2"/>
    <n v="8"/>
    <m/>
    <x v="1"/>
    <n v="3"/>
    <s v="HH20231112 T3672289711 No Limit Hold'em $1.84 + $0.16.txt"/>
  </r>
  <r>
    <n v="1440"/>
    <n v="51.490000000000009"/>
    <s v="12.11.2023"/>
    <n v="12"/>
    <x v="10"/>
    <x v="0"/>
    <x v="5"/>
    <n v="-11"/>
    <n v="8.8699999999999992"/>
    <n v="15.62"/>
    <x v="1"/>
    <n v="1.2263636363636361"/>
    <s v="HH20231112 T3667745777 No Limit Hold'em $9.80 + $1.20.txt"/>
  </r>
  <r>
    <n v="1441"/>
    <n v="49.490000000000009"/>
    <s v="12.11.2023"/>
    <n v="12"/>
    <x v="10"/>
    <x v="0"/>
    <x v="2"/>
    <n v="-2"/>
    <m/>
    <m/>
    <x v="2"/>
    <n v="-1"/>
    <s v="HH20231112 T3672441399 No Limit Hold'em $1.84 + $0.16.txt"/>
  </r>
  <r>
    <n v="1442"/>
    <n v="47.490000000000009"/>
    <s v="12.11.2023"/>
    <n v="12"/>
    <x v="10"/>
    <x v="0"/>
    <x v="2"/>
    <n v="-2"/>
    <m/>
    <m/>
    <x v="2"/>
    <n v="-1"/>
    <s v="HH20231112 T3672444809 No Limit Hold'em $1.84 + $0.16.txt"/>
  </r>
  <r>
    <n v="1443"/>
    <n v="47.490000000000009"/>
    <s v="12.11.2023"/>
    <n v="12"/>
    <x v="10"/>
    <x v="0"/>
    <x v="2"/>
    <m/>
    <m/>
    <m/>
    <x v="2"/>
    <n v="0"/>
    <s v="HH20231112 T3672445940 No Limit Hold'em $4.60 + $0.40.txt"/>
  </r>
  <r>
    <n v="1444"/>
    <n v="45.490000000000009"/>
    <s v="13.11.2023"/>
    <n v="13"/>
    <x v="10"/>
    <x v="0"/>
    <x v="2"/>
    <n v="-2"/>
    <m/>
    <m/>
    <x v="2"/>
    <n v="-1"/>
    <s v="HH20231113 T3672571635 No Limit Hold'em $1.84 + $0.16.txt"/>
  </r>
  <r>
    <n v="1445"/>
    <n v="43.490000000000009"/>
    <s v="13.11.2023"/>
    <n v="13"/>
    <x v="10"/>
    <x v="0"/>
    <x v="2"/>
    <n v="-2"/>
    <m/>
    <m/>
    <x v="2"/>
    <n v="-1"/>
    <s v="HH20231113 T3672578103 No Limit Hold'em $1.84 + $0.16.txt"/>
  </r>
  <r>
    <n v="1446"/>
    <n v="41.490000000000009"/>
    <s v="13.11.2023"/>
    <n v="13"/>
    <x v="10"/>
    <x v="0"/>
    <x v="2"/>
    <n v="-2"/>
    <m/>
    <m/>
    <x v="2"/>
    <n v="-1"/>
    <s v="HH20231113 T3672578284 No Limit Hold'em $1.84 + $0.16.txt"/>
  </r>
  <r>
    <n v="1447"/>
    <n v="42.500000000000007"/>
    <s v="13.11.2023"/>
    <n v="13"/>
    <x v="10"/>
    <x v="0"/>
    <x v="10"/>
    <n v="-1.49"/>
    <n v="2.5"/>
    <m/>
    <x v="1"/>
    <n v="0.67785234899328861"/>
    <s v="HH20231113 Halley - $0.01-$0.02 - USD No Limit Hold'em.txt"/>
  </r>
  <r>
    <n v="1448"/>
    <n v="42.250000000000007"/>
    <s v="13.11.2023"/>
    <n v="13"/>
    <x v="10"/>
    <x v="0"/>
    <x v="2"/>
    <n v="-0.25"/>
    <m/>
    <m/>
    <x v="2"/>
    <n v="-1"/>
    <s v="HH20231113 T3672588085 No Limit Hold'em $0.23 + $0.02.txt"/>
  </r>
  <r>
    <n v="1449"/>
    <n v="42.000000000000007"/>
    <s v="13.11.2023"/>
    <n v="13"/>
    <x v="10"/>
    <x v="0"/>
    <x v="2"/>
    <n v="-0.25"/>
    <m/>
    <m/>
    <x v="2"/>
    <n v="-1"/>
    <s v="HH20231113 T3672589254 No Limit Hold'em $0.23 + $0.02.txt"/>
  </r>
  <r>
    <n v="1450"/>
    <n v="40.000000000000007"/>
    <s v="13.11.2023"/>
    <n v="13"/>
    <x v="10"/>
    <x v="0"/>
    <x v="2"/>
    <n v="-2"/>
    <m/>
    <m/>
    <x v="2"/>
    <n v="-1"/>
    <s v="HH20231113 T3672590321 No Limit Hold'em $1.84 + $0.16.txt"/>
  </r>
  <r>
    <n v="1451"/>
    <n v="38.000000000000007"/>
    <s v="13.11.2023"/>
    <n v="13"/>
    <x v="10"/>
    <x v="0"/>
    <x v="2"/>
    <n v="-2"/>
    <m/>
    <m/>
    <x v="2"/>
    <n v="-1"/>
    <s v="HH20231113 T3672590883 No Limit Hold'em $1.84 + $0.16.txt"/>
  </r>
  <r>
    <n v="1452"/>
    <n v="40.000000000000007"/>
    <s v="13.11.2023"/>
    <n v="13"/>
    <x v="10"/>
    <x v="0"/>
    <x v="2"/>
    <n v="-2"/>
    <n v="4"/>
    <m/>
    <x v="1"/>
    <n v="1"/>
    <s v="HH20231113 T3672591222 No Limit Hold'em $1.84 + $0.16.txt"/>
  </r>
  <r>
    <n v="1453"/>
    <n v="38.000000000000007"/>
    <s v="13.11.2023"/>
    <n v="13"/>
    <x v="10"/>
    <x v="0"/>
    <x v="2"/>
    <n v="-2"/>
    <m/>
    <m/>
    <x v="2"/>
    <n v="-1"/>
    <s v="HH20231113 T3672591886 No Limit Hold'em $1.84 + $0.16.txt"/>
  </r>
  <r>
    <n v="1454"/>
    <n v="40.000000000000007"/>
    <s v="13.11.2023"/>
    <n v="13"/>
    <x v="10"/>
    <x v="0"/>
    <x v="2"/>
    <n v="-2"/>
    <n v="4"/>
    <m/>
    <x v="1"/>
    <n v="1"/>
    <s v="HH20231113 T3672595197 No Limit Hold'em $1.84 + $0.16.txt"/>
  </r>
  <r>
    <n v="1455"/>
    <n v="38.000000000000007"/>
    <s v="13.11.2023"/>
    <n v="13"/>
    <x v="10"/>
    <x v="0"/>
    <x v="2"/>
    <n v="-2"/>
    <m/>
    <m/>
    <x v="2"/>
    <n v="-1"/>
    <s v="HH20231113 T3672596914 No Limit Hold'em $1.84 + $0.16.txt"/>
  </r>
  <r>
    <n v="1456"/>
    <n v="36.000000000000007"/>
    <s v="13.11.2023"/>
    <n v="13"/>
    <x v="10"/>
    <x v="0"/>
    <x v="2"/>
    <n v="-2"/>
    <m/>
    <m/>
    <x v="2"/>
    <n v="-1"/>
    <s v="HH20231113 T3672597842 No Limit Hold'em $1.84 + $0.16.txt"/>
  </r>
  <r>
    <n v="1457"/>
    <n v="34.000000000000007"/>
    <s v="13.11.2023"/>
    <n v="13"/>
    <x v="10"/>
    <x v="0"/>
    <x v="2"/>
    <n v="-2"/>
    <m/>
    <m/>
    <x v="2"/>
    <n v="-1"/>
    <s v="HH20231113 T3672606015 No Limit Hold'em $1.84 + $0.16.txt"/>
  </r>
  <r>
    <n v="1458"/>
    <n v="32.000000000000007"/>
    <s v="13.11.2023"/>
    <n v="13"/>
    <x v="10"/>
    <x v="0"/>
    <x v="2"/>
    <n v="-2"/>
    <m/>
    <m/>
    <x v="2"/>
    <n v="-1"/>
    <s v="HH20231113 T3672608286 No Limit Hold'em $1.84 + $0.16.txt"/>
  </r>
  <r>
    <n v="1459"/>
    <n v="34.000000000000007"/>
    <s v="13.11.2023"/>
    <n v="13"/>
    <x v="10"/>
    <x v="0"/>
    <x v="2"/>
    <n v="-2"/>
    <n v="4"/>
    <m/>
    <x v="1"/>
    <n v="1"/>
    <s v="HH20231113 T3672611096 No Limit Hold'em $1.84 + $0.16.txt"/>
  </r>
  <r>
    <n v="1460"/>
    <n v="32.000000000000007"/>
    <s v="13.11.2023"/>
    <n v="13"/>
    <x v="10"/>
    <x v="0"/>
    <x v="2"/>
    <n v="-2"/>
    <m/>
    <m/>
    <x v="2"/>
    <n v="-1"/>
    <s v="HH20231113 T3672613648 No Limit Hold'em $1.84 + $0.16.txt"/>
  </r>
  <r>
    <n v="1461"/>
    <n v="30.000000000000007"/>
    <s v="13.11.2023"/>
    <n v="13"/>
    <x v="10"/>
    <x v="0"/>
    <x v="2"/>
    <n v="-2"/>
    <m/>
    <m/>
    <x v="2"/>
    <n v="-1"/>
    <s v="HH20231113 T3672614935 No Limit Hold'em $1.84 + $0.16.txt"/>
  </r>
  <r>
    <n v="1462"/>
    <n v="28.000000000000007"/>
    <s v="13.11.2023"/>
    <n v="13"/>
    <x v="10"/>
    <x v="0"/>
    <x v="2"/>
    <n v="-2"/>
    <m/>
    <m/>
    <x v="2"/>
    <n v="-1"/>
    <s v="HH20231113 T3672615986 No Limit Hold'em $1.84 + $0.16.txt"/>
  </r>
  <r>
    <n v="1463"/>
    <n v="3.0000000000000071"/>
    <s v="13.11.2023"/>
    <n v="13"/>
    <x v="10"/>
    <x v="0"/>
    <x v="2"/>
    <n v="-25"/>
    <m/>
    <m/>
    <x v="2"/>
    <n v="-1"/>
    <s v="HH20231113 T3672616230 No Limit Hold'em $23.50 + $1.50.txt"/>
  </r>
  <r>
    <n v="1464"/>
    <n v="7.0000000000000071"/>
    <s v="13.11.2023"/>
    <n v="13"/>
    <x v="10"/>
    <x v="0"/>
    <x v="2"/>
    <n v="-2"/>
    <n v="6"/>
    <m/>
    <x v="1"/>
    <n v="2"/>
    <s v="HH20231113 T3672619291 No Limit Hold'em $1.84 + $0.16.txt"/>
  </r>
  <r>
    <n v="1465"/>
    <n v="2.0000000000000071"/>
    <s v="13.11.2023"/>
    <n v="13"/>
    <x v="10"/>
    <x v="0"/>
    <x v="2"/>
    <n v="-5"/>
    <m/>
    <m/>
    <x v="2"/>
    <n v="-1"/>
    <s v="HH20231113 T3672620568 No Limit Hold'em $4.60 + $0.40.txt"/>
  </r>
  <r>
    <n v="1466"/>
    <n v="4.0000000000000071"/>
    <s v="13.11.2023"/>
    <n v="13"/>
    <x v="10"/>
    <x v="0"/>
    <x v="2"/>
    <n v="-2"/>
    <n v="4"/>
    <m/>
    <x v="1"/>
    <n v="1"/>
    <s v="HH20231113 T3672622468 No Limit Hold'em $1.84 + $0.16.txt"/>
  </r>
  <r>
    <n v="1467"/>
    <n v="8.0000000000000071"/>
    <s v="13.11.2023"/>
    <n v="13"/>
    <x v="10"/>
    <x v="0"/>
    <x v="2"/>
    <n v="-2"/>
    <n v="6"/>
    <m/>
    <x v="1"/>
    <n v="2"/>
    <s v="HH20231113 T3672622948 No Limit Hold'em $1.84 + $0.16.txt"/>
  </r>
  <r>
    <n v="1468"/>
    <n v="3.0000000000000071"/>
    <s v="13.11.2023"/>
    <n v="13"/>
    <x v="10"/>
    <x v="0"/>
    <x v="2"/>
    <n v="-5"/>
    <m/>
    <m/>
    <x v="2"/>
    <n v="-1"/>
    <s v="HH20231113 T3672623947 No Limit Hold'em $4.60 + $0.40.txt"/>
  </r>
  <r>
    <n v="1469"/>
    <n v="1.0000000000000071"/>
    <s v="13.11.2023"/>
    <n v="13"/>
    <x v="10"/>
    <x v="0"/>
    <x v="2"/>
    <n v="-2"/>
    <m/>
    <m/>
    <x v="2"/>
    <n v="-1"/>
    <s v="HH20231113 T3672624276 No Limit Hold'em $1.84 + $0.16.txt"/>
  </r>
  <r>
    <n v="1470"/>
    <n v="7.1054273576010019E-15"/>
    <s v="13.11.2023"/>
    <n v="13"/>
    <x v="10"/>
    <x v="0"/>
    <x v="2"/>
    <n v="-1"/>
    <m/>
    <m/>
    <x v="2"/>
    <n v="-1"/>
    <s v="HH20231113 T3672626348 No Limit Hold'em $0.92 + $0.08.txt"/>
  </r>
  <r>
    <n v="1471"/>
    <n v="56.150000000000006"/>
    <s v="13.11.2023"/>
    <n v="13"/>
    <x v="10"/>
    <x v="0"/>
    <x v="1"/>
    <m/>
    <n v="56.15"/>
    <m/>
    <x v="0"/>
    <m/>
    <m/>
  </r>
  <r>
    <n v="1472"/>
    <n v="58.150000000000006"/>
    <s v="14.11.2023"/>
    <n v="14"/>
    <x v="10"/>
    <x v="0"/>
    <x v="2"/>
    <n v="-2"/>
    <n v="4"/>
    <m/>
    <x v="1"/>
    <n v="1"/>
    <s v="HH20231114 T3673173832 No Limit Hold'em $1.84 + $0.16.txt"/>
  </r>
  <r>
    <n v="1473"/>
    <n v="56.150000000000006"/>
    <s v="14.11.2023"/>
    <n v="14"/>
    <x v="10"/>
    <x v="0"/>
    <x v="2"/>
    <n v="-2"/>
    <m/>
    <m/>
    <x v="2"/>
    <n v="-1"/>
    <s v="HH20231114 T3673227844 No Limit Hold'em $1.84 + $0.16.txt"/>
  </r>
  <r>
    <n v="1474"/>
    <n v="58.150000000000006"/>
    <s v="14.11.2023"/>
    <n v="14"/>
    <x v="10"/>
    <x v="0"/>
    <x v="2"/>
    <n v="-2"/>
    <n v="4"/>
    <m/>
    <x v="1"/>
    <n v="1"/>
    <s v="HH20231114 T3673232274 No Limit Hold'em $1.84 + $0.16.txt"/>
  </r>
  <r>
    <n v="1475"/>
    <n v="60.150000000000006"/>
    <s v="14.11.2023"/>
    <n v="14"/>
    <x v="10"/>
    <x v="0"/>
    <x v="2"/>
    <n v="-2"/>
    <n v="4"/>
    <m/>
    <x v="1"/>
    <n v="1"/>
    <s v="HH20231114 T3673235612 No Limit Hold'em $1.84 + $0.16.txt"/>
  </r>
  <r>
    <n v="1476"/>
    <n v="74.150000000000006"/>
    <s v="14.11.2023"/>
    <n v="14"/>
    <x v="10"/>
    <x v="0"/>
    <x v="2"/>
    <n v="-2"/>
    <n v="16"/>
    <m/>
    <x v="1"/>
    <n v="7"/>
    <s v="HH20231114 T3673239027 No Limit Hold'em $1.84 + $0.16.txt"/>
  </r>
  <r>
    <n v="1477"/>
    <n v="72.150000000000006"/>
    <s v="14.11.2023"/>
    <n v="14"/>
    <x v="10"/>
    <x v="0"/>
    <x v="2"/>
    <n v="-2"/>
    <m/>
    <m/>
    <x v="2"/>
    <n v="-1"/>
    <s v="HH20231114 T3673244183 No Limit Hold'em $1.84 + $0.16.txt"/>
  </r>
  <r>
    <n v="1478"/>
    <n v="70.150000000000006"/>
    <s v="14.11.2023"/>
    <n v="14"/>
    <x v="10"/>
    <x v="0"/>
    <x v="2"/>
    <n v="-2"/>
    <m/>
    <m/>
    <x v="2"/>
    <n v="-1"/>
    <s v="HH20231114 T3673246851 No Limit Hold'em $1.84 + $0.16.txt"/>
  </r>
  <r>
    <n v="1479"/>
    <n v="74.150000000000006"/>
    <s v="14.11.2023"/>
    <n v="14"/>
    <x v="10"/>
    <x v="0"/>
    <x v="2"/>
    <n v="-2"/>
    <n v="6"/>
    <m/>
    <x v="1"/>
    <n v="2"/>
    <s v="HH20231114 T3673249284 No Limit Hold'em $1.84 + $0.16.txt"/>
  </r>
  <r>
    <n v="1480"/>
    <n v="72.150000000000006"/>
    <s v="15.11.2023"/>
    <n v="15"/>
    <x v="10"/>
    <x v="0"/>
    <x v="2"/>
    <n v="-2"/>
    <m/>
    <m/>
    <x v="2"/>
    <n v="-1"/>
    <s v="HH20231115 T3673651172 No Limit Hold'em $1.84 + $0.16.txt"/>
  </r>
  <r>
    <n v="1481"/>
    <n v="70.150000000000006"/>
    <s v="15.11.2023"/>
    <n v="15"/>
    <x v="10"/>
    <x v="0"/>
    <x v="2"/>
    <n v="-2"/>
    <m/>
    <m/>
    <x v="2"/>
    <n v="-1"/>
    <s v="HH20231115 T3673651767 No Limit Hold'em $1.84 + $0.16.txt"/>
  </r>
  <r>
    <n v="1482"/>
    <n v="68.150000000000006"/>
    <s v="15.11.2023"/>
    <n v="15"/>
    <x v="10"/>
    <x v="0"/>
    <x v="2"/>
    <n v="-2"/>
    <m/>
    <m/>
    <x v="2"/>
    <n v="-1"/>
    <s v="HH20231115 T3673655521 No Limit Hold'em $1.84 + $0.16.txt"/>
  </r>
  <r>
    <n v="1483"/>
    <n v="66.150000000000006"/>
    <s v="15.11.2023"/>
    <n v="15"/>
    <x v="10"/>
    <x v="0"/>
    <x v="2"/>
    <n v="-2"/>
    <m/>
    <m/>
    <x v="2"/>
    <n v="-1"/>
    <s v="HH20231115 T3673658449 No Limit Hold'em $1.84 + $0.16.txt"/>
  </r>
  <r>
    <n v="1484"/>
    <n v="64.150000000000006"/>
    <s v="15.11.2023"/>
    <n v="15"/>
    <x v="10"/>
    <x v="0"/>
    <x v="2"/>
    <n v="-2"/>
    <m/>
    <m/>
    <x v="2"/>
    <n v="-1"/>
    <s v="HH20231115 T3673660541 No Limit Hold'em $1.84 + $0.16.txt"/>
  </r>
  <r>
    <n v="1485"/>
    <n v="62.150000000000006"/>
    <s v="15.11.2023"/>
    <n v="15"/>
    <x v="10"/>
    <x v="0"/>
    <x v="2"/>
    <n v="-2"/>
    <m/>
    <m/>
    <x v="2"/>
    <n v="-1"/>
    <s v="HH20231115 T3673661307 No Limit Hold'em $1.84 + $0.16.txt"/>
  </r>
  <r>
    <n v="1486"/>
    <n v="52.150000000000006"/>
    <s v="15.11.2023"/>
    <n v="15"/>
    <x v="10"/>
    <x v="0"/>
    <x v="2"/>
    <n v="-10"/>
    <m/>
    <m/>
    <x v="2"/>
    <n v="-1"/>
    <s v="HH20231115 T3673664949 No Limit Hold'em $9.30 + $0.70.txt"/>
  </r>
  <r>
    <n v="1487"/>
    <n v="42.150000000000006"/>
    <s v="15.11.2023"/>
    <n v="15"/>
    <x v="10"/>
    <x v="0"/>
    <x v="2"/>
    <n v="-10"/>
    <m/>
    <m/>
    <x v="2"/>
    <n v="-1"/>
    <s v="HH20231115 T3673672398 No Limit Hold'em $9.30 + $0.70.txt"/>
  </r>
  <r>
    <n v="1488"/>
    <n v="62.150000000000006"/>
    <s v="15.11.2023"/>
    <n v="15"/>
    <x v="10"/>
    <x v="0"/>
    <x v="2"/>
    <n v="-10"/>
    <n v="30"/>
    <m/>
    <x v="1"/>
    <n v="2"/>
    <s v="HH20231115 T3673676789 No Limit Hold'em $9.30 + $0.70.txt"/>
  </r>
  <r>
    <n v="1489"/>
    <n v="52.150000000000006"/>
    <s v="15.11.2023"/>
    <n v="15"/>
    <x v="10"/>
    <x v="0"/>
    <x v="2"/>
    <n v="-10"/>
    <m/>
    <m/>
    <x v="2"/>
    <n v="-1"/>
    <s v="HH20231115 T3673681571 No Limit Hold'em $9.30 + $0.70.txt"/>
  </r>
  <r>
    <n v="1490"/>
    <n v="72.150000000000006"/>
    <s v="15.11.2023"/>
    <n v="16"/>
    <x v="10"/>
    <x v="0"/>
    <x v="2"/>
    <n v="-10"/>
    <n v="30"/>
    <m/>
    <x v="1"/>
    <n v="2"/>
    <s v="HH20231116 T3674049578 No Limit Hold'em $9.30 + $0.70.txt"/>
  </r>
  <r>
    <n v="1491"/>
    <n v="63.650000000000006"/>
    <s v="15.11.2023"/>
    <n v="16"/>
    <x v="10"/>
    <x v="0"/>
    <x v="3"/>
    <n v="-11"/>
    <m/>
    <n v="2.5"/>
    <x v="2"/>
    <n v="-0.77272727272727271"/>
    <s v="HH20231116 T3673075636 No Limit Hold'em $9.80 + $1.20.txt"/>
  </r>
  <r>
    <n v="1492"/>
    <n v="53.650000000000006"/>
    <s v="15.11.2023"/>
    <n v="16"/>
    <x v="10"/>
    <x v="0"/>
    <x v="2"/>
    <n v="-10"/>
    <m/>
    <m/>
    <x v="2"/>
    <n v="-1"/>
    <s v="HH20231116 T3674072584 No Limit Hold'em $9.30 + $0.70.txt"/>
  </r>
  <r>
    <n v="1493"/>
    <n v="43.650000000000006"/>
    <s v="15.11.2023"/>
    <n v="16"/>
    <x v="10"/>
    <x v="0"/>
    <x v="2"/>
    <n v="-10"/>
    <m/>
    <m/>
    <x v="2"/>
    <n v="-1"/>
    <s v="HH20231116 T3674074651 No Limit Hold'em $9.30 + $0.70.txt"/>
  </r>
  <r>
    <n v="1494"/>
    <n v="33.650000000000006"/>
    <s v="15.11.2023"/>
    <n v="16"/>
    <x v="10"/>
    <x v="0"/>
    <x v="2"/>
    <n v="-10"/>
    <m/>
    <m/>
    <x v="2"/>
    <n v="-1"/>
    <s v="HH20231116 T3674076042 No Limit Hold'em $9.30 + $0.70.txt"/>
  </r>
  <r>
    <n v="1495"/>
    <n v="23.650000000000006"/>
    <s v="15.11.2023"/>
    <n v="16"/>
    <x v="10"/>
    <x v="0"/>
    <x v="2"/>
    <n v="-10"/>
    <m/>
    <m/>
    <x v="2"/>
    <n v="-1"/>
    <s v="HH20231116 T3674079804 No Limit Hold'em $9.30 + $0.70.txt"/>
  </r>
  <r>
    <n v="1496"/>
    <n v="13.650000000000006"/>
    <s v="15.11.2023"/>
    <n v="16"/>
    <x v="10"/>
    <x v="0"/>
    <x v="2"/>
    <n v="-10"/>
    <m/>
    <m/>
    <x v="2"/>
    <n v="-1"/>
    <s v="HH20231116 T3674083517 No Limit Hold'em $9.30 + $0.70.txt"/>
  </r>
  <r>
    <n v="1497"/>
    <n v="3.6500000000000057"/>
    <s v="15.11.2023"/>
    <n v="16"/>
    <x v="10"/>
    <x v="0"/>
    <x v="2"/>
    <n v="-10"/>
    <m/>
    <m/>
    <x v="2"/>
    <n v="-1"/>
    <s v="HH20231116 T3674087785 No Limit Hold'em $9.30 + $0.70.txt"/>
  </r>
  <r>
    <n v="1498"/>
    <n v="5.773159728050814E-15"/>
    <s v="15.11.2023"/>
    <n v="16"/>
    <x v="10"/>
    <x v="0"/>
    <x v="10"/>
    <n v="-3.65"/>
    <m/>
    <m/>
    <x v="2"/>
    <n v="-1"/>
    <s v="HH20231116 Donati - $0.02-$0.05 - USD No Limit Hold'em.txt"/>
  </r>
  <r>
    <n v="1499"/>
    <n v="57.320000000000007"/>
    <s v="04.12.2023"/>
    <n v="4"/>
    <x v="11"/>
    <x v="0"/>
    <x v="1"/>
    <m/>
    <n v="57.32"/>
    <m/>
    <x v="0"/>
    <m/>
    <m/>
  </r>
  <r>
    <n v="1500"/>
    <n v="55.320000000000007"/>
    <s v="04.12.2023"/>
    <n v="4"/>
    <x v="11"/>
    <x v="0"/>
    <x v="2"/>
    <n v="-2"/>
    <m/>
    <m/>
    <x v="2"/>
    <n v="-1"/>
    <s v="HH20231204 T3681922338 No Limit Hold'em $1.84 + $0.16.txt"/>
  </r>
  <r>
    <n v="1501"/>
    <n v="53.320000000000007"/>
    <s v="04.12.2023"/>
    <n v="4"/>
    <x v="11"/>
    <x v="0"/>
    <x v="2"/>
    <n v="-2"/>
    <m/>
    <m/>
    <x v="2"/>
    <n v="-1"/>
    <s v="HH20231204 T3681926210 No Limit Hold'em $1.84 + $0.16.txt"/>
  </r>
  <r>
    <n v="1502"/>
    <n v="51.320000000000007"/>
    <s v="04.12.2023"/>
    <n v="4"/>
    <x v="11"/>
    <x v="0"/>
    <x v="2"/>
    <n v="-2"/>
    <m/>
    <m/>
    <x v="2"/>
    <n v="-1"/>
    <s v="HH20231204 T3681929352 No Limit Hold'em $1.84 + $0.16.txt"/>
  </r>
  <r>
    <n v="1503"/>
    <n v="53.320000000000007"/>
    <s v="04.12.2023"/>
    <n v="4"/>
    <x v="11"/>
    <x v="0"/>
    <x v="2"/>
    <n v="-2"/>
    <n v="4"/>
    <m/>
    <x v="1"/>
    <n v="1"/>
    <s v="HH20231204 T3681943797 No Limit Hold'em $1.84 + $0.16.txt"/>
  </r>
  <r>
    <n v="1504"/>
    <n v="55.320000000000007"/>
    <s v="04.12.2023"/>
    <n v="4"/>
    <x v="11"/>
    <x v="0"/>
    <x v="2"/>
    <n v="-2"/>
    <n v="4"/>
    <m/>
    <x v="1"/>
    <n v="1"/>
    <s v="HH20231204 T3681947786 No Limit Hold'em $1.84 + $0.16.txt"/>
  </r>
  <r>
    <n v="1505"/>
    <n v="57.320000000000007"/>
    <s v="04.12.2023"/>
    <n v="4"/>
    <x v="11"/>
    <x v="0"/>
    <x v="2"/>
    <n v="-2"/>
    <n v="4"/>
    <m/>
    <x v="1"/>
    <n v="1"/>
    <s v="HH20231204 T3681950713 No Limit Hold'em $1.84 + $0.16.txt"/>
  </r>
  <r>
    <n v="1506"/>
    <n v="63.320000000000007"/>
    <s v="04.12.2023"/>
    <n v="4"/>
    <x v="11"/>
    <x v="0"/>
    <x v="2"/>
    <n v="-2"/>
    <n v="8"/>
    <m/>
    <x v="1"/>
    <n v="3"/>
    <s v="HH20231204 T3681954326 No Limit Hold'em $1.84 + $0.16.txt"/>
  </r>
  <r>
    <n v="1507"/>
    <n v="67.320000000000007"/>
    <s v="04.12.2023"/>
    <n v="4"/>
    <x v="11"/>
    <x v="0"/>
    <x v="2"/>
    <n v="-2"/>
    <n v="6"/>
    <m/>
    <x v="1"/>
    <n v="2"/>
    <s v="HH20231204 T3681974833 No Limit Hold'em $1.84 + $0.16.txt"/>
  </r>
  <r>
    <n v="1508"/>
    <n v="65.320000000000007"/>
    <s v="04.12.2023"/>
    <n v="4"/>
    <x v="11"/>
    <x v="0"/>
    <x v="2"/>
    <n v="-2"/>
    <m/>
    <m/>
    <x v="2"/>
    <n v="-1"/>
    <s v="HH20231204 T3682090785 No Limit Hold'em $1.84 + $0.16.txt"/>
  </r>
  <r>
    <n v="1509"/>
    <n v="63.320000000000007"/>
    <s v="05.12.2023"/>
    <n v="5"/>
    <x v="11"/>
    <x v="0"/>
    <x v="2"/>
    <n v="-2"/>
    <m/>
    <m/>
    <x v="2"/>
    <n v="-1"/>
    <s v="HH20231205 T3682382149 No Limit Hold'em $1.84 + $0.16.txt"/>
  </r>
  <r>
    <n v="1510"/>
    <n v="65.320000000000007"/>
    <s v="05.12.2023"/>
    <n v="5"/>
    <x v="11"/>
    <x v="0"/>
    <x v="2"/>
    <n v="-2"/>
    <n v="4"/>
    <m/>
    <x v="1"/>
    <n v="1"/>
    <s v="HH20231205 T3682384245 No Limit Hold'em $1.84 + $0.16.txt"/>
  </r>
  <r>
    <n v="1511"/>
    <n v="69.320000000000007"/>
    <s v="05.12.2023"/>
    <n v="5"/>
    <x v="11"/>
    <x v="0"/>
    <x v="2"/>
    <m/>
    <n v="4"/>
    <m/>
    <x v="1"/>
    <n v="0"/>
    <s v="HH20231205 T3682415430 No Limit Hold'em $1.84 + $0.16.txt"/>
  </r>
  <r>
    <n v="1512"/>
    <n v="67.320000000000007"/>
    <s v="05.12.2023"/>
    <n v="5"/>
    <x v="11"/>
    <x v="0"/>
    <x v="2"/>
    <n v="-2"/>
    <m/>
    <m/>
    <x v="2"/>
    <n v="-1"/>
    <s v="HH20231205 T3682461673 No Limit Hold'em $1.84 + $0.16.txt"/>
  </r>
  <r>
    <n v="1513"/>
    <n v="73.320000000000007"/>
    <s v="05.12.2023"/>
    <n v="5"/>
    <x v="11"/>
    <x v="0"/>
    <x v="2"/>
    <m/>
    <n v="6"/>
    <m/>
    <x v="1"/>
    <n v="0"/>
    <s v="HH20231205 T3682464045 No Limit Hold'em $1.84 + $0.16.txt"/>
  </r>
  <r>
    <n v="1514"/>
    <n v="71.320000000000007"/>
    <s v="06.12.2023"/>
    <n v="6"/>
    <x v="11"/>
    <x v="0"/>
    <x v="2"/>
    <n v="-2"/>
    <m/>
    <m/>
    <x v="2"/>
    <n v="-1"/>
    <s v="HH20231206 T3682832537 No Limit Hold'em $1.84 + $0.16.txt"/>
  </r>
  <r>
    <n v="1515"/>
    <n v="69.320000000000007"/>
    <s v="06.12.2023"/>
    <n v="6"/>
    <x v="11"/>
    <x v="0"/>
    <x v="2"/>
    <n v="-2"/>
    <m/>
    <m/>
    <x v="2"/>
    <n v="-1"/>
    <s v="HH20231206 T3682842565 No Limit Hold'em $1.84 + $0.16.txt"/>
  </r>
  <r>
    <n v="1516"/>
    <n v="67.320000000000007"/>
    <s v="06.12.2023"/>
    <n v="6"/>
    <x v="11"/>
    <x v="0"/>
    <x v="2"/>
    <n v="-2"/>
    <m/>
    <m/>
    <x v="2"/>
    <n v="-1"/>
    <s v="HH20231206 T3682845961 No Limit Hold'em $1.84 + $0.16.txt"/>
  </r>
  <r>
    <n v="1517"/>
    <n v="83.4"/>
    <s v="06.12.2023"/>
    <n v="6"/>
    <x v="11"/>
    <x v="0"/>
    <x v="3"/>
    <n v="-11"/>
    <n v="10.199999999999999"/>
    <n v="16.88"/>
    <x v="1"/>
    <n v="1.4618181818181815"/>
    <s v="HH20231206 T3680634452 No Limit Hold'em $9.80 + $1.20.txt"/>
  </r>
  <r>
    <n v="1518"/>
    <n v="81.400000000000006"/>
    <s v="06.12.2023"/>
    <n v="6"/>
    <x v="11"/>
    <x v="0"/>
    <x v="2"/>
    <n v="-2"/>
    <m/>
    <m/>
    <x v="2"/>
    <n v="-1"/>
    <s v="HH20231206 T3682933904 No Limit Hold'em $1.84 + $0.16.txt"/>
  </r>
  <r>
    <n v="1519"/>
    <n v="79.400000000000006"/>
    <s v="07.12.2023"/>
    <n v="7"/>
    <x v="11"/>
    <x v="0"/>
    <x v="2"/>
    <n v="-2"/>
    <m/>
    <m/>
    <x v="2"/>
    <n v="-1"/>
    <s v="HH20231207 T3683142800 No Limit Hold'em $1.84 + $0.16.txt"/>
  </r>
  <r>
    <n v="1520"/>
    <n v="77.400000000000006"/>
    <s v="07.12.2023"/>
    <n v="7"/>
    <x v="11"/>
    <x v="0"/>
    <x v="2"/>
    <n v="-2"/>
    <m/>
    <m/>
    <x v="2"/>
    <n v="-1"/>
    <s v="HH20231207 T3683169159 No Limit Hold'em $1.84 + $0.16.txt"/>
  </r>
  <r>
    <n v="1521"/>
    <n v="79.400000000000006"/>
    <s v="07.12.2023"/>
    <n v="7"/>
    <x v="11"/>
    <x v="0"/>
    <x v="2"/>
    <n v="-2"/>
    <n v="4"/>
    <m/>
    <x v="1"/>
    <n v="1"/>
    <s v="HH20231207 T3683171823 No Limit Hold'em $1.84 + $0.16.txt"/>
  </r>
  <r>
    <n v="1522"/>
    <n v="77.400000000000006"/>
    <s v="07.12.2023"/>
    <n v="7"/>
    <x v="11"/>
    <x v="0"/>
    <x v="2"/>
    <n v="-2"/>
    <m/>
    <m/>
    <x v="2"/>
    <n v="-1"/>
    <s v="HH20231207 T3683176805 No Limit Hold'em $1.84 + $0.16.txt"/>
  </r>
  <r>
    <n v="1523"/>
    <n v="75.400000000000006"/>
    <s v="07.12.2023"/>
    <n v="7"/>
    <x v="11"/>
    <x v="0"/>
    <x v="2"/>
    <n v="-2"/>
    <m/>
    <m/>
    <x v="2"/>
    <n v="-1"/>
    <s v="HH20231207 T3683181222 No Limit Hold'em $1.84 + $0.16.txt"/>
  </r>
  <r>
    <n v="1524"/>
    <n v="73.400000000000006"/>
    <s v="07.12.2023"/>
    <n v="7"/>
    <x v="11"/>
    <x v="0"/>
    <x v="2"/>
    <n v="-2"/>
    <m/>
    <m/>
    <x v="2"/>
    <n v="-1"/>
    <s v="HH20231207 T3683182402 No Limit Hold'em $1.84 + $0.16.txt"/>
  </r>
  <r>
    <n v="1525"/>
    <n v="77.400000000000006"/>
    <s v="07.12.2023"/>
    <n v="7"/>
    <x v="11"/>
    <x v="0"/>
    <x v="2"/>
    <n v="-2"/>
    <n v="6"/>
    <m/>
    <x v="1"/>
    <n v="2"/>
    <s v="HH20231207 T3683182899 No Limit Hold'em $1.84 + $0.16.txt"/>
  </r>
  <r>
    <n v="1526"/>
    <n v="75.400000000000006"/>
    <s v="07.12.2023"/>
    <n v="7"/>
    <x v="11"/>
    <x v="0"/>
    <x v="2"/>
    <n v="-2"/>
    <m/>
    <m/>
    <x v="2"/>
    <n v="-1"/>
    <s v="HH20231207 T3683187732 No Limit Hold'em $1.84 + $0.16.txt"/>
  </r>
  <r>
    <n v="1527"/>
    <n v="73.400000000000006"/>
    <s v="07.12.2023"/>
    <n v="7"/>
    <x v="11"/>
    <x v="0"/>
    <x v="2"/>
    <n v="-2"/>
    <m/>
    <m/>
    <x v="2"/>
    <n v="-1"/>
    <s v="HH20231207 T3683188920 No Limit Hold'em $1.84 + $0.16.txt"/>
  </r>
  <r>
    <n v="1528"/>
    <n v="71.400000000000006"/>
    <s v="07.12.2023"/>
    <n v="7"/>
    <x v="11"/>
    <x v="0"/>
    <x v="2"/>
    <n v="-2"/>
    <m/>
    <m/>
    <x v="2"/>
    <n v="-1"/>
    <s v="HH20231207 T3683190987 No Limit Hold'em $1.84 + $0.16.txt"/>
  </r>
  <r>
    <n v="1529"/>
    <n v="69.400000000000006"/>
    <s v="07.12.2023"/>
    <n v="7"/>
    <x v="11"/>
    <x v="0"/>
    <x v="2"/>
    <n v="-2"/>
    <m/>
    <m/>
    <x v="2"/>
    <n v="-1"/>
    <s v="HH20231207 T3683388905 No Limit Hold'em $1.84 + $0.16.txt"/>
  </r>
  <r>
    <n v="1530"/>
    <n v="67.400000000000006"/>
    <s v="07.12.2023"/>
    <n v="7"/>
    <x v="11"/>
    <x v="0"/>
    <x v="2"/>
    <n v="-2"/>
    <m/>
    <m/>
    <x v="2"/>
    <n v="-1"/>
    <s v="HH20231207 T3683390730 No Limit Hold'em $1.84 + $0.16.txt"/>
  </r>
  <r>
    <n v="1531"/>
    <n v="65.400000000000006"/>
    <s v="07.12.2023"/>
    <n v="7"/>
    <x v="11"/>
    <x v="0"/>
    <x v="2"/>
    <n v="-2"/>
    <m/>
    <m/>
    <x v="2"/>
    <n v="-1"/>
    <s v="HH20231207 T3683392895 No Limit Hold'em $1.84 + $0.16.txt"/>
  </r>
  <r>
    <n v="1532"/>
    <n v="63.400000000000006"/>
    <s v="07.12.2023"/>
    <n v="7"/>
    <x v="11"/>
    <x v="0"/>
    <x v="2"/>
    <n v="-2"/>
    <m/>
    <m/>
    <x v="2"/>
    <n v="-1"/>
    <s v="HH20231207 T3683394248 No Limit Hold'em $1.84 + $0.16.txt"/>
  </r>
  <r>
    <n v="1533"/>
    <n v="61.400000000000006"/>
    <s v="07.12.2023"/>
    <n v="7"/>
    <x v="11"/>
    <x v="0"/>
    <x v="2"/>
    <n v="-2"/>
    <m/>
    <m/>
    <x v="2"/>
    <n v="-1"/>
    <s v="HH20231207 T3683394999 No Limit Hold'em $1.84 + $0.16.txt"/>
  </r>
  <r>
    <n v="1534"/>
    <n v="65.400000000000006"/>
    <s v="07.12.2023"/>
    <n v="7"/>
    <x v="11"/>
    <x v="0"/>
    <x v="2"/>
    <n v="-2"/>
    <n v="6"/>
    <m/>
    <x v="1"/>
    <n v="2"/>
    <s v="HH20231207 T3683399284 No Limit Hold'em $1.84 + $0.16.txt"/>
  </r>
  <r>
    <n v="1535"/>
    <n v="63.400000000000006"/>
    <s v="07.12.2023"/>
    <n v="7"/>
    <x v="11"/>
    <x v="0"/>
    <x v="2"/>
    <n v="-2"/>
    <m/>
    <m/>
    <x v="2"/>
    <n v="-1"/>
    <s v="HH20231207 T3683404819 No Limit Hold'em $1.84 + $0.16.txt"/>
  </r>
  <r>
    <n v="1536"/>
    <n v="61.400000000000006"/>
    <s v="07.12.2023"/>
    <n v="7"/>
    <x v="11"/>
    <x v="0"/>
    <x v="2"/>
    <n v="-2"/>
    <m/>
    <m/>
    <x v="2"/>
    <n v="-1"/>
    <s v="HH20231207 T3683409977 No Limit Hold'em $1.84 + $0.16.txt"/>
  </r>
  <r>
    <n v="1537"/>
    <n v="63.400000000000006"/>
    <s v="08.12.2023"/>
    <n v="8"/>
    <x v="11"/>
    <x v="0"/>
    <x v="2"/>
    <n v="-2"/>
    <n v="4"/>
    <m/>
    <x v="1"/>
    <n v="1"/>
    <s v="HH20231208 T3683802575 No Limit Hold'em $1.84 + $0.16.txt"/>
  </r>
  <r>
    <n v="1538"/>
    <n v="61.400000000000006"/>
    <s v="08.12.2023"/>
    <n v="8"/>
    <x v="11"/>
    <x v="0"/>
    <x v="2"/>
    <n v="-2"/>
    <m/>
    <m/>
    <x v="2"/>
    <n v="-1"/>
    <s v="HH20231208 T3683807663 No Limit Hold'em $1.84 + $0.16.txt"/>
  </r>
  <r>
    <n v="1539"/>
    <n v="59.400000000000006"/>
    <s v="08.12.2023"/>
    <n v="8"/>
    <x v="11"/>
    <x v="0"/>
    <x v="2"/>
    <n v="-2"/>
    <m/>
    <m/>
    <x v="2"/>
    <n v="-1"/>
    <s v="HH20231208 T3683808762 No Limit Hold'em $1.84 + $0.16.txt"/>
  </r>
  <r>
    <n v="1540"/>
    <n v="61.400000000000006"/>
    <s v="08.12.2023"/>
    <n v="8"/>
    <x v="11"/>
    <x v="0"/>
    <x v="2"/>
    <n v="-2"/>
    <n v="4"/>
    <m/>
    <x v="1"/>
    <n v="1"/>
    <s v="HH20231208 T3683811488 No Limit Hold'em $1.84 + $0.16.txt"/>
  </r>
  <r>
    <n v="1541"/>
    <n v="59.400000000000006"/>
    <s v="08.12.2023"/>
    <n v="8"/>
    <x v="11"/>
    <x v="0"/>
    <x v="2"/>
    <n v="-2"/>
    <m/>
    <m/>
    <x v="2"/>
    <n v="-1"/>
    <s v="HH20231208 T3683815695 No Limit Hold'em $1.84 + $0.16.txt"/>
  </r>
  <r>
    <n v="1542"/>
    <n v="57.400000000000006"/>
    <s v="08.12.2023"/>
    <n v="8"/>
    <x v="11"/>
    <x v="0"/>
    <x v="2"/>
    <n v="-2"/>
    <m/>
    <m/>
    <x v="2"/>
    <n v="-1"/>
    <s v="HH20231208 T3683819247 No Limit Hold'em $1.84 + $0.16.txt"/>
  </r>
  <r>
    <n v="1543"/>
    <n v="55.400000000000006"/>
    <s v="08.12.2023"/>
    <n v="8"/>
    <x v="11"/>
    <x v="0"/>
    <x v="2"/>
    <n v="-2"/>
    <m/>
    <m/>
    <x v="2"/>
    <n v="-1"/>
    <s v="HH20231208 T3683819823 No Limit Hold'em $1.84 + $0.16.txt"/>
  </r>
  <r>
    <n v="1544"/>
    <n v="53.400000000000006"/>
    <s v="08.12.2023"/>
    <n v="8"/>
    <x v="11"/>
    <x v="0"/>
    <x v="2"/>
    <n v="-2"/>
    <m/>
    <m/>
    <x v="2"/>
    <n v="-1"/>
    <s v="HH20231208 T3683852497 No Limit Hold'em $1.84 + $0.16.txt"/>
  </r>
  <r>
    <n v="1545"/>
    <n v="51.400000000000006"/>
    <s v="08.12.2023"/>
    <n v="8"/>
    <x v="11"/>
    <x v="0"/>
    <x v="2"/>
    <n v="-2"/>
    <m/>
    <m/>
    <x v="2"/>
    <n v="-1"/>
    <s v="HH20231208 T3683855045 No Limit Hold'em $1.84 + $0.16.txt"/>
  </r>
  <r>
    <n v="1546"/>
    <n v="53.400000000000006"/>
    <s v="08.12.2023"/>
    <n v="8"/>
    <x v="11"/>
    <x v="0"/>
    <x v="2"/>
    <n v="-2"/>
    <n v="4"/>
    <m/>
    <x v="1"/>
    <n v="1"/>
    <s v="HH20231208 T3683858434 No Limit Hold'em $1.84 + $0.16.txt"/>
  </r>
  <r>
    <n v="1547"/>
    <n v="51.400000000000006"/>
    <s v="08.12.2023"/>
    <n v="8"/>
    <x v="11"/>
    <x v="0"/>
    <x v="2"/>
    <n v="-2"/>
    <m/>
    <m/>
    <x v="2"/>
    <n v="-1"/>
    <s v="HH20231208 T3683863386 No Limit Hold'em $1.84 + $0.16.txt"/>
  </r>
  <r>
    <n v="1548"/>
    <n v="57.400000000000006"/>
    <s v="08.12.2023"/>
    <n v="8"/>
    <x v="11"/>
    <x v="0"/>
    <x v="2"/>
    <n v="-2"/>
    <n v="8"/>
    <m/>
    <x v="1"/>
    <n v="3"/>
    <s v="HH20231208 T3683865729 No Limit Hold'em $1.84 + $0.16.txt"/>
  </r>
  <r>
    <n v="1549"/>
    <n v="55.400000000000006"/>
    <s v="08.12.2023"/>
    <n v="8"/>
    <x v="11"/>
    <x v="0"/>
    <x v="2"/>
    <n v="-2"/>
    <m/>
    <m/>
    <x v="2"/>
    <n v="-1"/>
    <s v="HH20231208 T3683868035 No Limit Hold'em $1.84 + $0.16.txt"/>
  </r>
  <r>
    <n v="1550"/>
    <n v="53.400000000000006"/>
    <s v="08.12.2023"/>
    <n v="8"/>
    <x v="11"/>
    <x v="0"/>
    <x v="2"/>
    <n v="-2"/>
    <m/>
    <m/>
    <x v="2"/>
    <n v="-1"/>
    <s v="HH20231208 T3683869868 No Limit Hold'em $1.84 + $0.16.txt"/>
  </r>
  <r>
    <n v="1551"/>
    <n v="51.400000000000006"/>
    <s v="08.12.2023"/>
    <n v="8"/>
    <x v="11"/>
    <x v="0"/>
    <x v="2"/>
    <n v="-2"/>
    <m/>
    <m/>
    <x v="2"/>
    <n v="-1"/>
    <s v="HH20231208 T3683870985 No Limit Hold'em $1.84 + $0.16.txt"/>
  </r>
  <r>
    <n v="1552"/>
    <n v="49.400000000000006"/>
    <s v="08.12.2023"/>
    <n v="8"/>
    <x v="11"/>
    <x v="0"/>
    <x v="2"/>
    <n v="-2"/>
    <m/>
    <m/>
    <x v="2"/>
    <n v="-1"/>
    <s v="HH20231208 T3683872468 No Limit Hold'em $1.84 + $0.16.txt"/>
  </r>
  <r>
    <n v="1553"/>
    <n v="53.400000000000006"/>
    <s v="08.12.2023"/>
    <n v="8"/>
    <x v="11"/>
    <x v="0"/>
    <x v="2"/>
    <n v="-2"/>
    <n v="6"/>
    <m/>
    <x v="1"/>
    <n v="2"/>
    <s v="HH20231208 T3683875312 No Limit Hold'em $1.84 + $0.16.txt"/>
  </r>
  <r>
    <n v="1554"/>
    <n v="51.400000000000006"/>
    <s v="09.12.2023"/>
    <n v="9"/>
    <x v="11"/>
    <x v="0"/>
    <x v="2"/>
    <n v="-2"/>
    <m/>
    <m/>
    <x v="2"/>
    <n v="-1"/>
    <s v="HH20231209 T3684056169 No Limit Hold'em $1.84 + $0.16.txt"/>
  </r>
  <r>
    <n v="1555"/>
    <n v="49.400000000000006"/>
    <s v="09.12.2023"/>
    <n v="9"/>
    <x v="11"/>
    <x v="0"/>
    <x v="2"/>
    <n v="-2"/>
    <m/>
    <m/>
    <x v="2"/>
    <n v="-1"/>
    <s v="HH20231209 T3684057549 No Limit Hold'em $1.84 + $0.16.txt"/>
  </r>
  <r>
    <n v="1556"/>
    <n v="51.400000000000006"/>
    <s v="09.12.2023"/>
    <n v="9"/>
    <x v="11"/>
    <x v="0"/>
    <x v="2"/>
    <n v="-2"/>
    <n v="4"/>
    <m/>
    <x v="1"/>
    <n v="1"/>
    <s v="HH20231209 T3684058839 No Limit Hold'em $1.84 + $0.16.txt"/>
  </r>
  <r>
    <n v="1557"/>
    <n v="49.400000000000006"/>
    <s v="09.12.2023"/>
    <n v="9"/>
    <x v="11"/>
    <x v="0"/>
    <x v="2"/>
    <n v="-2"/>
    <m/>
    <m/>
    <x v="2"/>
    <n v="-1"/>
    <s v="HH20231209 T3684059801 No Limit Hold'em $1.84 + $0.16.txt"/>
  </r>
  <r>
    <n v="1558"/>
    <n v="47.400000000000006"/>
    <s v="09.12.2023"/>
    <n v="9"/>
    <x v="11"/>
    <x v="0"/>
    <x v="2"/>
    <n v="-2"/>
    <m/>
    <m/>
    <x v="2"/>
    <n v="-1"/>
    <s v="HH20231209 T3684061014 No Limit Hold'em $1.84 + $0.16.txt"/>
  </r>
  <r>
    <n v="1559"/>
    <n v="45.400000000000006"/>
    <s v="09.12.2023"/>
    <n v="9"/>
    <x v="11"/>
    <x v="0"/>
    <x v="2"/>
    <n v="-2"/>
    <m/>
    <m/>
    <x v="2"/>
    <n v="-1"/>
    <s v="HH20231209 T3684062206 No Limit Hold'em $1.84 + $0.16.txt"/>
  </r>
  <r>
    <n v="1560"/>
    <n v="43.400000000000006"/>
    <s v="09.12.2023"/>
    <n v="9"/>
    <x v="11"/>
    <x v="0"/>
    <x v="2"/>
    <n v="-2"/>
    <m/>
    <m/>
    <x v="2"/>
    <n v="-1"/>
    <s v="HH20231209 T3684062990 No Limit Hold'em $1.84 + $0.16.txt"/>
  </r>
  <r>
    <n v="1561"/>
    <n v="45.400000000000006"/>
    <s v="09.12.2023"/>
    <n v="9"/>
    <x v="11"/>
    <x v="0"/>
    <x v="2"/>
    <n v="-2"/>
    <n v="4"/>
    <m/>
    <x v="1"/>
    <n v="1"/>
    <s v="HH20231209 T3684064112 No Limit Hold'em $1.84 + $0.16.txt"/>
  </r>
  <r>
    <n v="1562"/>
    <n v="43.400000000000006"/>
    <s v="09.12.2023"/>
    <n v="9"/>
    <x v="11"/>
    <x v="0"/>
    <x v="2"/>
    <n v="-2"/>
    <m/>
    <m/>
    <x v="2"/>
    <n v="-1"/>
    <s v="HH20231209 T3684190905 No Limit Hold'em $1.84 + $0.16.txt"/>
  </r>
  <r>
    <n v="1563"/>
    <n v="41.400000000000006"/>
    <s v="09.12.2023"/>
    <n v="9"/>
    <x v="11"/>
    <x v="0"/>
    <x v="2"/>
    <n v="-2"/>
    <m/>
    <m/>
    <x v="2"/>
    <n v="-1"/>
    <s v="HH20231209 T3684191827 No Limit Hold'em $1.84 + $0.16.txt"/>
  </r>
  <r>
    <n v="1564"/>
    <n v="39.400000000000006"/>
    <s v="09.12.2023"/>
    <n v="9"/>
    <x v="11"/>
    <x v="0"/>
    <x v="2"/>
    <n v="-2"/>
    <m/>
    <m/>
    <x v="2"/>
    <n v="-1"/>
    <s v="HH20231209 T3684192356 No Limit Hold'em $1.84 + $0.16.txt"/>
  </r>
  <r>
    <n v="1565"/>
    <n v="43.400000000000006"/>
    <s v="09.12.2023"/>
    <n v="9"/>
    <x v="11"/>
    <x v="0"/>
    <x v="2"/>
    <n v="-2"/>
    <n v="6"/>
    <m/>
    <x v="1"/>
    <n v="2"/>
    <s v="HH20231209 T3684194143 No Limit Hold'em $1.84 + $0.16.txt"/>
  </r>
  <r>
    <n v="1566"/>
    <n v="41.400000000000006"/>
    <s v="09.12.2023"/>
    <n v="9"/>
    <x v="11"/>
    <x v="0"/>
    <x v="2"/>
    <n v="-2"/>
    <m/>
    <m/>
    <x v="2"/>
    <n v="-1"/>
    <s v="HH20231209 T3684198336 No Limit Hold'em $1.84 + $0.16.txt"/>
  </r>
  <r>
    <n v="1567"/>
    <n v="39.400000000000006"/>
    <s v="09.12.2023"/>
    <n v="9"/>
    <x v="11"/>
    <x v="0"/>
    <x v="2"/>
    <n v="-2"/>
    <m/>
    <m/>
    <x v="2"/>
    <n v="-1"/>
    <s v="HH20231209 T3684201904 No Limit Hold'em $1.84 + $0.16.txt"/>
  </r>
  <r>
    <n v="1568"/>
    <n v="37.400000000000006"/>
    <s v="09.12.2023"/>
    <n v="9"/>
    <x v="11"/>
    <x v="0"/>
    <x v="2"/>
    <n v="-2"/>
    <m/>
    <m/>
    <x v="2"/>
    <n v="-1"/>
    <s v="HH20231209 T3684203617 No Limit Hold'em $1.84 + $0.16.txt"/>
  </r>
  <r>
    <n v="1569"/>
    <n v="35.400000000000006"/>
    <s v="09.12.2023"/>
    <n v="9"/>
    <x v="11"/>
    <x v="0"/>
    <x v="2"/>
    <n v="-2"/>
    <m/>
    <m/>
    <x v="2"/>
    <n v="-1"/>
    <s v="HH20231209 T3684205053 No Limit Hold'em $1.84 + $0.16.txt"/>
  </r>
  <r>
    <n v="1570"/>
    <n v="33.400000000000006"/>
    <s v="09.12.2023"/>
    <n v="9"/>
    <x v="11"/>
    <x v="0"/>
    <x v="2"/>
    <n v="-2"/>
    <m/>
    <m/>
    <x v="2"/>
    <n v="-1"/>
    <s v="HH20231209 T3684207917 No Limit Hold'em $1.84 + $0.16.txt"/>
  </r>
  <r>
    <n v="1571"/>
    <n v="30.100000000000005"/>
    <s v="09.12.2023"/>
    <n v="9"/>
    <x v="11"/>
    <x v="0"/>
    <x v="3"/>
    <n v="-3.3"/>
    <m/>
    <m/>
    <x v="2"/>
    <n v="-1"/>
    <s v="HH20231209 T3682342504 No Limit Hold'em $2.94 + $0.36.txt"/>
  </r>
  <r>
    <n v="1572"/>
    <n v="34.100000000000009"/>
    <s v="09.12.2023"/>
    <n v="9"/>
    <x v="11"/>
    <x v="0"/>
    <x v="2"/>
    <n v="-2"/>
    <n v="6"/>
    <m/>
    <x v="1"/>
    <n v="2"/>
    <s v="HH20231209 T3684278497 No Limit Hold'em $1.84 + $0.16.txt"/>
  </r>
  <r>
    <n v="1573"/>
    <n v="40.100000000000009"/>
    <s v="09.12.2023"/>
    <n v="9"/>
    <x v="11"/>
    <x v="0"/>
    <x v="2"/>
    <n v="-2"/>
    <n v="8"/>
    <m/>
    <x v="1"/>
    <n v="3"/>
    <s v="HH20231209 T3684280737 No Limit Hold'em $1.84 + $0.16.txt"/>
  </r>
  <r>
    <n v="1574"/>
    <n v="44.100000000000009"/>
    <s v="09.12.2023"/>
    <n v="9"/>
    <x v="11"/>
    <x v="0"/>
    <x v="2"/>
    <n v="-2"/>
    <n v="6"/>
    <m/>
    <x v="1"/>
    <n v="2"/>
    <s v="HH20231209 T3684285096 No Limit Hold'em $1.84 + $0.16.txt"/>
  </r>
  <r>
    <n v="1575"/>
    <n v="42.100000000000009"/>
    <s v="09.12.2023"/>
    <n v="9"/>
    <x v="11"/>
    <x v="0"/>
    <x v="2"/>
    <n v="-2"/>
    <m/>
    <m/>
    <x v="2"/>
    <n v="-1"/>
    <s v="HH20231209 T3684289792 No Limit Hold'em $1.84 + $0.16.txt"/>
  </r>
  <r>
    <n v="1576"/>
    <n v="46.100000000000009"/>
    <s v="09.12.2023"/>
    <n v="9"/>
    <x v="11"/>
    <x v="0"/>
    <x v="2"/>
    <n v="-2"/>
    <n v="6"/>
    <m/>
    <x v="1"/>
    <n v="2"/>
    <s v="HH20231209 T3684291044 No Limit Hold'em $1.84 + $0.16.txt"/>
  </r>
  <r>
    <n v="1577"/>
    <n v="48.100000000000009"/>
    <s v="09.12.2023"/>
    <n v="9"/>
    <x v="11"/>
    <x v="0"/>
    <x v="2"/>
    <n v="-2"/>
    <n v="4"/>
    <m/>
    <x v="1"/>
    <n v="1"/>
    <s v="HH20231209 T3684295457 No Limit Hold'em $1.84 + $0.16.txt"/>
  </r>
  <r>
    <n v="1578"/>
    <n v="46.100000000000009"/>
    <s v="09.12.2023"/>
    <n v="9"/>
    <x v="11"/>
    <x v="0"/>
    <x v="2"/>
    <n v="-2"/>
    <m/>
    <m/>
    <x v="2"/>
    <n v="-1"/>
    <s v="HH20231209 T3684297296 No Limit Hold'em $1.84 + $0.16.txt"/>
  </r>
  <r>
    <n v="1579"/>
    <n v="44.100000000000009"/>
    <s v="09.12.2023"/>
    <n v="9"/>
    <x v="11"/>
    <x v="0"/>
    <x v="2"/>
    <n v="-2"/>
    <m/>
    <m/>
    <x v="2"/>
    <n v="-1"/>
    <s v="HH20231209 T3684299495 No Limit Hold'em $1.84 + $0.16.txt"/>
  </r>
  <r>
    <n v="1580"/>
    <n v="42.100000000000009"/>
    <s v="09.12.2023"/>
    <n v="9"/>
    <x v="11"/>
    <x v="0"/>
    <x v="2"/>
    <n v="-2"/>
    <m/>
    <m/>
    <x v="2"/>
    <n v="-1"/>
    <s v="HH20231209 T3684301082 No Limit Hold'em $1.84 + $0.16.txt"/>
  </r>
  <r>
    <n v="1581"/>
    <n v="40.100000000000009"/>
    <s v="10.12.2023"/>
    <n v="10"/>
    <x v="11"/>
    <x v="0"/>
    <x v="2"/>
    <n v="-2"/>
    <m/>
    <m/>
    <x v="2"/>
    <n v="-1"/>
    <s v="HH20231210 T3684506706 No Limit Hold'em $1.84 + $0.16.txt"/>
  </r>
  <r>
    <n v="1582"/>
    <n v="38.100000000000009"/>
    <s v="10.12.2023"/>
    <n v="10"/>
    <x v="11"/>
    <x v="0"/>
    <x v="2"/>
    <n v="-2"/>
    <m/>
    <m/>
    <x v="2"/>
    <n v="-1"/>
    <s v="HH20231210 T3684507751 No Limit Hold'em $1.84 + $0.16.txt"/>
  </r>
  <r>
    <n v="1583"/>
    <n v="36.100000000000009"/>
    <s v="10.12.2023"/>
    <n v="10"/>
    <x v="11"/>
    <x v="0"/>
    <x v="2"/>
    <n v="-2"/>
    <m/>
    <m/>
    <x v="2"/>
    <n v="-1"/>
    <s v="HH20231210 T3684508869 No Limit Hold'em $1.84 + $0.16.txt"/>
  </r>
  <r>
    <n v="1584"/>
    <n v="42.100000000000009"/>
    <s v="10.12.2023"/>
    <n v="10"/>
    <x v="11"/>
    <x v="0"/>
    <x v="2"/>
    <n v="-2"/>
    <n v="8"/>
    <m/>
    <x v="1"/>
    <n v="3"/>
    <s v="HH20231210 T3684509495 No Limit Hold'em $1.84 + $0.16.txt"/>
  </r>
  <r>
    <n v="1585"/>
    <n v="46.100000000000009"/>
    <s v="10.12.2023"/>
    <n v="10"/>
    <x v="11"/>
    <x v="0"/>
    <x v="2"/>
    <n v="-2"/>
    <n v="6"/>
    <m/>
    <x v="1"/>
    <n v="2"/>
    <s v="HH20231210 T3684649170 No Limit Hold'em $1.84 + $0.16.txt"/>
  </r>
  <r>
    <n v="1586"/>
    <n v="44.100000000000009"/>
    <s v="10.12.2023"/>
    <n v="10"/>
    <x v="11"/>
    <x v="0"/>
    <x v="2"/>
    <n v="-2"/>
    <m/>
    <m/>
    <x v="2"/>
    <n v="-1"/>
    <s v="HH20231210 T3684653043 No Limit Hold'em $1.84 + $0.16.txt"/>
  </r>
  <r>
    <n v="1587"/>
    <n v="46.100000000000009"/>
    <s v="10.12.2023"/>
    <n v="10"/>
    <x v="11"/>
    <x v="0"/>
    <x v="2"/>
    <n v="-2"/>
    <n v="4"/>
    <m/>
    <x v="1"/>
    <n v="1"/>
    <s v="HH20231210 T3684653963 No Limit Hold'em $1.84 + $0.16.txt"/>
  </r>
  <r>
    <n v="1588"/>
    <n v="54.100000000000009"/>
    <s v="10.12.2023"/>
    <n v="10"/>
    <x v="11"/>
    <x v="0"/>
    <x v="2"/>
    <n v="-2"/>
    <n v="10"/>
    <m/>
    <x v="1"/>
    <n v="4"/>
    <s v="HH20231210 T3684656920 No Limit Hold'em $1.84 + $0.16.txt"/>
  </r>
  <r>
    <n v="1589"/>
    <n v="56.100000000000009"/>
    <s v="10.12.2023"/>
    <n v="10"/>
    <x v="11"/>
    <x v="0"/>
    <x v="2"/>
    <n v="-2"/>
    <n v="4"/>
    <m/>
    <x v="1"/>
    <n v="1"/>
    <s v="HH20231210 T3684717993 No Limit Hold'em $1.84 + $0.16.txt"/>
  </r>
  <r>
    <n v="1590"/>
    <n v="45.100000000000009"/>
    <s v="10.12.2023"/>
    <n v="10"/>
    <x v="11"/>
    <x v="0"/>
    <x v="5"/>
    <n v="-11"/>
    <m/>
    <m/>
    <x v="2"/>
    <n v="-1"/>
    <s v="HH20231210 T3680637831 No Limit Hold'em $9.80 + $1.20.txt"/>
  </r>
  <r>
    <n v="1591"/>
    <n v="45.100000000000009"/>
    <s v="10.12.2023"/>
    <n v="10"/>
    <x v="11"/>
    <x v="0"/>
    <x v="2"/>
    <m/>
    <m/>
    <m/>
    <x v="2"/>
    <n v="0"/>
    <s v="HH20231210 T3684758776 No Limit Hold'em $1.84 + $0.16.txt"/>
  </r>
  <r>
    <n v="1592"/>
    <n v="49.100000000000009"/>
    <s v="10.12.2023"/>
    <n v="10"/>
    <x v="11"/>
    <x v="0"/>
    <x v="2"/>
    <n v="-2"/>
    <n v="6"/>
    <m/>
    <x v="1"/>
    <n v="2"/>
    <s v="HH20231210 T3684762208 No Limit Hold'em $1.84 + $0.16.txt"/>
  </r>
  <r>
    <n v="1593"/>
    <n v="51.100000000000009"/>
    <s v="10.12.2023"/>
    <n v="10"/>
    <x v="11"/>
    <x v="0"/>
    <x v="2"/>
    <n v="-2"/>
    <n v="4"/>
    <m/>
    <x v="1"/>
    <n v="1"/>
    <s v="HH20231210 T3684766541 No Limit Hold'em $1.84 + $0.16.txt"/>
  </r>
  <r>
    <n v="1594"/>
    <n v="49.100000000000009"/>
    <s v="11.12.2023"/>
    <n v="11"/>
    <x v="11"/>
    <x v="0"/>
    <x v="2"/>
    <n v="-2"/>
    <m/>
    <m/>
    <x v="2"/>
    <n v="-1"/>
    <s v="HH20231211 T3684986356 No Limit Hold'em $1.84 + $0.16.txt"/>
  </r>
  <r>
    <n v="1595"/>
    <n v="47.100000000000009"/>
    <s v="11.12.2023"/>
    <n v="11"/>
    <x v="11"/>
    <x v="0"/>
    <x v="2"/>
    <n v="-2"/>
    <m/>
    <m/>
    <x v="2"/>
    <n v="-1"/>
    <s v="HH20231211 T3684987720 No Limit Hold'em $1.84 + $0.16.txt"/>
  </r>
  <r>
    <n v="1596"/>
    <n v="45.100000000000009"/>
    <s v="11.12.2023"/>
    <n v="11"/>
    <x v="11"/>
    <x v="0"/>
    <x v="2"/>
    <n v="-2"/>
    <m/>
    <m/>
    <x v="2"/>
    <n v="-1"/>
    <s v="HH20231211 T3684989489 No Limit Hold'em $1.84 + $0.16.txt"/>
  </r>
  <r>
    <n v="1597"/>
    <n v="43.100000000000009"/>
    <s v="11.12.2023"/>
    <n v="11"/>
    <x v="11"/>
    <x v="0"/>
    <x v="2"/>
    <n v="-2"/>
    <m/>
    <m/>
    <x v="2"/>
    <n v="-1"/>
    <s v="HH20231211 T3685095315 No Limit Hold'em $1.84 + $0.16.txt"/>
  </r>
  <r>
    <n v="1598"/>
    <n v="41.100000000000009"/>
    <s v="11.12.2023"/>
    <n v="11"/>
    <x v="11"/>
    <x v="0"/>
    <x v="2"/>
    <n v="-2"/>
    <m/>
    <m/>
    <x v="2"/>
    <n v="-1"/>
    <s v="HH20231211 T3685098256 No Limit Hold'em $1.84 + $0.16.txt"/>
  </r>
  <r>
    <n v="1599"/>
    <n v="39.100000000000009"/>
    <s v="11.12.2023"/>
    <n v="11"/>
    <x v="11"/>
    <x v="0"/>
    <x v="2"/>
    <n v="-2"/>
    <m/>
    <m/>
    <x v="2"/>
    <n v="-1"/>
    <s v="HH20231211 T3685100077 No Limit Hold'em $1.84 + $0.16.txt"/>
  </r>
  <r>
    <n v="1600"/>
    <n v="37.100000000000009"/>
    <s v="11.12.2023"/>
    <n v="11"/>
    <x v="11"/>
    <x v="0"/>
    <x v="2"/>
    <n v="-2"/>
    <m/>
    <m/>
    <x v="2"/>
    <n v="-1"/>
    <s v="HH20231211 T3685105251 No Limit Hold'em $1.84 + $0.16.txt"/>
  </r>
  <r>
    <n v="1601"/>
    <n v="35.100000000000009"/>
    <s v="11.12.2023"/>
    <n v="11"/>
    <x v="11"/>
    <x v="0"/>
    <x v="2"/>
    <n v="-2"/>
    <m/>
    <m/>
    <x v="2"/>
    <n v="-1"/>
    <s v="HH20231211 T3685106763 No Limit Hold'em $1.84 + $0.16.txt"/>
  </r>
  <r>
    <n v="1602"/>
    <n v="37.100000000000009"/>
    <s v="11.12.2023"/>
    <n v="11"/>
    <x v="11"/>
    <x v="0"/>
    <x v="2"/>
    <n v="-2"/>
    <n v="4"/>
    <m/>
    <x v="1"/>
    <n v="1"/>
    <s v="HH20231211 T3685191352 No Limit Hold'em $1.84 + $0.16.txt"/>
  </r>
  <r>
    <n v="1603"/>
    <n v="39.100000000000009"/>
    <s v="11.12.2023"/>
    <n v="11"/>
    <x v="11"/>
    <x v="0"/>
    <x v="2"/>
    <n v="-2"/>
    <n v="4"/>
    <m/>
    <x v="1"/>
    <n v="1"/>
    <s v="HH20231211 T3685196113 No Limit Hold'em $1.84 + $0.16.txt"/>
  </r>
  <r>
    <n v="1604"/>
    <n v="37.100000000000009"/>
    <s v="12.12.2023"/>
    <n v="12"/>
    <x v="11"/>
    <x v="0"/>
    <x v="2"/>
    <n v="-2"/>
    <m/>
    <m/>
    <x v="2"/>
    <n v="-1"/>
    <s v="HH20231212 T3685556020 No Limit Hold'em $1.84 + $0.16.txt"/>
  </r>
  <r>
    <n v="1605"/>
    <n v="35.100000000000009"/>
    <s v="12.12.2023"/>
    <n v="12"/>
    <x v="11"/>
    <x v="0"/>
    <x v="2"/>
    <n v="-2"/>
    <m/>
    <m/>
    <x v="2"/>
    <n v="-1"/>
    <s v="HH20231212 T3685560238 No Limit Hold'em $1.84 + $0.16.txt"/>
  </r>
  <r>
    <n v="1606"/>
    <n v="39.100000000000009"/>
    <s v="12.12.2023"/>
    <n v="12"/>
    <x v="11"/>
    <x v="0"/>
    <x v="2"/>
    <n v="-2"/>
    <n v="6"/>
    <m/>
    <x v="1"/>
    <n v="2"/>
    <s v="HH20231212 T3685595759 No Limit Hold'em $1.84 + $0.16.txt"/>
  </r>
  <r>
    <n v="1607"/>
    <n v="37.100000000000009"/>
    <s v="12.12.2023"/>
    <n v="12"/>
    <x v="11"/>
    <x v="0"/>
    <x v="2"/>
    <n v="-2"/>
    <m/>
    <m/>
    <x v="2"/>
    <n v="-1"/>
    <s v="HH20231212 T3685598564 No Limit Hold'em $1.84 + $0.16.txt"/>
  </r>
  <r>
    <n v="1608"/>
    <n v="35.100000000000009"/>
    <s v="12.12.2023"/>
    <n v="12"/>
    <x v="11"/>
    <x v="0"/>
    <x v="2"/>
    <n v="-2"/>
    <m/>
    <m/>
    <x v="2"/>
    <n v="-1"/>
    <s v="HH20231212 T3685603470 No Limit Hold'em $1.84 + $0.16.txt"/>
  </r>
  <r>
    <n v="1609"/>
    <n v="39.100000000000009"/>
    <s v="12.12.2023"/>
    <n v="12"/>
    <x v="11"/>
    <x v="0"/>
    <x v="2"/>
    <n v="-2"/>
    <n v="6"/>
    <m/>
    <x v="1"/>
    <n v="2"/>
    <s v="HH20231212 T3685606799 No Limit Hold'em $1.84 + $0.16.txt"/>
  </r>
  <r>
    <n v="1610"/>
    <n v="43.100000000000009"/>
    <s v="12.12.2023"/>
    <n v="12"/>
    <x v="11"/>
    <x v="0"/>
    <x v="2"/>
    <n v="-2"/>
    <n v="6"/>
    <m/>
    <x v="1"/>
    <n v="2"/>
    <s v="HH20231212 T3685611905 No Limit Hold'em $1.84 + $0.16.txt"/>
  </r>
  <r>
    <n v="1611"/>
    <n v="45.100000000000009"/>
    <s v="13.12.2023"/>
    <n v="13"/>
    <x v="11"/>
    <x v="0"/>
    <x v="2"/>
    <n v="-2"/>
    <n v="4"/>
    <m/>
    <x v="1"/>
    <n v="1"/>
    <s v="HH20231213 T3685934222 No Limit Hold'em $1.84 + $0.16.txt"/>
  </r>
  <r>
    <n v="1612"/>
    <n v="49.100000000000009"/>
    <s v="13.12.2023"/>
    <n v="13"/>
    <x v="11"/>
    <x v="0"/>
    <x v="2"/>
    <n v="-2"/>
    <n v="6"/>
    <m/>
    <x v="1"/>
    <n v="2"/>
    <s v="HH20231213 T3685935521 No Limit Hold'em $1.84 + $0.16.txt"/>
  </r>
  <r>
    <n v="1613"/>
    <n v="47.100000000000009"/>
    <s v="14.12.2023"/>
    <n v="14"/>
    <x v="11"/>
    <x v="0"/>
    <x v="2"/>
    <n v="-2"/>
    <m/>
    <m/>
    <x v="2"/>
    <n v="-1"/>
    <s v="HH20231214 T3686367507 No Limit Hold'em $1.84 + $0.16.txt"/>
  </r>
  <r>
    <n v="1614"/>
    <n v="45.100000000000009"/>
    <s v="14.12.2023"/>
    <n v="14"/>
    <x v="11"/>
    <x v="0"/>
    <x v="2"/>
    <n v="-2"/>
    <m/>
    <m/>
    <x v="2"/>
    <n v="-1"/>
    <s v="HH20231214 T3686370038 No Limit Hold'em $1.84 + $0.16.txt"/>
  </r>
  <r>
    <n v="1615"/>
    <n v="43.100000000000009"/>
    <s v="14.12.2023"/>
    <n v="14"/>
    <x v="11"/>
    <x v="0"/>
    <x v="2"/>
    <n v="-2"/>
    <m/>
    <m/>
    <x v="2"/>
    <n v="-1"/>
    <s v="HH20231214 T3686372508 No Limit Hold'em $1.84 + $0.16.txt"/>
  </r>
  <r>
    <n v="1616"/>
    <n v="47.100000000000009"/>
    <s v="14.12.2023"/>
    <n v="14"/>
    <x v="11"/>
    <x v="0"/>
    <x v="2"/>
    <n v="-2"/>
    <n v="6"/>
    <m/>
    <x v="1"/>
    <n v="2"/>
    <s v="HH20231214 T3686469709 No Limit Hold'em $1.84 + $0.16.txt"/>
  </r>
  <r>
    <n v="1617"/>
    <n v="45.100000000000009"/>
    <s v="14.12.2023"/>
    <n v="14"/>
    <x v="11"/>
    <x v="0"/>
    <x v="2"/>
    <n v="-2"/>
    <m/>
    <m/>
    <x v="2"/>
    <n v="-1"/>
    <s v="HH20231214 T3686475941 No Limit Hold'em $1.84 + $0.16.txt"/>
  </r>
  <r>
    <n v="1618"/>
    <n v="43.100000000000009"/>
    <s v="14.12.2023"/>
    <n v="14"/>
    <x v="11"/>
    <x v="0"/>
    <x v="2"/>
    <n v="-2"/>
    <m/>
    <m/>
    <x v="2"/>
    <n v="-1"/>
    <s v="HH20231214 T3686476766 No Limit Hold'em $1.84 + $0.16.txt"/>
  </r>
  <r>
    <n v="1619"/>
    <n v="47.100000000000009"/>
    <s v="15.12.2023"/>
    <n v="15"/>
    <x v="11"/>
    <x v="0"/>
    <x v="2"/>
    <n v="-2"/>
    <n v="6"/>
    <m/>
    <x v="1"/>
    <n v="2"/>
    <s v="HH20231215 T3686682836 No Limit Hold'em $1.84 + $0.16.txt"/>
  </r>
  <r>
    <n v="1620"/>
    <n v="45.100000000000009"/>
    <s v="15.12.2023"/>
    <n v="15"/>
    <x v="11"/>
    <x v="0"/>
    <x v="2"/>
    <n v="-2"/>
    <m/>
    <m/>
    <x v="2"/>
    <n v="-1"/>
    <s v="HH20231215 T3686685092 No Limit Hold'em $1.84 + $0.16.txt"/>
  </r>
  <r>
    <n v="1621"/>
    <n v="43.100000000000009"/>
    <s v="15.12.2023"/>
    <n v="15"/>
    <x v="11"/>
    <x v="0"/>
    <x v="2"/>
    <n v="-2"/>
    <m/>
    <m/>
    <x v="2"/>
    <n v="-1"/>
    <s v="HH20231215 T3686685841 No Limit Hold'em $1.84 + $0.16.txt"/>
  </r>
  <r>
    <n v="1622"/>
    <n v="45.100000000000009"/>
    <s v="15.12.2023"/>
    <n v="15"/>
    <x v="11"/>
    <x v="0"/>
    <x v="2"/>
    <n v="-2"/>
    <n v="4"/>
    <m/>
    <x v="1"/>
    <n v="1"/>
    <s v="HH20231215 T3686700338 No Limit Hold'em $1.84 + $0.16.txt"/>
  </r>
  <r>
    <n v="1623"/>
    <n v="43.100000000000009"/>
    <s v="15.12.2023"/>
    <n v="15"/>
    <x v="11"/>
    <x v="0"/>
    <x v="2"/>
    <n v="-2"/>
    <m/>
    <m/>
    <x v="2"/>
    <n v="-1"/>
    <s v="HH20231215 T3686702930 No Limit Hold'em $1.84 + $0.16.txt"/>
  </r>
  <r>
    <n v="1624"/>
    <n v="41.100000000000009"/>
    <s v="15.12.2023"/>
    <n v="15"/>
    <x v="11"/>
    <x v="0"/>
    <x v="2"/>
    <n v="-2"/>
    <m/>
    <m/>
    <x v="2"/>
    <n v="-1"/>
    <s v="HH20231215 T3686706715 No Limit Hold'em $1.84 + $0.16.txt"/>
  </r>
  <r>
    <n v="1625"/>
    <n v="39.100000000000009"/>
    <s v="15.12.2023"/>
    <n v="15"/>
    <x v="11"/>
    <x v="0"/>
    <x v="2"/>
    <n v="-2"/>
    <m/>
    <m/>
    <x v="2"/>
    <n v="-1"/>
    <s v="HH20231215 T3686708663 No Limit Hold'em $1.84 + $0.16.txt"/>
  </r>
  <r>
    <n v="1626"/>
    <n v="37.100000000000009"/>
    <s v="15.12.2023"/>
    <n v="15"/>
    <x v="11"/>
    <x v="0"/>
    <x v="2"/>
    <n v="-2"/>
    <m/>
    <m/>
    <x v="2"/>
    <n v="-1"/>
    <s v="HH20231215 T3686710526 No Limit Hold'em $1.84 + $0.16.txt"/>
  </r>
  <r>
    <n v="1627"/>
    <n v="35.100000000000009"/>
    <s v="15.12.2023"/>
    <n v="15"/>
    <x v="11"/>
    <x v="0"/>
    <x v="2"/>
    <n v="-2"/>
    <m/>
    <m/>
    <x v="2"/>
    <n v="-1"/>
    <s v="HH20231215 T3686713779 No Limit Hold'em $1.84 + $0.16.txt"/>
  </r>
  <r>
    <n v="1628"/>
    <n v="33.100000000000009"/>
    <s v="15.12.2023"/>
    <n v="15"/>
    <x v="11"/>
    <x v="0"/>
    <x v="2"/>
    <n v="-2"/>
    <m/>
    <m/>
    <x v="2"/>
    <n v="-1"/>
    <s v="HH20231215 T3686714889 No Limit Hold'em $1.84 + $0.16.txt"/>
  </r>
  <r>
    <n v="1629"/>
    <n v="31.100000000000009"/>
    <s v="15.12.2023"/>
    <n v="15"/>
    <x v="11"/>
    <x v="0"/>
    <x v="2"/>
    <n v="-2"/>
    <m/>
    <m/>
    <x v="2"/>
    <n v="-1"/>
    <s v="HH20231215 T3686715840 No Limit Hold'em $1.84 + $0.16.txt"/>
  </r>
  <r>
    <n v="1630"/>
    <n v="29.100000000000009"/>
    <s v="15.12.2023"/>
    <n v="15"/>
    <x v="11"/>
    <x v="0"/>
    <x v="2"/>
    <n v="-2"/>
    <m/>
    <m/>
    <x v="2"/>
    <n v="-1"/>
    <s v="HH20231215 T3686778792 No Limit Hold'em $1.84 + $0.16.txt"/>
  </r>
  <r>
    <n v="1631"/>
    <n v="27.100000000000009"/>
    <s v="15.12.2023"/>
    <n v="15"/>
    <x v="11"/>
    <x v="0"/>
    <x v="2"/>
    <n v="-2"/>
    <m/>
    <m/>
    <x v="2"/>
    <n v="-1"/>
    <s v="HH20231215 T3686781351 No Limit Hold'em $1.84 + $0.16.txt"/>
  </r>
  <r>
    <n v="1632"/>
    <n v="25.100000000000009"/>
    <s v="15.12.2023"/>
    <n v="15"/>
    <x v="11"/>
    <x v="0"/>
    <x v="2"/>
    <n v="-2"/>
    <m/>
    <m/>
    <x v="2"/>
    <n v="-1"/>
    <s v="HH20231215 T3686782878 No Limit Hold'em $1.84 + $0.16.txt"/>
  </r>
  <r>
    <n v="1633"/>
    <n v="23.100000000000009"/>
    <s v="15.12.2023"/>
    <n v="15"/>
    <x v="11"/>
    <x v="0"/>
    <x v="2"/>
    <n v="-2"/>
    <m/>
    <m/>
    <x v="2"/>
    <n v="-1"/>
    <s v="HH20231215 T3686783858 No Limit Hold'em $1.84 + $0.16.txt"/>
  </r>
  <r>
    <n v="1634"/>
    <n v="27.100000000000009"/>
    <s v="15.12.2023"/>
    <n v="15"/>
    <x v="11"/>
    <x v="0"/>
    <x v="2"/>
    <n v="-2"/>
    <n v="6"/>
    <m/>
    <x v="1"/>
    <n v="2"/>
    <s v="HH20231215 T3686784860 No Limit Hold'em $1.84 + $0.16.txt"/>
  </r>
  <r>
    <n v="1635"/>
    <n v="25.100000000000009"/>
    <s v="15.12.2023"/>
    <n v="15"/>
    <x v="11"/>
    <x v="0"/>
    <x v="2"/>
    <n v="-2"/>
    <m/>
    <m/>
    <x v="2"/>
    <n v="-1"/>
    <s v="HH20231215 T3686787618 No Limit Hold'em $1.84 + $0.16.txt"/>
  </r>
  <r>
    <n v="1636"/>
    <n v="29.100000000000009"/>
    <s v="15.12.2023"/>
    <n v="15"/>
    <x v="11"/>
    <x v="0"/>
    <x v="2"/>
    <n v="-2"/>
    <n v="6"/>
    <m/>
    <x v="1"/>
    <n v="2"/>
    <s v="HH20231215 T3686788351 No Limit Hold'em $1.84 + $0.16.txt"/>
  </r>
  <r>
    <n v="1637"/>
    <n v="27.100000000000009"/>
    <s v="15.12.2023"/>
    <n v="15"/>
    <x v="11"/>
    <x v="0"/>
    <x v="2"/>
    <n v="-2"/>
    <m/>
    <m/>
    <x v="2"/>
    <n v="-1"/>
    <s v="HH20231215 T3686789998 No Limit Hold'em $1.84 + $0.16.txt"/>
  </r>
  <r>
    <n v="1638"/>
    <n v="31.100000000000009"/>
    <s v="15.12.2023"/>
    <n v="15"/>
    <x v="11"/>
    <x v="0"/>
    <x v="2"/>
    <n v="-2"/>
    <n v="6"/>
    <m/>
    <x v="1"/>
    <n v="2"/>
    <s v="HH20231215 T3686791719 No Limit Hold'em $1.84 + $0.16.txt"/>
  </r>
  <r>
    <n v="1639"/>
    <n v="35.100000000000009"/>
    <s v="16.12.2023"/>
    <n v="16"/>
    <x v="11"/>
    <x v="0"/>
    <x v="2"/>
    <n v="-2"/>
    <n v="6"/>
    <m/>
    <x v="1"/>
    <n v="2"/>
    <s v="HH20231216 T3687276117 No Limit Hold'em $1.84 + $0.16.txt"/>
  </r>
  <r>
    <n v="1640"/>
    <n v="39.100000000000009"/>
    <s v="16.12.2023"/>
    <n v="16"/>
    <x v="11"/>
    <x v="0"/>
    <x v="2"/>
    <n v="-2"/>
    <n v="6"/>
    <m/>
    <x v="1"/>
    <n v="2"/>
    <s v="HH20231216 T3687280400 No Limit Hold'em $1.84 + $0.16.txt"/>
  </r>
  <r>
    <n v="1641"/>
    <n v="37.100000000000009"/>
    <s v="16.12.2023"/>
    <n v="16"/>
    <x v="11"/>
    <x v="0"/>
    <x v="2"/>
    <n v="-2"/>
    <m/>
    <m/>
    <x v="2"/>
    <n v="-1"/>
    <s v="HH20231216 T3687283945 No Limit Hold'em $1.84 + $0.16.txt"/>
  </r>
  <r>
    <n v="1642"/>
    <n v="35.100000000000009"/>
    <s v="16.12.2023"/>
    <n v="16"/>
    <x v="11"/>
    <x v="0"/>
    <x v="2"/>
    <n v="-2"/>
    <m/>
    <m/>
    <x v="2"/>
    <n v="-1"/>
    <s v="HH20231216 T3687285881 No Limit Hold'em $1.84 + $0.16.txt"/>
  </r>
  <r>
    <n v="1643"/>
    <n v="33.100000000000009"/>
    <s v="16.12.2023"/>
    <n v="16"/>
    <x v="11"/>
    <x v="0"/>
    <x v="2"/>
    <n v="-2"/>
    <m/>
    <m/>
    <x v="2"/>
    <n v="-1"/>
    <s v="HH20231216 T3687288098 No Limit Hold'em $1.84 + $0.16.txt"/>
  </r>
  <r>
    <n v="1644"/>
    <n v="37.100000000000009"/>
    <s v="16.12.2023"/>
    <n v="16"/>
    <x v="11"/>
    <x v="0"/>
    <x v="2"/>
    <n v="-2"/>
    <n v="6"/>
    <m/>
    <x v="1"/>
    <n v="2"/>
    <s v="HH20231216 T3687289163 No Limit Hold'em $1.84 + $0.16.txt"/>
  </r>
  <r>
    <n v="1645"/>
    <n v="35.100000000000009"/>
    <s v="16.12.2023"/>
    <n v="16"/>
    <x v="11"/>
    <x v="0"/>
    <x v="2"/>
    <n v="-2"/>
    <m/>
    <m/>
    <x v="2"/>
    <n v="-1"/>
    <s v="HH20231216 T3687294166 No Limit Hold'em $1.84 + $0.16.txt"/>
  </r>
  <r>
    <n v="1646"/>
    <n v="33.100000000000009"/>
    <s v="16.12.2023"/>
    <n v="16"/>
    <x v="11"/>
    <x v="0"/>
    <x v="2"/>
    <n v="-2"/>
    <m/>
    <m/>
    <x v="2"/>
    <n v="-1"/>
    <s v="HH20231216 T3687295374 No Limit Hold'em $1.84 + $0.16.txt"/>
  </r>
  <r>
    <n v="1647"/>
    <n v="35.100000000000009"/>
    <s v="16.12.2023"/>
    <n v="16"/>
    <x v="11"/>
    <x v="0"/>
    <x v="2"/>
    <n v="-2"/>
    <n v="4"/>
    <m/>
    <x v="1"/>
    <n v="1"/>
    <s v="HH20231216 T3687297922 No Limit Hold'em $1.84 + $0.16.txt"/>
  </r>
  <r>
    <n v="1648"/>
    <n v="33.100000000000009"/>
    <s v="16.12.2023"/>
    <n v="16"/>
    <x v="11"/>
    <x v="0"/>
    <x v="2"/>
    <n v="-2"/>
    <m/>
    <m/>
    <x v="2"/>
    <n v="-1"/>
    <s v="HH20231216 T3687302141 No Limit Hold'em $1.84 + $0.16.txt"/>
  </r>
  <r>
    <n v="1649"/>
    <n v="35.100000000000009"/>
    <s v="16.12.2023"/>
    <n v="16"/>
    <x v="11"/>
    <x v="0"/>
    <x v="2"/>
    <n v="-2"/>
    <n v="4"/>
    <m/>
    <x v="1"/>
    <n v="1"/>
    <s v="HH20231216 T3687304203 No Limit Hold'em $1.84 + $0.16.txt"/>
  </r>
  <r>
    <n v="1650"/>
    <n v="37.100000000000009"/>
    <s v="16.12.2023"/>
    <n v="16"/>
    <x v="11"/>
    <x v="0"/>
    <x v="2"/>
    <n v="-2"/>
    <n v="4"/>
    <m/>
    <x v="1"/>
    <n v="1"/>
    <s v="HH20231216 T3687309803 No Limit Hold'em $1.84 + $0.16.txt"/>
  </r>
  <r>
    <n v="1651"/>
    <n v="43.100000000000009"/>
    <s v="16.12.2023"/>
    <n v="16"/>
    <x v="11"/>
    <x v="0"/>
    <x v="2"/>
    <n v="-2"/>
    <n v="8"/>
    <m/>
    <x v="1"/>
    <n v="3"/>
    <s v="HH20231216 T3687313799 No Limit Hold'em $1.84 + $0.16.txt"/>
  </r>
  <r>
    <n v="1652"/>
    <n v="41.100000000000009"/>
    <s v="17.12.2023"/>
    <n v="17"/>
    <x v="11"/>
    <x v="0"/>
    <x v="2"/>
    <n v="-2"/>
    <m/>
    <m/>
    <x v="2"/>
    <n v="-1"/>
    <s v="HH20231217 T3687581431 No Limit Hold'em $1.84 + $0.16.txt"/>
  </r>
  <r>
    <n v="1653"/>
    <n v="45.100000000000009"/>
    <s v="17.12.2023"/>
    <n v="17"/>
    <x v="11"/>
    <x v="0"/>
    <x v="2"/>
    <n v="-2"/>
    <n v="6"/>
    <m/>
    <x v="1"/>
    <n v="2"/>
    <s v="HH20231217 T3687582886 No Limit Hold'em $1.84 + $0.16.txt"/>
  </r>
  <r>
    <n v="1654"/>
    <n v="43.100000000000009"/>
    <s v="18.12.2023"/>
    <n v="18"/>
    <x v="11"/>
    <x v="0"/>
    <x v="2"/>
    <n v="-2"/>
    <m/>
    <m/>
    <x v="2"/>
    <n v="-1"/>
    <s v="HH20231218 T3688176957 No Limit Hold'em $1.84 + $0.16.txt"/>
  </r>
  <r>
    <n v="1655"/>
    <n v="41.100000000000009"/>
    <s v="18.12.2023"/>
    <n v="18"/>
    <x v="11"/>
    <x v="0"/>
    <x v="2"/>
    <n v="-2"/>
    <m/>
    <m/>
    <x v="2"/>
    <n v="-1"/>
    <s v="HH20231218 T3688258853 No Limit Hold'em $1.84 + $0.16.txt"/>
  </r>
  <r>
    <n v="1656"/>
    <n v="39.100000000000009"/>
    <s v="18.12.2023"/>
    <n v="18"/>
    <x v="11"/>
    <x v="0"/>
    <x v="2"/>
    <n v="-2"/>
    <m/>
    <m/>
    <x v="2"/>
    <n v="-1"/>
    <s v="HH20231218 T3688260190 No Limit Hold'em $1.84 + $0.16.txt"/>
  </r>
  <r>
    <n v="1657"/>
    <n v="41.100000000000009"/>
    <s v="18.12.2023"/>
    <n v="18"/>
    <x v="11"/>
    <x v="0"/>
    <x v="2"/>
    <n v="-2"/>
    <n v="4"/>
    <m/>
    <x v="1"/>
    <n v="1"/>
    <s v="HH20231218 T3688260941 No Limit Hold'em $1.84 + $0.16.txt"/>
  </r>
  <r>
    <n v="1658"/>
    <n v="39.100000000000009"/>
    <s v="18.12.2023"/>
    <n v="18"/>
    <x v="11"/>
    <x v="0"/>
    <x v="2"/>
    <n v="-2"/>
    <m/>
    <m/>
    <x v="2"/>
    <n v="-1"/>
    <s v="HH20231218 T3688263387 No Limit Hold'em $1.84 + $0.16.txt"/>
  </r>
  <r>
    <n v="1659"/>
    <n v="37.100000000000009"/>
    <s v="18.12.2023"/>
    <n v="18"/>
    <x v="11"/>
    <x v="0"/>
    <x v="2"/>
    <n v="-2"/>
    <m/>
    <m/>
    <x v="2"/>
    <n v="-1"/>
    <s v="HH20231218 T3688264838 No Limit Hold'em $1.84 + $0.16.txt"/>
  </r>
  <r>
    <n v="1660"/>
    <n v="35.100000000000009"/>
    <s v="18.12.2023"/>
    <n v="18"/>
    <x v="11"/>
    <x v="0"/>
    <x v="2"/>
    <n v="-2"/>
    <m/>
    <m/>
    <x v="2"/>
    <n v="-1"/>
    <s v="HH20231218 T3688267068 No Limit Hold'em $1.84 + $0.16.txt"/>
  </r>
  <r>
    <n v="1661"/>
    <n v="33.100000000000009"/>
    <s v="19.12.2023"/>
    <n v="19"/>
    <x v="11"/>
    <x v="0"/>
    <x v="2"/>
    <n v="-2"/>
    <m/>
    <m/>
    <x v="2"/>
    <n v="-1"/>
    <s v="HH20231219 T3688656389 No Limit Hold'em $1.84 + $0.16.txt"/>
  </r>
  <r>
    <n v="1662"/>
    <n v="31.100000000000009"/>
    <s v="19.12.2023"/>
    <n v="19"/>
    <x v="11"/>
    <x v="0"/>
    <x v="2"/>
    <n v="-2"/>
    <m/>
    <m/>
    <x v="2"/>
    <n v="-1"/>
    <s v="HH20231219 T3688658800 No Limit Hold'em $1.84 + $0.16.txt"/>
  </r>
  <r>
    <n v="1663"/>
    <n v="35.100000000000009"/>
    <s v="19.12.2023"/>
    <n v="19"/>
    <x v="11"/>
    <x v="0"/>
    <x v="2"/>
    <n v="-2"/>
    <n v="6"/>
    <m/>
    <x v="1"/>
    <n v="2"/>
    <s v="HH20231219 T3688661953 No Limit Hold'em $1.84 + $0.16.txt"/>
  </r>
  <r>
    <n v="1664"/>
    <n v="33.100000000000009"/>
    <s v="19.12.2023"/>
    <n v="19"/>
    <x v="11"/>
    <x v="0"/>
    <x v="2"/>
    <n v="-2"/>
    <m/>
    <m/>
    <x v="2"/>
    <n v="-1"/>
    <s v="HH20231219 T3688669750 No Limit Hold'em $1.84 + $0.16.txt"/>
  </r>
  <r>
    <n v="1665"/>
    <n v="31.100000000000009"/>
    <s v="19.12.2023"/>
    <n v="19"/>
    <x v="11"/>
    <x v="0"/>
    <x v="2"/>
    <n v="-2"/>
    <m/>
    <m/>
    <x v="2"/>
    <n v="-1"/>
    <s v="HH20231219 T3688672147 No Limit Hold'em $1.84 + $0.16.txt"/>
  </r>
  <r>
    <n v="1666"/>
    <n v="35.100000000000009"/>
    <s v="19.12.2023"/>
    <n v="19"/>
    <x v="11"/>
    <x v="0"/>
    <x v="2"/>
    <n v="-2"/>
    <n v="6"/>
    <m/>
    <x v="1"/>
    <n v="2"/>
    <s v="HH20231219 T3688673400 No Limit Hold'em $1.84 + $0.16.txt"/>
  </r>
  <r>
    <n v="1667"/>
    <n v="37.100000000000009"/>
    <s v="19.12.2023"/>
    <n v="19"/>
    <x v="11"/>
    <x v="0"/>
    <x v="2"/>
    <n v="-2"/>
    <n v="4"/>
    <m/>
    <x v="1"/>
    <n v="1"/>
    <s v="HH20231219 T3688675256 No Limit Hold'em $1.84 + $0.16.txt"/>
  </r>
  <r>
    <n v="1668"/>
    <n v="41.100000000000009"/>
    <s v="19.12.2023"/>
    <n v="19"/>
    <x v="11"/>
    <x v="0"/>
    <x v="2"/>
    <n v="-2"/>
    <n v="6"/>
    <m/>
    <x v="1"/>
    <n v="2"/>
    <s v="HH20231219 T3688685387 No Limit Hold'em $1.84 + $0.16.txt"/>
  </r>
  <r>
    <n v="1669"/>
    <n v="39.100000000000009"/>
    <s v="19.12.2023"/>
    <n v="19"/>
    <x v="11"/>
    <x v="0"/>
    <x v="2"/>
    <n v="-2"/>
    <m/>
    <m/>
    <x v="2"/>
    <n v="-1"/>
    <s v="HH20231219 T3688689370 No Limit Hold'em $1.84 + $0.16.txt"/>
  </r>
  <r>
    <n v="1670"/>
    <n v="43.100000000000009"/>
    <s v="19.12.2023"/>
    <n v="19"/>
    <x v="11"/>
    <x v="0"/>
    <x v="2"/>
    <n v="-2"/>
    <n v="6"/>
    <m/>
    <x v="1"/>
    <n v="2"/>
    <s v="HH20231219 T3688690984 No Limit Hold'em $1.84 + $0.16.txt"/>
  </r>
  <r>
    <n v="1671"/>
    <n v="47.100000000000009"/>
    <s v="19.12.2023"/>
    <n v="19"/>
    <x v="11"/>
    <x v="0"/>
    <x v="2"/>
    <n v="-2"/>
    <n v="6"/>
    <m/>
    <x v="1"/>
    <n v="2"/>
    <s v="HH20231219 T3688703783 No Limit Hold'em $1.84 + $0.16.txt"/>
  </r>
  <r>
    <n v="1672"/>
    <n v="45.100000000000009"/>
    <s v="20.12.2023"/>
    <n v="20"/>
    <x v="11"/>
    <x v="0"/>
    <x v="2"/>
    <n v="-2"/>
    <m/>
    <m/>
    <x v="2"/>
    <n v="-1"/>
    <s v="HH20231220 T3688941238 No Limit Hold'em $1.84 + $0.16.txt"/>
  </r>
  <r>
    <n v="1673"/>
    <n v="49.100000000000009"/>
    <s v="20.12.2023"/>
    <n v="20"/>
    <x v="11"/>
    <x v="0"/>
    <x v="2"/>
    <n v="-2"/>
    <n v="6"/>
    <m/>
    <x v="1"/>
    <n v="2"/>
    <s v="HH20231220 T3688948120 No Limit Hold'em $1.84 + $0.16.txt"/>
  </r>
  <r>
    <n v="1674"/>
    <n v="53.100000000000009"/>
    <s v="20.12.2023"/>
    <n v="20"/>
    <x v="11"/>
    <x v="0"/>
    <x v="2"/>
    <n v="-2"/>
    <n v="6"/>
    <m/>
    <x v="1"/>
    <n v="2"/>
    <s v="HH20231220 T3688951675 No Limit Hold'em $1.84 + $0.16.txt"/>
  </r>
  <r>
    <n v="1675"/>
    <n v="51.100000000000009"/>
    <s v="20.12.2023"/>
    <n v="20"/>
    <x v="11"/>
    <x v="0"/>
    <x v="2"/>
    <n v="-2"/>
    <m/>
    <m/>
    <x v="2"/>
    <n v="-1"/>
    <s v="HH20231220 T3688954914 No Limit Hold'em $1.84 + $0.16.txt"/>
  </r>
  <r>
    <n v="1676"/>
    <n v="49.100000000000009"/>
    <s v="20.12.2023"/>
    <n v="20"/>
    <x v="11"/>
    <x v="0"/>
    <x v="2"/>
    <n v="-2"/>
    <m/>
    <m/>
    <x v="2"/>
    <n v="-1"/>
    <s v="HH20231220 T3689130715 No Limit Hold'em $1.84 + $0.16.txt"/>
  </r>
  <r>
    <n v="1677"/>
    <n v="51.100000000000009"/>
    <s v="20.12.2023"/>
    <n v="20"/>
    <x v="11"/>
    <x v="0"/>
    <x v="2"/>
    <n v="-2"/>
    <n v="4"/>
    <m/>
    <x v="1"/>
    <n v="1"/>
    <s v="HH20231220 T3689135793 No Limit Hold'em $1.84 + $0.16.txt"/>
  </r>
  <r>
    <n v="1678"/>
    <n v="49.100000000000009"/>
    <s v="20.12.2023"/>
    <n v="20"/>
    <x v="11"/>
    <x v="0"/>
    <x v="2"/>
    <n v="-2"/>
    <m/>
    <m/>
    <x v="2"/>
    <n v="-1"/>
    <s v="HH20231220 T3689143187 No Limit Hold'em $1.84 + $0.16.txt"/>
  </r>
  <r>
    <n v="1679"/>
    <n v="47.100000000000009"/>
    <s v="21.12.2023"/>
    <n v="21"/>
    <x v="11"/>
    <x v="0"/>
    <x v="2"/>
    <n v="-2"/>
    <m/>
    <m/>
    <x v="2"/>
    <n v="-1"/>
    <s v="HH20231221 T3689374288 No Limit Hold'em $1.84 + $0.16.txt"/>
  </r>
  <r>
    <n v="1680"/>
    <n v="45.100000000000009"/>
    <s v="21.12.2023"/>
    <n v="21"/>
    <x v="11"/>
    <x v="0"/>
    <x v="2"/>
    <n v="-2"/>
    <m/>
    <m/>
    <x v="2"/>
    <n v="-1"/>
    <s v="HH20231221 T3689376649 No Limit Hold'em $1.84 + $0.16.txt"/>
  </r>
  <r>
    <n v="1681"/>
    <n v="43.100000000000009"/>
    <s v="21.12.2023"/>
    <n v="21"/>
    <x v="11"/>
    <x v="0"/>
    <x v="2"/>
    <n v="-2"/>
    <m/>
    <m/>
    <x v="2"/>
    <n v="-1"/>
    <s v="HH20231221 T3689377496 No Limit Hold'em $1.84 + $0.16.txt"/>
  </r>
  <r>
    <n v="1682"/>
    <n v="45.100000000000009"/>
    <s v="21.12.2023"/>
    <n v="21"/>
    <x v="11"/>
    <x v="0"/>
    <x v="2"/>
    <n v="-2"/>
    <n v="4"/>
    <m/>
    <x v="1"/>
    <n v="1"/>
    <s v="HH20231221 T3689378664 No Limit Hold'em $1.84 + $0.16.txt"/>
  </r>
  <r>
    <n v="1683"/>
    <n v="43.100000000000009"/>
    <s v="21.12.2023"/>
    <n v="21"/>
    <x v="11"/>
    <x v="0"/>
    <x v="2"/>
    <n v="-2"/>
    <m/>
    <m/>
    <x v="2"/>
    <n v="-1"/>
    <s v="HH20231221 T3689379739 No Limit Hold'em $1.84 + $0.16.txt"/>
  </r>
  <r>
    <n v="1684"/>
    <n v="45.100000000000009"/>
    <s v="21.12.2023"/>
    <n v="21"/>
    <x v="11"/>
    <x v="0"/>
    <x v="2"/>
    <n v="-2"/>
    <n v="4"/>
    <m/>
    <x v="1"/>
    <n v="1"/>
    <s v="HH20231221 T3689381172 No Limit Hold'em $1.84 + $0.16.txt"/>
  </r>
  <r>
    <n v="1685"/>
    <n v="43.100000000000009"/>
    <s v="21.12.2023"/>
    <n v="21"/>
    <x v="11"/>
    <x v="0"/>
    <x v="2"/>
    <n v="-2"/>
    <m/>
    <m/>
    <x v="2"/>
    <n v="-1"/>
    <s v="HH20231221 T3689382910 No Limit Hold'em $1.84 + $0.16.txt"/>
  </r>
  <r>
    <n v="1686"/>
    <n v="41.100000000000009"/>
    <s v="21.12.2023"/>
    <n v="21"/>
    <x v="11"/>
    <x v="0"/>
    <x v="2"/>
    <n v="-2"/>
    <m/>
    <m/>
    <x v="2"/>
    <n v="-1"/>
    <s v="HH20231221 T3689491301 No Limit Hold'em $1.84 + $0.16.txt"/>
  </r>
  <r>
    <n v="1687"/>
    <n v="39.100000000000009"/>
    <s v="21.12.2023"/>
    <n v="21"/>
    <x v="11"/>
    <x v="0"/>
    <x v="2"/>
    <n v="-2"/>
    <m/>
    <m/>
    <x v="2"/>
    <n v="-1"/>
    <s v="HH20231221 T3689492963 No Limit Hold'em $1.84 + $0.16.txt"/>
  </r>
  <r>
    <n v="1688"/>
    <n v="37.100000000000009"/>
    <s v="21.12.2023"/>
    <n v="21"/>
    <x v="11"/>
    <x v="0"/>
    <x v="2"/>
    <n v="-2"/>
    <m/>
    <m/>
    <x v="2"/>
    <n v="-1"/>
    <s v="HH20231221 T3689493801 No Limit Hold'em $1.84 + $0.16.txt"/>
  </r>
  <r>
    <n v="1689"/>
    <n v="35.100000000000009"/>
    <s v="21.12.2023"/>
    <n v="21"/>
    <x v="11"/>
    <x v="0"/>
    <x v="2"/>
    <n v="-2"/>
    <m/>
    <m/>
    <x v="2"/>
    <n v="-1"/>
    <s v="HH20231221 T3689497947 No Limit Hold'em $1.84 + $0.16.txt"/>
  </r>
  <r>
    <n v="1690"/>
    <n v="33.100000000000009"/>
    <s v="21.12.2023"/>
    <n v="21"/>
    <x v="11"/>
    <x v="0"/>
    <x v="2"/>
    <n v="-2"/>
    <m/>
    <m/>
    <x v="2"/>
    <n v="-1"/>
    <s v="HH20231221 T3689502206 No Limit Hold'em $1.84 + $0.16.txt"/>
  </r>
  <r>
    <n v="1691"/>
    <n v="31.100000000000009"/>
    <s v="21.12.2023"/>
    <n v="21"/>
    <x v="11"/>
    <x v="0"/>
    <x v="2"/>
    <n v="-2"/>
    <m/>
    <m/>
    <x v="2"/>
    <n v="-1"/>
    <s v="HH20231221 T3689503205 No Limit Hold'em $1.84 + $0.16.txt"/>
  </r>
  <r>
    <n v="1692"/>
    <n v="33.100000000000009"/>
    <s v="21.12.2023"/>
    <n v="21"/>
    <x v="11"/>
    <x v="0"/>
    <x v="2"/>
    <n v="-2"/>
    <n v="4"/>
    <m/>
    <x v="1"/>
    <n v="1"/>
    <s v="HH20231221 T3689506160 No Limit Hold'em $1.84 + $0.16.txt"/>
  </r>
  <r>
    <n v="1693"/>
    <n v="31.100000000000009"/>
    <s v="21.12.2023"/>
    <n v="21"/>
    <x v="11"/>
    <x v="0"/>
    <x v="2"/>
    <n v="-2"/>
    <m/>
    <m/>
    <x v="2"/>
    <n v="-1"/>
    <s v="HH20231221 T3689508033 No Limit Hold'em $1.84 + $0.16.txt"/>
  </r>
  <r>
    <n v="1694"/>
    <n v="29.100000000000009"/>
    <s v="21.12.2023"/>
    <n v="21"/>
    <x v="11"/>
    <x v="0"/>
    <x v="2"/>
    <n v="-2"/>
    <m/>
    <m/>
    <x v="2"/>
    <n v="-1"/>
    <s v="HH20231221 T3689561860 No Limit Hold'em $1.84 + $0.16.txt"/>
  </r>
  <r>
    <n v="1695"/>
    <n v="27.100000000000009"/>
    <s v="21.12.2023"/>
    <n v="21"/>
    <x v="11"/>
    <x v="0"/>
    <x v="2"/>
    <n v="-2"/>
    <m/>
    <m/>
    <x v="2"/>
    <n v="-1"/>
    <s v="HH20231221 T3689564902 No Limit Hold'em $1.84 + $0.16.txt"/>
  </r>
  <r>
    <n v="1696"/>
    <n v="29.100000000000009"/>
    <s v="21.12.2023"/>
    <n v="21"/>
    <x v="11"/>
    <x v="0"/>
    <x v="2"/>
    <n v="-2"/>
    <n v="4"/>
    <m/>
    <x v="1"/>
    <n v="1"/>
    <s v="HH20231221 T3689567003 No Limit Hold'em $1.84 + $0.16.txt"/>
  </r>
  <r>
    <n v="1697"/>
    <n v="31.100000000000009"/>
    <s v="22.12.2023"/>
    <n v="22"/>
    <x v="11"/>
    <x v="0"/>
    <x v="2"/>
    <n v="-2"/>
    <n v="4"/>
    <m/>
    <x v="1"/>
    <n v="1"/>
    <s v="HH20231222 T3689953649 No Limit Hold'em $1.84 + $0.16.txt"/>
  </r>
  <r>
    <n v="1698"/>
    <n v="35.100000000000009"/>
    <s v="22.12.2023"/>
    <n v="22"/>
    <x v="11"/>
    <x v="0"/>
    <x v="2"/>
    <n v="-2"/>
    <n v="6"/>
    <m/>
    <x v="1"/>
    <n v="2"/>
    <s v="HH20231222 T3690036374 No Limit Hold'em $1.84 + $0.16.txt"/>
  </r>
  <r>
    <n v="1699"/>
    <n v="37.100000000000009"/>
    <s v="23.12.2023"/>
    <n v="23"/>
    <x v="11"/>
    <x v="0"/>
    <x v="2"/>
    <n v="-2"/>
    <n v="4"/>
    <m/>
    <x v="1"/>
    <n v="1"/>
    <s v="HH20231223 T3690297777 No Limit Hold'em $1.84 + $0.16.txt"/>
  </r>
  <r>
    <n v="1700"/>
    <n v="41.100000000000009"/>
    <s v="23.12.2023"/>
    <n v="23"/>
    <x v="11"/>
    <x v="0"/>
    <x v="2"/>
    <n v="-2"/>
    <n v="6"/>
    <m/>
    <x v="1"/>
    <n v="2"/>
    <s v="HH20231223 T3690300363 No Limit Hold'em $1.84 + $0.16.txt"/>
  </r>
  <r>
    <n v="1701"/>
    <n v="43.100000000000009"/>
    <s v="23.12.2023"/>
    <n v="23"/>
    <x v="11"/>
    <x v="0"/>
    <x v="2"/>
    <n v="-2"/>
    <n v="4"/>
    <m/>
    <x v="1"/>
    <n v="1"/>
    <s v="HH20231223 T3690346604 No Limit Hold'em $1.84 + $0.16.txt"/>
  </r>
  <r>
    <n v="1702"/>
    <n v="41.100000000000009"/>
    <s v="23.12.2023"/>
    <n v="23"/>
    <x v="11"/>
    <x v="0"/>
    <x v="2"/>
    <n v="-2"/>
    <m/>
    <m/>
    <x v="2"/>
    <n v="-1"/>
    <s v="HH20231223 T3690349392 No Limit Hold'em $1.84 + $0.16.txt"/>
  </r>
  <r>
    <n v="1703"/>
    <n v="39.100000000000009"/>
    <s v="24.12.2023"/>
    <n v="24"/>
    <x v="11"/>
    <x v="0"/>
    <x v="2"/>
    <n v="-2"/>
    <m/>
    <m/>
    <x v="2"/>
    <n v="-1"/>
    <s v="HH20231224 T3690955337 No Limit Hold'em $1.84 + $0.16.txt"/>
  </r>
  <r>
    <n v="1704"/>
    <n v="37.100000000000009"/>
    <s v="24.12.2023"/>
    <n v="24"/>
    <x v="11"/>
    <x v="0"/>
    <x v="2"/>
    <n v="-2"/>
    <m/>
    <m/>
    <x v="2"/>
    <n v="-1"/>
    <s v="HH20231224 T3690957686 No Limit Hold'em $1.84 + $0.16.txt"/>
  </r>
  <r>
    <n v="1705"/>
    <n v="35.100000000000009"/>
    <s v="24.12.2023"/>
    <n v="24"/>
    <x v="11"/>
    <x v="0"/>
    <x v="2"/>
    <n v="-2"/>
    <m/>
    <m/>
    <x v="2"/>
    <n v="-1"/>
    <s v="HH20231224 T3690959165 No Limit Hold'em $1.84 + $0.16.txt"/>
  </r>
  <r>
    <n v="1706"/>
    <n v="41.100000000000009"/>
    <s v="24.12.2023"/>
    <n v="24"/>
    <x v="11"/>
    <x v="0"/>
    <x v="2"/>
    <n v="-2"/>
    <n v="8"/>
    <m/>
    <x v="1"/>
    <n v="3"/>
    <s v="HH20231224 T3690961000 No Limit Hold'em $1.84 + $0.16.txt"/>
  </r>
  <r>
    <n v="1707"/>
    <n v="43.100000000000009"/>
    <s v="26.12.2023"/>
    <n v="26"/>
    <x v="11"/>
    <x v="0"/>
    <x v="2"/>
    <n v="-2"/>
    <n v="4"/>
    <m/>
    <x v="1"/>
    <n v="1"/>
    <s v="HH20231226 T3691693671 No Limit Hold'em $1.84 + $0.16.txt"/>
  </r>
  <r>
    <n v="1708"/>
    <n v="47.100000000000009"/>
    <s v="26.12.2023"/>
    <n v="26"/>
    <x v="11"/>
    <x v="0"/>
    <x v="2"/>
    <n v="-2"/>
    <n v="6"/>
    <m/>
    <x v="1"/>
    <n v="2"/>
    <s v="HH20231226 T3691696479 No Limit Hold'em $1.84 + $0.16.txt"/>
  </r>
  <r>
    <n v="1709"/>
    <n v="51.100000000000009"/>
    <s v="26.12.2023"/>
    <n v="26"/>
    <x v="11"/>
    <x v="0"/>
    <x v="2"/>
    <n v="-2"/>
    <n v="6"/>
    <m/>
    <x v="1"/>
    <n v="2"/>
    <s v="HH20231226 T3691710363 No Limit Hold'em $1.84 + $0.16.txt"/>
  </r>
  <r>
    <n v="1710"/>
    <n v="49.100000000000009"/>
    <s v="26.12.2023"/>
    <n v="26"/>
    <x v="11"/>
    <x v="0"/>
    <x v="2"/>
    <n v="-2"/>
    <m/>
    <m/>
    <x v="2"/>
    <n v="-1"/>
    <s v="HH20231226 T3691716058 No Limit Hold'em $1.84 + $0.16.txt"/>
  </r>
  <r>
    <n v="1711"/>
    <n v="47.100000000000009"/>
    <s v="26.12.2023"/>
    <n v="26"/>
    <x v="11"/>
    <x v="0"/>
    <x v="2"/>
    <n v="-2"/>
    <m/>
    <m/>
    <x v="2"/>
    <n v="-1"/>
    <s v="HH20231226 T3691735091 No Limit Hold'em $1.84 + $0.16.txt"/>
  </r>
  <r>
    <n v="1712"/>
    <n v="49.100000000000009"/>
    <s v="26.12.2023"/>
    <n v="26"/>
    <x v="11"/>
    <x v="0"/>
    <x v="2"/>
    <n v="-2"/>
    <n v="4"/>
    <m/>
    <x v="1"/>
    <n v="1"/>
    <s v="HH20231226 T3691737100 No Limit Hold'em $1.84 + $0.16.txt"/>
  </r>
  <r>
    <n v="1713"/>
    <n v="47.100000000000009"/>
    <s v="27.12.2023"/>
    <n v="27"/>
    <x v="11"/>
    <x v="0"/>
    <x v="2"/>
    <n v="-2"/>
    <m/>
    <m/>
    <x v="2"/>
    <n v="-1"/>
    <s v="HH20231227 T3692082612 No Limit Hold'em $1.84 + $0.16.txt"/>
  </r>
  <r>
    <n v="1714"/>
    <n v="51.100000000000009"/>
    <s v="27.12.2023"/>
    <n v="27"/>
    <x v="11"/>
    <x v="0"/>
    <x v="2"/>
    <n v="-2"/>
    <n v="6"/>
    <m/>
    <x v="1"/>
    <n v="2"/>
    <s v="HH20231227 T3692084417 No Limit Hold'em $1.84 + $0.16.txt"/>
  </r>
  <r>
    <n v="1715"/>
    <n v="49.100000000000009"/>
    <s v="27.12.2023"/>
    <n v="27"/>
    <x v="11"/>
    <x v="0"/>
    <x v="2"/>
    <n v="-2"/>
    <m/>
    <m/>
    <x v="2"/>
    <n v="-1"/>
    <s v="HH20231227 T3692168982 No Limit Hold'em $1.84 + $0.16.txt"/>
  </r>
  <r>
    <n v="1716"/>
    <n v="51.100000000000009"/>
    <s v="27.12.2023"/>
    <n v="27"/>
    <x v="11"/>
    <x v="0"/>
    <x v="2"/>
    <n v="-2"/>
    <n v="4"/>
    <m/>
    <x v="1"/>
    <n v="1"/>
    <s v="HH20231227 T3692171503 No Limit Hold'em $1.84 + $0.16.txt"/>
  </r>
  <r>
    <n v="1717"/>
    <n v="49.100000000000009"/>
    <s v="27.12.2023"/>
    <n v="27"/>
    <x v="11"/>
    <x v="0"/>
    <x v="2"/>
    <n v="-2"/>
    <m/>
    <m/>
    <x v="2"/>
    <n v="-1"/>
    <s v="HH20231227 T3692176383 No Limit Hold'em $1.84 + $0.16.txt"/>
  </r>
  <r>
    <n v="1718"/>
    <n v="51.100000000000009"/>
    <s v="27.12.2023"/>
    <n v="27"/>
    <x v="11"/>
    <x v="0"/>
    <x v="2"/>
    <n v="-2"/>
    <n v="4"/>
    <m/>
    <x v="1"/>
    <n v="1"/>
    <s v="HH20231227 T3692178798 No Limit Hold'em $1.84 + $0.16.txt"/>
  </r>
  <r>
    <n v="1719"/>
    <n v="49.100000000000009"/>
    <s v="28.12.2023"/>
    <n v="28"/>
    <x v="11"/>
    <x v="0"/>
    <x v="2"/>
    <n v="-2"/>
    <m/>
    <m/>
    <x v="2"/>
    <n v="-1"/>
    <s v="HH20231228 T3692572584 No Limit Hold'em $1.84 + $0.16.txt"/>
  </r>
  <r>
    <n v="1720"/>
    <n v="57.100000000000009"/>
    <s v="28.12.2023"/>
    <n v="28"/>
    <x v="11"/>
    <x v="0"/>
    <x v="2"/>
    <n v="-2"/>
    <n v="10"/>
    <m/>
    <x v="1"/>
    <n v="4"/>
    <s v="HH20231228 T3692575300 No Limit Hold'em $1.84 + $0.16.txt"/>
  </r>
  <r>
    <n v="1721"/>
    <n v="61.100000000000009"/>
    <s v="28.12.2023"/>
    <n v="28"/>
    <x v="11"/>
    <x v="0"/>
    <x v="2"/>
    <n v="-2"/>
    <n v="6"/>
    <m/>
    <x v="1"/>
    <n v="2"/>
    <s v="HH20231228 T3692635925 No Limit Hold'em $1.84 + $0.16.txt"/>
  </r>
  <r>
    <n v="1722"/>
    <n v="65.100000000000009"/>
    <s v="28.12.2023"/>
    <n v="28"/>
    <x v="11"/>
    <x v="0"/>
    <x v="2"/>
    <n v="-2"/>
    <n v="6"/>
    <m/>
    <x v="1"/>
    <n v="2"/>
    <s v="HH20231228 T3692641748 No Limit Hold'em $1.84 + $0.16.txt"/>
  </r>
  <r>
    <n v="1723"/>
    <n v="63.100000000000009"/>
    <s v="28.12.2023"/>
    <n v="28"/>
    <x v="11"/>
    <x v="0"/>
    <x v="2"/>
    <n v="-2"/>
    <m/>
    <m/>
    <x v="2"/>
    <n v="-1"/>
    <s v="HH20231228 T3692646461 No Limit Hold'em $1.84 + $0.16.txt"/>
  </r>
  <r>
    <n v="1724"/>
    <n v="61.100000000000009"/>
    <s v="28.12.2023"/>
    <n v="28"/>
    <x v="11"/>
    <x v="0"/>
    <x v="2"/>
    <n v="-2"/>
    <m/>
    <m/>
    <x v="2"/>
    <n v="-1"/>
    <s v="HH20231228 T3692648165 No Limit Hold'em $1.84 + $0.16.txt"/>
  </r>
  <r>
    <n v="1725"/>
    <n v="59.100000000000009"/>
    <s v="28.12.2023"/>
    <n v="28"/>
    <x v="11"/>
    <x v="0"/>
    <x v="2"/>
    <n v="-2"/>
    <m/>
    <m/>
    <x v="2"/>
    <n v="-1"/>
    <s v="HH20231228 T3692649990 No Limit Hold'em $1.84 + $0.16.txt"/>
  </r>
  <r>
    <n v="1726"/>
    <n v="57.100000000000009"/>
    <s v="28.12.2023"/>
    <n v="28"/>
    <x v="11"/>
    <x v="0"/>
    <x v="2"/>
    <n v="-2"/>
    <m/>
    <m/>
    <x v="2"/>
    <n v="-1"/>
    <s v="HH20231228 T3692652630 No Limit Hold'em $1.84 + $0.16.txt"/>
  </r>
  <r>
    <n v="1727"/>
    <n v="61.100000000000009"/>
    <s v="29.12.2023"/>
    <n v="29"/>
    <x v="11"/>
    <x v="0"/>
    <x v="2"/>
    <n v="-2"/>
    <n v="6"/>
    <m/>
    <x v="1"/>
    <n v="2"/>
    <s v="HH20231229 T3693051679 No Limit Hold'em $1.84 + $0.16.txt"/>
  </r>
  <r>
    <n v="1728"/>
    <n v="59.100000000000009"/>
    <s v="29.12.2023"/>
    <n v="29"/>
    <x v="11"/>
    <x v="0"/>
    <x v="2"/>
    <n v="-2"/>
    <m/>
    <m/>
    <x v="2"/>
    <n v="-1"/>
    <s v="HH20231229 T3693055524 No Limit Hold'em $1.84 + $0.16.txt"/>
  </r>
  <r>
    <n v="1729"/>
    <n v="65.100000000000009"/>
    <s v="29.12.2023"/>
    <n v="29"/>
    <x v="11"/>
    <x v="0"/>
    <x v="2"/>
    <n v="-2"/>
    <n v="8"/>
    <m/>
    <x v="1"/>
    <n v="3"/>
    <s v="HH20231229 T3693056988 No Limit Hold'em $1.84 + $0.16.txt"/>
  </r>
  <r>
    <n v="1730"/>
    <n v="63.100000000000009"/>
    <s v="29.12.2023"/>
    <n v="29"/>
    <x v="11"/>
    <x v="0"/>
    <x v="2"/>
    <n v="-2"/>
    <m/>
    <m/>
    <x v="2"/>
    <n v="-1"/>
    <s v="HH20231229 T3693242111 No Limit Hold'em $1.84 + $0.16.txt"/>
  </r>
  <r>
    <n v="1731"/>
    <n v="61.100000000000009"/>
    <s v="29.12.2023"/>
    <n v="29"/>
    <x v="11"/>
    <x v="0"/>
    <x v="2"/>
    <n v="-2"/>
    <m/>
    <m/>
    <x v="2"/>
    <n v="-1"/>
    <s v="HH20231229 T3693244635 No Limit Hold'em $1.84 + $0.16.txt"/>
  </r>
  <r>
    <n v="1732"/>
    <n v="59.100000000000009"/>
    <s v="29.12.2023"/>
    <n v="29"/>
    <x v="11"/>
    <x v="0"/>
    <x v="2"/>
    <n v="-2"/>
    <m/>
    <m/>
    <x v="2"/>
    <n v="-1"/>
    <s v="HH20231229 T3693246338 No Limit Hold'em $1.84 + $0.16.txt"/>
  </r>
  <r>
    <n v="1733"/>
    <n v="57.100000000000009"/>
    <s v="29.12.2023"/>
    <n v="29"/>
    <x v="11"/>
    <x v="0"/>
    <x v="2"/>
    <n v="-2"/>
    <m/>
    <m/>
    <x v="2"/>
    <n v="-1"/>
    <s v="HH20231229 T3693250553 No Limit Hold'em $1.84 + $0.16.txt"/>
  </r>
  <r>
    <n v="1734"/>
    <n v="55.100000000000009"/>
    <s v="30.12.2023"/>
    <n v="30"/>
    <x v="11"/>
    <x v="0"/>
    <x v="2"/>
    <n v="-2"/>
    <m/>
    <m/>
    <x v="2"/>
    <n v="-1"/>
    <s v="HH20231230 T3693672743 No Limit Hold'em $1.84 + $0.16.txt"/>
  </r>
  <r>
    <n v="1735"/>
    <n v="57.100000000000009"/>
    <s v="30.12.2023"/>
    <n v="30"/>
    <x v="11"/>
    <x v="0"/>
    <x v="2"/>
    <n v="-2"/>
    <n v="4"/>
    <m/>
    <x v="1"/>
    <n v="1"/>
    <s v="HH20231230 T3693675966 No Limit Hold'em $1.84 + $0.16.txt"/>
  </r>
  <r>
    <n v="1736"/>
    <n v="61.100000000000009"/>
    <s v="30.12.2023"/>
    <n v="30"/>
    <x v="11"/>
    <x v="0"/>
    <x v="2"/>
    <n v="-2"/>
    <n v="6"/>
    <m/>
    <x v="1"/>
    <n v="2"/>
    <s v="HH20231230 T3693678819 No Limit Hold'em $1.84 + $0.16.txt"/>
  </r>
  <r>
    <n v="1737"/>
    <n v="69.100000000000009"/>
    <s v="30.12.2023"/>
    <n v="30"/>
    <x v="11"/>
    <x v="0"/>
    <x v="2"/>
    <n v="-2"/>
    <n v="10"/>
    <m/>
    <x v="1"/>
    <n v="4"/>
    <s v="HH20231230 T3693717989 No Limit Hold'em $1.84 + $0.16.txt"/>
  </r>
  <r>
    <n v="1738"/>
    <n v="67.100000000000009"/>
    <s v="30.12.2023"/>
    <n v="30"/>
    <x v="11"/>
    <x v="0"/>
    <x v="2"/>
    <n v="-2"/>
    <m/>
    <m/>
    <x v="2"/>
    <n v="-1"/>
    <s v="HH20231230 T3693857434 No Limit Hold'em $1.84 + $0.16.txt"/>
  </r>
  <r>
    <n v="1739"/>
    <n v="65.100000000000009"/>
    <s v="30.12.2023"/>
    <n v="30"/>
    <x v="11"/>
    <x v="0"/>
    <x v="2"/>
    <n v="-2"/>
    <m/>
    <m/>
    <x v="2"/>
    <n v="-1"/>
    <s v="HH20231230 T3693859977 No Limit Hold'em $1.84 + $0.16.txt"/>
  </r>
  <r>
    <n v="1740"/>
    <n v="63.100000000000009"/>
    <s v="31.12.2023"/>
    <n v="31"/>
    <x v="11"/>
    <x v="0"/>
    <x v="2"/>
    <n v="-2"/>
    <m/>
    <m/>
    <x v="2"/>
    <n v="-1"/>
    <s v="HH20231231 T3694076784 No Limit Hold'em $1.84 + $0.16.txt"/>
  </r>
  <r>
    <n v="1741"/>
    <n v="61.100000000000009"/>
    <s v="31.12.2023"/>
    <n v="31"/>
    <x v="11"/>
    <x v="0"/>
    <x v="2"/>
    <n v="-2"/>
    <m/>
    <m/>
    <x v="2"/>
    <n v="-1"/>
    <s v="HH20231231 T3694077619 No Limit Hold'em $1.84 + $0.16.txt"/>
  </r>
  <r>
    <n v="1742"/>
    <n v="59.100000000000009"/>
    <s v="31.12.2023"/>
    <n v="31"/>
    <x v="11"/>
    <x v="0"/>
    <x v="2"/>
    <n v="-2"/>
    <m/>
    <m/>
    <x v="2"/>
    <n v="-1"/>
    <s v="HH20231231 T3694079090 No Limit Hold'em $1.84 + $0.16.txt"/>
  </r>
  <r>
    <n v="1743"/>
    <n v="61.100000000000009"/>
    <s v="31.12.2023"/>
    <n v="31"/>
    <x v="11"/>
    <x v="0"/>
    <x v="2"/>
    <n v="-2"/>
    <n v="4"/>
    <m/>
    <x v="1"/>
    <n v="1"/>
    <s v="HH20231231 T3694081567 No Limit Hold'em $1.84 + $0.16.txt"/>
  </r>
  <r>
    <n v="1744"/>
    <n v="59.100000000000009"/>
    <s v="31.12.2023"/>
    <n v="31"/>
    <x v="11"/>
    <x v="0"/>
    <x v="2"/>
    <n v="-2"/>
    <m/>
    <m/>
    <x v="2"/>
    <n v="-1"/>
    <s v="HH20231231 T3694083759 No Limit Hold'em $1.84 + $0.16.txt"/>
  </r>
  <r>
    <n v="1745"/>
    <n v="57.100000000000009"/>
    <s v="31.12.2023"/>
    <n v="31"/>
    <x v="11"/>
    <x v="0"/>
    <x v="2"/>
    <n v="-2"/>
    <m/>
    <m/>
    <x v="2"/>
    <n v="-1"/>
    <s v="HH20231231 T3694084760 No Limit Hold'em $1.84 + $0.16.txt"/>
  </r>
  <r>
    <n v="1746"/>
    <n v="61.100000000000009"/>
    <s v="31.12.2023"/>
    <n v="31"/>
    <x v="11"/>
    <x v="0"/>
    <x v="2"/>
    <n v="-2"/>
    <n v="6"/>
    <m/>
    <x v="1"/>
    <n v="2"/>
    <s v="HH20231231 T3694086691 No Limit Hold'em $1.84 + $0.16.txt"/>
  </r>
  <r>
    <n v="1747"/>
    <n v="59.100000000000009"/>
    <s v="31.12.2023"/>
    <n v="31"/>
    <x v="11"/>
    <x v="0"/>
    <x v="2"/>
    <n v="-2"/>
    <m/>
    <m/>
    <x v="2"/>
    <n v="-1"/>
    <s v="HH20231231 T3694088035 No Limit Hold'em $1.84 + $0.16.txt"/>
  </r>
  <r>
    <n v="1748"/>
    <n v="57.100000000000009"/>
    <s v="31.12.2023"/>
    <n v="31"/>
    <x v="11"/>
    <x v="0"/>
    <x v="2"/>
    <n v="-2"/>
    <m/>
    <m/>
    <x v="2"/>
    <n v="-1"/>
    <s v="HH20231231 T3694088717 No Limit Hold'em $1.84 + $0.16.txt"/>
  </r>
  <r>
    <n v="1749"/>
    <n v="55.100000000000009"/>
    <s v="31.12.2023"/>
    <n v="31"/>
    <x v="11"/>
    <x v="0"/>
    <x v="2"/>
    <n v="-2"/>
    <m/>
    <m/>
    <x v="2"/>
    <n v="-1"/>
    <s v="HH20231231 T3694125362 No Limit Hold'em $1.84 + $0.16.txt"/>
  </r>
  <r>
    <n v="1750"/>
    <n v="59.100000000000009"/>
    <s v="31.12.2023"/>
    <n v="31"/>
    <x v="11"/>
    <x v="0"/>
    <x v="2"/>
    <n v="-2"/>
    <n v="6"/>
    <m/>
    <x v="1"/>
    <n v="2"/>
    <s v="HH20231231 T3694127282 No Limit Hold'em $1.84 + $0.16.txt"/>
  </r>
  <r>
    <n v="1751"/>
    <n v="61.100000000000009"/>
    <s v="31.12.2023"/>
    <n v="31"/>
    <x v="11"/>
    <x v="0"/>
    <x v="2"/>
    <n v="-2"/>
    <n v="4"/>
    <m/>
    <x v="1"/>
    <n v="1"/>
    <s v="HH20231231 T3694130588 No Limit Hold'em $1.84 + $0.16.txt"/>
  </r>
  <r>
    <n v="1752"/>
    <n v="63.100000000000009"/>
    <s v="31.12.2023"/>
    <n v="31"/>
    <x v="11"/>
    <x v="0"/>
    <x v="2"/>
    <n v="-2"/>
    <n v="4"/>
    <m/>
    <x v="1"/>
    <n v="1"/>
    <s v="HH20231231 T3694159112 No Limit Hold'em $1.84 + $0.16.txt"/>
  </r>
  <r>
    <n v="1753"/>
    <n v="61.100000000000009"/>
    <s v="31.12.2023"/>
    <n v="31"/>
    <x v="11"/>
    <x v="0"/>
    <x v="2"/>
    <n v="-2"/>
    <m/>
    <m/>
    <x v="2"/>
    <n v="-1"/>
    <s v="HH20231231 T3694171537 No Limit Hold'em $1.84 + $0.16.txt"/>
  </r>
  <r>
    <n v="1754"/>
    <n v="59.100000000000009"/>
    <s v="01.01.2024"/>
    <n v="1"/>
    <x v="0"/>
    <x v="1"/>
    <x v="2"/>
    <n v="-2"/>
    <m/>
    <m/>
    <x v="2"/>
    <n v="-1"/>
    <s v="HH20240101 T3694557902 No Limit Hold'em $1.84 + $0.16.txt"/>
  </r>
  <r>
    <n v="1755"/>
    <n v="57.100000000000009"/>
    <s v="01.01.2024"/>
    <n v="1"/>
    <x v="0"/>
    <x v="1"/>
    <x v="2"/>
    <n v="-2"/>
    <m/>
    <m/>
    <x v="2"/>
    <n v="-1"/>
    <s v="HH20240101 T3694559214 No Limit Hold'em $1.84 + $0.16.txt"/>
  </r>
  <r>
    <n v="1756"/>
    <n v="55.100000000000009"/>
    <s v="01.01.2024"/>
    <n v="1"/>
    <x v="0"/>
    <x v="1"/>
    <x v="2"/>
    <n v="-2"/>
    <m/>
    <m/>
    <x v="2"/>
    <n v="-1"/>
    <s v="HH20240101 T3694563197 No Limit Hold'em $1.84 + $0.16.txt"/>
  </r>
  <r>
    <n v="1757"/>
    <n v="59.100000000000009"/>
    <s v="01.01.2024"/>
    <n v="1"/>
    <x v="0"/>
    <x v="1"/>
    <x v="2"/>
    <n v="-2"/>
    <n v="6"/>
    <m/>
    <x v="1"/>
    <n v="2"/>
    <s v="HH20240101 T3694566319 No Limit Hold'em $1.84 + $0.16.txt"/>
  </r>
  <r>
    <n v="1758"/>
    <n v="57.100000000000009"/>
    <s v="01.01.2024"/>
    <n v="1"/>
    <x v="0"/>
    <x v="1"/>
    <x v="2"/>
    <n v="-2"/>
    <m/>
    <m/>
    <x v="2"/>
    <n v="-1"/>
    <s v="HH20240101 T3694644324 No Limit Hold'em $1.84 + $0.16.txt"/>
  </r>
  <r>
    <n v="1759"/>
    <n v="59.100000000000009"/>
    <s v="01.01.2024"/>
    <n v="1"/>
    <x v="0"/>
    <x v="1"/>
    <x v="2"/>
    <n v="-2"/>
    <n v="4"/>
    <m/>
    <x v="1"/>
    <n v="1"/>
    <s v="HH20240101 T3694647584 No Limit Hold'em $1.84 + $0.16.txt"/>
  </r>
  <r>
    <n v="1760"/>
    <n v="57.100000000000009"/>
    <s v="01.01.2024"/>
    <n v="1"/>
    <x v="0"/>
    <x v="1"/>
    <x v="2"/>
    <n v="-2"/>
    <m/>
    <m/>
    <x v="2"/>
    <n v="-1"/>
    <s v="HH20240101 T3694649588 No Limit Hold'em $1.84 + $0.16.txt"/>
  </r>
  <r>
    <n v="1761"/>
    <n v="55.100000000000009"/>
    <s v="01.01.2024"/>
    <n v="1"/>
    <x v="0"/>
    <x v="1"/>
    <x v="2"/>
    <n v="-2"/>
    <m/>
    <m/>
    <x v="2"/>
    <n v="-1"/>
    <s v="HH20240101 T3694650374 No Limit Hold'em $1.84 + $0.16.txt"/>
  </r>
  <r>
    <n v="1762"/>
    <n v="53.100000000000009"/>
    <s v="01.01.2024"/>
    <n v="1"/>
    <x v="0"/>
    <x v="1"/>
    <x v="2"/>
    <n v="-2"/>
    <m/>
    <m/>
    <x v="2"/>
    <n v="-1"/>
    <s v="HH20240101 T3694653417 No Limit Hold'em $1.84 + $0.16.txt"/>
  </r>
  <r>
    <n v="1763"/>
    <n v="55.100000000000009"/>
    <s v="01.01.2024"/>
    <n v="1"/>
    <x v="0"/>
    <x v="1"/>
    <x v="2"/>
    <n v="-2"/>
    <n v="4"/>
    <m/>
    <x v="1"/>
    <n v="1"/>
    <s v="HH20240101 T3694658123 No Limit Hold'em $1.84 + $0.16.txt"/>
  </r>
  <r>
    <n v="1764"/>
    <n v="59.100000000000009"/>
    <s v="01.01.2024"/>
    <n v="1"/>
    <x v="0"/>
    <x v="1"/>
    <x v="2"/>
    <n v="-2"/>
    <n v="6"/>
    <m/>
    <x v="1"/>
    <n v="2"/>
    <s v="HH20240101 T3694659034 No Limit Hold'em $1.84 + $0.16.txt"/>
  </r>
  <r>
    <n v="1765"/>
    <n v="63.100000000000009"/>
    <s v="01.01.2024"/>
    <n v="1"/>
    <x v="0"/>
    <x v="1"/>
    <x v="2"/>
    <n v="-2"/>
    <n v="6"/>
    <m/>
    <x v="1"/>
    <n v="2"/>
    <s v="HH20240101 T3694661474 No Limit Hold'em $1.84 + $0.16.txt"/>
  </r>
  <r>
    <n v="1766"/>
    <n v="61.100000000000009"/>
    <s v="01.01.2024"/>
    <n v="1"/>
    <x v="0"/>
    <x v="1"/>
    <x v="2"/>
    <n v="-2"/>
    <m/>
    <m/>
    <x v="2"/>
    <n v="-1"/>
    <s v="HH20240101 T3694668989 No Limit Hold'em $1.84 + $0.16.txt"/>
  </r>
  <r>
    <n v="1767"/>
    <n v="65.540000000000006"/>
    <s v="02.01.2024"/>
    <n v="2"/>
    <x v="0"/>
    <x v="1"/>
    <x v="3"/>
    <n v="-7.5"/>
    <n v="6.84"/>
    <n v="5.0999999999999996"/>
    <x v="1"/>
    <n v="0.59199999999999986"/>
    <s v="HH20240102 T3693155126 No Limit Hold'em $6.69 + $0.81.txt"/>
  </r>
  <r>
    <n v="1768"/>
    <n v="63.540000000000006"/>
    <s v="03.01.2024"/>
    <n v="3"/>
    <x v="0"/>
    <x v="1"/>
    <x v="2"/>
    <n v="-2"/>
    <m/>
    <m/>
    <x v="2"/>
    <n v="-1"/>
    <s v="HH20240103 T3695535348 No Limit Hold'em $1.84 + $0.16.txt"/>
  </r>
  <r>
    <n v="1769"/>
    <n v="61.540000000000006"/>
    <s v="03.01.2024"/>
    <n v="3"/>
    <x v="0"/>
    <x v="1"/>
    <x v="2"/>
    <n v="-2"/>
    <m/>
    <m/>
    <x v="2"/>
    <n v="-1"/>
    <s v="HH20240103 T3695536250 No Limit Hold'em $1.84 + $0.16.txt"/>
  </r>
  <r>
    <n v="1770"/>
    <n v="63.540000000000006"/>
    <s v="03.01.2024"/>
    <n v="3"/>
    <x v="0"/>
    <x v="1"/>
    <x v="2"/>
    <n v="-2"/>
    <n v="4"/>
    <m/>
    <x v="1"/>
    <n v="1"/>
    <s v="HH20240103 T3695538054 No Limit Hold'em $1.84 + $0.16.txt"/>
  </r>
  <r>
    <n v="1771"/>
    <n v="61.540000000000006"/>
    <s v="03.01.2024"/>
    <n v="3"/>
    <x v="0"/>
    <x v="1"/>
    <x v="2"/>
    <n v="-2"/>
    <m/>
    <m/>
    <x v="2"/>
    <n v="-1"/>
    <s v="HH20240103 T3695541547 No Limit Hold'em $1.84 + $0.16.txt"/>
  </r>
  <r>
    <n v="1772"/>
    <n v="63.540000000000006"/>
    <s v="03.01.2024"/>
    <n v="3"/>
    <x v="0"/>
    <x v="1"/>
    <x v="2"/>
    <n v="-2"/>
    <n v="4"/>
    <m/>
    <x v="1"/>
    <n v="1"/>
    <s v="HH20240103 T3695542928 No Limit Hold'em $1.84 + $0.16.txt"/>
  </r>
  <r>
    <n v="1773"/>
    <n v="61.540000000000006"/>
    <s v="03.01.2024"/>
    <n v="3"/>
    <x v="0"/>
    <x v="1"/>
    <x v="2"/>
    <n v="-2"/>
    <m/>
    <m/>
    <x v="2"/>
    <n v="-1"/>
    <s v="HH20240103 T3695548033 No Limit Hold'em $1.84 + $0.16.txt"/>
  </r>
  <r>
    <n v="1774"/>
    <n v="59.540000000000006"/>
    <s v="04.01.2024"/>
    <n v="4"/>
    <x v="0"/>
    <x v="1"/>
    <x v="2"/>
    <n v="-2"/>
    <m/>
    <m/>
    <x v="2"/>
    <n v="-1"/>
    <s v="HH20240104 T3696048127 No Limit Hold'em $1.84 + $0.16.txt"/>
  </r>
  <r>
    <n v="1775"/>
    <n v="57.540000000000006"/>
    <s v="05.01.2024"/>
    <n v="5"/>
    <x v="0"/>
    <x v="1"/>
    <x v="2"/>
    <n v="-2"/>
    <m/>
    <m/>
    <x v="2"/>
    <n v="-1"/>
    <s v="HH20240105 T3696353725 No Limit Hold'em $1.84 + $0.16.txt"/>
  </r>
  <r>
    <n v="1776"/>
    <n v="55.540000000000006"/>
    <s v="05.01.2024"/>
    <n v="5"/>
    <x v="0"/>
    <x v="1"/>
    <x v="2"/>
    <n v="-2"/>
    <m/>
    <m/>
    <x v="2"/>
    <n v="-1"/>
    <s v="HH20240105 T3696355208 No Limit Hold'em $1.84 + $0.16.txt"/>
  </r>
  <r>
    <n v="1777"/>
    <n v="53.540000000000006"/>
    <s v="05.01.2024"/>
    <n v="5"/>
    <x v="0"/>
    <x v="1"/>
    <x v="2"/>
    <n v="-2"/>
    <m/>
    <m/>
    <x v="2"/>
    <n v="-1"/>
    <s v="HH20240105 T3696355909 No Limit Hold'em $1.84 + $0.16.txt"/>
  </r>
  <r>
    <n v="1778"/>
    <n v="51.540000000000006"/>
    <s v="05.01.2024"/>
    <n v="5"/>
    <x v="0"/>
    <x v="1"/>
    <x v="2"/>
    <n v="-2"/>
    <m/>
    <m/>
    <x v="2"/>
    <n v="-1"/>
    <s v="HH20240105 T3696358319 No Limit Hold'em $1.84 + $0.16.txt"/>
  </r>
  <r>
    <n v="1779"/>
    <n v="49.540000000000006"/>
    <s v="05.01.2024"/>
    <n v="5"/>
    <x v="0"/>
    <x v="1"/>
    <x v="2"/>
    <n v="-2"/>
    <m/>
    <m/>
    <x v="2"/>
    <n v="-1"/>
    <s v="HH20240105 T3696395835 No Limit Hold'em $1.84 + $0.16.txt"/>
  </r>
  <r>
    <n v="1780"/>
    <n v="47.540000000000006"/>
    <s v="05.01.2024"/>
    <n v="5"/>
    <x v="0"/>
    <x v="1"/>
    <x v="2"/>
    <n v="-2"/>
    <m/>
    <m/>
    <x v="2"/>
    <n v="-1"/>
    <s v="HH20240105 T3696397416 No Limit Hold'em $1.84 + $0.16.txt"/>
  </r>
  <r>
    <n v="1781"/>
    <n v="45.540000000000006"/>
    <s v="05.01.2024"/>
    <n v="5"/>
    <x v="0"/>
    <x v="1"/>
    <x v="2"/>
    <n v="-2"/>
    <m/>
    <m/>
    <x v="2"/>
    <n v="-1"/>
    <s v="HH20240105 T3696398510 No Limit Hold'em $1.84 + $0.16.txt"/>
  </r>
  <r>
    <n v="1782"/>
    <n v="43.540000000000006"/>
    <s v="05.01.2024"/>
    <n v="5"/>
    <x v="0"/>
    <x v="1"/>
    <x v="2"/>
    <n v="-2"/>
    <m/>
    <m/>
    <x v="2"/>
    <n v="-1"/>
    <s v="HH20240105 T3696400115 No Limit Hold'em $1.84 + $0.16.txt"/>
  </r>
  <r>
    <n v="1783"/>
    <n v="41.540000000000006"/>
    <s v="05.01.2024"/>
    <n v="5"/>
    <x v="0"/>
    <x v="1"/>
    <x v="2"/>
    <n v="-2"/>
    <m/>
    <m/>
    <x v="2"/>
    <n v="-1"/>
    <s v="HH20240105 T3696401269 No Limit Hold'em $1.84 + $0.16.txt"/>
  </r>
  <r>
    <n v="1784"/>
    <n v="39.540000000000006"/>
    <s v="05.01.2024"/>
    <n v="5"/>
    <x v="0"/>
    <x v="1"/>
    <x v="2"/>
    <n v="-2"/>
    <m/>
    <m/>
    <x v="2"/>
    <n v="-1"/>
    <s v="HH20240105 T3696402235 No Limit Hold'em $1.84 + $0.16.txt"/>
  </r>
  <r>
    <n v="1785"/>
    <n v="37.540000000000006"/>
    <s v="05.01.2024"/>
    <n v="5"/>
    <x v="0"/>
    <x v="1"/>
    <x v="2"/>
    <n v="-2"/>
    <m/>
    <m/>
    <x v="2"/>
    <n v="-1"/>
    <s v="HH20240105 T3696403054 No Limit Hold'em $1.84 + $0.16.txt"/>
  </r>
  <r>
    <n v="1786"/>
    <n v="35.540000000000006"/>
    <s v="05.01.2024"/>
    <n v="5"/>
    <x v="0"/>
    <x v="1"/>
    <x v="2"/>
    <n v="-2"/>
    <m/>
    <m/>
    <x v="2"/>
    <n v="-1"/>
    <s v="HH20240105 T3696405883 No Limit Hold'em $1.84 + $0.16.txt"/>
  </r>
  <r>
    <n v="1787"/>
    <n v="33.540000000000006"/>
    <s v="05.01.2024"/>
    <n v="5"/>
    <x v="0"/>
    <x v="1"/>
    <x v="2"/>
    <n v="-2"/>
    <m/>
    <m/>
    <x v="2"/>
    <n v="-1"/>
    <s v="HH20240105 T3696406835 No Limit Hold'em $1.84 + $0.16.txt"/>
  </r>
  <r>
    <n v="1788"/>
    <n v="31.540000000000006"/>
    <s v="05.01.2024"/>
    <n v="5"/>
    <x v="0"/>
    <x v="1"/>
    <x v="2"/>
    <n v="-2"/>
    <m/>
    <m/>
    <x v="2"/>
    <n v="-1"/>
    <s v="HH20240105 T3696410054 No Limit Hold'em $1.84 + $0.16.txt"/>
  </r>
  <r>
    <n v="1789"/>
    <n v="26.540000000000006"/>
    <s v="05.01.2024"/>
    <n v="5"/>
    <x v="0"/>
    <x v="1"/>
    <x v="2"/>
    <n v="-5"/>
    <m/>
    <m/>
    <x v="2"/>
    <n v="-1"/>
    <s v="HH20240105 T3696413124 No Limit Hold'em $4.60 + $0.40.txt"/>
  </r>
  <r>
    <n v="1790"/>
    <n v="21.540000000000006"/>
    <s v="05.01.2024"/>
    <n v="5"/>
    <x v="0"/>
    <x v="1"/>
    <x v="2"/>
    <n v="-5"/>
    <m/>
    <m/>
    <x v="2"/>
    <n v="-1"/>
    <s v="HH20240105 T3696414038 No Limit Hold'em $4.60 + $0.40.txt"/>
  </r>
  <r>
    <n v="1791"/>
    <n v="26.540000000000006"/>
    <s v="05.01.2024"/>
    <n v="5"/>
    <x v="0"/>
    <x v="1"/>
    <x v="2"/>
    <n v="-5"/>
    <n v="10"/>
    <m/>
    <x v="1"/>
    <n v="1"/>
    <s v="HH20240105 T3696416457 No Limit Hold'em $4.60 + $0.40.txt"/>
  </r>
  <r>
    <n v="1792"/>
    <n v="41.540000000000006"/>
    <s v="05.01.2024"/>
    <n v="5"/>
    <x v="0"/>
    <x v="1"/>
    <x v="2"/>
    <n v="-5"/>
    <n v="20"/>
    <m/>
    <x v="1"/>
    <n v="3"/>
    <s v="HH20240105 T3696417512 No Limit Hold'em $4.60 + $0.40.txt"/>
  </r>
  <r>
    <n v="1793"/>
    <n v="36.540000000000006"/>
    <s v="05.01.2024"/>
    <n v="5"/>
    <x v="0"/>
    <x v="1"/>
    <x v="2"/>
    <n v="-5"/>
    <m/>
    <m/>
    <x v="2"/>
    <n v="-1"/>
    <s v="HH20240105 T3696421669 No Limit Hold'em $4.60 + $0.40.txt"/>
  </r>
  <r>
    <n v="1794"/>
    <n v="56.540000000000006"/>
    <s v="05.01.2024"/>
    <n v="5"/>
    <x v="0"/>
    <x v="1"/>
    <x v="2"/>
    <m/>
    <n v="20"/>
    <m/>
    <x v="1"/>
    <n v="0"/>
    <s v="HH20240105 T3696424110 No Limit Hold'em $4.60 + $0.40.txt"/>
  </r>
  <r>
    <n v="1795"/>
    <n v="54.540000000000006"/>
    <s v="05.01.2024"/>
    <n v="5"/>
    <x v="0"/>
    <x v="1"/>
    <x v="2"/>
    <n v="-2"/>
    <m/>
    <m/>
    <x v="2"/>
    <n v="-1"/>
    <s v="HH20240105 T3696570340 No Limit Hold'em $1.84 + $0.16.txt"/>
  </r>
  <r>
    <n v="1796"/>
    <n v="52.540000000000006"/>
    <s v="05.01.2024"/>
    <n v="5"/>
    <x v="0"/>
    <x v="1"/>
    <x v="2"/>
    <n v="-2"/>
    <m/>
    <m/>
    <x v="2"/>
    <n v="-1"/>
    <s v="HH20240105 T3696574043 No Limit Hold'em $1.84 + $0.16.txt"/>
  </r>
  <r>
    <n v="1797"/>
    <n v="54.540000000000006"/>
    <s v="05.01.2024"/>
    <n v="5"/>
    <x v="0"/>
    <x v="1"/>
    <x v="2"/>
    <n v="-2"/>
    <n v="4"/>
    <m/>
    <x v="1"/>
    <n v="1"/>
    <s v="HH20240105 T3696578877 No Limit Hold'em $1.84 + $0.16.txt"/>
  </r>
  <r>
    <n v="1798"/>
    <n v="52.540000000000006"/>
    <s v="05.01.2024"/>
    <n v="5"/>
    <x v="0"/>
    <x v="1"/>
    <x v="2"/>
    <n v="-2"/>
    <m/>
    <m/>
    <x v="2"/>
    <n v="-1"/>
    <s v="HH20240105 T3696590030 No Limit Hold'em $1.84 + $0.16.txt"/>
  </r>
  <r>
    <n v="1799"/>
    <n v="50.540000000000006"/>
    <s v="05.01.2024"/>
    <n v="5"/>
    <x v="0"/>
    <x v="1"/>
    <x v="2"/>
    <n v="-2"/>
    <m/>
    <m/>
    <x v="2"/>
    <n v="-1"/>
    <s v="HH20240105 T3696595243 No Limit Hold'em $1.84 + $0.16.txt"/>
  </r>
  <r>
    <n v="1800"/>
    <n v="48.540000000000006"/>
    <s v="05.01.2024"/>
    <n v="5"/>
    <x v="0"/>
    <x v="1"/>
    <x v="2"/>
    <n v="-2"/>
    <m/>
    <m/>
    <x v="2"/>
    <n v="-1"/>
    <s v="HH20240105 T3696596676 No Limit Hold'em $1.84 + $0.16.txt"/>
  </r>
  <r>
    <n v="1801"/>
    <n v="52.540000000000006"/>
    <s v="05.01.2024"/>
    <n v="5"/>
    <x v="0"/>
    <x v="1"/>
    <x v="2"/>
    <n v="-2"/>
    <n v="6"/>
    <m/>
    <x v="1"/>
    <n v="2"/>
    <s v="HH20240105 T3696598969 No Limit Hold'em $1.84 + $0.16.txt"/>
  </r>
  <r>
    <n v="1802"/>
    <n v="54.540000000000006"/>
    <s v="05.01.2024"/>
    <n v="5"/>
    <x v="0"/>
    <x v="1"/>
    <x v="2"/>
    <n v="-2"/>
    <n v="4"/>
    <m/>
    <x v="1"/>
    <n v="1"/>
    <s v="HH20240105 T3696604411 No Limit Hold'em $1.84 + $0.16.txt"/>
  </r>
  <r>
    <n v="1803"/>
    <n v="56.540000000000006"/>
    <s v="05.01.2024"/>
    <n v="5"/>
    <x v="0"/>
    <x v="1"/>
    <x v="2"/>
    <n v="-2"/>
    <n v="4"/>
    <m/>
    <x v="1"/>
    <n v="1"/>
    <s v="HH20240105 T3696609533 No Limit Hold'em $1.84 + $0.16.txt"/>
  </r>
  <r>
    <n v="1804"/>
    <n v="60.540000000000006"/>
    <s v="05.01.2024"/>
    <n v="5"/>
    <x v="0"/>
    <x v="1"/>
    <x v="2"/>
    <n v="-2"/>
    <n v="6"/>
    <m/>
    <x v="1"/>
    <n v="2"/>
    <s v="HH20240105 T3696612285 No Limit Hold'em $1.84 + $0.16.txt"/>
  </r>
  <r>
    <n v="1805"/>
    <n v="58.540000000000006"/>
    <s v="05.01.2024"/>
    <n v="5"/>
    <x v="0"/>
    <x v="1"/>
    <x v="2"/>
    <n v="-2"/>
    <m/>
    <m/>
    <x v="2"/>
    <n v="-1"/>
    <s v="HH20240105 T3696621571 No Limit Hold'em $1.84 + $0.16.txt"/>
  </r>
  <r>
    <n v="1806"/>
    <n v="56.540000000000006"/>
    <s v="05.01.2024"/>
    <n v="5"/>
    <x v="0"/>
    <x v="1"/>
    <x v="2"/>
    <n v="-2"/>
    <m/>
    <m/>
    <x v="2"/>
    <n v="-1"/>
    <s v="HH20240105 T3696626308 No Limit Hold'em $1.84 + $0.16.txt"/>
  </r>
  <r>
    <n v="1807"/>
    <n v="58.540000000000006"/>
    <s v="05.01.2024"/>
    <n v="5"/>
    <x v="0"/>
    <x v="1"/>
    <x v="2"/>
    <n v="-2"/>
    <n v="4"/>
    <m/>
    <x v="1"/>
    <n v="1"/>
    <s v="HH20240105 T3696627723 No Limit Hold'em $1.84 + $0.16.txt"/>
  </r>
  <r>
    <n v="1808"/>
    <n v="56.540000000000006"/>
    <s v="05.01.2024"/>
    <n v="5"/>
    <x v="0"/>
    <x v="1"/>
    <x v="2"/>
    <n v="-2"/>
    <m/>
    <m/>
    <x v="2"/>
    <n v="-1"/>
    <s v="HH20240105 T3696630110 No Limit Hold'em $1.84 + $0.16.txt"/>
  </r>
  <r>
    <n v="1809"/>
    <n v="54.540000000000006"/>
    <s v="05.01.2024"/>
    <n v="5"/>
    <x v="0"/>
    <x v="1"/>
    <x v="2"/>
    <n v="-2"/>
    <m/>
    <m/>
    <x v="2"/>
    <n v="-1"/>
    <s v="HH20240105 T3696631999 No Limit Hold'em $1.84 + $0.16.txt"/>
  </r>
  <r>
    <n v="1810"/>
    <n v="52.540000000000006"/>
    <s v="05.01.2024"/>
    <n v="5"/>
    <x v="0"/>
    <x v="1"/>
    <x v="2"/>
    <n v="-2"/>
    <m/>
    <m/>
    <x v="2"/>
    <n v="-1"/>
    <s v="HH20240105 T3696635962 No Limit Hold'em $1.84 + $0.16.txt"/>
  </r>
  <r>
    <n v="1811"/>
    <n v="50.540000000000006"/>
    <s v="05.01.2024"/>
    <n v="5"/>
    <x v="0"/>
    <x v="1"/>
    <x v="2"/>
    <n v="-2"/>
    <m/>
    <m/>
    <x v="2"/>
    <n v="-1"/>
    <s v="HH20240105 T3696638019 No Limit Hold'em $1.84 + $0.16.txt"/>
  </r>
  <r>
    <n v="1812"/>
    <n v="45.040000000000006"/>
    <s v="06.01.2024"/>
    <n v="6"/>
    <x v="0"/>
    <x v="1"/>
    <x v="3"/>
    <n v="-5.5"/>
    <m/>
    <m/>
    <x v="2"/>
    <n v="-1"/>
    <s v="HH20240106 T3694939405 No Limit Hold'em $4.90 + $0.60.txt"/>
  </r>
  <r>
    <n v="1813"/>
    <n v="49.040000000000006"/>
    <s v="06.01.2024"/>
    <n v="6"/>
    <x v="0"/>
    <x v="1"/>
    <x v="2"/>
    <n v="-2"/>
    <n v="6"/>
    <m/>
    <x v="1"/>
    <n v="2"/>
    <s v="HH20240106 T3697072669 No Limit Hold'em $1.84 + $0.16.txt"/>
  </r>
  <r>
    <n v="1814"/>
    <n v="47.040000000000006"/>
    <s v="06.01.2024"/>
    <n v="6"/>
    <x v="0"/>
    <x v="1"/>
    <x v="2"/>
    <n v="-2"/>
    <m/>
    <m/>
    <x v="2"/>
    <n v="-1"/>
    <s v="HH20240106 T3697087430 No Limit Hold'em $1.84 + $0.16.txt"/>
  </r>
  <r>
    <n v="1815"/>
    <n v="45.040000000000006"/>
    <s v="06.01.2024"/>
    <n v="6"/>
    <x v="0"/>
    <x v="1"/>
    <x v="2"/>
    <n v="-2"/>
    <m/>
    <m/>
    <x v="2"/>
    <n v="-1"/>
    <s v="HH20240106 T3697088314 No Limit Hold'em $1.84 + $0.16.txt"/>
  </r>
  <r>
    <n v="1816"/>
    <n v="43.040000000000006"/>
    <s v="06.01.2024"/>
    <n v="6"/>
    <x v="0"/>
    <x v="1"/>
    <x v="2"/>
    <n v="-2"/>
    <m/>
    <m/>
    <x v="2"/>
    <n v="-1"/>
    <s v="HH20240106 T3697094046 No Limit Hold'em $1.84 + $0.16.txt"/>
  </r>
  <r>
    <n v="1817"/>
    <n v="45.040000000000006"/>
    <s v="06.01.2024"/>
    <n v="6"/>
    <x v="0"/>
    <x v="1"/>
    <x v="2"/>
    <n v="-2"/>
    <n v="4"/>
    <m/>
    <x v="1"/>
    <n v="1"/>
    <s v="HH20240106 T3697095626 No Limit Hold'em $1.84 + $0.16.txt"/>
  </r>
  <r>
    <n v="1818"/>
    <n v="47.040000000000006"/>
    <s v="07.01.2024"/>
    <n v="7"/>
    <x v="0"/>
    <x v="1"/>
    <x v="2"/>
    <n v="-2"/>
    <n v="4"/>
    <m/>
    <x v="1"/>
    <n v="1"/>
    <s v="HH20240107 T3697414806 No Limit Hold'em $1.84 + $0.16.txt"/>
  </r>
  <r>
    <n v="1819"/>
    <n v="45.040000000000006"/>
    <s v="07.01.2024"/>
    <n v="7"/>
    <x v="0"/>
    <x v="1"/>
    <x v="2"/>
    <n v="-2"/>
    <m/>
    <m/>
    <x v="2"/>
    <n v="-1"/>
    <s v="HH20240107 T3697611899 No Limit Hold'em $1.84 + $0.16.txt"/>
  </r>
  <r>
    <n v="1820"/>
    <n v="47.040000000000006"/>
    <s v="07.01.2024"/>
    <n v="7"/>
    <x v="0"/>
    <x v="1"/>
    <x v="2"/>
    <n v="-2"/>
    <n v="4"/>
    <m/>
    <x v="1"/>
    <n v="1"/>
    <s v="HH20240107 T3697615975 No Limit Hold'em $1.84 + $0.16.txt"/>
  </r>
  <r>
    <n v="1821"/>
    <n v="45.040000000000006"/>
    <s v="07.01.2024"/>
    <n v="7"/>
    <x v="0"/>
    <x v="1"/>
    <x v="2"/>
    <n v="-2"/>
    <m/>
    <m/>
    <x v="2"/>
    <n v="-1"/>
    <s v="HH20240107 T3697618486 No Limit Hold'em $1.84 + $0.16.txt"/>
  </r>
  <r>
    <n v="1822"/>
    <n v="43.040000000000006"/>
    <s v="07.01.2024"/>
    <n v="7"/>
    <x v="0"/>
    <x v="1"/>
    <x v="2"/>
    <n v="-2"/>
    <m/>
    <m/>
    <x v="2"/>
    <n v="-1"/>
    <s v="HH20240107 T3697619831 No Limit Hold'em $1.84 + $0.16.txt"/>
  </r>
  <r>
    <n v="1823"/>
    <n v="41.040000000000006"/>
    <s v="07.01.2024"/>
    <n v="7"/>
    <x v="0"/>
    <x v="1"/>
    <x v="2"/>
    <n v="-2"/>
    <m/>
    <m/>
    <x v="2"/>
    <n v="-1"/>
    <s v="HH20240107 T3697622596 No Limit Hold'em $1.84 + $0.16.txt"/>
  </r>
  <r>
    <n v="1824"/>
    <n v="39.040000000000006"/>
    <s v="08.01.2024"/>
    <n v="8"/>
    <x v="0"/>
    <x v="1"/>
    <x v="2"/>
    <n v="-2"/>
    <m/>
    <m/>
    <x v="2"/>
    <n v="-1"/>
    <s v="HH20240108 T3698012888 No Limit Hold'em $1.84 + $0.16.txt"/>
  </r>
  <r>
    <n v="1825"/>
    <n v="37.040000000000006"/>
    <s v="08.01.2024"/>
    <n v="8"/>
    <x v="0"/>
    <x v="1"/>
    <x v="2"/>
    <n v="-2"/>
    <m/>
    <m/>
    <x v="2"/>
    <n v="-1"/>
    <s v="HH20240108 T3698014479 No Limit Hold'em $1.84 + $0.16.txt"/>
  </r>
  <r>
    <n v="1826"/>
    <n v="35.040000000000006"/>
    <s v="08.01.2024"/>
    <n v="8"/>
    <x v="0"/>
    <x v="1"/>
    <x v="2"/>
    <n v="-2"/>
    <m/>
    <m/>
    <x v="2"/>
    <n v="-1"/>
    <s v="HH20240108 T3698018153 No Limit Hold'em $1.84 + $0.16.txt"/>
  </r>
  <r>
    <n v="1827"/>
    <n v="33.040000000000006"/>
    <s v="09.01.2024"/>
    <n v="9"/>
    <x v="0"/>
    <x v="1"/>
    <x v="2"/>
    <n v="-2"/>
    <m/>
    <m/>
    <x v="2"/>
    <n v="-1"/>
    <s v="HH20240109 T3698358137 No Limit Hold'em $1.84 + $0.16.txt"/>
  </r>
  <r>
    <n v="1828"/>
    <n v="37.040000000000006"/>
    <s v="09.01.2024"/>
    <n v="9"/>
    <x v="0"/>
    <x v="1"/>
    <x v="2"/>
    <n v="-2"/>
    <n v="6"/>
    <m/>
    <x v="1"/>
    <n v="2"/>
    <s v="HH20240109 T3698360091 No Limit Hold'em $1.84 + $0.16.txt"/>
  </r>
  <r>
    <n v="1829"/>
    <n v="35.040000000000006"/>
    <s v="09.01.2024"/>
    <n v="9"/>
    <x v="0"/>
    <x v="1"/>
    <x v="2"/>
    <n v="-2"/>
    <m/>
    <m/>
    <x v="2"/>
    <n v="-1"/>
    <s v="HH20240109 T3698363000 No Limit Hold'em $1.84 + $0.16.txt"/>
  </r>
  <r>
    <n v="1830"/>
    <n v="33.040000000000006"/>
    <s v="09.01.2024"/>
    <n v="9"/>
    <x v="0"/>
    <x v="1"/>
    <x v="2"/>
    <n v="-2"/>
    <m/>
    <m/>
    <x v="2"/>
    <n v="-1"/>
    <s v="HH20240109 T3698405426 No Limit Hold'em $1.84 + $0.16.txt"/>
  </r>
  <r>
    <n v="1831"/>
    <n v="31.040000000000006"/>
    <s v="09.01.2024"/>
    <n v="9"/>
    <x v="0"/>
    <x v="1"/>
    <x v="2"/>
    <n v="-2"/>
    <m/>
    <m/>
    <x v="2"/>
    <n v="-1"/>
    <s v="HH20240109 T3698409402 No Limit Hold'em $1.84 + $0.16.txt"/>
  </r>
  <r>
    <n v="1832"/>
    <n v="29.040000000000006"/>
    <s v="09.01.2024"/>
    <n v="9"/>
    <x v="0"/>
    <x v="1"/>
    <x v="2"/>
    <n v="-2"/>
    <m/>
    <m/>
    <x v="2"/>
    <n v="-1"/>
    <s v="HH20240109 T3698456124 No Limit Hold'em $1.84 + $0.16.txt"/>
  </r>
  <r>
    <n v="1833"/>
    <n v="27.040000000000006"/>
    <s v="09.01.2024"/>
    <n v="9"/>
    <x v="0"/>
    <x v="1"/>
    <x v="2"/>
    <n v="-2"/>
    <m/>
    <m/>
    <x v="2"/>
    <n v="-1"/>
    <s v="HH20240109 T3698526330 No Limit Hold'em $1.84 + $0.16.txt"/>
  </r>
  <r>
    <n v="1834"/>
    <n v="25.040000000000006"/>
    <s v="09.01.2024"/>
    <n v="9"/>
    <x v="0"/>
    <x v="1"/>
    <x v="2"/>
    <n v="-2"/>
    <m/>
    <m/>
    <x v="2"/>
    <n v="-1"/>
    <s v="HH20240109 T3698529178 No Limit Hold'em $1.84 + $0.16.txt"/>
  </r>
  <r>
    <n v="1835"/>
    <n v="23.040000000000006"/>
    <s v="09.01.2024"/>
    <n v="9"/>
    <x v="0"/>
    <x v="1"/>
    <x v="2"/>
    <n v="-2"/>
    <m/>
    <m/>
    <x v="2"/>
    <n v="-1"/>
    <s v="HH20240109 T3698530605 No Limit Hold'em $1.84 + $0.16.txt"/>
  </r>
  <r>
    <n v="1836"/>
    <n v="25.040000000000006"/>
    <s v="10.01.2024"/>
    <n v="10"/>
    <x v="0"/>
    <x v="1"/>
    <x v="2"/>
    <n v="-2"/>
    <n v="4"/>
    <m/>
    <x v="1"/>
    <n v="1"/>
    <s v="HH20240110 T3699035468 No Limit Hold'em $1.84 + $0.16.txt"/>
  </r>
  <r>
    <n v="1837"/>
    <n v="23.040000000000006"/>
    <s v="10.01.2024"/>
    <n v="10"/>
    <x v="0"/>
    <x v="1"/>
    <x v="2"/>
    <n v="-2"/>
    <m/>
    <m/>
    <x v="2"/>
    <n v="-1"/>
    <s v="HH20240110 T3699039644 No Limit Hold'em $1.84 + $0.16.txt"/>
  </r>
  <r>
    <n v="1838"/>
    <n v="27.040000000000006"/>
    <s v="10.01.2024"/>
    <n v="10"/>
    <x v="0"/>
    <x v="1"/>
    <x v="2"/>
    <n v="-2"/>
    <n v="6"/>
    <m/>
    <x v="1"/>
    <n v="2"/>
    <s v="HH20240110 T3699042604 No Limit Hold'em $1.84 + $0.16.txt"/>
  </r>
  <r>
    <n v="1839"/>
    <n v="25.040000000000006"/>
    <s v="11.01.2024"/>
    <n v="11"/>
    <x v="0"/>
    <x v="1"/>
    <x v="2"/>
    <n v="-2"/>
    <m/>
    <m/>
    <x v="2"/>
    <n v="-1"/>
    <s v="HH20240111 T3699439259 No Limit Hold'em $1.84 + $0.16.txt"/>
  </r>
  <r>
    <n v="1840"/>
    <n v="27.040000000000006"/>
    <s v="11.01.2024"/>
    <n v="11"/>
    <x v="0"/>
    <x v="1"/>
    <x v="2"/>
    <n v="-2"/>
    <n v="4"/>
    <m/>
    <x v="1"/>
    <n v="1"/>
    <s v="HH20240111 T3699442387 No Limit Hold'em $1.84 + $0.16.txt"/>
  </r>
  <r>
    <n v="1841"/>
    <n v="25.040000000000006"/>
    <s v="11.01.2024"/>
    <n v="11"/>
    <x v="0"/>
    <x v="1"/>
    <x v="2"/>
    <n v="-2"/>
    <m/>
    <m/>
    <x v="2"/>
    <n v="-1"/>
    <s v="HH20240111 T3699447178 No Limit Hold'em $1.84 + $0.16.txt"/>
  </r>
  <r>
    <n v="1842"/>
    <n v="23.040000000000006"/>
    <s v="11.01.2024"/>
    <n v="11"/>
    <x v="0"/>
    <x v="1"/>
    <x v="2"/>
    <n v="-2"/>
    <m/>
    <m/>
    <x v="2"/>
    <n v="-1"/>
    <s v="HH20240111 T3699451894 No Limit Hold'em $1.84 + $0.16.txt"/>
  </r>
  <r>
    <n v="1843"/>
    <n v="27.040000000000006"/>
    <s v="11.01.2024"/>
    <n v="11"/>
    <x v="0"/>
    <x v="1"/>
    <x v="2"/>
    <n v="-2"/>
    <n v="6"/>
    <m/>
    <x v="1"/>
    <n v="2"/>
    <s v="HH20240111 T3699455253 No Limit Hold'em $1.84 + $0.16.txt"/>
  </r>
  <r>
    <n v="1844"/>
    <n v="29.040000000000006"/>
    <s v="11.01.2024"/>
    <n v="11"/>
    <x v="0"/>
    <x v="1"/>
    <x v="2"/>
    <n v="-2"/>
    <n v="4"/>
    <m/>
    <x v="1"/>
    <n v="1"/>
    <s v="HH20240111 T3699460462 No Limit Hold'em $1.84 + $0.16.txt"/>
  </r>
  <r>
    <n v="1845"/>
    <n v="27.040000000000006"/>
    <s v="11.01.2024"/>
    <n v="11"/>
    <x v="0"/>
    <x v="1"/>
    <x v="2"/>
    <n v="-2"/>
    <m/>
    <m/>
    <x v="2"/>
    <n v="-1"/>
    <s v="HH20240111 T3699465517 No Limit Hold'em $1.84 + $0.16.txt"/>
  </r>
  <r>
    <n v="1846"/>
    <n v="31.040000000000006"/>
    <s v="11.01.2024"/>
    <n v="11"/>
    <x v="0"/>
    <x v="1"/>
    <x v="2"/>
    <n v="-2"/>
    <n v="6"/>
    <m/>
    <x v="1"/>
    <n v="2"/>
    <s v="HH20240111 T3699468629 No Limit Hold'em $1.84 + $0.16.txt"/>
  </r>
  <r>
    <n v="1847"/>
    <n v="29.040000000000006"/>
    <s v="11.01.2024"/>
    <n v="11"/>
    <x v="0"/>
    <x v="1"/>
    <x v="2"/>
    <n v="-2"/>
    <m/>
    <m/>
    <x v="2"/>
    <n v="-1"/>
    <s v="HH20240111 T3699471833 No Limit Hold'em $1.84 + $0.16.txt"/>
  </r>
  <r>
    <n v="1848"/>
    <n v="27.040000000000006"/>
    <s v="11.01.2024"/>
    <n v="11"/>
    <x v="0"/>
    <x v="1"/>
    <x v="2"/>
    <n v="-2"/>
    <m/>
    <m/>
    <x v="2"/>
    <n v="-1"/>
    <s v="HH20240111 T3699472585 No Limit Hold'em $1.84 + $0.16.txt"/>
  </r>
  <r>
    <n v="1849"/>
    <n v="25.040000000000006"/>
    <s v="11.01.2024"/>
    <n v="11"/>
    <x v="0"/>
    <x v="1"/>
    <x v="2"/>
    <n v="-2"/>
    <m/>
    <m/>
    <x v="2"/>
    <n v="-1"/>
    <s v="HH20240111 T3699475130 No Limit Hold'em $1.84 + $0.16.txt"/>
  </r>
  <r>
    <n v="1850"/>
    <n v="23.040000000000006"/>
    <s v="11.01.2024"/>
    <n v="11"/>
    <x v="0"/>
    <x v="1"/>
    <x v="2"/>
    <n v="-2"/>
    <m/>
    <m/>
    <x v="2"/>
    <n v="-1"/>
    <s v="HH20240111 T3699521843 No Limit Hold'em $1.84 + $0.16.txt"/>
  </r>
  <r>
    <n v="1851"/>
    <n v="21.040000000000006"/>
    <s v="11.01.2024"/>
    <n v="11"/>
    <x v="0"/>
    <x v="1"/>
    <x v="2"/>
    <n v="-2"/>
    <m/>
    <m/>
    <x v="2"/>
    <n v="-1"/>
    <s v="HH20240111 T3699524255 No Limit Hold'em $1.84 + $0.16.txt"/>
  </r>
  <r>
    <n v="1852"/>
    <n v="25.040000000000006"/>
    <s v="11.01.2024"/>
    <n v="11"/>
    <x v="0"/>
    <x v="1"/>
    <x v="2"/>
    <n v="-2"/>
    <n v="6"/>
    <m/>
    <x v="1"/>
    <n v="2"/>
    <s v="HH20240111 T3699527145 No Limit Hold'em $1.84 + $0.16.txt"/>
  </r>
  <r>
    <n v="1853"/>
    <n v="29.040000000000006"/>
    <s v="11.01.2024"/>
    <n v="11"/>
    <x v="0"/>
    <x v="1"/>
    <x v="2"/>
    <n v="-2"/>
    <n v="6"/>
    <m/>
    <x v="1"/>
    <n v="2"/>
    <s v="HH20240111 T3699580069 No Limit Hold'em $1.84 + $0.16.txt"/>
  </r>
  <r>
    <n v="1854"/>
    <n v="31.040000000000006"/>
    <s v="11.01.2024"/>
    <n v="11"/>
    <x v="0"/>
    <x v="1"/>
    <x v="2"/>
    <n v="-2"/>
    <n v="4"/>
    <m/>
    <x v="1"/>
    <n v="1"/>
    <s v="HH20240111 T3699586849 No Limit Hold'em $1.84 + $0.16.txt"/>
  </r>
  <r>
    <n v="1855"/>
    <n v="29.040000000000006"/>
    <s v="12.01.2024"/>
    <n v="12"/>
    <x v="0"/>
    <x v="1"/>
    <x v="2"/>
    <n v="-2"/>
    <m/>
    <m/>
    <x v="2"/>
    <n v="-1"/>
    <s v="HH20240112 T3699803195 No Limit Hold'em $1.84 + $0.16.txt"/>
  </r>
  <r>
    <n v="1856"/>
    <n v="33.040000000000006"/>
    <s v="12.01.2024"/>
    <n v="12"/>
    <x v="0"/>
    <x v="1"/>
    <x v="2"/>
    <n v="-2"/>
    <n v="6"/>
    <m/>
    <x v="1"/>
    <n v="2"/>
    <s v="HH20240112 T3699804624 No Limit Hold'em $1.84 + $0.16.txt"/>
  </r>
  <r>
    <n v="1857"/>
    <n v="31.040000000000006"/>
    <s v="12.01.2024"/>
    <n v="12"/>
    <x v="0"/>
    <x v="1"/>
    <x v="2"/>
    <n v="-2"/>
    <m/>
    <m/>
    <x v="2"/>
    <n v="-1"/>
    <s v="HH20240112 T3699806907 No Limit Hold'em $1.84 + $0.16.txt"/>
  </r>
  <r>
    <n v="1858"/>
    <n v="29.040000000000006"/>
    <s v="12.01.2024"/>
    <n v="12"/>
    <x v="0"/>
    <x v="1"/>
    <x v="2"/>
    <n v="-2"/>
    <m/>
    <m/>
    <x v="2"/>
    <n v="-1"/>
    <s v="HH20240112 T3699808632 No Limit Hold'em $1.84 + $0.16.txt"/>
  </r>
  <r>
    <n v="1859"/>
    <n v="27.040000000000006"/>
    <s v="12.01.2024"/>
    <n v="12"/>
    <x v="0"/>
    <x v="1"/>
    <x v="2"/>
    <n v="-2"/>
    <m/>
    <m/>
    <x v="2"/>
    <n v="-1"/>
    <s v="HH20240112 T3699810784 No Limit Hold'em $1.84 + $0.16.txt"/>
  </r>
  <r>
    <n v="1860"/>
    <n v="25.040000000000006"/>
    <s v="13.01.2024"/>
    <n v="13"/>
    <x v="0"/>
    <x v="1"/>
    <x v="2"/>
    <n v="-2"/>
    <m/>
    <m/>
    <x v="2"/>
    <n v="-1"/>
    <s v="HH20240113 T3700393651 No Limit Hold'em $1.84 + $0.16.txt"/>
  </r>
  <r>
    <n v="1861"/>
    <n v="29.040000000000006"/>
    <s v="13.01.2024"/>
    <n v="13"/>
    <x v="0"/>
    <x v="1"/>
    <x v="2"/>
    <n v="-2"/>
    <n v="6"/>
    <m/>
    <x v="1"/>
    <n v="2"/>
    <s v="HH20240113 T3700397175 No Limit Hold'em $1.84 + $0.16.txt"/>
  </r>
  <r>
    <n v="1862"/>
    <n v="31.040000000000006"/>
    <s v="13.01.2024"/>
    <n v="13"/>
    <x v="0"/>
    <x v="1"/>
    <x v="2"/>
    <n v="-2"/>
    <n v="4"/>
    <m/>
    <x v="1"/>
    <n v="1"/>
    <s v="HH20240113 T3700427469 No Limit Hold'em $1.84 + $0.16.txt"/>
  </r>
  <r>
    <n v="1863"/>
    <n v="29.040000000000006"/>
    <s v="13.01.2024"/>
    <n v="13"/>
    <x v="0"/>
    <x v="1"/>
    <x v="2"/>
    <n v="-2"/>
    <m/>
    <m/>
    <x v="2"/>
    <n v="-1"/>
    <s v="HH20240113 T3700430360 No Limit Hold'em $1.84 + $0.16.txt"/>
  </r>
  <r>
    <n v="1864"/>
    <n v="27.040000000000006"/>
    <s v="13.01.2024"/>
    <n v="13"/>
    <x v="0"/>
    <x v="1"/>
    <x v="2"/>
    <n v="-2"/>
    <m/>
    <m/>
    <x v="2"/>
    <n v="-1"/>
    <s v="HH20240113 T3700436310 No Limit Hold'em $1.84 + $0.16.txt"/>
  </r>
  <r>
    <n v="1865"/>
    <n v="25.040000000000006"/>
    <s v="13.01.2024"/>
    <n v="13"/>
    <x v="0"/>
    <x v="1"/>
    <x v="2"/>
    <n v="-2"/>
    <m/>
    <m/>
    <x v="2"/>
    <n v="-1"/>
    <s v="HH20240113 T3700439479 No Limit Hold'em $1.84 + $0.16.txt"/>
  </r>
  <r>
    <n v="1866"/>
    <n v="29.040000000000006"/>
    <s v="13.01.2024"/>
    <n v="13"/>
    <x v="0"/>
    <x v="1"/>
    <x v="2"/>
    <n v="-2"/>
    <n v="6"/>
    <m/>
    <x v="1"/>
    <n v="2"/>
    <s v="HH20240113 T3700637710 No Limit Hold'em $1.84 + $0.16.txt"/>
  </r>
  <r>
    <n v="1867"/>
    <n v="27.040000000000006"/>
    <s v="13.01.2024"/>
    <n v="13"/>
    <x v="0"/>
    <x v="1"/>
    <x v="2"/>
    <n v="-2"/>
    <m/>
    <m/>
    <x v="2"/>
    <n v="-1"/>
    <s v="HH20240113 T3700643926 No Limit Hold'em $1.84 + $0.16.txt"/>
  </r>
  <r>
    <n v="1868"/>
    <n v="41.040000000000006"/>
    <s v="14.01.2024"/>
    <n v="14"/>
    <x v="0"/>
    <x v="1"/>
    <x v="2"/>
    <n v="-2"/>
    <n v="16"/>
    <m/>
    <x v="1"/>
    <n v="7"/>
    <s v="HH20240114 T3700858544 No Limit Hold'em $1.84 + $0.16.txt"/>
  </r>
  <r>
    <n v="1869"/>
    <n v="39.040000000000006"/>
    <s v="14.01.2024"/>
    <n v="14"/>
    <x v="0"/>
    <x v="1"/>
    <x v="2"/>
    <n v="-2"/>
    <m/>
    <m/>
    <x v="2"/>
    <n v="-1"/>
    <s v="HH20240114 T3700863630 No Limit Hold'em $1.84 + $0.16.txt"/>
  </r>
  <r>
    <n v="1870"/>
    <n v="37.040000000000006"/>
    <s v="14.01.2024"/>
    <n v="14"/>
    <x v="0"/>
    <x v="1"/>
    <x v="2"/>
    <n v="-2"/>
    <m/>
    <m/>
    <x v="2"/>
    <n v="-1"/>
    <s v="HH20240114 T3700864874 No Limit Hold'em $1.84 + $0.16.txt"/>
  </r>
  <r>
    <n v="1871"/>
    <n v="41.040000000000006"/>
    <s v="14.01.2024"/>
    <n v="14"/>
    <x v="0"/>
    <x v="1"/>
    <x v="2"/>
    <n v="-2"/>
    <n v="6"/>
    <m/>
    <x v="1"/>
    <n v="2"/>
    <s v="HH20240114 T3700867984 No Limit Hold'em $1.84 + $0.16.txt"/>
  </r>
  <r>
    <n v="1872"/>
    <n v="45.040000000000006"/>
    <s v="14.01.2024"/>
    <n v="14"/>
    <x v="0"/>
    <x v="1"/>
    <x v="2"/>
    <n v="-2"/>
    <n v="6"/>
    <m/>
    <x v="1"/>
    <n v="2"/>
    <s v="HH20240114 T3700945698 No Limit Hold'em $1.84 + $0.16.txt"/>
  </r>
  <r>
    <n v="1873"/>
    <n v="43.040000000000006"/>
    <s v="14.01.2024"/>
    <n v="14"/>
    <x v="0"/>
    <x v="1"/>
    <x v="2"/>
    <n v="-2"/>
    <m/>
    <m/>
    <x v="2"/>
    <n v="-1"/>
    <s v="HH20240114 T3700988584 No Limit Hold'em $1.84 + $0.16.txt"/>
  </r>
  <r>
    <n v="1874"/>
    <n v="41.040000000000006"/>
    <s v="14.01.2024"/>
    <n v="14"/>
    <x v="0"/>
    <x v="1"/>
    <x v="2"/>
    <n v="-2"/>
    <m/>
    <m/>
    <x v="2"/>
    <n v="-1"/>
    <s v="HH20240114 T3700991421 No Limit Hold'em $1.84 + $0.16.txt"/>
  </r>
  <r>
    <n v="1875"/>
    <n v="39.040000000000006"/>
    <s v="14.01.2024"/>
    <n v="14"/>
    <x v="0"/>
    <x v="1"/>
    <x v="2"/>
    <n v="-2"/>
    <m/>
    <m/>
    <x v="2"/>
    <n v="-1"/>
    <s v="HH20240114 T3700992702 No Limit Hold'em $1.84 + $0.16.txt"/>
  </r>
  <r>
    <n v="1876"/>
    <n v="41.040000000000006"/>
    <s v="14.01.2024"/>
    <n v="14"/>
    <x v="0"/>
    <x v="1"/>
    <x v="2"/>
    <n v="-2"/>
    <n v="4"/>
    <m/>
    <x v="1"/>
    <n v="1"/>
    <s v="HH20240114 T3700997192 No Limit Hold'em $1.84 + $0.16.txt"/>
  </r>
  <r>
    <n v="1877"/>
    <n v="39.040000000000006"/>
    <s v="14.01.2024"/>
    <n v="14"/>
    <x v="0"/>
    <x v="1"/>
    <x v="2"/>
    <n v="-2"/>
    <m/>
    <m/>
    <x v="2"/>
    <n v="-1"/>
    <s v="HH20240114 T3701022206 No Limit Hold'em $1.84 + $0.16.txt"/>
  </r>
  <r>
    <n v="1878"/>
    <n v="37.040000000000006"/>
    <s v="14.01.2024"/>
    <n v="14"/>
    <x v="0"/>
    <x v="1"/>
    <x v="2"/>
    <n v="-2"/>
    <m/>
    <m/>
    <x v="2"/>
    <n v="-1"/>
    <s v="HH20240114 T3701025733 No Limit Hold'em $1.84 + $0.16.txt"/>
  </r>
  <r>
    <n v="1879"/>
    <n v="35.040000000000006"/>
    <s v="14.01.2024"/>
    <n v="14"/>
    <x v="0"/>
    <x v="1"/>
    <x v="2"/>
    <n v="-2"/>
    <m/>
    <m/>
    <x v="2"/>
    <n v="-1"/>
    <s v="HH20240114 T3701028314 No Limit Hold'em $1.84 + $0.16.txt"/>
  </r>
  <r>
    <n v="1880"/>
    <n v="33.040000000000006"/>
    <s v="14.01.2024"/>
    <n v="14"/>
    <x v="0"/>
    <x v="1"/>
    <x v="2"/>
    <n v="-2"/>
    <m/>
    <m/>
    <x v="2"/>
    <n v="-1"/>
    <s v="HH20240114 T3701031213 No Limit Hold'em $1.84 + $0.16.txt"/>
  </r>
  <r>
    <n v="1881"/>
    <n v="31.040000000000006"/>
    <s v="14.01.2024"/>
    <n v="14"/>
    <x v="0"/>
    <x v="1"/>
    <x v="2"/>
    <n v="-2"/>
    <m/>
    <m/>
    <x v="2"/>
    <n v="-1"/>
    <s v="HH20240114 T3701034511 No Limit Hold'em $1.84 + $0.16.txt"/>
  </r>
  <r>
    <n v="1882"/>
    <n v="29.040000000000006"/>
    <s v="14.01.2024"/>
    <n v="14"/>
    <x v="0"/>
    <x v="1"/>
    <x v="2"/>
    <n v="-2"/>
    <m/>
    <m/>
    <x v="2"/>
    <n v="-1"/>
    <s v="HH20240114 T3701037035 No Limit Hold'em $1.84 + $0.16.txt"/>
  </r>
  <r>
    <n v="1883"/>
    <n v="27.040000000000006"/>
    <s v="14.01.2024"/>
    <n v="14"/>
    <x v="0"/>
    <x v="1"/>
    <x v="2"/>
    <n v="-2"/>
    <m/>
    <m/>
    <x v="2"/>
    <n v="-1"/>
    <s v="HH20240114 T3701041251 No Limit Hold'em $1.84 + $0.16.txt"/>
  </r>
  <r>
    <n v="1884"/>
    <n v="29.040000000000006"/>
    <s v="14.01.2024"/>
    <n v="14"/>
    <x v="0"/>
    <x v="1"/>
    <x v="2"/>
    <n v="-2"/>
    <n v="4"/>
    <m/>
    <x v="1"/>
    <n v="1"/>
    <s v="HH20240114 T3701044072 No Limit Hold'em $1.84 + $0.16.txt"/>
  </r>
  <r>
    <n v="1885"/>
    <n v="18.040000000000006"/>
    <s v="14.01.2024"/>
    <n v="14"/>
    <x v="0"/>
    <x v="1"/>
    <x v="2"/>
    <n v="-11"/>
    <m/>
    <m/>
    <x v="2"/>
    <n v="-1"/>
    <s v="HH20240114 T3696520001 No Limit Hold'em $9.80 + $1.20.txt"/>
  </r>
  <r>
    <n v="1886"/>
    <n v="22.040000000000006"/>
    <s v="14.01.2024"/>
    <n v="14"/>
    <x v="0"/>
    <x v="1"/>
    <x v="2"/>
    <n v="-2"/>
    <n v="6"/>
    <m/>
    <x v="1"/>
    <n v="2"/>
    <s v="HH20240114 T3701111672 No Limit Hold'em $1.84 + $0.16.txt"/>
  </r>
  <r>
    <n v="1887"/>
    <n v="20.040000000000006"/>
    <s v="14.01.2024"/>
    <n v="14"/>
    <x v="0"/>
    <x v="1"/>
    <x v="2"/>
    <n v="-2"/>
    <m/>
    <m/>
    <x v="2"/>
    <n v="-1"/>
    <s v="HH20240114 T3701115681 No Limit Hold'em $1.84 + $0.16.txt"/>
  </r>
  <r>
    <n v="1888"/>
    <n v="26.040000000000006"/>
    <s v="15.01.2024"/>
    <n v="15"/>
    <x v="0"/>
    <x v="1"/>
    <x v="2"/>
    <n v="-2"/>
    <n v="8"/>
    <m/>
    <x v="1"/>
    <n v="3"/>
    <s v="HH20240115 T3701613867 No Limit Hold'em $1.84 + $0.16.txt"/>
  </r>
  <r>
    <n v="1889"/>
    <n v="24.040000000000006"/>
    <s v="16.01.2024"/>
    <n v="16"/>
    <x v="0"/>
    <x v="1"/>
    <x v="2"/>
    <n v="-2"/>
    <m/>
    <m/>
    <x v="2"/>
    <n v="-1"/>
    <s v="HH20240116 T3702083586 No Limit Hold'em $1.84 + $0.16.txt"/>
  </r>
  <r>
    <n v="1890"/>
    <n v="26.040000000000006"/>
    <s v="16.01.2024"/>
    <n v="16"/>
    <x v="0"/>
    <x v="1"/>
    <x v="2"/>
    <n v="-2"/>
    <n v="4"/>
    <m/>
    <x v="1"/>
    <n v="1"/>
    <s v="HH20240116 T3702085991 No Limit Hold'em $1.84 + $0.16.txt"/>
  </r>
  <r>
    <n v="1891"/>
    <n v="24.040000000000006"/>
    <s v="17.01.2024"/>
    <n v="17"/>
    <x v="0"/>
    <x v="1"/>
    <x v="2"/>
    <n v="-2"/>
    <m/>
    <m/>
    <x v="2"/>
    <n v="-1"/>
    <s v="HH20240117 T3702383775 No Limit Hold'em $1.84 + $0.16.txt"/>
  </r>
  <r>
    <n v="1892"/>
    <n v="28.040000000000006"/>
    <s v="17.01.2024"/>
    <n v="17"/>
    <x v="0"/>
    <x v="1"/>
    <x v="2"/>
    <n v="-2"/>
    <n v="6"/>
    <m/>
    <x v="1"/>
    <n v="2"/>
    <s v="HH20240117 T3702442904 No Limit Hold'em $1.84 + $0.16.txt"/>
  </r>
  <r>
    <n v="1893"/>
    <n v="30.040000000000006"/>
    <s v="17.01.2024"/>
    <n v="17"/>
    <x v="0"/>
    <x v="1"/>
    <x v="2"/>
    <n v="-2"/>
    <n v="4"/>
    <m/>
    <x v="1"/>
    <n v="1"/>
    <s v="HH20240117 T3702450134 No Limit Hold'em $1.84 + $0.16.txt"/>
  </r>
  <r>
    <n v="1894"/>
    <n v="32.040000000000006"/>
    <s v="18.01.2024"/>
    <n v="18"/>
    <x v="0"/>
    <x v="1"/>
    <x v="2"/>
    <n v="-2"/>
    <n v="4"/>
    <m/>
    <x v="1"/>
    <n v="1"/>
    <s v="HH20240118 T3702947583 No Limit Hold'em $1.84 + $0.16.txt"/>
  </r>
  <r>
    <n v="1895"/>
    <n v="36.040000000000006"/>
    <s v="18.01.2024"/>
    <n v="18"/>
    <x v="0"/>
    <x v="1"/>
    <x v="2"/>
    <n v="-2"/>
    <n v="6"/>
    <m/>
    <x v="1"/>
    <n v="2"/>
    <s v="HH20240118 T3702967110 No Limit Hold'em $1.84 + $0.16.txt"/>
  </r>
  <r>
    <n v="1896"/>
    <n v="34.040000000000006"/>
    <s v="20.01.2024"/>
    <n v="20"/>
    <x v="0"/>
    <x v="1"/>
    <x v="2"/>
    <n v="-2"/>
    <m/>
    <m/>
    <x v="2"/>
    <n v="-1"/>
    <s v="HH20240120 T3703725120 No Limit Hold'em $1.84 + $0.16.txt"/>
  </r>
  <r>
    <n v="1897"/>
    <n v="32.040000000000006"/>
    <s v="20.01.2024"/>
    <n v="20"/>
    <x v="0"/>
    <x v="1"/>
    <x v="2"/>
    <n v="-2"/>
    <m/>
    <m/>
    <x v="2"/>
    <n v="-1"/>
    <s v="HH20240120 T3703726191 No Limit Hold'em $1.84 + $0.16.txt"/>
  </r>
  <r>
    <n v="1898"/>
    <n v="34.040000000000006"/>
    <s v="20.01.2024"/>
    <n v="20"/>
    <x v="0"/>
    <x v="1"/>
    <x v="2"/>
    <n v="-2"/>
    <n v="4"/>
    <m/>
    <x v="1"/>
    <n v="1"/>
    <s v="HH20240120 T3703727544 No Limit Hold'em $1.84 + $0.16.txt"/>
  </r>
  <r>
    <n v="1899"/>
    <n v="32.040000000000006"/>
    <s v="20.01.2024"/>
    <n v="20"/>
    <x v="0"/>
    <x v="1"/>
    <x v="2"/>
    <n v="-2"/>
    <m/>
    <m/>
    <x v="2"/>
    <n v="-1"/>
    <s v="HH20240120 T3703730552 No Limit Hold'em $1.84 + $0.16.txt"/>
  </r>
  <r>
    <n v="1900"/>
    <n v="36.040000000000006"/>
    <s v="20.01.2024"/>
    <n v="20"/>
    <x v="0"/>
    <x v="1"/>
    <x v="2"/>
    <n v="-2"/>
    <n v="6"/>
    <m/>
    <x v="1"/>
    <n v="2"/>
    <s v="HH20240120 T3703732068 No Limit Hold'em $1.84 + $0.16.txt"/>
  </r>
  <r>
    <n v="1901"/>
    <n v="34.040000000000006"/>
    <s v="20.01.2024"/>
    <n v="20"/>
    <x v="0"/>
    <x v="1"/>
    <x v="2"/>
    <n v="-2"/>
    <m/>
    <m/>
    <x v="2"/>
    <n v="-1"/>
    <s v="HH20240120 T3703742082 No Limit Hold'em $1.84 + $0.16.txt"/>
  </r>
  <r>
    <n v="1902"/>
    <n v="32.040000000000006"/>
    <s v="20.01.2024"/>
    <n v="20"/>
    <x v="0"/>
    <x v="1"/>
    <x v="2"/>
    <n v="-2"/>
    <m/>
    <m/>
    <x v="2"/>
    <n v="-1"/>
    <s v="HH20240120 T3703754956 No Limit Hold'em $1.84 + $0.16.txt"/>
  </r>
  <r>
    <n v="1903"/>
    <n v="34.040000000000006"/>
    <s v="20.01.2024"/>
    <n v="20"/>
    <x v="0"/>
    <x v="1"/>
    <x v="2"/>
    <n v="-2"/>
    <n v="4"/>
    <m/>
    <x v="1"/>
    <n v="1"/>
    <s v="HH20240120 T3703756964 No Limit Hold'em $1.84 + $0.16.txt"/>
  </r>
  <r>
    <n v="1904"/>
    <n v="36.040000000000006"/>
    <s v="20.01.2024"/>
    <n v="20"/>
    <x v="0"/>
    <x v="1"/>
    <x v="2"/>
    <n v="-2"/>
    <n v="4"/>
    <m/>
    <x v="1"/>
    <n v="1"/>
    <s v="HH20240120 T3703798606 No Limit Hold'em $1.84 + $0.16.txt"/>
  </r>
  <r>
    <n v="1905"/>
    <n v="28.540000000000006"/>
    <s v="20.01.2024"/>
    <n v="20"/>
    <x v="0"/>
    <x v="1"/>
    <x v="3"/>
    <n v="-7.5"/>
    <m/>
    <m/>
    <x v="2"/>
    <n v="-1"/>
    <s v="HH20240120 T3702309750 No Limit Hold'em $6.69 + $0.81.txt"/>
  </r>
  <r>
    <n v="1906"/>
    <n v="26.540000000000006"/>
    <s v="20.01.2024"/>
    <n v="20"/>
    <x v="0"/>
    <x v="1"/>
    <x v="2"/>
    <n v="-2"/>
    <m/>
    <m/>
    <x v="2"/>
    <n v="-1"/>
    <s v="HH20240120 T3703813110 No Limit Hold'em $1.84 + $0.16.txt"/>
  </r>
  <r>
    <n v="1907"/>
    <n v="30.540000000000006"/>
    <s v="20.01.2024"/>
    <n v="20"/>
    <x v="0"/>
    <x v="1"/>
    <x v="2"/>
    <n v="-2"/>
    <n v="6"/>
    <m/>
    <x v="1"/>
    <n v="2"/>
    <s v="HH20240120 T3703814931 No Limit Hold'em $1.84 + $0.16.txt"/>
  </r>
  <r>
    <n v="1908"/>
    <n v="28.540000000000006"/>
    <s v="20.01.2024"/>
    <n v="20"/>
    <x v="0"/>
    <x v="1"/>
    <x v="2"/>
    <n v="-2"/>
    <m/>
    <m/>
    <x v="2"/>
    <n v="-1"/>
    <s v="HH20240120 T3703818209 No Limit Hold'em $1.84 + $0.16.txt"/>
  </r>
  <r>
    <n v="1909"/>
    <n v="32.540000000000006"/>
    <s v="20.01.2024"/>
    <n v="20"/>
    <x v="0"/>
    <x v="1"/>
    <x v="2"/>
    <n v="-2"/>
    <n v="6"/>
    <m/>
    <x v="1"/>
    <n v="2"/>
    <s v="HH20240120 T3703899289 No Limit Hold'em $1.84 + $0.16.txt"/>
  </r>
  <r>
    <n v="1910"/>
    <n v="30.540000000000006"/>
    <s v="20.01.2024"/>
    <n v="20"/>
    <x v="0"/>
    <x v="1"/>
    <x v="2"/>
    <n v="-2"/>
    <m/>
    <m/>
    <x v="2"/>
    <n v="-1"/>
    <s v="HH20240120 T3703953298 No Limit Hold'em $1.84 + $0.16.txt"/>
  </r>
  <r>
    <n v="1911"/>
    <n v="28.540000000000006"/>
    <s v="20.01.2024"/>
    <n v="20"/>
    <x v="0"/>
    <x v="1"/>
    <x v="2"/>
    <n v="-2"/>
    <m/>
    <m/>
    <x v="2"/>
    <n v="-1"/>
    <s v="HH20240120 T3703958592 No Limit Hold'em $1.84 + $0.16.txt"/>
  </r>
  <r>
    <n v="1912"/>
    <n v="30.540000000000006"/>
    <s v="20.01.2024"/>
    <n v="20"/>
    <x v="0"/>
    <x v="1"/>
    <x v="2"/>
    <n v="-2"/>
    <n v="4"/>
    <m/>
    <x v="1"/>
    <n v="1"/>
    <s v="HH20240120 T3703962594 No Limit Hold'em $1.84 + $0.16.txt"/>
  </r>
  <r>
    <n v="1913"/>
    <n v="28.540000000000006"/>
    <s v="20.01.2024"/>
    <n v="20"/>
    <x v="0"/>
    <x v="1"/>
    <x v="2"/>
    <n v="-2"/>
    <m/>
    <m/>
    <x v="2"/>
    <n v="-1"/>
    <s v="HH20240120 T3703981312 No Limit Hold'em $1.84 + $0.16.txt"/>
  </r>
  <r>
    <n v="1914"/>
    <n v="34.540000000000006"/>
    <s v="20.01.2024"/>
    <n v="20"/>
    <x v="0"/>
    <x v="1"/>
    <x v="2"/>
    <n v="-2"/>
    <n v="8"/>
    <m/>
    <x v="1"/>
    <n v="3"/>
    <s v="HH20240120 T3703986132 No Limit Hold'em $1.84 + $0.16.txt"/>
  </r>
  <r>
    <n v="1915"/>
    <n v="36.540000000000006"/>
    <s v="20.01.2024"/>
    <n v="20"/>
    <x v="0"/>
    <x v="1"/>
    <x v="2"/>
    <n v="-2"/>
    <n v="4"/>
    <m/>
    <x v="1"/>
    <n v="1"/>
    <s v="HH20240120 T3703990259 No Limit Hold'em $1.84 + $0.16.txt"/>
  </r>
  <r>
    <n v="1916"/>
    <n v="38.540000000000006"/>
    <s v="21.01.2024"/>
    <n v="21"/>
    <x v="0"/>
    <x v="1"/>
    <x v="2"/>
    <n v="-2"/>
    <n v="4"/>
    <m/>
    <x v="1"/>
    <n v="1"/>
    <s v="HH20240121 T3704200967 No Limit Hold'em $1.84 + $0.16.txt"/>
  </r>
  <r>
    <n v="1917"/>
    <n v="36.540000000000006"/>
    <s v="21.01.2024"/>
    <n v="21"/>
    <x v="0"/>
    <x v="1"/>
    <x v="2"/>
    <n v="-2"/>
    <m/>
    <m/>
    <x v="2"/>
    <n v="-1"/>
    <s v="HH20240121 T3704203189 No Limit Hold'em $1.84 + $0.16.txt"/>
  </r>
  <r>
    <n v="1918"/>
    <n v="34.540000000000006"/>
    <s v="21.01.2024"/>
    <n v="21"/>
    <x v="0"/>
    <x v="1"/>
    <x v="2"/>
    <n v="-2"/>
    <m/>
    <m/>
    <x v="2"/>
    <n v="-1"/>
    <s v="HH20240121 T3704203471 No Limit Hold'em $1.84 + $0.16.txt"/>
  </r>
  <r>
    <n v="1919"/>
    <n v="36.540000000000006"/>
    <s v="21.01.2024"/>
    <n v="21"/>
    <x v="0"/>
    <x v="1"/>
    <x v="2"/>
    <n v="-2"/>
    <n v="4"/>
    <m/>
    <x v="1"/>
    <n v="1"/>
    <s v="HH20240121 T3704204403 No Limit Hold'em $1.84 + $0.16.txt"/>
  </r>
  <r>
    <n v="1920"/>
    <n v="34.540000000000006"/>
    <s v="21.01.2024"/>
    <n v="21"/>
    <x v="0"/>
    <x v="1"/>
    <x v="2"/>
    <n v="-2"/>
    <m/>
    <m/>
    <x v="2"/>
    <n v="-1"/>
    <s v="HH20240121 T3704206048 No Limit Hold'em $1.84 + $0.16.txt"/>
  </r>
  <r>
    <n v="1921"/>
    <n v="32.540000000000006"/>
    <s v="21.01.2024"/>
    <n v="21"/>
    <x v="0"/>
    <x v="1"/>
    <x v="2"/>
    <n v="-2"/>
    <m/>
    <m/>
    <x v="2"/>
    <n v="-1"/>
    <s v="HH20240121 T3704208533 No Limit Hold'em $1.84 + $0.16.txt"/>
  </r>
  <r>
    <n v="1922"/>
    <n v="30.540000000000006"/>
    <s v="21.01.2024"/>
    <n v="21"/>
    <x v="0"/>
    <x v="1"/>
    <x v="2"/>
    <n v="-2"/>
    <m/>
    <m/>
    <x v="2"/>
    <n v="-1"/>
    <s v="HH20240121 T3704210170 No Limit Hold'em $1.84 + $0.16.txt"/>
  </r>
  <r>
    <n v="1923"/>
    <n v="28.540000000000006"/>
    <s v="21.01.2024"/>
    <n v="21"/>
    <x v="0"/>
    <x v="1"/>
    <x v="2"/>
    <n v="-2"/>
    <m/>
    <m/>
    <x v="2"/>
    <n v="-1"/>
    <s v="HH20240121 T3704210750 No Limit Hold'em $1.84 + $0.16.txt"/>
  </r>
  <r>
    <n v="1924"/>
    <n v="30.540000000000006"/>
    <s v="21.01.2024"/>
    <n v="21"/>
    <x v="0"/>
    <x v="1"/>
    <x v="2"/>
    <n v="-2"/>
    <n v="4"/>
    <m/>
    <x v="1"/>
    <n v="1"/>
    <s v="HH20240121 T3704211939 No Limit Hold'em $1.84 + $0.16.txt"/>
  </r>
  <r>
    <n v="1925"/>
    <n v="28.540000000000006"/>
    <s v="21.01.2024"/>
    <n v="21"/>
    <x v="0"/>
    <x v="1"/>
    <x v="2"/>
    <n v="-2"/>
    <m/>
    <m/>
    <x v="2"/>
    <n v="-1"/>
    <s v="HH20240121 T3704213232 No Limit Hold'em $1.84 + $0.16.txt"/>
  </r>
  <r>
    <n v="1926"/>
    <n v="26.540000000000006"/>
    <s v="21.01.2024"/>
    <n v="21"/>
    <x v="0"/>
    <x v="1"/>
    <x v="2"/>
    <n v="-2"/>
    <m/>
    <m/>
    <x v="2"/>
    <n v="-1"/>
    <s v="HH20240121 T3704215076 No Limit Hold'em $1.84 + $0.16.txt"/>
  </r>
  <r>
    <n v="1927"/>
    <n v="28.540000000000006"/>
    <s v="21.01.2024"/>
    <n v="21"/>
    <x v="0"/>
    <x v="1"/>
    <x v="2"/>
    <n v="-2"/>
    <n v="4"/>
    <m/>
    <x v="1"/>
    <n v="1"/>
    <s v="HH20240121 T3704217056 No Limit Hold'em $1.84 + $0.16.txt"/>
  </r>
  <r>
    <n v="1928"/>
    <n v="26.540000000000006"/>
    <s v="21.01.2024"/>
    <n v="21"/>
    <x v="0"/>
    <x v="1"/>
    <x v="2"/>
    <n v="-2"/>
    <m/>
    <m/>
    <x v="2"/>
    <n v="-1"/>
    <s v="HH20240121 T3704336078 No Limit Hold'em $1.84 + $0.16.txt"/>
  </r>
  <r>
    <n v="1929"/>
    <n v="24.540000000000006"/>
    <s v="21.01.2024"/>
    <n v="21"/>
    <x v="0"/>
    <x v="1"/>
    <x v="2"/>
    <n v="-2"/>
    <m/>
    <m/>
    <x v="2"/>
    <n v="-1"/>
    <s v="HH20240121 T3704339505 No Limit Hold'em $1.84 + $0.16.txt"/>
  </r>
  <r>
    <n v="1930"/>
    <n v="22.540000000000006"/>
    <s v="21.01.2024"/>
    <n v="21"/>
    <x v="0"/>
    <x v="1"/>
    <x v="2"/>
    <n v="-2"/>
    <m/>
    <m/>
    <x v="2"/>
    <n v="-1"/>
    <s v="HH20240121 T3704343066 No Limit Hold'em $1.84 + $0.16.txt"/>
  </r>
  <r>
    <n v="1931"/>
    <n v="24.540000000000006"/>
    <s v="21.01.2024"/>
    <n v="21"/>
    <x v="0"/>
    <x v="1"/>
    <x v="2"/>
    <n v="-2"/>
    <n v="4"/>
    <m/>
    <x v="1"/>
    <n v="1"/>
    <s v="HH20240121 T3704344458 No Limit Hold'em $1.84 + $0.16.txt"/>
  </r>
  <r>
    <n v="1932"/>
    <n v="22.540000000000006"/>
    <s v="21.01.2024"/>
    <n v="21"/>
    <x v="0"/>
    <x v="1"/>
    <x v="2"/>
    <n v="-2"/>
    <m/>
    <m/>
    <x v="2"/>
    <n v="-1"/>
    <s v="HH20240121 T3704349131 No Limit Hold'em $1.84 + $0.16.txt"/>
  </r>
  <r>
    <n v="1933"/>
    <n v="26.540000000000006"/>
    <s v="21.01.2024"/>
    <n v="21"/>
    <x v="0"/>
    <x v="1"/>
    <x v="2"/>
    <n v="-2"/>
    <n v="6"/>
    <m/>
    <x v="1"/>
    <n v="2"/>
    <s v="HH20240121 T3704351627 No Limit Hold'em $1.84 + $0.16.txt"/>
  </r>
  <r>
    <n v="1934"/>
    <n v="24.540000000000006"/>
    <s v="21.01.2024"/>
    <n v="21"/>
    <x v="0"/>
    <x v="1"/>
    <x v="2"/>
    <n v="-2"/>
    <m/>
    <m/>
    <x v="2"/>
    <n v="-1"/>
    <s v="HH20240121 T3704356751 No Limit Hold'em $1.84 + $0.16.txt"/>
  </r>
  <r>
    <n v="1935"/>
    <n v="22.540000000000006"/>
    <s v="21.01.2024"/>
    <n v="21"/>
    <x v="0"/>
    <x v="1"/>
    <x v="2"/>
    <n v="-2"/>
    <m/>
    <m/>
    <x v="2"/>
    <n v="-1"/>
    <s v="HH20240121 T3704359446 No Limit Hold'em $1.84 + $0.16.txt"/>
  </r>
  <r>
    <n v="1936"/>
    <n v="20.540000000000006"/>
    <s v="21.01.2024"/>
    <n v="21"/>
    <x v="0"/>
    <x v="1"/>
    <x v="2"/>
    <n v="-2"/>
    <m/>
    <m/>
    <x v="2"/>
    <n v="-1"/>
    <s v="HH20240121 T3704359820 No Limit Hold'em $1.84 + $0.16.txt"/>
  </r>
  <r>
    <n v="1937"/>
    <n v="18.540000000000006"/>
    <s v="21.01.2024"/>
    <n v="21"/>
    <x v="0"/>
    <x v="1"/>
    <x v="2"/>
    <n v="-2"/>
    <m/>
    <m/>
    <x v="2"/>
    <n v="-1"/>
    <s v="HH20240121 T3704364952 No Limit Hold'em $1.84 + $0.16.txt"/>
  </r>
  <r>
    <n v="1938"/>
    <n v="16.540000000000006"/>
    <s v="21.01.2024"/>
    <n v="21"/>
    <x v="0"/>
    <x v="1"/>
    <x v="2"/>
    <n v="-2"/>
    <m/>
    <m/>
    <x v="2"/>
    <n v="-1"/>
    <s v="HH20240121 T3704366307 No Limit Hold'em $1.84 + $0.16.txt"/>
  </r>
  <r>
    <n v="1939"/>
    <n v="22.540000000000006"/>
    <s v="21.01.2024"/>
    <n v="21"/>
    <x v="0"/>
    <x v="1"/>
    <x v="2"/>
    <n v="-2"/>
    <n v="8"/>
    <m/>
    <x v="1"/>
    <n v="3"/>
    <s v="HH20240121 T3704367532 No Limit Hold'em $1.84 + $0.16.txt"/>
  </r>
  <r>
    <n v="1940"/>
    <n v="20.540000000000006"/>
    <s v="21.01.2024"/>
    <n v="21"/>
    <x v="0"/>
    <x v="1"/>
    <x v="2"/>
    <n v="-2"/>
    <m/>
    <m/>
    <x v="2"/>
    <n v="-1"/>
    <s v="HH20240121 T3704481694 No Limit Hold'em $1.84 + $0.16.txt"/>
  </r>
  <r>
    <n v="1941"/>
    <n v="18.540000000000006"/>
    <s v="22.01.2024"/>
    <n v="22"/>
    <x v="0"/>
    <x v="1"/>
    <x v="2"/>
    <n v="-2"/>
    <m/>
    <m/>
    <x v="2"/>
    <n v="-1"/>
    <s v="HH20240122 T3704829123 No Limit Hold'em $1.84 + $0.16.txt"/>
  </r>
  <r>
    <n v="1942"/>
    <n v="22.540000000000006"/>
    <s v="22.01.2024"/>
    <n v="22"/>
    <x v="0"/>
    <x v="1"/>
    <x v="2"/>
    <n v="-2"/>
    <n v="6"/>
    <m/>
    <x v="1"/>
    <n v="2"/>
    <s v="HH20240122 T3704833655 No Limit Hold'em $1.84 + $0.16.txt"/>
  </r>
  <r>
    <n v="1943"/>
    <n v="24.540000000000006"/>
    <s v="22.01.2024"/>
    <n v="22"/>
    <x v="0"/>
    <x v="1"/>
    <x v="2"/>
    <n v="-2"/>
    <n v="4"/>
    <m/>
    <x v="1"/>
    <n v="1"/>
    <s v="HH20240122 T3704892647 No Limit Hold'em $1.84 + $0.16.txt"/>
  </r>
  <r>
    <n v="1944"/>
    <n v="22.540000000000006"/>
    <s v="22.01.2024"/>
    <n v="22"/>
    <x v="0"/>
    <x v="1"/>
    <x v="2"/>
    <n v="-2"/>
    <m/>
    <m/>
    <x v="2"/>
    <n v="-1"/>
    <s v="HH20240122 T3704924850 No Limit Hold'em $1.84 + $0.16.txt"/>
  </r>
  <r>
    <n v="1945"/>
    <n v="26.540000000000006"/>
    <s v="22.01.2024"/>
    <n v="22"/>
    <x v="0"/>
    <x v="1"/>
    <x v="2"/>
    <n v="-2"/>
    <n v="6"/>
    <m/>
    <x v="1"/>
    <n v="2"/>
    <s v="HH20240122 T3704927518 No Limit Hold'em $1.84 + $0.16.txt"/>
  </r>
  <r>
    <n v="1946"/>
    <n v="28.540000000000006"/>
    <s v="23.01.2024"/>
    <n v="23"/>
    <x v="0"/>
    <x v="1"/>
    <x v="2"/>
    <n v="-2"/>
    <n v="4"/>
    <m/>
    <x v="1"/>
    <n v="1"/>
    <s v="HH20240123 T3705270620 No Limit Hold'em $1.84 + $0.16.txt"/>
  </r>
  <r>
    <n v="1947"/>
    <n v="26.540000000000006"/>
    <s v="23.01.2024"/>
    <n v="23"/>
    <x v="0"/>
    <x v="1"/>
    <x v="2"/>
    <n v="-2"/>
    <m/>
    <m/>
    <x v="2"/>
    <n v="-1"/>
    <s v="HH20240123 T3705271591 No Limit Hold'em $1.84 + $0.16.txt"/>
  </r>
  <r>
    <n v="1948"/>
    <n v="30.540000000000006"/>
    <s v="23.01.2024"/>
    <n v="23"/>
    <x v="0"/>
    <x v="1"/>
    <x v="2"/>
    <n v="-2"/>
    <n v="6"/>
    <m/>
    <x v="1"/>
    <n v="2"/>
    <s v="HH20240123 T3705273269 No Limit Hold'em $1.84 + $0.16.txt"/>
  </r>
  <r>
    <n v="1949"/>
    <n v="36.540000000000006"/>
    <s v="23.01.2024"/>
    <n v="23"/>
    <x v="0"/>
    <x v="1"/>
    <x v="2"/>
    <n v="-2"/>
    <n v="8"/>
    <m/>
    <x v="1"/>
    <n v="3"/>
    <s v="HH20240123 T3705826340 No Limit Hold'em $1.84 + $0.16.txt"/>
  </r>
  <r>
    <n v="1950"/>
    <n v="34.540000000000006"/>
    <s v="24.01.2024"/>
    <n v="24"/>
    <x v="0"/>
    <x v="1"/>
    <x v="2"/>
    <n v="-2"/>
    <m/>
    <m/>
    <x v="2"/>
    <n v="-1"/>
    <s v="HH20240124 T3706146757 No Limit Hold'em $1.84 + $0.16.txt"/>
  </r>
  <r>
    <n v="1951"/>
    <n v="32.540000000000006"/>
    <s v="24.01.2024"/>
    <n v="24"/>
    <x v="0"/>
    <x v="1"/>
    <x v="2"/>
    <n v="-2"/>
    <m/>
    <m/>
    <x v="2"/>
    <n v="-1"/>
    <s v="HH20240124 T3706147773 No Limit Hold'em $1.84 + $0.16.txt"/>
  </r>
  <r>
    <n v="1952"/>
    <n v="30.540000000000006"/>
    <s v="24.01.2024"/>
    <n v="24"/>
    <x v="0"/>
    <x v="1"/>
    <x v="2"/>
    <n v="-2"/>
    <m/>
    <m/>
    <x v="2"/>
    <n v="-1"/>
    <s v="HH20240124 T3706150335 No Limit Hold'em $1.84 + $0.16.txt"/>
  </r>
  <r>
    <n v="1953"/>
    <n v="28.540000000000006"/>
    <s v="24.01.2024"/>
    <n v="24"/>
    <x v="0"/>
    <x v="1"/>
    <x v="2"/>
    <n v="-2"/>
    <m/>
    <m/>
    <x v="2"/>
    <n v="-1"/>
    <s v="HH20240124 T3706151293 No Limit Hold'em $1.84 + $0.16.txt"/>
  </r>
  <r>
    <n v="1954"/>
    <n v="26.540000000000006"/>
    <s v="24.01.2024"/>
    <n v="24"/>
    <x v="0"/>
    <x v="1"/>
    <x v="2"/>
    <n v="-2"/>
    <m/>
    <m/>
    <x v="2"/>
    <n v="-1"/>
    <s v="HH20240124 T3706152235 No Limit Hold'em $1.84 + $0.16.txt"/>
  </r>
  <r>
    <n v="1955"/>
    <n v="24.540000000000006"/>
    <s v="24.01.2024"/>
    <n v="24"/>
    <x v="0"/>
    <x v="1"/>
    <x v="2"/>
    <n v="-2"/>
    <m/>
    <m/>
    <x v="2"/>
    <n v="-1"/>
    <s v="HH20240124 T3706153115 No Limit Hold'em $1.84 + $0.16.txt"/>
  </r>
  <r>
    <n v="1956"/>
    <n v="30.540000000000006"/>
    <s v="24.01.2024"/>
    <n v="24"/>
    <x v="0"/>
    <x v="1"/>
    <x v="2"/>
    <n v="-2"/>
    <n v="8"/>
    <m/>
    <x v="1"/>
    <n v="3"/>
    <s v="HH20240124 T3706252159 No Limit Hold'em $1.84 + $0.16.txt"/>
  </r>
  <r>
    <n v="1957"/>
    <n v="28.540000000000006"/>
    <s v="24.01.2024"/>
    <n v="24"/>
    <x v="0"/>
    <x v="1"/>
    <x v="2"/>
    <n v="-2"/>
    <m/>
    <m/>
    <x v="2"/>
    <n v="-1"/>
    <s v="HH20240124 T3706254912 No Limit Hold'em $1.84 + $0.16.txt"/>
  </r>
  <r>
    <n v="1958"/>
    <n v="26.540000000000006"/>
    <s v="24.01.2024"/>
    <n v="24"/>
    <x v="0"/>
    <x v="1"/>
    <x v="2"/>
    <n v="-2"/>
    <m/>
    <m/>
    <x v="2"/>
    <n v="-1"/>
    <s v="HH20240124 T3706258508 No Limit Hold'em $1.84 + $0.16.txt"/>
  </r>
  <r>
    <n v="1959"/>
    <n v="24.540000000000006"/>
    <s v="24.01.2024"/>
    <n v="24"/>
    <x v="0"/>
    <x v="1"/>
    <x v="2"/>
    <n v="-2"/>
    <m/>
    <m/>
    <x v="2"/>
    <n v="-1"/>
    <s v="HH20240124 T3706260905 No Limit Hold'em $1.84 + $0.16.txt"/>
  </r>
  <r>
    <n v="1960"/>
    <n v="22.540000000000006"/>
    <s v="24.01.2024"/>
    <n v="24"/>
    <x v="0"/>
    <x v="1"/>
    <x v="2"/>
    <n v="-2"/>
    <m/>
    <m/>
    <x v="2"/>
    <n v="-1"/>
    <s v="HH20240124 T3706265416 No Limit Hold'em $1.84 + $0.16.txt"/>
  </r>
  <r>
    <n v="1961"/>
    <n v="20.540000000000006"/>
    <s v="24.01.2024"/>
    <n v="24"/>
    <x v="0"/>
    <x v="1"/>
    <x v="2"/>
    <n v="-2"/>
    <m/>
    <m/>
    <x v="2"/>
    <n v="-1"/>
    <s v="HH20240124 T3706269537 No Limit Hold'em $1.84 + $0.16.txt"/>
  </r>
  <r>
    <n v="1962"/>
    <n v="15.540000000000006"/>
    <s v="24.01.2024"/>
    <n v="24"/>
    <x v="0"/>
    <x v="1"/>
    <x v="2"/>
    <n v="-5"/>
    <m/>
    <m/>
    <x v="2"/>
    <n v="-1"/>
    <s v="HH20240124 T3706272598 No Limit Hold'em $4.60 + $0.40.txt"/>
  </r>
  <r>
    <n v="1963"/>
    <n v="10.540000000000006"/>
    <s v="24.01.2024"/>
    <n v="24"/>
    <x v="0"/>
    <x v="1"/>
    <x v="2"/>
    <n v="-5"/>
    <m/>
    <m/>
    <x v="2"/>
    <n v="-1"/>
    <s v="HH20240124 T3706273932 No Limit Hold'em $4.60 + $0.40.txt"/>
  </r>
  <r>
    <n v="1964"/>
    <n v="10.540000000000006"/>
    <s v="24.01.2024"/>
    <n v="24"/>
    <x v="0"/>
    <x v="1"/>
    <x v="2"/>
    <m/>
    <m/>
    <m/>
    <x v="2"/>
    <n v="0"/>
    <s v="HH20240124 T3706278405 No Limit Hold'em $4.60 + $0.40.txt"/>
  </r>
  <r>
    <n v="1965"/>
    <n v="0.54000000000000625"/>
    <s v="24.01.2024"/>
    <n v="24"/>
    <x v="0"/>
    <x v="1"/>
    <x v="2"/>
    <n v="-10"/>
    <m/>
    <m/>
    <x v="2"/>
    <n v="-1"/>
    <s v="HH20240124 T3706278949 No Limit Hold'em $9.30 + $0.70.txt"/>
  </r>
  <r>
    <n v="1966"/>
    <n v="58.39"/>
    <s v="26.01.2024"/>
    <n v="26"/>
    <x v="0"/>
    <x v="1"/>
    <x v="1"/>
    <m/>
    <n v="57.849999999999994"/>
    <m/>
    <x v="0"/>
    <m/>
    <m/>
  </r>
  <r>
    <n v="1967"/>
    <n v="56.39"/>
    <s v="26.01.2024"/>
    <n v="26"/>
    <x v="0"/>
    <x v="1"/>
    <x v="2"/>
    <n v="-2"/>
    <m/>
    <m/>
    <x v="2"/>
    <n v="-1"/>
    <s v="HH20240126 T3706999269 No Limit Hold'em $1.84 + $0.16.txt"/>
  </r>
  <r>
    <n v="1968"/>
    <n v="58.39"/>
    <s v="26.01.2024"/>
    <n v="26"/>
    <x v="0"/>
    <x v="1"/>
    <x v="2"/>
    <n v="-2"/>
    <n v="4"/>
    <m/>
    <x v="1"/>
    <n v="1"/>
    <s v="HH20240126 T3707002105 No Limit Hold'em $1.84 + $0.16.txt"/>
  </r>
  <r>
    <n v="1969"/>
    <n v="64.39"/>
    <s v="26.01.2024"/>
    <n v="26"/>
    <x v="0"/>
    <x v="1"/>
    <x v="2"/>
    <n v="-2"/>
    <n v="8"/>
    <m/>
    <x v="1"/>
    <n v="3"/>
    <s v="HH20240126 T3707004741 No Limit Hold'em $1.84 + $0.16.txt"/>
  </r>
  <r>
    <n v="1970"/>
    <n v="62.39"/>
    <s v="26.01.2024"/>
    <n v="26"/>
    <x v="0"/>
    <x v="1"/>
    <x v="2"/>
    <n v="-2"/>
    <m/>
    <m/>
    <x v="2"/>
    <n v="-1"/>
    <s v="HH20240126 T3707072995 No Limit Hold'em $1.84 + $0.16.txt"/>
  </r>
  <r>
    <n v="1971"/>
    <n v="66.39"/>
    <s v="26.01.2024"/>
    <n v="26"/>
    <x v="0"/>
    <x v="1"/>
    <x v="2"/>
    <n v="-2"/>
    <n v="6"/>
    <m/>
    <x v="1"/>
    <n v="2"/>
    <s v="HH20240126 T3707074636 No Limit Hold'em $1.84 + $0.16.txt"/>
  </r>
  <r>
    <n v="1972"/>
    <n v="70.39"/>
    <s v="27.01.2024"/>
    <n v="27"/>
    <x v="0"/>
    <x v="1"/>
    <x v="2"/>
    <n v="-2"/>
    <n v="6"/>
    <m/>
    <x v="1"/>
    <n v="2"/>
    <s v="HH20240127 T3707466279 No Limit Hold'em $1.84 + $0.16.txt"/>
  </r>
  <r>
    <n v="1973"/>
    <n v="74.39"/>
    <s v="27.01.2024"/>
    <n v="27"/>
    <x v="0"/>
    <x v="1"/>
    <x v="2"/>
    <n v="-2"/>
    <n v="6"/>
    <m/>
    <x v="1"/>
    <n v="2"/>
    <s v="HH20240127 T3707471265 No Limit Hold'em $1.84 + $0.16.txt"/>
  </r>
  <r>
    <n v="1974"/>
    <n v="72.39"/>
    <s v="27.01.2024"/>
    <n v="27"/>
    <x v="0"/>
    <x v="1"/>
    <x v="2"/>
    <n v="-2"/>
    <m/>
    <m/>
    <x v="2"/>
    <n v="-1"/>
    <s v="HH20240127 T3707475756 No Limit Hold'em $1.84 + $0.16.txt"/>
  </r>
  <r>
    <n v="1975"/>
    <n v="76.39"/>
    <s v="28.01.2024"/>
    <n v="28"/>
    <x v="0"/>
    <x v="1"/>
    <x v="2"/>
    <n v="-2"/>
    <n v="6"/>
    <m/>
    <x v="1"/>
    <n v="2"/>
    <s v="HH20240128 T3707864547 No Limit Hold'em $1.84 + $0.16.txt"/>
  </r>
  <r>
    <n v="1976"/>
    <n v="80.39"/>
    <s v="28.01.2024"/>
    <n v="28"/>
    <x v="0"/>
    <x v="1"/>
    <x v="2"/>
    <n v="-2"/>
    <n v="6"/>
    <m/>
    <x v="1"/>
    <n v="2"/>
    <s v="HH20240128 T3707867583 No Limit Hold'em $1.84 + $0.16.txt"/>
  </r>
  <r>
    <n v="1977"/>
    <n v="78.39"/>
    <s v="28.01.2024"/>
    <n v="28"/>
    <x v="0"/>
    <x v="1"/>
    <x v="2"/>
    <n v="-2"/>
    <m/>
    <m/>
    <x v="2"/>
    <n v="-1"/>
    <s v="HH20240128 T3707870074 No Limit Hold'em $1.84 + $0.16.txt"/>
  </r>
  <r>
    <n v="1978"/>
    <n v="76.39"/>
    <s v="28.01.2024"/>
    <n v="28"/>
    <x v="0"/>
    <x v="1"/>
    <x v="2"/>
    <n v="-2"/>
    <m/>
    <m/>
    <x v="2"/>
    <n v="-1"/>
    <s v="HH20240128 T3707900200 No Limit Hold'em $1.84 + $0.16.txt"/>
  </r>
  <r>
    <n v="1979"/>
    <n v="78.39"/>
    <s v="28.01.2024"/>
    <n v="28"/>
    <x v="0"/>
    <x v="1"/>
    <x v="2"/>
    <n v="-2"/>
    <n v="4"/>
    <m/>
    <x v="1"/>
    <n v="1"/>
    <s v="HH20240128 T3707903436 No Limit Hold'em $1.84 + $0.16.txt"/>
  </r>
  <r>
    <n v="1980"/>
    <n v="76.39"/>
    <s v="28.01.2024"/>
    <n v="28"/>
    <x v="0"/>
    <x v="1"/>
    <x v="2"/>
    <n v="-2"/>
    <m/>
    <m/>
    <x v="2"/>
    <n v="-1"/>
    <s v="HH20240128 T3707906196 No Limit Hold'em $1.84 + $0.16.txt"/>
  </r>
  <r>
    <n v="1981"/>
    <n v="74.39"/>
    <s v="28.01.2024"/>
    <n v="28"/>
    <x v="0"/>
    <x v="1"/>
    <x v="2"/>
    <n v="-2"/>
    <m/>
    <m/>
    <x v="2"/>
    <n v="-1"/>
    <s v="HH20240128 T3707928882 No Limit Hold'em $1.84 + $0.16.txt"/>
  </r>
  <r>
    <n v="1982"/>
    <n v="78.39"/>
    <s v="28.01.2024"/>
    <n v="28"/>
    <x v="0"/>
    <x v="1"/>
    <x v="2"/>
    <n v="-2"/>
    <n v="6"/>
    <m/>
    <x v="1"/>
    <n v="2"/>
    <s v="HH20240128 T3708003453 No Limit Hold'em $1.84 + $0.16.txt"/>
  </r>
  <r>
    <n v="1983"/>
    <n v="76.39"/>
    <s v="28.01.2024"/>
    <n v="28"/>
    <x v="0"/>
    <x v="1"/>
    <x v="2"/>
    <n v="-2"/>
    <m/>
    <m/>
    <x v="2"/>
    <n v="-1"/>
    <s v="HH20240128 T3708092806 No Limit Hold'em $1.84 + $0.16.txt"/>
  </r>
  <r>
    <n v="1984"/>
    <n v="78.39"/>
    <s v="28.01.2024"/>
    <n v="28"/>
    <x v="0"/>
    <x v="1"/>
    <x v="2"/>
    <n v="-2"/>
    <n v="4"/>
    <m/>
    <x v="1"/>
    <n v="1"/>
    <s v="HH20240128 T3708156231 No Limit Hold'em $1.84 + $0.16.txt"/>
  </r>
  <r>
    <n v="1985"/>
    <n v="76.39"/>
    <s v="29.01.2024"/>
    <n v="29"/>
    <x v="0"/>
    <x v="1"/>
    <x v="2"/>
    <n v="-2"/>
    <m/>
    <m/>
    <x v="2"/>
    <n v="-1"/>
    <s v="HH20240129 T3708287385 No Limit Hold'em $1.84 + $0.16.txt"/>
  </r>
  <r>
    <n v="1986"/>
    <n v="78.39"/>
    <s v="29.01.2024"/>
    <n v="29"/>
    <x v="0"/>
    <x v="1"/>
    <x v="2"/>
    <n v="-2"/>
    <n v="4"/>
    <m/>
    <x v="1"/>
    <n v="1"/>
    <s v="HH20240129 T3708288058 No Limit Hold'em $1.84 + $0.16.txt"/>
  </r>
  <r>
    <n v="1987"/>
    <n v="82.39"/>
    <s v="29.01.2024"/>
    <n v="29"/>
    <x v="0"/>
    <x v="1"/>
    <x v="2"/>
    <n v="-2"/>
    <n v="6"/>
    <m/>
    <x v="1"/>
    <n v="2"/>
    <s v="HH20240129 T3708319691 No Limit Hold'em $1.84 + $0.16.txt"/>
  </r>
  <r>
    <n v="1988"/>
    <n v="80.39"/>
    <s v="29.01.2024"/>
    <n v="29"/>
    <x v="0"/>
    <x v="1"/>
    <x v="2"/>
    <n v="-2"/>
    <m/>
    <m/>
    <x v="2"/>
    <n v="-1"/>
    <s v="HH20240129 T3708345942 No Limit Hold'em $1.84 + $0.16.txt"/>
  </r>
  <r>
    <n v="1989"/>
    <n v="82.39"/>
    <s v="29.01.2024"/>
    <n v="29"/>
    <x v="0"/>
    <x v="1"/>
    <x v="2"/>
    <n v="-2"/>
    <n v="4"/>
    <m/>
    <x v="1"/>
    <n v="1"/>
    <s v="HH20240129 T3708346189 No Limit Hold'em $1.84 + $0.16.txt"/>
  </r>
  <r>
    <n v="1990"/>
    <n v="80.39"/>
    <s v="29.01.2024"/>
    <n v="29"/>
    <x v="0"/>
    <x v="1"/>
    <x v="2"/>
    <n v="-2"/>
    <m/>
    <m/>
    <x v="2"/>
    <n v="-1"/>
    <s v="HH20240129 T3708395637 No Limit Hold'em $1.84 + $0.16.txt"/>
  </r>
  <r>
    <n v="1991"/>
    <n v="78.39"/>
    <s v="29.01.2024"/>
    <n v="29"/>
    <x v="0"/>
    <x v="1"/>
    <x v="2"/>
    <n v="-2"/>
    <m/>
    <m/>
    <x v="2"/>
    <n v="-1"/>
    <s v="HH20240129 T3708397106 No Limit Hold'em $1.84 + $0.16.txt"/>
  </r>
  <r>
    <n v="1992"/>
    <n v="76.39"/>
    <s v="29.01.2024"/>
    <n v="29"/>
    <x v="0"/>
    <x v="1"/>
    <x v="2"/>
    <n v="-2"/>
    <m/>
    <m/>
    <x v="2"/>
    <n v="-1"/>
    <s v="HH20240129 T3708398269 No Limit Hold'em $1.84 + $0.16.txt"/>
  </r>
  <r>
    <n v="1993"/>
    <n v="74.39"/>
    <s v="29.01.2024"/>
    <n v="29"/>
    <x v="0"/>
    <x v="1"/>
    <x v="2"/>
    <n v="-2"/>
    <m/>
    <m/>
    <x v="2"/>
    <n v="-1"/>
    <s v="HH20240129 T3708399153 No Limit Hold'em $1.84 + $0.16.txt"/>
  </r>
  <r>
    <n v="1994"/>
    <n v="72.39"/>
    <s v="29.01.2024"/>
    <n v="29"/>
    <x v="0"/>
    <x v="1"/>
    <x v="2"/>
    <n v="-2"/>
    <m/>
    <m/>
    <x v="2"/>
    <n v="-1"/>
    <s v="HH20240129 T3708402444 No Limit Hold'em $1.84 + $0.16.txt"/>
  </r>
  <r>
    <n v="1995"/>
    <n v="76.39"/>
    <s v="29.01.2024"/>
    <n v="29"/>
    <x v="0"/>
    <x v="1"/>
    <x v="2"/>
    <n v="-2"/>
    <n v="6"/>
    <m/>
    <x v="1"/>
    <n v="2"/>
    <s v="HH20240129 T3708405334 No Limit Hold'em $1.84 + $0.16.txt"/>
  </r>
  <r>
    <n v="1996"/>
    <n v="80.39"/>
    <s v="29.01.2024"/>
    <n v="29"/>
    <x v="0"/>
    <x v="1"/>
    <x v="2"/>
    <n v="-2"/>
    <n v="6"/>
    <m/>
    <x v="1"/>
    <n v="2"/>
    <s v="HH20240129 T3708441777 No Limit Hold'em $1.84 + $0.16.txt"/>
  </r>
  <r>
    <n v="1997"/>
    <n v="78.39"/>
    <s v="29.01.2024"/>
    <n v="29"/>
    <x v="0"/>
    <x v="1"/>
    <x v="2"/>
    <n v="-2"/>
    <m/>
    <m/>
    <x v="2"/>
    <n v="-1"/>
    <s v="HH20240129 T3708444805 No Limit Hold'em $1.84 + $0.16.txt"/>
  </r>
  <r>
    <n v="1998"/>
    <n v="80.39"/>
    <s v="29.01.2024"/>
    <n v="29"/>
    <x v="0"/>
    <x v="1"/>
    <x v="2"/>
    <n v="-2"/>
    <n v="4"/>
    <m/>
    <x v="1"/>
    <n v="1"/>
    <s v="HH20240129 T3708545602 No Limit Hold'em $1.84 + $0.16.txt"/>
  </r>
  <r>
    <n v="1999"/>
    <n v="78.39"/>
    <s v="30.01.2024"/>
    <n v="30"/>
    <x v="0"/>
    <x v="1"/>
    <x v="2"/>
    <n v="-2"/>
    <m/>
    <m/>
    <x v="2"/>
    <n v="-1"/>
    <s v="HH20240130 T3708848204 No Limit Hold'em $1.84 + $0.16.txt"/>
  </r>
  <r>
    <n v="2000"/>
    <n v="82.39"/>
    <s v="30.01.2024"/>
    <n v="30"/>
    <x v="0"/>
    <x v="1"/>
    <x v="2"/>
    <n v="-2"/>
    <n v="6"/>
    <m/>
    <x v="1"/>
    <n v="2"/>
    <s v="HH20240130 T3708849959 No Limit Hold'em $1.84 + $0.16.txt"/>
  </r>
  <r>
    <n v="2001"/>
    <n v="84.39"/>
    <s v="30.01.2024"/>
    <n v="30"/>
    <x v="0"/>
    <x v="1"/>
    <x v="2"/>
    <n v="-2"/>
    <n v="4"/>
    <m/>
    <x v="1"/>
    <n v="1"/>
    <s v="HH20240130 T3708921650 No Limit Hold'em $1.84 + $0.16.txt"/>
  </r>
  <r>
    <n v="2002"/>
    <n v="82.39"/>
    <s v="30.01.2024"/>
    <n v="30"/>
    <x v="0"/>
    <x v="1"/>
    <x v="2"/>
    <n v="-2"/>
    <m/>
    <m/>
    <x v="2"/>
    <n v="-1"/>
    <s v="HH20240130 T3708988271 No Limit Hold'em $1.84 + $0.16.txt"/>
  </r>
  <r>
    <n v="2003"/>
    <n v="84.39"/>
    <s v="31.01.2024"/>
    <n v="31"/>
    <x v="0"/>
    <x v="1"/>
    <x v="2"/>
    <n v="-2"/>
    <n v="4"/>
    <m/>
    <x v="1"/>
    <n v="1"/>
    <s v="HH20240131 T3709284081 No Limit Hold'em $1.84 + $0.16.txt"/>
  </r>
  <r>
    <n v="2004"/>
    <n v="90.39"/>
    <s v="31.01.2024"/>
    <n v="31"/>
    <x v="0"/>
    <x v="1"/>
    <x v="2"/>
    <n v="-2"/>
    <n v="8"/>
    <m/>
    <x v="1"/>
    <n v="3"/>
    <s v="HH20240131 T3709292788 No Limit Hold'em $1.84 + $0.16.txt"/>
  </r>
  <r>
    <n v="2005"/>
    <n v="92.39"/>
    <s v="31.01.2024"/>
    <n v="31"/>
    <x v="0"/>
    <x v="1"/>
    <x v="2"/>
    <n v="-2"/>
    <n v="4"/>
    <m/>
    <x v="1"/>
    <n v="1"/>
    <s v="HH20240131 T3709379410 No Limit Hold'em $1.84 + $0.16.txt"/>
  </r>
  <r>
    <n v="2006"/>
    <n v="90.39"/>
    <s v="31.01.2024"/>
    <n v="31"/>
    <x v="0"/>
    <x v="1"/>
    <x v="2"/>
    <n v="-2"/>
    <m/>
    <m/>
    <x v="2"/>
    <n v="-1"/>
    <s v="HH20240131 T3709383160 No Limit Hold'em $1.84 + $0.16.txt"/>
  </r>
  <r>
    <n v="2007"/>
    <n v="88.39"/>
    <s v="01.02.2024"/>
    <n v="1"/>
    <x v="1"/>
    <x v="1"/>
    <x v="2"/>
    <n v="-2"/>
    <m/>
    <m/>
    <x v="2"/>
    <n v="-1"/>
    <s v="HH20240201 T3709789751 No Limit Hold'em $1.84 + $0.16.txt"/>
  </r>
  <r>
    <n v="2008"/>
    <n v="92.39"/>
    <s v="01.02.2024"/>
    <n v="1"/>
    <x v="1"/>
    <x v="1"/>
    <x v="2"/>
    <n v="-2"/>
    <n v="6"/>
    <m/>
    <x v="1"/>
    <n v="2"/>
    <s v="HH20240201 T3709795137 No Limit Hold'em $1.84 + $0.16.txt"/>
  </r>
  <r>
    <n v="2009"/>
    <n v="96.39"/>
    <s v="01.02.2024"/>
    <n v="1"/>
    <x v="1"/>
    <x v="1"/>
    <x v="2"/>
    <n v="-2"/>
    <n v="6"/>
    <m/>
    <x v="1"/>
    <n v="2"/>
    <s v="HH20240201 T3709798314 No Limit Hold'em $1.84 + $0.16.txt"/>
  </r>
  <r>
    <n v="2010"/>
    <n v="98.39"/>
    <s v="03.02.2024"/>
    <n v="3"/>
    <x v="1"/>
    <x v="1"/>
    <x v="2"/>
    <n v="-2"/>
    <n v="4"/>
    <m/>
    <x v="1"/>
    <n v="1"/>
    <s v="HH20240203 T3710562414 No Limit Hold'em $1.84 + $0.16.txt"/>
  </r>
  <r>
    <n v="2011"/>
    <n v="100.39"/>
    <s v="03.02.2024"/>
    <n v="3"/>
    <x v="1"/>
    <x v="1"/>
    <x v="2"/>
    <n v="-2"/>
    <n v="4"/>
    <m/>
    <x v="1"/>
    <n v="1"/>
    <s v="HH20240203 T3710565571 No Limit Hold'em $1.84 + $0.16.txt"/>
  </r>
  <r>
    <n v="2012"/>
    <n v="114.39"/>
    <s v="03.02.2024"/>
    <n v="3"/>
    <x v="1"/>
    <x v="1"/>
    <x v="2"/>
    <n v="-2"/>
    <n v="16"/>
    <m/>
    <x v="1"/>
    <n v="7"/>
    <s v="HH20240203 T3710587005 No Limit Hold'em $1.84 + $0.16.txt"/>
  </r>
  <r>
    <n v="2013"/>
    <n v="116.39"/>
    <s v="03.02.2024"/>
    <n v="3"/>
    <x v="1"/>
    <x v="1"/>
    <x v="2"/>
    <n v="-2"/>
    <n v="4"/>
    <m/>
    <x v="1"/>
    <n v="1"/>
    <s v="HH20240203 T3710650039 No Limit Hold'em $1.84 + $0.16.txt"/>
  </r>
  <r>
    <n v="2014"/>
    <n v="120.39"/>
    <s v="03.02.2024"/>
    <n v="3"/>
    <x v="1"/>
    <x v="1"/>
    <x v="2"/>
    <n v="-2"/>
    <n v="6"/>
    <m/>
    <x v="1"/>
    <n v="2"/>
    <s v="HH20240203 T3710778627 No Limit Hold'em $1.84 + $0.16.txt"/>
  </r>
  <r>
    <n v="2015"/>
    <n v="126.39"/>
    <s v="03.02.2024"/>
    <n v="3"/>
    <x v="1"/>
    <x v="1"/>
    <x v="2"/>
    <n v="-2"/>
    <n v="8"/>
    <m/>
    <x v="1"/>
    <n v="3"/>
    <s v="HH20240203 T3710783195 No Limit Hold'em $1.84 + $0.16.txt"/>
  </r>
  <r>
    <n v="2016"/>
    <n v="132.38999999999999"/>
    <s v="04.02.2024"/>
    <n v="4"/>
    <x v="1"/>
    <x v="1"/>
    <x v="2"/>
    <n v="-2"/>
    <n v="8"/>
    <m/>
    <x v="1"/>
    <n v="3"/>
    <s v="HH20240204 T3711020285 No Limit Hold'em $1.84 + $0.16.txt"/>
  </r>
  <r>
    <n v="2017"/>
    <n v="136.38999999999999"/>
    <s v="04.02.2024"/>
    <n v="4"/>
    <x v="1"/>
    <x v="1"/>
    <x v="2"/>
    <n v="-2"/>
    <n v="6"/>
    <m/>
    <x v="1"/>
    <n v="2"/>
    <s v="HH20240204 T3711021971 No Limit Hold'em $1.84 + $0.16.txt"/>
  </r>
  <r>
    <n v="2018"/>
    <n v="134.38999999999999"/>
    <s v="04.02.2024"/>
    <n v="4"/>
    <x v="1"/>
    <x v="1"/>
    <x v="2"/>
    <n v="-2"/>
    <m/>
    <m/>
    <x v="2"/>
    <n v="-1"/>
    <s v="HH20240204 T3711047346 No Limit Hold'em $1.84 + $0.16.txt"/>
  </r>
  <r>
    <n v="2019"/>
    <n v="132.38999999999999"/>
    <s v="04.02.2024"/>
    <n v="4"/>
    <x v="1"/>
    <x v="1"/>
    <x v="2"/>
    <n v="-2"/>
    <m/>
    <m/>
    <x v="2"/>
    <n v="-1"/>
    <s v="HH20240204 T3711048440 No Limit Hold'em $1.84 + $0.16.txt"/>
  </r>
  <r>
    <n v="2020"/>
    <n v="130.38999999999999"/>
    <s v="04.02.2024"/>
    <n v="4"/>
    <x v="1"/>
    <x v="1"/>
    <x v="2"/>
    <n v="-2"/>
    <m/>
    <m/>
    <x v="2"/>
    <n v="-1"/>
    <s v="HH20240204 T3711049613 No Limit Hold'em $1.84 + $0.16.txt"/>
  </r>
  <r>
    <n v="2021"/>
    <n v="132.02999999999997"/>
    <s v="04.02.2024"/>
    <n v="4"/>
    <x v="1"/>
    <x v="1"/>
    <x v="11"/>
    <n v="-11"/>
    <n v="12.64"/>
    <m/>
    <x v="1"/>
    <n v="0.14909090909090916"/>
    <s v="HH20240204 T3704781640 No Limit Hold'em $9.80 + $1.20.txt"/>
  </r>
  <r>
    <n v="2022"/>
    <n v="130.02999999999997"/>
    <s v="07.02.2024"/>
    <n v="7"/>
    <x v="1"/>
    <x v="1"/>
    <x v="2"/>
    <n v="-2"/>
    <m/>
    <m/>
    <x v="2"/>
    <n v="-1"/>
    <s v="HH20240207 T3712449329 No Limit Hold'em $1.84 + $0.16.txt"/>
  </r>
  <r>
    <n v="2023"/>
    <n v="128.02999999999997"/>
    <s v="07.02.2024"/>
    <n v="7"/>
    <x v="1"/>
    <x v="1"/>
    <x v="2"/>
    <n v="-2"/>
    <m/>
    <m/>
    <x v="2"/>
    <n v="-1"/>
    <s v="HH20240207 T3712452861 No Limit Hold'em $1.84 + $0.16.txt"/>
  </r>
  <r>
    <n v="2024"/>
    <n v="126.02999999999997"/>
    <s v="07.02.2024"/>
    <n v="7"/>
    <x v="1"/>
    <x v="1"/>
    <x v="2"/>
    <n v="-2"/>
    <m/>
    <m/>
    <x v="2"/>
    <n v="-1"/>
    <s v="HH20240207 T3712453660 No Limit Hold'em $1.84 + $0.16.txt"/>
  </r>
  <r>
    <n v="2025"/>
    <n v="124.02999999999997"/>
    <s v="07.02.2024"/>
    <n v="7"/>
    <x v="1"/>
    <x v="1"/>
    <x v="2"/>
    <n v="-2"/>
    <m/>
    <m/>
    <x v="2"/>
    <n v="-1"/>
    <s v="HH20240207 T3712456475 No Limit Hold'em $1.84 + $0.16.txt"/>
  </r>
  <r>
    <n v="2026"/>
    <n v="128.02999999999997"/>
    <s v="07.02.2024"/>
    <n v="7"/>
    <x v="1"/>
    <x v="1"/>
    <x v="2"/>
    <n v="-2"/>
    <n v="6"/>
    <m/>
    <x v="1"/>
    <n v="2"/>
    <s v="HH20240207 T3712461221 No Limit Hold'em $1.84 + $0.16.txt"/>
  </r>
  <r>
    <n v="2027"/>
    <n v="130.02999999999997"/>
    <s v="07.02.2024"/>
    <n v="7"/>
    <x v="1"/>
    <x v="1"/>
    <x v="2"/>
    <n v="-2"/>
    <n v="4"/>
    <m/>
    <x v="1"/>
    <n v="1"/>
    <s v="HH20240207 T3712465046 No Limit Hold'em $1.84 + $0.16.txt"/>
  </r>
  <r>
    <n v="2028"/>
    <n v="128.02999999999997"/>
    <s v="07.02.2024"/>
    <n v="7"/>
    <x v="1"/>
    <x v="1"/>
    <x v="2"/>
    <n v="-2"/>
    <m/>
    <m/>
    <x v="2"/>
    <n v="-1"/>
    <s v="HH20240207 T3712466884 No Limit Hold'em $1.84 + $0.16.txt"/>
  </r>
  <r>
    <n v="2029"/>
    <n v="126.02999999999997"/>
    <s v="07.02.2024"/>
    <n v="7"/>
    <x v="1"/>
    <x v="1"/>
    <x v="2"/>
    <n v="-2"/>
    <m/>
    <m/>
    <x v="2"/>
    <n v="-1"/>
    <s v="HH20240207 T3712467374 No Limit Hold'em $1.84 + $0.16.txt"/>
  </r>
  <r>
    <n v="2030"/>
    <n v="124.02999999999997"/>
    <s v="07.02.2024"/>
    <n v="7"/>
    <x v="1"/>
    <x v="1"/>
    <x v="2"/>
    <n v="-2"/>
    <m/>
    <m/>
    <x v="2"/>
    <n v="-1"/>
    <s v="HH20240207 T3712468782 No Limit Hold'em $1.84 + $0.16.txt"/>
  </r>
  <r>
    <n v="2031"/>
    <n v="122.02999999999997"/>
    <s v="07.02.2024"/>
    <n v="7"/>
    <x v="1"/>
    <x v="1"/>
    <x v="2"/>
    <n v="-2"/>
    <m/>
    <m/>
    <x v="2"/>
    <n v="-1"/>
    <s v="HH20240207 T3712472409 No Limit Hold'em $1.84 + $0.16.txt"/>
  </r>
  <r>
    <n v="2032"/>
    <n v="120.02999999999997"/>
    <s v="07.02.2024"/>
    <n v="7"/>
    <x v="1"/>
    <x v="1"/>
    <x v="2"/>
    <n v="-2"/>
    <m/>
    <m/>
    <x v="2"/>
    <n v="-1"/>
    <s v="HH20240207 T3712473780 No Limit Hold'em $1.84 + $0.16.txt"/>
  </r>
  <r>
    <n v="2033"/>
    <n v="118.02999999999997"/>
    <s v="08.02.2024"/>
    <n v="8"/>
    <x v="1"/>
    <x v="1"/>
    <x v="2"/>
    <n v="-2"/>
    <m/>
    <m/>
    <x v="2"/>
    <n v="-1"/>
    <s v="HH20240208 T3712800132 No Limit Hold'em $1.84 + $0.16.txt"/>
  </r>
  <r>
    <n v="2034"/>
    <n v="116.02999999999997"/>
    <s v="08.02.2024"/>
    <n v="8"/>
    <x v="1"/>
    <x v="1"/>
    <x v="2"/>
    <n v="-2"/>
    <m/>
    <m/>
    <x v="2"/>
    <n v="-1"/>
    <s v="HH20240208 T3712801035 No Limit Hold'em $1.84 + $0.16.txt"/>
  </r>
  <r>
    <n v="2035"/>
    <n v="120.02999999999997"/>
    <s v="08.02.2024"/>
    <n v="8"/>
    <x v="1"/>
    <x v="1"/>
    <x v="2"/>
    <n v="-2"/>
    <n v="6"/>
    <m/>
    <x v="1"/>
    <n v="2"/>
    <s v="HH20240208 T3712802387 No Limit Hold'em $1.84 + $0.16.txt"/>
  </r>
  <r>
    <n v="2036"/>
    <n v="118.02999999999997"/>
    <s v="08.02.2024"/>
    <n v="8"/>
    <x v="1"/>
    <x v="1"/>
    <x v="2"/>
    <n v="-2"/>
    <m/>
    <m/>
    <x v="2"/>
    <n v="-1"/>
    <s v="HH20240208 T3712804458 No Limit Hold'em $1.84 + $0.16.txt"/>
  </r>
  <r>
    <n v="2037"/>
    <n v="116.02999999999997"/>
    <s v="08.02.2024"/>
    <n v="8"/>
    <x v="1"/>
    <x v="1"/>
    <x v="2"/>
    <n v="-2"/>
    <m/>
    <m/>
    <x v="2"/>
    <n v="-1"/>
    <s v="HH20240208 T3712806994 No Limit Hold'em $1.84 + $0.16.txt"/>
  </r>
  <r>
    <n v="2038"/>
    <n v="114.02999999999997"/>
    <s v="08.02.2024"/>
    <n v="8"/>
    <x v="1"/>
    <x v="1"/>
    <x v="2"/>
    <n v="-2"/>
    <m/>
    <m/>
    <x v="2"/>
    <n v="-1"/>
    <s v="HH20240208 T3712809303 No Limit Hold'em $1.84 + $0.16.txt"/>
  </r>
  <r>
    <n v="2039"/>
    <n v="118.02999999999997"/>
    <s v="08.02.2024"/>
    <n v="8"/>
    <x v="1"/>
    <x v="1"/>
    <x v="2"/>
    <n v="-2"/>
    <n v="6"/>
    <m/>
    <x v="1"/>
    <n v="2"/>
    <s v="HH20240208 T3712811839 No Limit Hold'em $1.84 + $0.16.txt"/>
  </r>
  <r>
    <n v="2040"/>
    <n v="116.02999999999997"/>
    <s v="08.02.2024"/>
    <n v="8"/>
    <x v="1"/>
    <x v="1"/>
    <x v="2"/>
    <n v="-2"/>
    <m/>
    <m/>
    <x v="2"/>
    <n v="-1"/>
    <s v="HH20240208 T3712812724 No Limit Hold'em $1.84 + $0.16.txt"/>
  </r>
  <r>
    <n v="2041"/>
    <n v="114.02999999999997"/>
    <s v="09.02.2024"/>
    <n v="9"/>
    <x v="1"/>
    <x v="1"/>
    <x v="2"/>
    <n v="-2"/>
    <m/>
    <m/>
    <x v="2"/>
    <n v="-1"/>
    <s v="HH20240209 T3713278051 No Limit Hold'em $1.84 + $0.16.txt"/>
  </r>
  <r>
    <n v="2042"/>
    <n v="116.02999999999997"/>
    <s v="09.02.2024"/>
    <n v="9"/>
    <x v="1"/>
    <x v="1"/>
    <x v="2"/>
    <n v="-2"/>
    <n v="4"/>
    <m/>
    <x v="1"/>
    <n v="1"/>
    <s v="HH20240209 T3713280715 No Limit Hold'em $1.84 + $0.16.txt"/>
  </r>
  <r>
    <n v="2043"/>
    <n v="120.02999999999997"/>
    <s v="09.02.2024"/>
    <n v="9"/>
    <x v="1"/>
    <x v="1"/>
    <x v="2"/>
    <n v="-2"/>
    <n v="6"/>
    <m/>
    <x v="1"/>
    <n v="2"/>
    <s v="HH20240209 T3713282287 No Limit Hold'em $1.84 + $0.16.txt"/>
  </r>
  <r>
    <n v="2044"/>
    <n v="122.02999999999997"/>
    <s v="09.02.2024"/>
    <n v="9"/>
    <x v="1"/>
    <x v="1"/>
    <x v="2"/>
    <n v="-2"/>
    <n v="4"/>
    <m/>
    <x v="1"/>
    <n v="1"/>
    <s v="HH20240209 T3713354593 No Limit Hold'em $1.84 + $0.16.txt"/>
  </r>
  <r>
    <n v="2045"/>
    <n v="124.02999999999997"/>
    <s v="09.02.2024"/>
    <n v="9"/>
    <x v="1"/>
    <x v="1"/>
    <x v="2"/>
    <n v="-2"/>
    <n v="4"/>
    <m/>
    <x v="1"/>
    <n v="1"/>
    <s v="HH20240209 T3713517660 No Limit Hold'em $1.84 + $0.16.txt"/>
  </r>
  <r>
    <n v="2046"/>
    <n v="122.02999999999997"/>
    <s v="09.02.2024"/>
    <n v="9"/>
    <x v="1"/>
    <x v="1"/>
    <x v="2"/>
    <n v="-2"/>
    <m/>
    <m/>
    <x v="2"/>
    <n v="-1"/>
    <s v="HH20240209 T3713521822 No Limit Hold'em $1.84 + $0.16.txt"/>
  </r>
  <r>
    <n v="2047"/>
    <n v="120.02999999999997"/>
    <s v="09.02.2024"/>
    <n v="9"/>
    <x v="1"/>
    <x v="1"/>
    <x v="2"/>
    <n v="-2"/>
    <m/>
    <m/>
    <x v="2"/>
    <n v="-1"/>
    <s v="HH20240209 T3713523272 No Limit Hold'em $1.84 + $0.16.txt"/>
  </r>
  <r>
    <n v="2048"/>
    <n v="118.02999999999997"/>
    <s v="09.02.2024"/>
    <n v="9"/>
    <x v="1"/>
    <x v="1"/>
    <x v="2"/>
    <n v="-2"/>
    <m/>
    <m/>
    <x v="2"/>
    <n v="-1"/>
    <s v="HH20240209 T3713525905 No Limit Hold'em $1.84 + $0.16.txt"/>
  </r>
  <r>
    <n v="2049"/>
    <n v="116.02999999999997"/>
    <s v="09.02.2024"/>
    <n v="9"/>
    <x v="1"/>
    <x v="1"/>
    <x v="2"/>
    <n v="-2"/>
    <m/>
    <m/>
    <x v="2"/>
    <n v="-1"/>
    <s v="HH20240209 T3713527481 No Limit Hold'em $1.84 + $0.16.txt"/>
  </r>
  <r>
    <n v="2050"/>
    <n v="114.02999999999997"/>
    <s v="09.02.2024"/>
    <n v="9"/>
    <x v="1"/>
    <x v="1"/>
    <x v="2"/>
    <n v="-2"/>
    <m/>
    <m/>
    <x v="2"/>
    <n v="-1"/>
    <s v="HH20240209 T3713528563 No Limit Hold'em $1.84 + $0.16.txt"/>
  </r>
  <r>
    <n v="2051"/>
    <n v="112.02999999999997"/>
    <s v="09.02.2024"/>
    <n v="9"/>
    <x v="1"/>
    <x v="1"/>
    <x v="2"/>
    <n v="-2"/>
    <m/>
    <m/>
    <x v="2"/>
    <n v="-1"/>
    <s v="HH20240209 T3713533245 No Limit Hold'em $1.84 + $0.16.txt"/>
  </r>
  <r>
    <n v="2052"/>
    <n v="110.02999999999997"/>
    <s v="09.02.2024"/>
    <n v="9"/>
    <x v="1"/>
    <x v="1"/>
    <x v="2"/>
    <n v="-2"/>
    <m/>
    <m/>
    <x v="2"/>
    <n v="-1"/>
    <s v="HH20240209 T3713536179 No Limit Hold'em $1.84 + $0.16.txt"/>
  </r>
  <r>
    <n v="2053"/>
    <n v="112.02999999999997"/>
    <s v="11.02.2024"/>
    <n v="11"/>
    <x v="1"/>
    <x v="1"/>
    <x v="2"/>
    <n v="-2"/>
    <n v="4"/>
    <m/>
    <x v="1"/>
    <n v="1"/>
    <s v="HH20240211 T3714230386 No Limit Hold'em $1.84 + $0.16.txt"/>
  </r>
  <r>
    <n v="2054"/>
    <n v="110.02999999999997"/>
    <s v="11.02.2024"/>
    <n v="11"/>
    <x v="1"/>
    <x v="1"/>
    <x v="2"/>
    <n v="-2"/>
    <m/>
    <m/>
    <x v="2"/>
    <n v="-1"/>
    <s v="HH20240211 T3714231741 No Limit Hold'em $1.84 + $0.16.txt"/>
  </r>
  <r>
    <n v="2055"/>
    <n v="108.02999999999997"/>
    <s v="11.02.2024"/>
    <n v="11"/>
    <x v="1"/>
    <x v="1"/>
    <x v="2"/>
    <n v="-2"/>
    <m/>
    <m/>
    <x v="2"/>
    <n v="-1"/>
    <s v="HH20240211 T3714233449 No Limit Hold'em $1.84 + $0.16.txt"/>
  </r>
  <r>
    <n v="2056"/>
    <n v="106.02999999999997"/>
    <s v="11.02.2024"/>
    <n v="11"/>
    <x v="1"/>
    <x v="1"/>
    <x v="2"/>
    <n v="-2"/>
    <m/>
    <m/>
    <x v="2"/>
    <n v="-1"/>
    <s v="HH20240211 T3714235574 No Limit Hold'em $1.84 + $0.16.txt"/>
  </r>
  <r>
    <n v="2057"/>
    <n v="108.02999999999997"/>
    <s v="11.02.2024"/>
    <n v="11"/>
    <x v="1"/>
    <x v="1"/>
    <x v="2"/>
    <n v="-2"/>
    <n v="4"/>
    <m/>
    <x v="1"/>
    <n v="1"/>
    <s v="HH20240211 T3714238813 No Limit Hold'em $1.84 + $0.16.txt"/>
  </r>
  <r>
    <n v="2058"/>
    <n v="110.02999999999997"/>
    <s v="11.02.2024"/>
    <n v="11"/>
    <x v="1"/>
    <x v="1"/>
    <x v="2"/>
    <n v="-2"/>
    <n v="4"/>
    <m/>
    <x v="1"/>
    <n v="1"/>
    <s v="HH20240211 T3714248194 No Limit Hold'em $1.84 + $0.16.txt"/>
  </r>
  <r>
    <n v="2059"/>
    <n v="108.02999999999997"/>
    <s v="11.02.2024"/>
    <n v="11"/>
    <x v="1"/>
    <x v="1"/>
    <x v="2"/>
    <n v="-2"/>
    <m/>
    <m/>
    <x v="2"/>
    <n v="-1"/>
    <s v="HH20240211 T3714250220 No Limit Hold'em $1.84 + $0.16.txt"/>
  </r>
  <r>
    <n v="2060"/>
    <n v="106.02999999999997"/>
    <s v="11.02.2024"/>
    <n v="11"/>
    <x v="1"/>
    <x v="1"/>
    <x v="2"/>
    <n v="-2"/>
    <m/>
    <m/>
    <x v="2"/>
    <n v="-1"/>
    <s v="HH20240211 T3714251186 No Limit Hold'em $1.84 + $0.16.txt"/>
  </r>
  <r>
    <n v="2061"/>
    <n v="104.02999999999997"/>
    <s v="11.02.2024"/>
    <n v="11"/>
    <x v="1"/>
    <x v="1"/>
    <x v="2"/>
    <n v="-2"/>
    <m/>
    <m/>
    <x v="2"/>
    <n v="-1"/>
    <s v="HH20240211 T3714251850 No Limit Hold'em $1.84 + $0.16.txt"/>
  </r>
  <r>
    <n v="2062"/>
    <n v="102.02999999999997"/>
    <s v="11.02.2024"/>
    <n v="11"/>
    <x v="1"/>
    <x v="1"/>
    <x v="2"/>
    <n v="-2"/>
    <m/>
    <m/>
    <x v="2"/>
    <n v="-1"/>
    <s v="HH20240211 T3714252625 No Limit Hold'em $1.84 + $0.16.txt"/>
  </r>
  <r>
    <n v="2063"/>
    <n v="100.02999999999997"/>
    <s v="11.02.2024"/>
    <n v="11"/>
    <x v="1"/>
    <x v="1"/>
    <x v="2"/>
    <n v="-2"/>
    <m/>
    <m/>
    <x v="2"/>
    <n v="-1"/>
    <s v="HH20240211 T3714253057 No Limit Hold'em $1.84 + $0.16.txt"/>
  </r>
  <r>
    <n v="2064"/>
    <n v="106.02999999999997"/>
    <s v="11.02.2024"/>
    <n v="11"/>
    <x v="1"/>
    <x v="1"/>
    <x v="2"/>
    <n v="-2"/>
    <n v="8"/>
    <m/>
    <x v="1"/>
    <n v="3"/>
    <s v="HH20240211 T3714288064 No Limit Hold'em $1.84 + $0.16.txt"/>
  </r>
  <r>
    <n v="2065"/>
    <n v="110.02999999999997"/>
    <s v="11.02.2024"/>
    <n v="11"/>
    <x v="1"/>
    <x v="1"/>
    <x v="2"/>
    <n v="-2"/>
    <n v="6"/>
    <m/>
    <x v="1"/>
    <n v="2"/>
    <s v="HH20240211 T3714290652 No Limit Hold'em $1.84 + $0.16.txt"/>
  </r>
  <r>
    <n v="2066"/>
    <n v="108.02999999999997"/>
    <s v="11.02.2024"/>
    <n v="11"/>
    <x v="1"/>
    <x v="1"/>
    <x v="2"/>
    <n v="-2"/>
    <m/>
    <m/>
    <x v="2"/>
    <n v="-1"/>
    <s v="HH20240211 T3714294848 No Limit Hold'em $1.84 + $0.16.txt"/>
  </r>
  <r>
    <n v="2067"/>
    <n v="106.02999999999997"/>
    <s v="11.02.2024"/>
    <n v="11"/>
    <x v="1"/>
    <x v="1"/>
    <x v="2"/>
    <n v="-2"/>
    <m/>
    <m/>
    <x v="2"/>
    <n v="-1"/>
    <s v="HH20240211 T3714345653 No Limit Hold'em $1.84 + $0.16.txt"/>
  </r>
  <r>
    <n v="2068"/>
    <n v="110.02999999999997"/>
    <s v="11.02.2024"/>
    <n v="11"/>
    <x v="1"/>
    <x v="1"/>
    <x v="2"/>
    <n v="-2"/>
    <n v="6"/>
    <m/>
    <x v="1"/>
    <n v="2"/>
    <s v="HH20240211 T3714348973 No Limit Hold'em $1.84 + $0.16.txt"/>
  </r>
  <r>
    <n v="2069"/>
    <n v="108.02999999999997"/>
    <s v="11.02.2024"/>
    <n v="11"/>
    <x v="1"/>
    <x v="1"/>
    <x v="2"/>
    <n v="-2"/>
    <m/>
    <m/>
    <x v="2"/>
    <n v="-1"/>
    <s v="HH20240211 T3714351439 No Limit Hold'em $1.84 + $0.16.txt"/>
  </r>
  <r>
    <n v="2070"/>
    <n v="106.02999999999997"/>
    <s v="11.02.2024"/>
    <n v="11"/>
    <x v="1"/>
    <x v="1"/>
    <x v="2"/>
    <n v="-2"/>
    <m/>
    <m/>
    <x v="2"/>
    <n v="-1"/>
    <s v="HH20240211 T3714357527 No Limit Hold'em $1.84 + $0.16.txt"/>
  </r>
  <r>
    <n v="2071"/>
    <n v="110.02999999999997"/>
    <s v="11.02.2024"/>
    <n v="11"/>
    <x v="1"/>
    <x v="1"/>
    <x v="2"/>
    <n v="-2"/>
    <n v="6"/>
    <m/>
    <x v="1"/>
    <n v="2"/>
    <s v="HH20240211 T3714360788 No Limit Hold'em $1.84 + $0.16.txt"/>
  </r>
  <r>
    <n v="2072"/>
    <n v="108.02999999999997"/>
    <s v="11.02.2024"/>
    <n v="11"/>
    <x v="1"/>
    <x v="1"/>
    <x v="2"/>
    <n v="-2"/>
    <m/>
    <m/>
    <x v="2"/>
    <n v="-1"/>
    <s v="HH20240211 T3714363488 No Limit Hold'em $1.84 + $0.16.txt"/>
  </r>
  <r>
    <n v="2073"/>
    <n v="106.02999999999997"/>
    <s v="11.02.2024"/>
    <n v="11"/>
    <x v="1"/>
    <x v="1"/>
    <x v="2"/>
    <n v="-2"/>
    <m/>
    <m/>
    <x v="2"/>
    <n v="-1"/>
    <s v="HH20240211 T3714364165 No Limit Hold'em $1.84 + $0.16.txt"/>
  </r>
  <r>
    <n v="2074"/>
    <n v="110.02999999999997"/>
    <s v="11.02.2024"/>
    <n v="11"/>
    <x v="1"/>
    <x v="1"/>
    <x v="2"/>
    <n v="-2"/>
    <n v="6"/>
    <m/>
    <x v="1"/>
    <n v="2"/>
    <s v="HH20240211 T3714366054 No Limit Hold'em $1.84 + $0.16.txt"/>
  </r>
  <r>
    <n v="2075"/>
    <n v="114.02999999999997"/>
    <s v="11.02.2024"/>
    <n v="11"/>
    <x v="1"/>
    <x v="1"/>
    <x v="2"/>
    <n v="-2"/>
    <n v="6"/>
    <m/>
    <x v="1"/>
    <n v="2"/>
    <s v="HH20240211 T3714368129 No Limit Hold'em $1.84 + $0.16.txt"/>
  </r>
  <r>
    <n v="2076"/>
    <n v="112.02999999999997"/>
    <s v="11.02.2024"/>
    <n v="11"/>
    <x v="1"/>
    <x v="1"/>
    <x v="2"/>
    <n v="-2"/>
    <m/>
    <m/>
    <x v="2"/>
    <n v="-1"/>
    <s v="HH20240211 T3714371995 No Limit Hold'em $1.84 + $0.16.txt"/>
  </r>
  <r>
    <n v="2077"/>
    <n v="110.02999999999997"/>
    <s v="11.02.2024"/>
    <n v="11"/>
    <x v="1"/>
    <x v="1"/>
    <x v="2"/>
    <n v="-2"/>
    <m/>
    <m/>
    <x v="2"/>
    <n v="-1"/>
    <s v="HH20240211 T3714378379 No Limit Hold'em $1.84 + $0.16.txt"/>
  </r>
  <r>
    <n v="2078"/>
    <n v="108.02999999999997"/>
    <s v="11.02.2024"/>
    <n v="11"/>
    <x v="1"/>
    <x v="1"/>
    <x v="2"/>
    <n v="-2"/>
    <m/>
    <m/>
    <x v="2"/>
    <n v="-1"/>
    <s v="HH20240211 T3714383793 No Limit Hold'em $1.84 + $0.16.txt"/>
  </r>
  <r>
    <n v="2079"/>
    <n v="112.02999999999997"/>
    <s v="12.02.2024"/>
    <n v="12"/>
    <x v="1"/>
    <x v="1"/>
    <x v="2"/>
    <n v="-2"/>
    <n v="6"/>
    <m/>
    <x v="1"/>
    <n v="2"/>
    <s v="HH20240212 T3714776066 No Limit Hold'em $1.84 + $0.16.txt"/>
  </r>
  <r>
    <n v="2080"/>
    <n v="110.02999999999997"/>
    <s v="12.02.2024"/>
    <n v="12"/>
    <x v="1"/>
    <x v="1"/>
    <x v="2"/>
    <n v="-2"/>
    <m/>
    <m/>
    <x v="2"/>
    <n v="-1"/>
    <s v="HH20240212 T3714778308 No Limit Hold'em $1.84 + $0.16.txt"/>
  </r>
  <r>
    <n v="2081"/>
    <n v="108.02999999999997"/>
    <s v="13.02.2024"/>
    <n v="13"/>
    <x v="1"/>
    <x v="1"/>
    <x v="2"/>
    <n v="-2"/>
    <m/>
    <m/>
    <x v="2"/>
    <n v="-1"/>
    <s v="HH20240213 T3715329139 No Limit Hold'em $1.84 + $0.16.txt"/>
  </r>
  <r>
    <n v="2082"/>
    <n v="112.02999999999997"/>
    <s v="13.02.2024"/>
    <n v="13"/>
    <x v="1"/>
    <x v="1"/>
    <x v="2"/>
    <n v="-2"/>
    <n v="6"/>
    <m/>
    <x v="1"/>
    <n v="2"/>
    <s v="HH20240213 T3715329974 No Limit Hold'em $1.84 + $0.16.txt"/>
  </r>
  <r>
    <n v="2083"/>
    <n v="114.02999999999997"/>
    <s v="13.02.2024"/>
    <n v="13"/>
    <x v="1"/>
    <x v="1"/>
    <x v="2"/>
    <n v="-2"/>
    <n v="4"/>
    <m/>
    <x v="1"/>
    <n v="1"/>
    <s v="HH20240213 T3715335878 No Limit Hold'em $1.84 + $0.16.txt"/>
  </r>
  <r>
    <n v="2084"/>
    <n v="272.02999999999997"/>
    <s v="13.02.2024"/>
    <n v="13"/>
    <x v="1"/>
    <x v="1"/>
    <x v="2"/>
    <n v="-2"/>
    <n v="160"/>
    <m/>
    <x v="1"/>
    <n v="79"/>
    <s v="HH20240213 T3715341164 No Limit Hold'em $1.84 + $0.16.txt"/>
  </r>
  <r>
    <n v="2085"/>
    <n v="270.02999999999997"/>
    <s v="14.02.2024"/>
    <n v="14"/>
    <x v="1"/>
    <x v="1"/>
    <x v="2"/>
    <n v="-2"/>
    <m/>
    <m/>
    <x v="2"/>
    <n v="-1"/>
    <s v="HH20240214 T3715591715 No Limit Hold'em $1.84 + $0.16.txt"/>
  </r>
  <r>
    <n v="2086"/>
    <n v="285.02999999999997"/>
    <s v="14.02.2024"/>
    <n v="14"/>
    <x v="1"/>
    <x v="1"/>
    <x v="2"/>
    <n v="-5"/>
    <n v="20"/>
    <m/>
    <x v="1"/>
    <n v="3"/>
    <s v="HH20240214 T3715592842 No Limit Hold'em $4.60 + $0.40.txt"/>
  </r>
  <r>
    <n v="2087"/>
    <n v="320.02999999999997"/>
    <s v="14.02.2024"/>
    <n v="14"/>
    <x v="1"/>
    <x v="1"/>
    <x v="2"/>
    <n v="-5"/>
    <n v="40"/>
    <m/>
    <x v="1"/>
    <n v="7"/>
    <s v="HH20240214 T3715595295 No Limit Hold'em $4.60 + $0.40.txt"/>
  </r>
  <r>
    <n v="2088"/>
    <n v="315.02999999999997"/>
    <s v="14.02.2024"/>
    <n v="14"/>
    <x v="1"/>
    <x v="1"/>
    <x v="2"/>
    <n v="-5"/>
    <m/>
    <m/>
    <x v="2"/>
    <n v="-1"/>
    <s v="HH20240214 T3715597713 No Limit Hold'em $4.60 + $0.40.txt"/>
  </r>
  <r>
    <n v="2089"/>
    <n v="310.02999999999997"/>
    <s v="14.02.2024"/>
    <n v="14"/>
    <x v="1"/>
    <x v="1"/>
    <x v="2"/>
    <n v="-5"/>
    <m/>
    <m/>
    <x v="2"/>
    <n v="-1"/>
    <s v="HH20240214 T3715653167 No Limit Hold'em $4.60 + $0.40.txt"/>
  </r>
  <r>
    <n v="2090"/>
    <n v="305.02999999999997"/>
    <s v="14.02.2024"/>
    <n v="14"/>
    <x v="1"/>
    <x v="1"/>
    <x v="2"/>
    <n v="-5"/>
    <m/>
    <m/>
    <x v="2"/>
    <n v="-1"/>
    <s v="HH20240214 T3715655554 No Limit Hold'em $4.60 + $0.40.txt"/>
  </r>
  <r>
    <n v="2091"/>
    <n v="300.02999999999997"/>
    <s v="14.02.2024"/>
    <n v="14"/>
    <x v="1"/>
    <x v="1"/>
    <x v="2"/>
    <n v="-5"/>
    <m/>
    <m/>
    <x v="2"/>
    <n v="-1"/>
    <s v="HH20240214 T3715656512 No Limit Hold'em $4.60 + $0.40.txt"/>
  </r>
  <r>
    <n v="2092"/>
    <n v="306.02999999999997"/>
    <s v="15.02.2024"/>
    <n v="15"/>
    <x v="1"/>
    <x v="1"/>
    <x v="2"/>
    <n v="-2"/>
    <n v="8"/>
    <m/>
    <x v="1"/>
    <n v="3"/>
    <s v="HH20240215 T3716030685 No Limit Hold'em $1.84 + $0.16.txt"/>
  </r>
  <r>
    <n v="2093"/>
    <n v="304.02999999999997"/>
    <s v="15.02.2024"/>
    <n v="15"/>
    <x v="1"/>
    <x v="1"/>
    <x v="2"/>
    <n v="-2"/>
    <m/>
    <m/>
    <x v="2"/>
    <n v="-1"/>
    <s v="HH20240215 T3716032516 No Limit Hold'em $1.84 + $0.16.txt"/>
  </r>
  <r>
    <n v="2094"/>
    <n v="302.02999999999997"/>
    <s v="15.02.2024"/>
    <n v="15"/>
    <x v="1"/>
    <x v="1"/>
    <x v="2"/>
    <n v="-2"/>
    <m/>
    <m/>
    <x v="2"/>
    <n v="-1"/>
    <s v="HH20240215 T3716034684 No Limit Hold'em $1.84 + $0.16.txt"/>
  </r>
  <r>
    <n v="2095"/>
    <n v="304.02999999999997"/>
    <s v="15.02.2024"/>
    <n v="15"/>
    <x v="1"/>
    <x v="1"/>
    <x v="2"/>
    <n v="-2"/>
    <n v="4"/>
    <m/>
    <x v="1"/>
    <n v="1"/>
    <s v="HH20240215 T3716036540 No Limit Hold'em $1.84 + $0.16.txt"/>
  </r>
  <r>
    <n v="2096"/>
    <n v="302.02999999999997"/>
    <s v="15.02.2024"/>
    <n v="15"/>
    <x v="1"/>
    <x v="1"/>
    <x v="2"/>
    <n v="-2"/>
    <m/>
    <m/>
    <x v="2"/>
    <n v="-1"/>
    <s v="HH20240215 T3716038991 No Limit Hold'em $1.84 + $0.16.txt"/>
  </r>
  <r>
    <n v="2097"/>
    <n v="300.02999999999997"/>
    <s v="16.02.2024"/>
    <n v="16"/>
    <x v="1"/>
    <x v="1"/>
    <x v="2"/>
    <n v="-2"/>
    <m/>
    <m/>
    <x v="2"/>
    <n v="-1"/>
    <s v="HH20240216 T3716444654 No Limit Hold'em $1.84 + $0.16.txt"/>
  </r>
  <r>
    <n v="2098"/>
    <n v="304.02999999999997"/>
    <s v="16.02.2024"/>
    <n v="16"/>
    <x v="1"/>
    <x v="1"/>
    <x v="2"/>
    <n v="-2"/>
    <n v="6"/>
    <m/>
    <x v="1"/>
    <n v="2"/>
    <s v="HH20240216 T3716447664 No Limit Hold'em $1.84 + $0.16.txt"/>
  </r>
  <r>
    <n v="2099"/>
    <n v="302.02999999999997"/>
    <s v="16.02.2024"/>
    <n v="16"/>
    <x v="1"/>
    <x v="1"/>
    <x v="2"/>
    <n v="-2"/>
    <m/>
    <m/>
    <x v="2"/>
    <n v="-1"/>
    <s v="HH20240216 T3716462718 No Limit Hold'em $1.84 + $0.16.txt"/>
  </r>
  <r>
    <n v="2100"/>
    <n v="300.02999999999997"/>
    <s v="16.02.2024"/>
    <n v="16"/>
    <x v="1"/>
    <x v="1"/>
    <x v="2"/>
    <n v="-2"/>
    <m/>
    <m/>
    <x v="2"/>
    <n v="-1"/>
    <s v="HH20240216 T3716465785 No Limit Hold'em $1.84 + $0.16.txt"/>
  </r>
  <r>
    <n v="2101"/>
    <n v="298.02999999999997"/>
    <s v="16.02.2024"/>
    <n v="16"/>
    <x v="1"/>
    <x v="1"/>
    <x v="2"/>
    <n v="-2"/>
    <m/>
    <m/>
    <x v="2"/>
    <n v="-1"/>
    <s v="HH20240216 T3716467105 No Limit Hold'em $1.84 + $0.16.txt"/>
  </r>
  <r>
    <n v="2102"/>
    <n v="296.02999999999997"/>
    <s v="16.02.2024"/>
    <n v="16"/>
    <x v="1"/>
    <x v="1"/>
    <x v="2"/>
    <n v="-2"/>
    <m/>
    <m/>
    <x v="2"/>
    <n v="-1"/>
    <s v="HH20240216 T3716468440 No Limit Hold'em $1.84 + $0.16.txt"/>
  </r>
  <r>
    <n v="2103"/>
    <n v="294.02999999999997"/>
    <s v="16.02.2024"/>
    <n v="16"/>
    <x v="1"/>
    <x v="1"/>
    <x v="2"/>
    <n v="-2"/>
    <m/>
    <m/>
    <x v="2"/>
    <n v="-1"/>
    <s v="HH20240216 T3716469864 No Limit Hold'em $1.84 + $0.16.txt"/>
  </r>
  <r>
    <n v="2104"/>
    <n v="292.02999999999997"/>
    <s v="17.02.2024"/>
    <n v="17"/>
    <x v="1"/>
    <x v="1"/>
    <x v="2"/>
    <n v="-2"/>
    <m/>
    <m/>
    <x v="2"/>
    <n v="-1"/>
    <s v="HH20240217 T3716971092 No Limit Hold'em $1.84 + $0.16.txt"/>
  </r>
  <r>
    <n v="2105"/>
    <n v="275.52999999999997"/>
    <s v="17.02.2024"/>
    <n v="17"/>
    <x v="1"/>
    <x v="1"/>
    <x v="3"/>
    <n v="-16.5"/>
    <m/>
    <m/>
    <x v="2"/>
    <n v="-1"/>
    <s v="HH20240217 T3715151503 No Limit Hold'em $14.70 + $1.80.txt"/>
  </r>
  <r>
    <n v="2106"/>
    <n v="277.52999999999997"/>
    <s v="18.02.2024"/>
    <n v="18"/>
    <x v="1"/>
    <x v="1"/>
    <x v="2"/>
    <n v="-2"/>
    <n v="4"/>
    <m/>
    <x v="1"/>
    <n v="1"/>
    <s v="HH20240218 T3717337747 No Limit Hold'em $1.84 + $0.16.txt"/>
  </r>
  <r>
    <n v="2107"/>
    <n v="281.52999999999997"/>
    <s v="18.02.2024"/>
    <n v="18"/>
    <x v="1"/>
    <x v="1"/>
    <x v="2"/>
    <n v="-2"/>
    <n v="6"/>
    <m/>
    <x v="1"/>
    <n v="2"/>
    <s v="HH20240218 T3717338901 No Limit Hold'em $1.84 + $0.16.txt"/>
  </r>
  <r>
    <n v="2108"/>
    <n v="279.52999999999997"/>
    <s v="18.02.2024"/>
    <n v="18"/>
    <x v="1"/>
    <x v="1"/>
    <x v="2"/>
    <n v="-2"/>
    <m/>
    <m/>
    <x v="2"/>
    <n v="-1"/>
    <s v="HH20240218 T3717341045 No Limit Hold'em $1.84 + $0.16.txt"/>
  </r>
  <r>
    <n v="2109"/>
    <n v="277.52999999999997"/>
    <s v="18.02.2024"/>
    <n v="18"/>
    <x v="1"/>
    <x v="1"/>
    <x v="2"/>
    <n v="-2"/>
    <m/>
    <m/>
    <x v="2"/>
    <n v="-1"/>
    <s v="HH20240218 T3717341375 No Limit Hold'em $1.84 + $0.16.txt"/>
  </r>
  <r>
    <n v="2110"/>
    <n v="279.52999999999997"/>
    <s v="18.02.2024"/>
    <n v="18"/>
    <x v="1"/>
    <x v="1"/>
    <x v="2"/>
    <n v="-2"/>
    <n v="4"/>
    <m/>
    <x v="1"/>
    <n v="1"/>
    <s v="HH20240218 T3717401277 No Limit Hold'em $1.84 + $0.16.txt"/>
  </r>
  <r>
    <n v="2111"/>
    <n v="281.52999999999997"/>
    <s v="18.02.2024"/>
    <n v="18"/>
    <x v="1"/>
    <x v="1"/>
    <x v="2"/>
    <n v="-2"/>
    <n v="4"/>
    <m/>
    <x v="1"/>
    <n v="1"/>
    <s v="HH20240218 T3717403965 No Limit Hold'em $1.84 + $0.16.txt"/>
  </r>
  <r>
    <n v="2112"/>
    <n v="279.52999999999997"/>
    <s v="18.02.2024"/>
    <n v="18"/>
    <x v="1"/>
    <x v="1"/>
    <x v="2"/>
    <n v="-2"/>
    <m/>
    <m/>
    <x v="2"/>
    <n v="-1"/>
    <s v="HH20240218 T3717405398 No Limit Hold'em $1.84 + $0.16.txt"/>
  </r>
  <r>
    <n v="2113"/>
    <n v="283.52999999999997"/>
    <s v="19.02.2024"/>
    <n v="19"/>
    <x v="1"/>
    <x v="1"/>
    <x v="2"/>
    <n v="-2"/>
    <n v="6"/>
    <m/>
    <x v="1"/>
    <n v="2"/>
    <s v="HH20240219 T3717921249 No Limit Hold'em $1.84 + $0.16.txt"/>
  </r>
  <r>
    <n v="2114"/>
    <n v="281.52999999999997"/>
    <s v="19.02.2024"/>
    <n v="19"/>
    <x v="1"/>
    <x v="1"/>
    <x v="2"/>
    <n v="-2"/>
    <m/>
    <m/>
    <x v="2"/>
    <n v="-1"/>
    <s v="HH20240219 T3717926470 No Limit Hold'em $1.84 + $0.16.txt"/>
  </r>
  <r>
    <n v="2115"/>
    <n v="279.52999999999997"/>
    <s v="19.02.2024"/>
    <n v="19"/>
    <x v="1"/>
    <x v="1"/>
    <x v="2"/>
    <n v="-2"/>
    <m/>
    <m/>
    <x v="2"/>
    <n v="-1"/>
    <s v="HH20240219 T3718016648 No Limit Hold'em $1.84 + $0.16.txt"/>
  </r>
  <r>
    <n v="2116"/>
    <n v="277.52999999999997"/>
    <s v="21.02.2024"/>
    <n v="21"/>
    <x v="1"/>
    <x v="1"/>
    <x v="2"/>
    <n v="-2"/>
    <m/>
    <m/>
    <x v="2"/>
    <n v="-1"/>
    <s v="HH20240221 T3718698070 No Limit Hold'em $1.84 + $0.16.txt"/>
  </r>
  <r>
    <n v="2117"/>
    <n v="279.52999999999997"/>
    <s v="21.02.2024"/>
    <n v="21"/>
    <x v="1"/>
    <x v="1"/>
    <x v="2"/>
    <n v="-2"/>
    <n v="4"/>
    <m/>
    <x v="1"/>
    <n v="1"/>
    <s v="HH20240221 T3718699505 No Limit Hold'em $1.84 + $0.16.txt"/>
  </r>
  <r>
    <n v="2118"/>
    <n v="277.52999999999997"/>
    <s v="21.02.2024"/>
    <n v="21"/>
    <x v="1"/>
    <x v="1"/>
    <x v="2"/>
    <n v="-2"/>
    <m/>
    <m/>
    <x v="2"/>
    <n v="-1"/>
    <s v="HH20240221 T3718702246 No Limit Hold'em $1.84 + $0.16.txt"/>
  </r>
  <r>
    <n v="2119"/>
    <n v="275.52999999999997"/>
    <s v="21.02.2024"/>
    <n v="21"/>
    <x v="1"/>
    <x v="1"/>
    <x v="2"/>
    <n v="-2"/>
    <m/>
    <m/>
    <x v="2"/>
    <n v="-1"/>
    <s v="HH20240221 T3718705099 No Limit Hold'em $1.84 + $0.16.txt"/>
  </r>
  <r>
    <n v="2120"/>
    <n v="273.52999999999997"/>
    <s v="21.02.2024"/>
    <n v="21"/>
    <x v="1"/>
    <x v="1"/>
    <x v="2"/>
    <n v="-2"/>
    <m/>
    <m/>
    <x v="2"/>
    <n v="-1"/>
    <s v="HH20240221 T3718707152 No Limit Hold'em $1.84 + $0.16.txt"/>
  </r>
  <r>
    <n v="2121"/>
    <n v="281.52999999999997"/>
    <s v="21.02.2024"/>
    <n v="21"/>
    <x v="1"/>
    <x v="1"/>
    <x v="2"/>
    <n v="-2"/>
    <n v="10"/>
    <m/>
    <x v="1"/>
    <n v="4"/>
    <s v="HH20240221 T3718708333 No Limit Hold'em $1.84 + $0.16.txt"/>
  </r>
  <r>
    <n v="2122"/>
    <n v="279.52999999999997"/>
    <s v="21.02.2024"/>
    <n v="21"/>
    <x v="1"/>
    <x v="1"/>
    <x v="2"/>
    <n v="-2"/>
    <m/>
    <m/>
    <x v="2"/>
    <n v="-1"/>
    <s v="HH20240221 T3719273417 No Limit Hold'em $1.84 + $0.16.txt"/>
  </r>
  <r>
    <n v="2123"/>
    <n v="277.52999999999997"/>
    <s v="21.02.2024"/>
    <n v="21"/>
    <x v="1"/>
    <x v="1"/>
    <x v="2"/>
    <n v="-2"/>
    <m/>
    <m/>
    <x v="2"/>
    <n v="-1"/>
    <s v="HH20240221 T3719276451 No Limit Hold'em $1.84 + $0.16.txt"/>
  </r>
  <r>
    <n v="2124"/>
    <n v="275.52999999999997"/>
    <s v="21.02.2024"/>
    <n v="21"/>
    <x v="1"/>
    <x v="1"/>
    <x v="2"/>
    <n v="-2"/>
    <m/>
    <m/>
    <x v="2"/>
    <n v="-1"/>
    <s v="HH20240221 T3719277535 No Limit Hold'em $1.84 + $0.16.txt"/>
  </r>
  <r>
    <n v="2125"/>
    <n v="273.52999999999997"/>
    <s v="21.02.2024"/>
    <n v="21"/>
    <x v="1"/>
    <x v="1"/>
    <x v="2"/>
    <n v="-2"/>
    <m/>
    <m/>
    <x v="2"/>
    <n v="-1"/>
    <s v="HH20240221 T3719279085 No Limit Hold'em $1.84 + $0.16.txt"/>
  </r>
  <r>
    <n v="2126"/>
    <n v="275.52999999999997"/>
    <s v="21.02.2024"/>
    <n v="21"/>
    <x v="1"/>
    <x v="1"/>
    <x v="2"/>
    <n v="-2"/>
    <n v="4"/>
    <m/>
    <x v="1"/>
    <n v="1"/>
    <s v="HH20240221 T3719280215 No Limit Hold'em $1.84 + $0.16.txt"/>
  </r>
  <r>
    <n v="2127"/>
    <n v="275.52999999999997"/>
    <s v="21.02.2024"/>
    <n v="21"/>
    <x v="1"/>
    <x v="1"/>
    <x v="2"/>
    <m/>
    <m/>
    <m/>
    <x v="2"/>
    <n v="0"/>
    <s v="HH20240221 T3719282509 No Limit Hold'em $1.84 + $0.16.txt"/>
  </r>
  <r>
    <n v="2128"/>
    <n v="283.52999999999997"/>
    <s v="21.02.2024"/>
    <n v="21"/>
    <x v="1"/>
    <x v="1"/>
    <x v="2"/>
    <n v="-2"/>
    <n v="10"/>
    <m/>
    <x v="1"/>
    <n v="4"/>
    <s v="HH20240221 T3719284588 No Limit Hold'em $1.84 + $0.16.txt"/>
  </r>
  <r>
    <n v="2129"/>
    <n v="281.52999999999997"/>
    <s v="21.02.2024"/>
    <n v="21"/>
    <x v="1"/>
    <x v="1"/>
    <x v="2"/>
    <n v="-2"/>
    <m/>
    <m/>
    <x v="2"/>
    <n v="-1"/>
    <s v="HH20240221 T3719314503 No Limit Hold'em $1.84 + $0.16.txt"/>
  </r>
  <r>
    <n v="2130"/>
    <n v="279.52999999999997"/>
    <s v="21.02.2024"/>
    <n v="21"/>
    <x v="1"/>
    <x v="1"/>
    <x v="2"/>
    <n v="-2"/>
    <m/>
    <m/>
    <x v="2"/>
    <n v="-1"/>
    <s v="HH20240221 T3719315940 No Limit Hold'em $1.84 + $0.16.txt"/>
  </r>
  <r>
    <n v="2131"/>
    <n v="277.52999999999997"/>
    <s v="21.02.2024"/>
    <n v="21"/>
    <x v="1"/>
    <x v="1"/>
    <x v="2"/>
    <n v="-2"/>
    <m/>
    <m/>
    <x v="2"/>
    <n v="-1"/>
    <s v="HH20240221 T3719320048 No Limit Hold'em $1.84 + $0.16.txt"/>
  </r>
  <r>
    <n v="2132"/>
    <n v="275.52999999999997"/>
    <s v="21.02.2024"/>
    <n v="21"/>
    <x v="1"/>
    <x v="1"/>
    <x v="2"/>
    <n v="-2"/>
    <m/>
    <m/>
    <x v="2"/>
    <n v="-1"/>
    <s v="HH20240221 T3719322193 No Limit Hold'em $1.84 + $0.16.txt"/>
  </r>
  <r>
    <n v="2133"/>
    <n v="273.52999999999997"/>
    <s v="22.02.2024"/>
    <n v="22"/>
    <x v="1"/>
    <x v="1"/>
    <x v="2"/>
    <n v="-2"/>
    <m/>
    <m/>
    <x v="2"/>
    <n v="-1"/>
    <s v="HH20240222 T3719575556 No Limit Hold'em $1.84 + $0.16.txt"/>
  </r>
  <r>
    <n v="2134"/>
    <n v="271.52999999999997"/>
    <s v="22.02.2024"/>
    <n v="22"/>
    <x v="1"/>
    <x v="1"/>
    <x v="2"/>
    <n v="-2"/>
    <m/>
    <m/>
    <x v="2"/>
    <n v="-1"/>
    <s v="HH20240222 T3719576806 No Limit Hold'em $1.84 + $0.16.txt"/>
  </r>
  <r>
    <n v="2135"/>
    <n v="269.52999999999997"/>
    <s v="22.02.2024"/>
    <n v="22"/>
    <x v="1"/>
    <x v="1"/>
    <x v="2"/>
    <n v="-2"/>
    <m/>
    <m/>
    <x v="2"/>
    <n v="-1"/>
    <s v="HH20240222 T3719578465 No Limit Hold'em $1.84 + $0.16.txt"/>
  </r>
  <r>
    <n v="2136"/>
    <n v="267.52999999999997"/>
    <s v="22.02.2024"/>
    <n v="22"/>
    <x v="1"/>
    <x v="1"/>
    <x v="2"/>
    <n v="-2"/>
    <m/>
    <m/>
    <x v="2"/>
    <n v="-1"/>
    <s v="HH20240222 T3719582034 No Limit Hold'em $1.84 + $0.16.txt"/>
  </r>
  <r>
    <n v="2137"/>
    <n v="265.52999999999997"/>
    <s v="22.02.2024"/>
    <n v="22"/>
    <x v="1"/>
    <x v="1"/>
    <x v="2"/>
    <n v="-2"/>
    <m/>
    <m/>
    <x v="2"/>
    <n v="-1"/>
    <s v="HH20240222 T3719582651 No Limit Hold'em $1.84 + $0.16.txt"/>
  </r>
  <r>
    <n v="2138"/>
    <n v="263.52999999999997"/>
    <s v="22.02.2024"/>
    <n v="22"/>
    <x v="1"/>
    <x v="1"/>
    <x v="2"/>
    <n v="-2"/>
    <m/>
    <m/>
    <x v="2"/>
    <n v="-1"/>
    <s v="HH20240222 T3719583382 No Limit Hold'em $1.84 + $0.16.txt"/>
  </r>
  <r>
    <n v="2139"/>
    <n v="261.52999999999997"/>
    <s v="22.02.2024"/>
    <n v="22"/>
    <x v="1"/>
    <x v="1"/>
    <x v="2"/>
    <n v="-2"/>
    <m/>
    <m/>
    <x v="2"/>
    <n v="-1"/>
    <s v="HH20240222 T3719585477 No Limit Hold'em $1.84 + $0.16.txt"/>
  </r>
  <r>
    <n v="2140"/>
    <n v="263.52999999999997"/>
    <s v="22.02.2024"/>
    <n v="22"/>
    <x v="1"/>
    <x v="1"/>
    <x v="2"/>
    <n v="-2"/>
    <n v="4"/>
    <m/>
    <x v="1"/>
    <n v="1"/>
    <s v="HH20240222 T3719590503 No Limit Hold'em $1.84 + $0.16.txt"/>
  </r>
  <r>
    <n v="2141"/>
    <n v="265.52999999999997"/>
    <s v="22.02.2024"/>
    <n v="22"/>
    <x v="1"/>
    <x v="1"/>
    <x v="2"/>
    <n v="-2"/>
    <n v="4"/>
    <m/>
    <x v="1"/>
    <n v="1"/>
    <s v="HH20240222 T3719592500 No Limit Hold'em $1.84 + $0.16.txt"/>
  </r>
  <r>
    <n v="2142"/>
    <n v="263.52999999999997"/>
    <s v="22.02.2024"/>
    <n v="22"/>
    <x v="1"/>
    <x v="1"/>
    <x v="2"/>
    <n v="-2"/>
    <m/>
    <m/>
    <x v="2"/>
    <n v="-1"/>
    <s v="HH20240222 T3719621903 No Limit Hold'em $1.84 + $0.16.txt"/>
  </r>
  <r>
    <n v="2143"/>
    <n v="261.52999999999997"/>
    <s v="22.02.2024"/>
    <n v="22"/>
    <x v="1"/>
    <x v="1"/>
    <x v="2"/>
    <n v="-2"/>
    <m/>
    <m/>
    <x v="2"/>
    <n v="-1"/>
    <s v="HH20240222 T3719622981 No Limit Hold'em $1.84 + $0.16.txt"/>
  </r>
  <r>
    <n v="2144"/>
    <n v="259.52999999999997"/>
    <s v="22.02.2024"/>
    <n v="22"/>
    <x v="1"/>
    <x v="1"/>
    <x v="2"/>
    <n v="-2"/>
    <m/>
    <m/>
    <x v="2"/>
    <n v="-1"/>
    <s v="HH20240222 T3719625307 No Limit Hold'em $1.84 + $0.16.txt"/>
  </r>
  <r>
    <n v="2145"/>
    <n v="257.52999999999997"/>
    <s v="22.02.2024"/>
    <n v="22"/>
    <x v="1"/>
    <x v="1"/>
    <x v="2"/>
    <n v="-2"/>
    <m/>
    <m/>
    <x v="2"/>
    <n v="-1"/>
    <s v="HH20240222 T3719626556 No Limit Hold'em $1.84 + $0.16.txt"/>
  </r>
  <r>
    <n v="2146"/>
    <n v="255.52999999999997"/>
    <s v="22.02.2024"/>
    <n v="22"/>
    <x v="1"/>
    <x v="1"/>
    <x v="2"/>
    <n v="-2"/>
    <m/>
    <m/>
    <x v="2"/>
    <n v="-1"/>
    <s v="HH20240222 T3719628484 No Limit Hold'em $1.84 + $0.16.txt"/>
  </r>
  <r>
    <n v="2147"/>
    <n v="253.52999999999997"/>
    <s v="22.02.2024"/>
    <n v="22"/>
    <x v="1"/>
    <x v="1"/>
    <x v="2"/>
    <n v="-2"/>
    <m/>
    <m/>
    <x v="2"/>
    <n v="-1"/>
    <s v="HH20240222 T3719629146 No Limit Hold'em $1.84 + $0.16.txt"/>
  </r>
  <r>
    <n v="2148"/>
    <n v="255.52999999999997"/>
    <s v="22.02.2024"/>
    <n v="22"/>
    <x v="1"/>
    <x v="1"/>
    <x v="2"/>
    <n v="-2"/>
    <n v="4"/>
    <m/>
    <x v="1"/>
    <n v="1"/>
    <s v="HH20240222 T3719633383 No Limit Hold'em $1.84 + $0.16.txt"/>
  </r>
  <r>
    <n v="2149"/>
    <n v="253.52999999999997"/>
    <s v="22.02.2024"/>
    <n v="22"/>
    <x v="1"/>
    <x v="1"/>
    <x v="2"/>
    <n v="-2"/>
    <m/>
    <m/>
    <x v="2"/>
    <n v="-1"/>
    <s v="HH20240222 T3719634742 No Limit Hold'em $1.84 + $0.16.txt"/>
  </r>
  <r>
    <n v="2150"/>
    <n v="251.52999999999997"/>
    <s v="22.02.2024"/>
    <n v="22"/>
    <x v="1"/>
    <x v="1"/>
    <x v="2"/>
    <n v="-2"/>
    <m/>
    <m/>
    <x v="2"/>
    <n v="-1"/>
    <s v="HH20240222 T3719636916 No Limit Hold'em $1.84 + $0.16.txt"/>
  </r>
  <r>
    <n v="2151"/>
    <n v="255.52999999999997"/>
    <s v="22.02.2024"/>
    <n v="22"/>
    <x v="1"/>
    <x v="1"/>
    <x v="2"/>
    <n v="-2"/>
    <n v="6"/>
    <m/>
    <x v="1"/>
    <n v="2"/>
    <s v="HH20240222 T3719637902 No Limit Hold'em $1.84 + $0.16.txt"/>
  </r>
  <r>
    <n v="2152"/>
    <n v="259.52999999999997"/>
    <s v="22.02.2024"/>
    <n v="22"/>
    <x v="1"/>
    <x v="1"/>
    <x v="2"/>
    <n v="-2"/>
    <n v="6"/>
    <m/>
    <x v="1"/>
    <n v="2"/>
    <s v="HH20240222 T3719640738 No Limit Hold'em $1.84 + $0.16.txt"/>
  </r>
  <r>
    <n v="2153"/>
    <n v="263.52999999999997"/>
    <s v="22.02.2024"/>
    <n v="22"/>
    <x v="1"/>
    <x v="1"/>
    <x v="2"/>
    <n v="-2"/>
    <n v="6"/>
    <m/>
    <x v="1"/>
    <n v="2"/>
    <s v="HH20240222 T3719667393 No Limit Hold'em $1.84 + $0.16.txt"/>
  </r>
  <r>
    <n v="2154"/>
    <n v="265.52999999999997"/>
    <s v="22.02.2024"/>
    <n v="22"/>
    <x v="1"/>
    <x v="1"/>
    <x v="2"/>
    <n v="-2"/>
    <n v="4"/>
    <m/>
    <x v="1"/>
    <n v="1"/>
    <s v="HH20240222 T3719783824 No Limit Hold'em $1.84 + $0.16.txt"/>
  </r>
  <r>
    <n v="2155"/>
    <n v="263.52999999999997"/>
    <s v="22.02.2024"/>
    <n v="22"/>
    <x v="1"/>
    <x v="1"/>
    <x v="2"/>
    <n v="-2"/>
    <m/>
    <m/>
    <x v="2"/>
    <n v="-1"/>
    <s v="HH20240222 T3719788239 No Limit Hold'em $1.84 + $0.16.txt"/>
  </r>
  <r>
    <n v="2156"/>
    <n v="261.52999999999997"/>
    <s v="22.02.2024"/>
    <n v="22"/>
    <x v="1"/>
    <x v="1"/>
    <x v="2"/>
    <n v="-2"/>
    <m/>
    <m/>
    <x v="2"/>
    <n v="-1"/>
    <s v="HH20240222 T3719789623 No Limit Hold'em $1.84 + $0.16.txt"/>
  </r>
  <r>
    <n v="2157"/>
    <n v="263.52999999999997"/>
    <s v="22.02.2024"/>
    <n v="22"/>
    <x v="1"/>
    <x v="1"/>
    <x v="2"/>
    <n v="-2"/>
    <n v="4"/>
    <m/>
    <x v="1"/>
    <n v="1"/>
    <s v="HH20240222 T3719793163 No Limit Hold'em $1.84 + $0.16.txt"/>
  </r>
  <r>
    <n v="2158"/>
    <n v="261.52999999999997"/>
    <s v="22.02.2024"/>
    <n v="22"/>
    <x v="1"/>
    <x v="1"/>
    <x v="2"/>
    <n v="-2"/>
    <m/>
    <m/>
    <x v="2"/>
    <n v="-1"/>
    <s v="HH20240222 T3719794693 No Limit Hold'em $1.84 + $0.16.txt"/>
  </r>
  <r>
    <n v="2159"/>
    <n v="265.52999999999997"/>
    <s v="23.02.2024"/>
    <n v="23"/>
    <x v="1"/>
    <x v="1"/>
    <x v="2"/>
    <n v="-2"/>
    <n v="6"/>
    <m/>
    <x v="1"/>
    <n v="2"/>
    <s v="HH20240223 T3720279576 No Limit Hold'em $1.84 + $0.16.txt"/>
  </r>
  <r>
    <n v="2160"/>
    <n v="260.52999999999997"/>
    <s v="23.02.2024"/>
    <n v="23"/>
    <x v="1"/>
    <x v="1"/>
    <x v="2"/>
    <n v="-5"/>
    <m/>
    <m/>
    <x v="2"/>
    <n v="-1"/>
    <s v="HH20240223 T3720282430 No Limit Hold'em $4.60 + $0.40.txt"/>
  </r>
  <r>
    <n v="2161"/>
    <n v="258.52999999999997"/>
    <s v="24.02.2024"/>
    <n v="24"/>
    <x v="1"/>
    <x v="1"/>
    <x v="2"/>
    <n v="-2"/>
    <m/>
    <m/>
    <x v="2"/>
    <n v="-1"/>
    <s v="HH20240224 T3720528845 No Limit Hold'em $1.84 + $0.16.txt"/>
  </r>
  <r>
    <n v="2162"/>
    <n v="256.52999999999997"/>
    <s v="24.02.2024"/>
    <n v="24"/>
    <x v="1"/>
    <x v="1"/>
    <x v="2"/>
    <n v="-2"/>
    <m/>
    <m/>
    <x v="2"/>
    <n v="-1"/>
    <s v="HH20240224 T3720530135 No Limit Hold'em $1.84 + $0.16.txt"/>
  </r>
  <r>
    <n v="2163"/>
    <n v="258.52999999999997"/>
    <s v="24.02.2024"/>
    <n v="24"/>
    <x v="1"/>
    <x v="1"/>
    <x v="2"/>
    <n v="-2"/>
    <n v="4"/>
    <m/>
    <x v="1"/>
    <n v="1"/>
    <s v="HH20240224 T3720531041 No Limit Hold'em $1.84 + $0.16.txt"/>
  </r>
  <r>
    <n v="2164"/>
    <n v="256.52999999999997"/>
    <s v="24.02.2024"/>
    <n v="24"/>
    <x v="1"/>
    <x v="1"/>
    <x v="2"/>
    <n v="-2"/>
    <m/>
    <m/>
    <x v="2"/>
    <n v="-1"/>
    <s v="HH20240224 T3720532813 No Limit Hold'em $1.84 + $0.16.txt"/>
  </r>
  <r>
    <n v="2165"/>
    <n v="254.52999999999997"/>
    <s v="24.02.2024"/>
    <n v="24"/>
    <x v="1"/>
    <x v="1"/>
    <x v="2"/>
    <n v="-2"/>
    <m/>
    <m/>
    <x v="2"/>
    <n v="-1"/>
    <s v="HH20240224 T3720533861 No Limit Hold'em $1.84 + $0.16.txt"/>
  </r>
  <r>
    <n v="2166"/>
    <n v="252.52999999999997"/>
    <s v="24.02.2024"/>
    <n v="24"/>
    <x v="1"/>
    <x v="1"/>
    <x v="2"/>
    <n v="-2"/>
    <m/>
    <m/>
    <x v="2"/>
    <n v="-1"/>
    <s v="HH20240224 T3720536133 No Limit Hold'em $1.84 + $0.16.txt"/>
  </r>
  <r>
    <n v="2167"/>
    <n v="254.52999999999997"/>
    <s v="24.02.2024"/>
    <n v="24"/>
    <x v="1"/>
    <x v="1"/>
    <x v="2"/>
    <n v="-2"/>
    <n v="4"/>
    <m/>
    <x v="1"/>
    <n v="1"/>
    <s v="HH20240224 T3720678508 No Limit Hold'em $1.84 + $0.16.txt"/>
  </r>
  <r>
    <n v="2168"/>
    <n v="260.52999999999997"/>
    <s v="25.02.2024"/>
    <n v="25"/>
    <x v="1"/>
    <x v="1"/>
    <x v="2"/>
    <n v="-2"/>
    <n v="8"/>
    <m/>
    <x v="1"/>
    <n v="3"/>
    <s v="HH20240225 T3720973966 No Limit Hold'em $1.84 + $0.16.txt"/>
  </r>
  <r>
    <n v="2169"/>
    <n v="262.52999999999997"/>
    <s v="25.02.2024"/>
    <n v="25"/>
    <x v="1"/>
    <x v="1"/>
    <x v="2"/>
    <n v="-2"/>
    <n v="4"/>
    <m/>
    <x v="1"/>
    <n v="1"/>
    <s v="HH20240225 T3720989039 No Limit Hold'em $1.84 + $0.16.txt"/>
  </r>
  <r>
    <n v="2170"/>
    <n v="260.52999999999997"/>
    <s v="25.02.2024"/>
    <n v="25"/>
    <x v="1"/>
    <x v="1"/>
    <x v="2"/>
    <n v="-2"/>
    <m/>
    <m/>
    <x v="2"/>
    <n v="-1"/>
    <s v="HH20240225 T3720991511 No Limit Hold'em $1.84 + $0.16.txt"/>
  </r>
  <r>
    <n v="2171"/>
    <n v="262.52999999999997"/>
    <s v="25.02.2024"/>
    <n v="25"/>
    <x v="1"/>
    <x v="1"/>
    <x v="2"/>
    <n v="-2"/>
    <n v="4"/>
    <m/>
    <x v="1"/>
    <n v="1"/>
    <s v="HH20240225 T3720993672 No Limit Hold'em $1.84 + $0.16.txt"/>
  </r>
  <r>
    <n v="2172"/>
    <n v="260.52999999999997"/>
    <s v="25.02.2024"/>
    <n v="25"/>
    <x v="1"/>
    <x v="1"/>
    <x v="2"/>
    <n v="-2"/>
    <m/>
    <m/>
    <x v="2"/>
    <n v="-1"/>
    <s v="HH20240225 T3720994902 No Limit Hold'em $1.84 + $0.16.txt"/>
  </r>
  <r>
    <n v="2173"/>
    <n v="258.52999999999997"/>
    <s v="25.02.2024"/>
    <n v="25"/>
    <x v="1"/>
    <x v="1"/>
    <x v="2"/>
    <n v="-2"/>
    <m/>
    <m/>
    <x v="2"/>
    <n v="-1"/>
    <s v="HH20240225 T3720995954 No Limit Hold'em $1.84 + $0.16.txt"/>
  </r>
  <r>
    <n v="2174"/>
    <n v="256.52999999999997"/>
    <s v="25.02.2024"/>
    <n v="25"/>
    <x v="1"/>
    <x v="1"/>
    <x v="2"/>
    <n v="-2"/>
    <m/>
    <m/>
    <x v="2"/>
    <n v="-1"/>
    <s v="HH20240225 T3720996665 No Limit Hold'em $1.84 + $0.16.txt"/>
  </r>
  <r>
    <n v="2175"/>
    <n v="260.52999999999997"/>
    <s v="25.02.2024"/>
    <n v="25"/>
    <x v="1"/>
    <x v="1"/>
    <x v="2"/>
    <n v="-2"/>
    <n v="6"/>
    <m/>
    <x v="1"/>
    <n v="2"/>
    <s v="HH20240225 T3720999072 No Limit Hold'em $1.84 + $0.16.txt"/>
  </r>
  <r>
    <n v="2176"/>
    <n v="258.52999999999997"/>
    <s v="25.02.2024"/>
    <n v="25"/>
    <x v="1"/>
    <x v="1"/>
    <x v="2"/>
    <n v="-2"/>
    <m/>
    <m/>
    <x v="2"/>
    <n v="-1"/>
    <s v="HH20240225 T3721003654 No Limit Hold'em $1.84 + $0.16.txt"/>
  </r>
  <r>
    <n v="2177"/>
    <n v="260.52999999999997"/>
    <s v="25.02.2024"/>
    <n v="25"/>
    <x v="1"/>
    <x v="1"/>
    <x v="2"/>
    <n v="-2"/>
    <n v="4"/>
    <m/>
    <x v="1"/>
    <n v="1"/>
    <s v="HH20240225 T3721005982 No Limit Hold'em $1.84 + $0.16.txt"/>
  </r>
  <r>
    <n v="2178"/>
    <n v="258.52999999999997"/>
    <s v="25.02.2024"/>
    <n v="25"/>
    <x v="1"/>
    <x v="1"/>
    <x v="2"/>
    <n v="-2"/>
    <m/>
    <m/>
    <x v="2"/>
    <n v="-1"/>
    <s v="HH20240225 T3721007361 No Limit Hold'em $1.84 + $0.16.txt"/>
  </r>
  <r>
    <n v="2179"/>
    <n v="262.52999999999997"/>
    <s v="25.02.2024"/>
    <n v="25"/>
    <x v="1"/>
    <x v="1"/>
    <x v="2"/>
    <n v="-2"/>
    <n v="6"/>
    <m/>
    <x v="1"/>
    <n v="2"/>
    <s v="HH20240225 T3721011074 No Limit Hold'em $1.84 + $0.16.txt"/>
  </r>
  <r>
    <n v="2180"/>
    <n v="268.52999999999997"/>
    <s v="25.02.2024"/>
    <n v="25"/>
    <x v="1"/>
    <x v="1"/>
    <x v="2"/>
    <n v="-2"/>
    <n v="8"/>
    <m/>
    <x v="1"/>
    <n v="3"/>
    <s v="HH20240225 T3721012525 No Limit Hold'em $1.84 + $0.16.txt"/>
  </r>
  <r>
    <n v="2181"/>
    <n v="266.52999999999997"/>
    <s v="25.02.2024"/>
    <n v="25"/>
    <x v="1"/>
    <x v="1"/>
    <x v="2"/>
    <n v="-2"/>
    <m/>
    <m/>
    <x v="2"/>
    <n v="-1"/>
    <s v="HH20240225 T3721035307 No Limit Hold'em $1.84 + $0.16.txt"/>
  </r>
  <r>
    <n v="2182"/>
    <n v="264.52999999999997"/>
    <s v="25.02.2024"/>
    <n v="25"/>
    <x v="1"/>
    <x v="1"/>
    <x v="2"/>
    <n v="-2"/>
    <m/>
    <m/>
    <x v="2"/>
    <n v="-1"/>
    <s v="HH20240225 T3721037045 No Limit Hold'em $1.84 + $0.16.txt"/>
  </r>
  <r>
    <n v="2183"/>
    <n v="262.52999999999997"/>
    <s v="25.02.2024"/>
    <n v="25"/>
    <x v="1"/>
    <x v="1"/>
    <x v="2"/>
    <n v="-2"/>
    <m/>
    <m/>
    <x v="2"/>
    <n v="-1"/>
    <s v="HH20240225 T3721037781 No Limit Hold'em $1.84 + $0.16.txt"/>
  </r>
  <r>
    <n v="2184"/>
    <n v="260.52999999999997"/>
    <s v="25.02.2024"/>
    <n v="25"/>
    <x v="1"/>
    <x v="1"/>
    <x v="2"/>
    <n v="-2"/>
    <m/>
    <m/>
    <x v="2"/>
    <n v="-1"/>
    <s v="HH20240225 T3721040292 No Limit Hold'em $1.84 + $0.16.txt"/>
  </r>
  <r>
    <n v="2185"/>
    <n v="255.52999999999997"/>
    <s v="25.02.2024"/>
    <n v="25"/>
    <x v="1"/>
    <x v="1"/>
    <x v="2"/>
    <n v="-5"/>
    <m/>
    <m/>
    <x v="2"/>
    <n v="-1"/>
    <s v="HH20240225 T3721042628 No Limit Hold'em $4.60 + $0.40.txt"/>
  </r>
  <r>
    <n v="2186"/>
    <n v="250.52999999999997"/>
    <s v="25.02.2024"/>
    <n v="25"/>
    <x v="1"/>
    <x v="1"/>
    <x v="2"/>
    <n v="-5"/>
    <m/>
    <m/>
    <x v="2"/>
    <n v="-1"/>
    <s v="HH20240225 T3721043956 No Limit Hold'em $4.60 + $0.40.txt"/>
  </r>
  <r>
    <n v="2187"/>
    <n v="255.52999999999997"/>
    <s v="25.02.2024"/>
    <n v="25"/>
    <x v="1"/>
    <x v="1"/>
    <x v="2"/>
    <n v="-5"/>
    <n v="10"/>
    <m/>
    <x v="1"/>
    <n v="1"/>
    <s v="HH20240225 T3721045389 No Limit Hold'em $4.60 + $0.40.txt"/>
  </r>
  <r>
    <n v="2188"/>
    <n v="250.52999999999997"/>
    <s v="25.02.2024"/>
    <n v="25"/>
    <x v="1"/>
    <x v="1"/>
    <x v="2"/>
    <n v="-5"/>
    <m/>
    <m/>
    <x v="2"/>
    <n v="-1"/>
    <s v="HH20240225 T3721047733 No Limit Hold'em $4.60 + $0.40.txt"/>
  </r>
  <r>
    <n v="2189"/>
    <n v="245.52999999999997"/>
    <s v="25.02.2024"/>
    <n v="25"/>
    <x v="1"/>
    <x v="1"/>
    <x v="2"/>
    <n v="-5"/>
    <m/>
    <m/>
    <x v="2"/>
    <n v="-1"/>
    <s v="HH20240225 T3721050862 No Limit Hold'em $4.60 + $0.40.txt"/>
  </r>
  <r>
    <n v="2190"/>
    <n v="240.52999999999997"/>
    <s v="25.02.2024"/>
    <n v="25"/>
    <x v="1"/>
    <x v="1"/>
    <x v="2"/>
    <n v="-5"/>
    <m/>
    <m/>
    <x v="2"/>
    <n v="-1"/>
    <s v="HH20240225 T3721053983 No Limit Hold'em $4.60 + $0.40.txt"/>
  </r>
  <r>
    <n v="2191"/>
    <n v="245.52999999999997"/>
    <s v="25.02.2024"/>
    <n v="25"/>
    <x v="1"/>
    <x v="1"/>
    <x v="2"/>
    <n v="-5"/>
    <n v="10"/>
    <m/>
    <x v="1"/>
    <n v="1"/>
    <s v="HH20240225 T3721058338 No Limit Hold'em $4.60 + $0.40.txt"/>
  </r>
  <r>
    <n v="2192"/>
    <n v="250.52999999999997"/>
    <s v="25.02.2024"/>
    <n v="25"/>
    <x v="1"/>
    <x v="1"/>
    <x v="2"/>
    <n v="-5"/>
    <n v="10"/>
    <m/>
    <x v="1"/>
    <n v="1"/>
    <s v="HH20240225 T3721060844 No Limit Hold'em $4.60 + $0.40.txt"/>
  </r>
  <r>
    <n v="2193"/>
    <n v="245.52999999999997"/>
    <s v="25.02.2024"/>
    <n v="25"/>
    <x v="1"/>
    <x v="1"/>
    <x v="2"/>
    <n v="-5"/>
    <m/>
    <m/>
    <x v="2"/>
    <n v="-1"/>
    <s v="HH20240225 T3721080239 No Limit Hold'em $4.60 + $0.40.txt"/>
  </r>
  <r>
    <n v="2194"/>
    <n v="240.52999999999997"/>
    <s v="25.02.2024"/>
    <n v="25"/>
    <x v="1"/>
    <x v="1"/>
    <x v="2"/>
    <n v="-5"/>
    <m/>
    <m/>
    <x v="2"/>
    <n v="-1"/>
    <s v="HH20240225 T3721083636 No Limit Hold'em $4.60 + $0.40.txt"/>
  </r>
  <r>
    <n v="2195"/>
    <n v="242.52999999999997"/>
    <s v="25.02.2024"/>
    <n v="25"/>
    <x v="1"/>
    <x v="1"/>
    <x v="2"/>
    <n v="-2"/>
    <n v="4"/>
    <m/>
    <x v="1"/>
    <n v="1"/>
    <s v="HH20240225 T3721085289 No Limit Hold'em $1.84 + $0.16.txt"/>
  </r>
  <r>
    <n v="2196"/>
    <n v="240.52999999999997"/>
    <s v="25.02.2024"/>
    <n v="25"/>
    <x v="1"/>
    <x v="1"/>
    <x v="2"/>
    <n v="-2"/>
    <m/>
    <m/>
    <x v="2"/>
    <n v="-1"/>
    <s v="HH20240225 T3721089729 No Limit Hold'em $1.84 + $0.16.txt"/>
  </r>
  <r>
    <n v="2197"/>
    <n v="238.52999999999997"/>
    <s v="25.02.2024"/>
    <n v="25"/>
    <x v="1"/>
    <x v="1"/>
    <x v="2"/>
    <n v="-2"/>
    <m/>
    <m/>
    <x v="2"/>
    <n v="-1"/>
    <s v="HH20240225 T3721091910 No Limit Hold'em $1.84 + $0.16.txt"/>
  </r>
  <r>
    <n v="2198"/>
    <n v="236.52999999999997"/>
    <s v="25.02.2024"/>
    <n v="25"/>
    <x v="1"/>
    <x v="1"/>
    <x v="2"/>
    <n v="-2"/>
    <m/>
    <m/>
    <x v="2"/>
    <n v="-1"/>
    <s v="HH20240225 T3721098492 No Limit Hold'em $1.84 + $0.16.txt"/>
  </r>
  <r>
    <n v="2199"/>
    <n v="234.52999999999997"/>
    <s v="25.02.2024"/>
    <n v="25"/>
    <x v="1"/>
    <x v="1"/>
    <x v="2"/>
    <n v="-2"/>
    <m/>
    <m/>
    <x v="2"/>
    <n v="-1"/>
    <s v="HH20240225 T3721099082 No Limit Hold'em $1.84 + $0.16.txt"/>
  </r>
  <r>
    <n v="2200"/>
    <n v="236.52999999999997"/>
    <s v="25.02.2024"/>
    <n v="25"/>
    <x v="1"/>
    <x v="1"/>
    <x v="2"/>
    <n v="-2"/>
    <n v="4"/>
    <m/>
    <x v="1"/>
    <n v="1"/>
    <s v="HH20240225 T3721101197 No Limit Hold'em $1.84 + $0.16.txt"/>
  </r>
  <r>
    <n v="2201"/>
    <n v="234.52999999999997"/>
    <s v="25.02.2024"/>
    <n v="25"/>
    <x v="1"/>
    <x v="1"/>
    <x v="2"/>
    <n v="-2"/>
    <m/>
    <m/>
    <x v="2"/>
    <n v="-1"/>
    <s v="HH20240225 T3721104313 No Limit Hold'em $1.84 + $0.16.txt"/>
  </r>
  <r>
    <n v="2202"/>
    <n v="232.52999999999997"/>
    <s v="25.02.2024"/>
    <n v="25"/>
    <x v="1"/>
    <x v="1"/>
    <x v="2"/>
    <n v="-2"/>
    <m/>
    <m/>
    <x v="2"/>
    <n v="-1"/>
    <s v="HH20240225 T3721106953 No Limit Hold'em $1.84 + $0.16.txt"/>
  </r>
  <r>
    <n v="2203"/>
    <n v="236.52999999999997"/>
    <s v="25.02.2024"/>
    <n v="25"/>
    <x v="1"/>
    <x v="1"/>
    <x v="2"/>
    <n v="-2"/>
    <n v="6"/>
    <m/>
    <x v="1"/>
    <n v="2"/>
    <s v="HH20240225 T3721111261 No Limit Hold'em $1.84 + $0.16.txt"/>
  </r>
  <r>
    <n v="2204"/>
    <n v="234.52999999999997"/>
    <s v="25.02.2024"/>
    <n v="25"/>
    <x v="1"/>
    <x v="1"/>
    <x v="2"/>
    <n v="-2"/>
    <m/>
    <m/>
    <x v="2"/>
    <n v="-1"/>
    <s v="HH20240225 T3721115112 No Limit Hold'em $1.84 + $0.16.txt"/>
  </r>
  <r>
    <n v="2205"/>
    <n v="232.52999999999997"/>
    <s v="25.02.2024"/>
    <n v="25"/>
    <x v="1"/>
    <x v="1"/>
    <x v="2"/>
    <n v="-2"/>
    <m/>
    <m/>
    <x v="2"/>
    <n v="-1"/>
    <s v="HH20240225 T3721116626 No Limit Hold'em $1.84 + $0.16.txt"/>
  </r>
  <r>
    <n v="2206"/>
    <n v="230.52999999999997"/>
    <s v="25.02.2024"/>
    <n v="25"/>
    <x v="1"/>
    <x v="1"/>
    <x v="2"/>
    <n v="-2"/>
    <m/>
    <m/>
    <x v="2"/>
    <n v="-1"/>
    <s v="HH20240225 T3721118929 No Limit Hold'em $1.84 + $0.16.txt"/>
  </r>
  <r>
    <n v="2207"/>
    <n v="225.52999999999997"/>
    <s v="25.02.2024"/>
    <n v="25"/>
    <x v="1"/>
    <x v="1"/>
    <x v="2"/>
    <n v="-5"/>
    <m/>
    <m/>
    <x v="2"/>
    <n v="-1"/>
    <s v="HH20240225 T3721121536 No Limit Hold'em $4.60 + $0.40.txt"/>
  </r>
  <r>
    <n v="2208"/>
    <n v="240.52999999999997"/>
    <s v="25.02.2024"/>
    <n v="25"/>
    <x v="1"/>
    <x v="1"/>
    <x v="2"/>
    <n v="-5"/>
    <n v="20"/>
    <m/>
    <x v="1"/>
    <n v="3"/>
    <s v="HH20240225 T3721126856 No Limit Hold'em $4.60 + $0.40.txt"/>
  </r>
  <r>
    <n v="2209"/>
    <n v="235.52999999999997"/>
    <s v="25.02.2024"/>
    <n v="25"/>
    <x v="1"/>
    <x v="1"/>
    <x v="2"/>
    <n v="-5"/>
    <m/>
    <m/>
    <x v="2"/>
    <n v="-1"/>
    <s v="HH20240225 T3721134304 No Limit Hold'em $4.60 + $0.40.txt"/>
  </r>
  <r>
    <n v="2210"/>
    <n v="230.52999999999997"/>
    <s v="25.02.2024"/>
    <n v="25"/>
    <x v="1"/>
    <x v="1"/>
    <x v="2"/>
    <n v="-5"/>
    <m/>
    <m/>
    <x v="2"/>
    <n v="-1"/>
    <s v="HH20240225 T3721138630 No Limit Hold'em $4.60 + $0.40.txt"/>
  </r>
  <r>
    <n v="2211"/>
    <n v="240.52999999999997"/>
    <s v="25.02.2024"/>
    <n v="25"/>
    <x v="1"/>
    <x v="1"/>
    <x v="2"/>
    <n v="-5"/>
    <n v="15"/>
    <m/>
    <x v="1"/>
    <n v="2"/>
    <s v="HH20240225 T3721141203 No Limit Hold'em $4.60 + $0.40.txt"/>
  </r>
  <r>
    <n v="2212"/>
    <n v="235.52999999999997"/>
    <s v="25.02.2024"/>
    <n v="25"/>
    <x v="1"/>
    <x v="1"/>
    <x v="2"/>
    <n v="-5"/>
    <m/>
    <m/>
    <x v="2"/>
    <n v="-1"/>
    <s v="HH20240225 T3721144853 No Limit Hold'em $4.60 + $0.40.txt"/>
  </r>
  <r>
    <n v="2213"/>
    <n v="230.52999999999997"/>
    <s v="25.02.2024"/>
    <n v="25"/>
    <x v="1"/>
    <x v="1"/>
    <x v="2"/>
    <n v="-5"/>
    <m/>
    <m/>
    <x v="2"/>
    <n v="-1"/>
    <s v="HH20240225 T3721201748 No Limit Hold'em $4.60 + $0.40.txt"/>
  </r>
  <r>
    <n v="2214"/>
    <n v="240.52999999999997"/>
    <s v="25.02.2024"/>
    <n v="25"/>
    <x v="1"/>
    <x v="1"/>
    <x v="2"/>
    <n v="-5"/>
    <n v="15"/>
    <m/>
    <x v="1"/>
    <n v="2"/>
    <s v="HH20240225 T3721204897 No Limit Hold'em $4.60 + $0.40.txt"/>
  </r>
  <r>
    <n v="2215"/>
    <n v="244.52999999999997"/>
    <s v="26.02.2024"/>
    <n v="26"/>
    <x v="1"/>
    <x v="1"/>
    <x v="2"/>
    <m/>
    <n v="4"/>
    <m/>
    <x v="1"/>
    <n v="0"/>
    <s v="HH20240226 T3721379783 No Limit Hold'em $1.84 + $0.16.txt"/>
  </r>
  <r>
    <n v="2216"/>
    <n v="242.52999999999997"/>
    <s v="26.02.2024"/>
    <n v="26"/>
    <x v="1"/>
    <x v="1"/>
    <x v="2"/>
    <n v="-2"/>
    <m/>
    <m/>
    <x v="2"/>
    <n v="-1"/>
    <s v="HH20240226 T3721381903 No Limit Hold'em $1.84 + $0.16.txt"/>
  </r>
  <r>
    <n v="2217"/>
    <n v="244.52999999999997"/>
    <s v="26.02.2024"/>
    <n v="26"/>
    <x v="1"/>
    <x v="1"/>
    <x v="2"/>
    <n v="-2"/>
    <n v="4"/>
    <m/>
    <x v="1"/>
    <n v="1"/>
    <s v="HH20240226 T3721382540 No Limit Hold'em $1.84 + $0.16.txt"/>
  </r>
  <r>
    <n v="2218"/>
    <n v="242.52999999999997"/>
    <s v="26.02.2024"/>
    <n v="26"/>
    <x v="1"/>
    <x v="1"/>
    <x v="2"/>
    <n v="-2"/>
    <m/>
    <m/>
    <x v="2"/>
    <n v="-1"/>
    <s v="HH20240226 T3721383687 No Limit Hold'em $1.84 + $0.16.txt"/>
  </r>
  <r>
    <n v="2219"/>
    <n v="240.52999999999997"/>
    <s v="26.02.2024"/>
    <n v="26"/>
    <x v="1"/>
    <x v="1"/>
    <x v="2"/>
    <n v="-2"/>
    <m/>
    <m/>
    <x v="2"/>
    <n v="-1"/>
    <s v="HH20240226 T3721385492 No Limit Hold'em $1.84 + $0.16.txt"/>
  </r>
  <r>
    <n v="2220"/>
    <n v="242.52999999999997"/>
    <s v="26.02.2024"/>
    <n v="26"/>
    <x v="1"/>
    <x v="1"/>
    <x v="2"/>
    <n v="-2"/>
    <n v="4"/>
    <m/>
    <x v="1"/>
    <n v="1"/>
    <s v="HH20240226 T3721386433 No Limit Hold'em $1.84 + $0.16.txt"/>
  </r>
  <r>
    <n v="2221"/>
    <n v="244.52999999999997"/>
    <s v="26.02.2024"/>
    <n v="26"/>
    <x v="1"/>
    <x v="1"/>
    <x v="2"/>
    <n v="-2"/>
    <n v="4"/>
    <m/>
    <x v="1"/>
    <n v="1"/>
    <s v="HH20240226 T3721387257 No Limit Hold'em $1.84 + $0.16.txt"/>
  </r>
  <r>
    <n v="2222"/>
    <n v="242.52999999999997"/>
    <s v="26.02.2024"/>
    <n v="26"/>
    <x v="1"/>
    <x v="1"/>
    <x v="2"/>
    <n v="-2"/>
    <m/>
    <m/>
    <x v="2"/>
    <n v="-1"/>
    <s v="HH20240226 T3721388076 No Limit Hold'em $1.84 + $0.16.txt"/>
  </r>
  <r>
    <n v="2223"/>
    <n v="240.52999999999997"/>
    <s v="26.02.2024"/>
    <n v="26"/>
    <x v="1"/>
    <x v="1"/>
    <x v="2"/>
    <n v="-2"/>
    <m/>
    <m/>
    <x v="2"/>
    <n v="-1"/>
    <s v="HH20240226 T3721389464 No Limit Hold'em $1.84 + $0.16.txt"/>
  </r>
  <r>
    <n v="2224"/>
    <n v="242.52999999999997"/>
    <s v="26.02.2024"/>
    <n v="26"/>
    <x v="1"/>
    <x v="1"/>
    <x v="2"/>
    <n v="-2"/>
    <n v="4"/>
    <m/>
    <x v="1"/>
    <n v="1"/>
    <s v="HH20240226 T3721458451 No Limit Hold'em $1.84 + $0.16.txt"/>
  </r>
  <r>
    <n v="2225"/>
    <n v="244.52999999999997"/>
    <s v="26.02.2024"/>
    <n v="26"/>
    <x v="1"/>
    <x v="1"/>
    <x v="2"/>
    <n v="-2"/>
    <n v="4"/>
    <m/>
    <x v="1"/>
    <n v="1"/>
    <s v="HH20240226 T3721460701 No Limit Hold'em $1.84 + $0.16.txt"/>
  </r>
  <r>
    <n v="2226"/>
    <n v="248.52999999999997"/>
    <s v="26.02.2024"/>
    <n v="26"/>
    <x v="1"/>
    <x v="1"/>
    <x v="2"/>
    <n v="-2"/>
    <n v="6"/>
    <m/>
    <x v="1"/>
    <n v="2"/>
    <s v="HH20240226 T3721465214 No Limit Hold'em $1.84 + $0.16.txt"/>
  </r>
  <r>
    <n v="2227"/>
    <n v="254.52999999999997"/>
    <s v="26.02.2024"/>
    <n v="26"/>
    <x v="1"/>
    <x v="1"/>
    <x v="2"/>
    <n v="-2"/>
    <n v="8"/>
    <m/>
    <x v="1"/>
    <n v="3"/>
    <s v="HH20240226 T3721467721 No Limit Hold'em $1.84 + $0.16.txt"/>
  </r>
  <r>
    <n v="2228"/>
    <n v="252.52999999999997"/>
    <s v="26.02.2024"/>
    <n v="26"/>
    <x v="1"/>
    <x v="1"/>
    <x v="2"/>
    <n v="-2"/>
    <m/>
    <m/>
    <x v="2"/>
    <n v="-1"/>
    <s v="HH20240226 T3721471680 No Limit Hold'em $1.84 + $0.16.txt"/>
  </r>
  <r>
    <n v="2229"/>
    <n v="254.52999999999997"/>
    <s v="26.02.2024"/>
    <n v="26"/>
    <x v="1"/>
    <x v="1"/>
    <x v="2"/>
    <n v="-2"/>
    <n v="4"/>
    <m/>
    <x v="1"/>
    <n v="1"/>
    <s v="HH20240226 T3721472857 No Limit Hold'em $1.84 + $0.16.txt"/>
  </r>
  <r>
    <n v="2230"/>
    <n v="260.52999999999997"/>
    <s v="26.02.2024"/>
    <n v="26"/>
    <x v="1"/>
    <x v="1"/>
    <x v="2"/>
    <n v="-2"/>
    <n v="8"/>
    <m/>
    <x v="1"/>
    <n v="3"/>
    <s v="HH20240226 T3721476514 No Limit Hold'em $1.84 + $0.16.txt"/>
  </r>
  <r>
    <n v="2231"/>
    <n v="264.52999999999997"/>
    <s v="26.02.2024"/>
    <n v="26"/>
    <x v="1"/>
    <x v="1"/>
    <x v="2"/>
    <n v="-2"/>
    <n v="6"/>
    <m/>
    <x v="1"/>
    <n v="2"/>
    <s v="HH20240226 T3721603819 No Limit Hold'em $1.84 + $0.16.txt"/>
  </r>
  <r>
    <n v="2232"/>
    <n v="262.52999999999997"/>
    <s v="28.02.2024"/>
    <n v="28"/>
    <x v="1"/>
    <x v="1"/>
    <x v="2"/>
    <n v="-2"/>
    <m/>
    <m/>
    <x v="2"/>
    <n v="-1"/>
    <s v="HH20240228 T3722463252 No Limit Hold'em $1.84 + $0.16.txt"/>
  </r>
  <r>
    <n v="2233"/>
    <n v="266.52999999999997"/>
    <s v="28.02.2024"/>
    <n v="28"/>
    <x v="1"/>
    <x v="1"/>
    <x v="2"/>
    <n v="-2"/>
    <n v="6"/>
    <m/>
    <x v="1"/>
    <n v="2"/>
    <s v="HH20240228 T3722469858 No Limit Hold'em $1.84 + $0.16.txt"/>
  </r>
  <r>
    <n v="2234"/>
    <n v="262.13"/>
    <s v="29.02.2024"/>
    <n v="29"/>
    <x v="1"/>
    <x v="1"/>
    <x v="3"/>
    <n v="-4.4000000000000004"/>
    <m/>
    <m/>
    <x v="2"/>
    <n v="-1"/>
    <s v="HH20240229 T3721995007 No Limit Hold'em $3.92 + $0.48.txt"/>
  </r>
  <r>
    <n v="2235"/>
    <n v="268.13"/>
    <s v="29.02.2024"/>
    <n v="29"/>
    <x v="1"/>
    <x v="1"/>
    <x v="2"/>
    <n v="-2"/>
    <n v="8"/>
    <m/>
    <x v="1"/>
    <n v="3"/>
    <s v="HH20240229 T3722744162 No Limit Hold'em $1.84 + $0.16.txt"/>
  </r>
  <r>
    <n v="2236"/>
    <n v="272.13"/>
    <s v="29.02.2024"/>
    <n v="29"/>
    <x v="1"/>
    <x v="1"/>
    <x v="2"/>
    <n v="-2"/>
    <n v="6"/>
    <m/>
    <x v="1"/>
    <n v="2"/>
    <s v="HH20240229 T3722777100 No Limit Hold'em $1.84 + $0.16.txt"/>
  </r>
  <r>
    <n v="2237"/>
    <n v="270.13"/>
    <s v="29.02.2024"/>
    <n v="29"/>
    <x v="1"/>
    <x v="1"/>
    <x v="2"/>
    <n v="-2"/>
    <m/>
    <m/>
    <x v="2"/>
    <n v="-1"/>
    <s v="HH20240229 T3722780674 No Limit Hold'em $1.84 + $0.16.txt"/>
  </r>
  <r>
    <n v="2238"/>
    <n v="274.13"/>
    <s v="29.02.2024"/>
    <n v="29"/>
    <x v="1"/>
    <x v="1"/>
    <x v="2"/>
    <n v="-2"/>
    <n v="6"/>
    <m/>
    <x v="1"/>
    <n v="2"/>
    <s v="HH20240229 T3722781422 No Limit Hold'em $1.84 + $0.16.txt"/>
  </r>
  <r>
    <n v="2239"/>
    <n v="278.13"/>
    <s v="29.02.2024"/>
    <n v="29"/>
    <x v="1"/>
    <x v="1"/>
    <x v="2"/>
    <n v="-2"/>
    <n v="6"/>
    <m/>
    <x v="1"/>
    <n v="2"/>
    <s v="HH20240229 T3722784594 No Limit Hold'em $1.84 + $0.16.txt"/>
  </r>
  <r>
    <n v="2240"/>
    <n v="276.13"/>
    <s v="29.02.2024"/>
    <n v="29"/>
    <x v="1"/>
    <x v="1"/>
    <x v="2"/>
    <n v="-2"/>
    <m/>
    <m/>
    <x v="2"/>
    <n v="-1"/>
    <s v="HH20240229 T3722792741 No Limit Hold'em $1.84 + $0.16.txt"/>
  </r>
  <r>
    <n v="2241"/>
    <n v="278.13"/>
    <s v="29.02.2024"/>
    <n v="29"/>
    <x v="1"/>
    <x v="1"/>
    <x v="2"/>
    <n v="-2"/>
    <n v="4"/>
    <m/>
    <x v="1"/>
    <n v="1"/>
    <s v="HH20240229 T3722796604 No Limit Hold'em $1.84 + $0.16.txt"/>
  </r>
  <r>
    <n v="2242"/>
    <n v="276.13"/>
    <s v="29.02.2024"/>
    <n v="29"/>
    <x v="1"/>
    <x v="1"/>
    <x v="2"/>
    <n v="-2"/>
    <m/>
    <m/>
    <x v="2"/>
    <n v="-1"/>
    <s v="HH20240229 T3722800432 No Limit Hold'em $1.84 + $0.16.txt"/>
  </r>
  <r>
    <n v="2243"/>
    <n v="274.13"/>
    <s v="29.02.2024"/>
    <n v="29"/>
    <x v="1"/>
    <x v="1"/>
    <x v="2"/>
    <n v="-2"/>
    <m/>
    <m/>
    <x v="2"/>
    <n v="-1"/>
    <s v="HH20240229 T3722806992 No Limit Hold'em $1.84 + $0.16.txt"/>
  </r>
  <r>
    <n v="2244"/>
    <n v="74.13"/>
    <s v="29.02.2024"/>
    <n v="29"/>
    <x v="1"/>
    <x v="1"/>
    <x v="7"/>
    <n v="-200"/>
    <m/>
    <m/>
    <x v="0"/>
    <m/>
    <m/>
  </r>
  <r>
    <n v="2245"/>
    <n v="72.13"/>
    <s v="29.02.2024"/>
    <n v="29"/>
    <x v="1"/>
    <x v="1"/>
    <x v="2"/>
    <n v="-2"/>
    <m/>
    <m/>
    <x v="2"/>
    <n v="-1"/>
    <s v="HH20240229 T3722824889 No Limit Hold'em $1.84 + $0.16.txt"/>
  </r>
  <r>
    <n v="2246"/>
    <n v="74.13"/>
    <s v="01.03.2024"/>
    <n v="1"/>
    <x v="2"/>
    <x v="1"/>
    <x v="2"/>
    <n v="-2"/>
    <n v="4"/>
    <m/>
    <x v="1"/>
    <n v="1"/>
    <s v="HH20240301 T3722985891 No Limit Hold'em $1.84 + $0.16.txt"/>
  </r>
  <r>
    <n v="2247"/>
    <n v="78.13"/>
    <s v="01.03.2024"/>
    <n v="1"/>
    <x v="2"/>
    <x v="1"/>
    <x v="2"/>
    <n v="-2"/>
    <n v="6"/>
    <m/>
    <x v="1"/>
    <n v="2"/>
    <s v="HH20240301 T3723027870 No Limit Hold'em $1.84 + $0.16.txt"/>
  </r>
  <r>
    <n v="2248"/>
    <n v="76.13"/>
    <s v="01.03.2024"/>
    <n v="1"/>
    <x v="2"/>
    <x v="1"/>
    <x v="2"/>
    <n v="-2"/>
    <m/>
    <m/>
    <x v="2"/>
    <n v="-1"/>
    <s v="HH20240301 T3723033658 No Limit Hold'em $1.84 + $0.16.txt"/>
  </r>
  <r>
    <n v="2249"/>
    <n v="74.13"/>
    <s v="01.03.2024"/>
    <n v="1"/>
    <x v="2"/>
    <x v="1"/>
    <x v="2"/>
    <n v="-2"/>
    <m/>
    <m/>
    <x v="2"/>
    <n v="-1"/>
    <s v="HH20240301 T3723035730 No Limit Hold'em $1.84 + $0.16.txt"/>
  </r>
  <r>
    <n v="2250"/>
    <n v="80.13"/>
    <s v="01.03.2024"/>
    <n v="1"/>
    <x v="2"/>
    <x v="1"/>
    <x v="2"/>
    <n v="-2"/>
    <n v="8"/>
    <m/>
    <x v="1"/>
    <n v="3"/>
    <s v="HH20240301 T3723036287 No Limit Hold'em $1.84 + $0.16.txt"/>
  </r>
  <r>
    <n v="2251"/>
    <n v="78.13"/>
    <s v="01.03.2024"/>
    <n v="1"/>
    <x v="2"/>
    <x v="1"/>
    <x v="2"/>
    <n v="-2"/>
    <m/>
    <m/>
    <x v="2"/>
    <n v="-1"/>
    <s v="HH20240301 T3723038665 No Limit Hold'em $1.84 + $0.16.txt"/>
  </r>
  <r>
    <n v="2252"/>
    <n v="80.13"/>
    <s v="01.03.2024"/>
    <n v="1"/>
    <x v="2"/>
    <x v="1"/>
    <x v="2"/>
    <n v="-2"/>
    <n v="4"/>
    <m/>
    <x v="1"/>
    <n v="1"/>
    <s v="HH20240301 T3723039928 No Limit Hold'em $1.84 + $0.16.txt"/>
  </r>
  <r>
    <n v="2253"/>
    <n v="78.13"/>
    <s v="01.03.2024"/>
    <n v="1"/>
    <x v="2"/>
    <x v="1"/>
    <x v="2"/>
    <n v="-2"/>
    <m/>
    <m/>
    <x v="2"/>
    <n v="-1"/>
    <s v="HH20240301 T3723139971 No Limit Hold'em $1.84 + $0.16.txt"/>
  </r>
  <r>
    <n v="2254"/>
    <n v="76.13"/>
    <s v="01.03.2024"/>
    <n v="1"/>
    <x v="2"/>
    <x v="1"/>
    <x v="2"/>
    <n v="-2"/>
    <m/>
    <m/>
    <x v="2"/>
    <n v="-1"/>
    <s v="HH20240301 T3723143551 No Limit Hold'em $1.84 + $0.16.txt"/>
  </r>
  <r>
    <n v="2255"/>
    <n v="74.13"/>
    <s v="01.03.2024"/>
    <n v="1"/>
    <x v="2"/>
    <x v="1"/>
    <x v="2"/>
    <n v="-2"/>
    <m/>
    <m/>
    <x v="2"/>
    <n v="-1"/>
    <s v="HH20240301 T3723146405 No Limit Hold'em $1.84 + $0.16.txt"/>
  </r>
  <r>
    <n v="2256"/>
    <n v="72.13"/>
    <s v="01.03.2024"/>
    <n v="1"/>
    <x v="2"/>
    <x v="1"/>
    <x v="2"/>
    <n v="-2"/>
    <m/>
    <m/>
    <x v="2"/>
    <n v="-1"/>
    <s v="HH20240301 T3723150129 No Limit Hold'em $1.84 + $0.16.txt"/>
  </r>
  <r>
    <n v="2257"/>
    <n v="70.13"/>
    <s v="02.03.2024"/>
    <n v="2"/>
    <x v="2"/>
    <x v="1"/>
    <x v="2"/>
    <n v="-2"/>
    <m/>
    <m/>
    <x v="2"/>
    <n v="-1"/>
    <s v="HH20240302 T3723510325 No Limit Hold'em $1.84 + $0.16.txt"/>
  </r>
  <r>
    <n v="2258"/>
    <n v="72.13"/>
    <s v="02.03.2024"/>
    <n v="2"/>
    <x v="2"/>
    <x v="1"/>
    <x v="2"/>
    <n v="-2"/>
    <n v="4"/>
    <m/>
    <x v="1"/>
    <n v="1"/>
    <s v="HH20240302 T3723511576 No Limit Hold'em $1.84 + $0.16.txt"/>
  </r>
  <r>
    <n v="2259"/>
    <n v="74.13"/>
    <s v="02.03.2024"/>
    <n v="2"/>
    <x v="2"/>
    <x v="1"/>
    <x v="2"/>
    <n v="-2"/>
    <n v="4"/>
    <m/>
    <x v="1"/>
    <n v="1"/>
    <s v="HH20240302 T3723513898 No Limit Hold'em $1.84 + $0.16.txt"/>
  </r>
  <r>
    <n v="2260"/>
    <n v="72.13"/>
    <s v="02.03.2024"/>
    <n v="2"/>
    <x v="2"/>
    <x v="1"/>
    <x v="2"/>
    <n v="-2"/>
    <m/>
    <m/>
    <x v="2"/>
    <n v="-1"/>
    <s v="HH20240302 T3723557755 No Limit Hold'em $1.84 + $0.16.txt"/>
  </r>
  <r>
    <n v="2261"/>
    <n v="74.13"/>
    <s v="02.03.2024"/>
    <n v="2"/>
    <x v="2"/>
    <x v="1"/>
    <x v="2"/>
    <n v="-2"/>
    <n v="4"/>
    <m/>
    <x v="1"/>
    <n v="1"/>
    <s v="HH20240302 T3723559217 No Limit Hold'em $1.84 + $0.16.txt"/>
  </r>
  <r>
    <n v="2262"/>
    <n v="76.13"/>
    <s v="02.03.2024"/>
    <n v="2"/>
    <x v="2"/>
    <x v="1"/>
    <x v="2"/>
    <n v="-2"/>
    <n v="4"/>
    <m/>
    <x v="1"/>
    <n v="1"/>
    <s v="HH20240302 T3723562266 No Limit Hold'em $1.84 + $0.16.txt"/>
  </r>
  <r>
    <n v="2263"/>
    <n v="80.13"/>
    <s v="02.03.2024"/>
    <n v="2"/>
    <x v="2"/>
    <x v="1"/>
    <x v="2"/>
    <n v="-2"/>
    <n v="6"/>
    <m/>
    <x v="1"/>
    <n v="2"/>
    <s v="HH20240302 T3723565864 No Limit Hold'em $1.84 + $0.16.txt"/>
  </r>
  <r>
    <n v="2264"/>
    <n v="78.13"/>
    <s v="02.03.2024"/>
    <n v="2"/>
    <x v="2"/>
    <x v="1"/>
    <x v="2"/>
    <n v="-2"/>
    <m/>
    <m/>
    <x v="2"/>
    <n v="-1"/>
    <s v="HH20240302 T3723568972 No Limit Hold'em $1.84 + $0.16.txt"/>
  </r>
  <r>
    <n v="2265"/>
    <n v="80.13"/>
    <s v="02.03.2024"/>
    <n v="2"/>
    <x v="2"/>
    <x v="1"/>
    <x v="2"/>
    <n v="-2"/>
    <n v="4"/>
    <m/>
    <x v="1"/>
    <n v="1"/>
    <s v="HH20240302 T3723639210 No Limit Hold'em $1.84 + $0.16.txt"/>
  </r>
  <r>
    <n v="2266"/>
    <n v="78.13"/>
    <s v="04.03.2024"/>
    <n v="4"/>
    <x v="2"/>
    <x v="1"/>
    <x v="2"/>
    <n v="-2"/>
    <m/>
    <m/>
    <x v="2"/>
    <n v="-1"/>
    <s v="HH20240304 T3724339650 No Limit Hold'em $1.84 + $0.16.txt"/>
  </r>
  <r>
    <n v="2267"/>
    <n v="82.13"/>
    <s v="04.03.2024"/>
    <n v="4"/>
    <x v="2"/>
    <x v="1"/>
    <x v="2"/>
    <n v="-2"/>
    <n v="6"/>
    <m/>
    <x v="1"/>
    <n v="2"/>
    <s v="HH20240304 T3724339997 No Limit Hold'em $1.84 + $0.16.txt"/>
  </r>
  <r>
    <n v="2268"/>
    <n v="80.13"/>
    <s v="04.03.2024"/>
    <n v="4"/>
    <x v="2"/>
    <x v="1"/>
    <x v="2"/>
    <n v="-2"/>
    <m/>
    <m/>
    <x v="2"/>
    <n v="-1"/>
    <s v="HH20240304 T3724378637 No Limit Hold'em $1.84 + $0.16.txt"/>
  </r>
  <r>
    <n v="2269"/>
    <n v="82.13"/>
    <s v="04.03.2024"/>
    <n v="4"/>
    <x v="2"/>
    <x v="1"/>
    <x v="2"/>
    <n v="-2"/>
    <n v="4"/>
    <m/>
    <x v="1"/>
    <n v="1"/>
    <s v="HH20240304 T3724380678 No Limit Hold'em $1.84 + $0.16.txt"/>
  </r>
  <r>
    <n v="2270"/>
    <n v="80.13"/>
    <s v="04.03.2024"/>
    <n v="4"/>
    <x v="2"/>
    <x v="1"/>
    <x v="2"/>
    <n v="-2"/>
    <m/>
    <m/>
    <x v="2"/>
    <n v="-1"/>
    <s v="HH20240304 T3724409691 No Limit Hold'em $1.84 + $0.16.txt"/>
  </r>
  <r>
    <n v="2271"/>
    <n v="78.13"/>
    <s v="04.03.2024"/>
    <n v="4"/>
    <x v="2"/>
    <x v="1"/>
    <x v="2"/>
    <n v="-2"/>
    <m/>
    <m/>
    <x v="2"/>
    <n v="-1"/>
    <s v="HH20240304 T3724412823 No Limit Hold'em $1.84 + $0.16.txt"/>
  </r>
  <r>
    <n v="2272"/>
    <n v="76.13"/>
    <s v="04.03.2024"/>
    <n v="4"/>
    <x v="2"/>
    <x v="1"/>
    <x v="2"/>
    <n v="-2"/>
    <m/>
    <m/>
    <x v="2"/>
    <n v="-1"/>
    <s v="HH20240304 T3724414662 No Limit Hold'em $1.84 + $0.16.txt"/>
  </r>
  <r>
    <n v="2273"/>
    <n v="74.13"/>
    <s v="05.03.2024"/>
    <n v="5"/>
    <x v="2"/>
    <x v="1"/>
    <x v="2"/>
    <n v="-2"/>
    <m/>
    <m/>
    <x v="2"/>
    <n v="-1"/>
    <s v="HH20240305 T3724779295 No Limit Hold'em $1.84 + $0.16.txt"/>
  </r>
  <r>
    <n v="2274"/>
    <n v="72.13"/>
    <s v="06.03.2024"/>
    <n v="6"/>
    <x v="2"/>
    <x v="1"/>
    <x v="2"/>
    <n v="-2"/>
    <m/>
    <m/>
    <x v="2"/>
    <n v="-1"/>
    <s v="HH20240306 T3725401784 No Limit Hold'em $1.84 + $0.16.txt"/>
  </r>
  <r>
    <n v="2275"/>
    <n v="70.13"/>
    <s v="06.03.2024"/>
    <n v="6"/>
    <x v="2"/>
    <x v="1"/>
    <x v="2"/>
    <n v="-2"/>
    <m/>
    <m/>
    <x v="2"/>
    <n v="-1"/>
    <s v="HH20240306 T3725406215 No Limit Hold'em $1.84 + $0.16.txt"/>
  </r>
  <r>
    <n v="2276"/>
    <n v="68.13"/>
    <s v="06.03.2024"/>
    <n v="6"/>
    <x v="2"/>
    <x v="1"/>
    <x v="2"/>
    <n v="-2"/>
    <m/>
    <m/>
    <x v="2"/>
    <n v="-1"/>
    <s v="HH20240306 T3725408319 No Limit Hold'em $1.84 + $0.16.txt"/>
  </r>
  <r>
    <n v="2277"/>
    <n v="66.13"/>
    <s v="06.03.2024"/>
    <n v="6"/>
    <x v="2"/>
    <x v="1"/>
    <x v="2"/>
    <n v="-2"/>
    <m/>
    <m/>
    <x v="2"/>
    <n v="-1"/>
    <s v="HH20240306 T3725411636 No Limit Hold'em $1.84 + $0.16.txt"/>
  </r>
  <r>
    <n v="2278"/>
    <n v="70.13"/>
    <s v="06.03.2024"/>
    <n v="6"/>
    <x v="2"/>
    <x v="1"/>
    <x v="2"/>
    <n v="-2"/>
    <n v="6"/>
    <m/>
    <x v="1"/>
    <n v="2"/>
    <s v="HH20240306 T3725417640 No Limit Hold'em $1.84 + $0.16.txt"/>
  </r>
  <r>
    <n v="2279"/>
    <n v="68.13"/>
    <s v="07.03.2024"/>
    <n v="7"/>
    <x v="2"/>
    <x v="1"/>
    <x v="2"/>
    <n v="-2"/>
    <m/>
    <m/>
    <x v="2"/>
    <n v="-1"/>
    <s v="HH20240307 T3725674141 No Limit Hold'em $1.84 + $0.16.txt"/>
  </r>
  <r>
    <n v="2280"/>
    <n v="66.13"/>
    <s v="07.03.2024"/>
    <n v="7"/>
    <x v="2"/>
    <x v="1"/>
    <x v="2"/>
    <n v="-2"/>
    <m/>
    <m/>
    <x v="2"/>
    <n v="-1"/>
    <s v="HH20240307 T3725676389 No Limit Hold'em $1.84 + $0.16.txt"/>
  </r>
  <r>
    <n v="2281"/>
    <n v="64.13"/>
    <s v="07.03.2024"/>
    <n v="7"/>
    <x v="2"/>
    <x v="1"/>
    <x v="2"/>
    <n v="-2"/>
    <m/>
    <m/>
    <x v="2"/>
    <n v="-1"/>
    <s v="HH20240307 T3725678090 No Limit Hold'em $1.84 + $0.16.txt"/>
  </r>
  <r>
    <n v="2282"/>
    <n v="62.129999999999995"/>
    <s v="07.03.2024"/>
    <n v="7"/>
    <x v="2"/>
    <x v="1"/>
    <x v="2"/>
    <n v="-2"/>
    <m/>
    <m/>
    <x v="2"/>
    <n v="-1"/>
    <s v="HH20240307 T3725680574 No Limit Hold'em $1.84 + $0.16.txt"/>
  </r>
  <r>
    <n v="2283"/>
    <n v="60.129999999999995"/>
    <s v="07.03.2024"/>
    <n v="7"/>
    <x v="2"/>
    <x v="1"/>
    <x v="2"/>
    <n v="-2"/>
    <m/>
    <m/>
    <x v="2"/>
    <n v="-1"/>
    <s v="HH20240307 T3725680901 No Limit Hold'em $1.84 + $0.16.txt"/>
  </r>
  <r>
    <n v="2284"/>
    <n v="58.129999999999995"/>
    <s v="07.03.2024"/>
    <n v="7"/>
    <x v="2"/>
    <x v="1"/>
    <x v="2"/>
    <n v="-2"/>
    <m/>
    <m/>
    <x v="2"/>
    <n v="-1"/>
    <s v="HH20240307 T3725683550 No Limit Hold'em $1.84 + $0.16.txt"/>
  </r>
  <r>
    <n v="2285"/>
    <n v="56.129999999999995"/>
    <s v="07.03.2024"/>
    <n v="7"/>
    <x v="2"/>
    <x v="1"/>
    <x v="2"/>
    <n v="-2"/>
    <m/>
    <m/>
    <x v="2"/>
    <n v="-1"/>
    <s v="HH20240307 T3725684300 No Limit Hold'em $1.84 + $0.16.txt"/>
  </r>
  <r>
    <n v="2286"/>
    <n v="58.129999999999995"/>
    <s v="07.03.2024"/>
    <n v="7"/>
    <x v="2"/>
    <x v="1"/>
    <x v="2"/>
    <n v="-2"/>
    <n v="4"/>
    <m/>
    <x v="1"/>
    <n v="1"/>
    <s v="HH20240307 T3725685619 No Limit Hold'em $1.84 + $0.16.txt"/>
  </r>
  <r>
    <n v="2287"/>
    <n v="56.129999999999995"/>
    <s v="07.03.2024"/>
    <n v="7"/>
    <x v="2"/>
    <x v="1"/>
    <x v="2"/>
    <n v="-2"/>
    <m/>
    <m/>
    <x v="2"/>
    <n v="-1"/>
    <s v="HH20240307 T3725688375 No Limit Hold'em $1.84 + $0.16.txt"/>
  </r>
  <r>
    <n v="2288"/>
    <n v="62.129999999999995"/>
    <s v="07.03.2024"/>
    <n v="7"/>
    <x v="2"/>
    <x v="1"/>
    <x v="2"/>
    <n v="-2"/>
    <n v="8"/>
    <m/>
    <x v="1"/>
    <n v="3"/>
    <s v="HH20240307 T3725688812 No Limit Hold'em $1.84 + $0.16.txt"/>
  </r>
  <r>
    <n v="2289"/>
    <n v="60.129999999999995"/>
    <s v="07.03.2024"/>
    <n v="7"/>
    <x v="2"/>
    <x v="1"/>
    <x v="2"/>
    <n v="-2"/>
    <m/>
    <m/>
    <x v="2"/>
    <n v="-1"/>
    <s v="HH20240307 T3725691022 No Limit Hold'em $1.84 + $0.16.txt"/>
  </r>
  <r>
    <n v="2290"/>
    <n v="68.13"/>
    <s v="07.03.2024"/>
    <n v="7"/>
    <x v="2"/>
    <x v="1"/>
    <x v="2"/>
    <n v="-2"/>
    <n v="10"/>
    <m/>
    <x v="1"/>
    <n v="4"/>
    <s v="HH20240307 T3725694094 No Limit Hold'em $1.84 + $0.16.txt"/>
  </r>
  <r>
    <n v="2291"/>
    <n v="66.13"/>
    <s v="07.03.2024"/>
    <n v="7"/>
    <x v="2"/>
    <x v="1"/>
    <x v="2"/>
    <n v="-2"/>
    <m/>
    <m/>
    <x v="2"/>
    <n v="-1"/>
    <s v="HH20240307 T3725696675 No Limit Hold'em $1.84 + $0.16.txt"/>
  </r>
  <r>
    <n v="2292"/>
    <n v="64.13"/>
    <s v="07.03.2024"/>
    <n v="7"/>
    <x v="2"/>
    <x v="1"/>
    <x v="2"/>
    <n v="-2"/>
    <m/>
    <m/>
    <x v="2"/>
    <n v="-1"/>
    <s v="HH20240307 T3725763407 No Limit Hold'em $1.84 + $0.16.txt"/>
  </r>
  <r>
    <n v="2293"/>
    <n v="62.129999999999995"/>
    <s v="07.03.2024"/>
    <n v="7"/>
    <x v="2"/>
    <x v="1"/>
    <x v="2"/>
    <n v="-2"/>
    <m/>
    <m/>
    <x v="2"/>
    <n v="-1"/>
    <s v="HH20240307 T3725765564 No Limit Hold'em $1.84 + $0.16.txt"/>
  </r>
  <r>
    <n v="2294"/>
    <n v="60.129999999999995"/>
    <s v="07.03.2024"/>
    <n v="7"/>
    <x v="2"/>
    <x v="1"/>
    <x v="2"/>
    <n v="-2"/>
    <m/>
    <m/>
    <x v="2"/>
    <n v="-1"/>
    <s v="HH20240307 T3725766836 No Limit Hold'em $1.84 + $0.16.txt"/>
  </r>
  <r>
    <n v="2295"/>
    <n v="58.129999999999995"/>
    <s v="09.03.2024"/>
    <n v="9"/>
    <x v="2"/>
    <x v="1"/>
    <x v="2"/>
    <n v="-2"/>
    <m/>
    <m/>
    <x v="2"/>
    <n v="-1"/>
    <s v="HH20240309 T3726556270 No Limit Hold'em $1.84 + $0.16.txt"/>
  </r>
  <r>
    <n v="2296"/>
    <n v="56.129999999999995"/>
    <s v="09.03.2024"/>
    <n v="9"/>
    <x v="2"/>
    <x v="1"/>
    <x v="2"/>
    <n v="-2"/>
    <m/>
    <m/>
    <x v="2"/>
    <n v="-1"/>
    <s v="HH20240309 T3726559399 No Limit Hold'em $1.84 + $0.16.txt"/>
  </r>
  <r>
    <n v="2297"/>
    <n v="54.129999999999995"/>
    <s v="09.03.2024"/>
    <n v="9"/>
    <x v="2"/>
    <x v="1"/>
    <x v="2"/>
    <n v="-2"/>
    <m/>
    <m/>
    <x v="2"/>
    <n v="-1"/>
    <s v="HH20240309 T3726562117 No Limit Hold'em $1.84 + $0.16.txt"/>
  </r>
  <r>
    <n v="2298"/>
    <n v="56.129999999999995"/>
    <s v="09.03.2024"/>
    <n v="9"/>
    <x v="2"/>
    <x v="1"/>
    <x v="2"/>
    <n v="-2"/>
    <n v="4"/>
    <m/>
    <x v="1"/>
    <n v="1"/>
    <s v="HH20240309 T3726563870 No Limit Hold'em $1.84 + $0.16.txt"/>
  </r>
  <r>
    <n v="2299"/>
    <n v="58.129999999999995"/>
    <s v="09.03.2024"/>
    <n v="9"/>
    <x v="2"/>
    <x v="1"/>
    <x v="2"/>
    <n v="-2"/>
    <n v="4"/>
    <m/>
    <x v="1"/>
    <n v="1"/>
    <s v="HH20240309 T3726566426 No Limit Hold'em $1.84 + $0.16.txt"/>
  </r>
  <r>
    <n v="2300"/>
    <n v="60.129999999999995"/>
    <s v="09.03.2024"/>
    <n v="9"/>
    <x v="2"/>
    <x v="1"/>
    <x v="2"/>
    <n v="-2"/>
    <n v="4"/>
    <m/>
    <x v="1"/>
    <n v="1"/>
    <s v="HH20240309 T3726569147 No Limit Hold'em $1.84 + $0.16.txt"/>
  </r>
  <r>
    <n v="2301"/>
    <n v="58.129999999999995"/>
    <s v="09.03.2024"/>
    <n v="9"/>
    <x v="2"/>
    <x v="1"/>
    <x v="2"/>
    <n v="-2"/>
    <m/>
    <m/>
    <x v="2"/>
    <n v="-1"/>
    <s v="HH20240309 T3726625638 No Limit Hold'em $1.84 + $0.16.txt"/>
  </r>
  <r>
    <n v="2302"/>
    <n v="56.129999999999995"/>
    <s v="09.03.2024"/>
    <n v="9"/>
    <x v="2"/>
    <x v="1"/>
    <x v="2"/>
    <n v="-2"/>
    <m/>
    <m/>
    <x v="2"/>
    <n v="-1"/>
    <s v="HH20240309 T3726627695 No Limit Hold'em $1.84 + $0.16.txt"/>
  </r>
  <r>
    <n v="2303"/>
    <n v="54.129999999999995"/>
    <s v="09.03.2024"/>
    <n v="9"/>
    <x v="2"/>
    <x v="1"/>
    <x v="2"/>
    <n v="-2"/>
    <m/>
    <m/>
    <x v="2"/>
    <n v="-1"/>
    <s v="HH20240309 T3726629606 No Limit Hold'em $1.84 + $0.16.txt"/>
  </r>
  <r>
    <n v="2304"/>
    <n v="56.129999999999995"/>
    <s v="09.03.2024"/>
    <n v="9"/>
    <x v="2"/>
    <x v="1"/>
    <x v="2"/>
    <n v="-2"/>
    <n v="4"/>
    <m/>
    <x v="1"/>
    <n v="1"/>
    <s v="HH20240309 T3726633637 No Limit Hold'em $1.84 + $0.16.txt"/>
  </r>
  <r>
    <n v="2305"/>
    <n v="54.129999999999995"/>
    <s v="10.03.2024"/>
    <n v="10"/>
    <x v="2"/>
    <x v="1"/>
    <x v="2"/>
    <n v="-2"/>
    <m/>
    <m/>
    <x v="2"/>
    <n v="-1"/>
    <s v="HH20240310 T3726981982 No Limit Hold'em $1.84 + $0.16.txt"/>
  </r>
  <r>
    <n v="2306"/>
    <n v="52.129999999999995"/>
    <s v="10.03.2024"/>
    <n v="10"/>
    <x v="2"/>
    <x v="1"/>
    <x v="2"/>
    <n v="-2"/>
    <m/>
    <m/>
    <x v="2"/>
    <n v="-1"/>
    <s v="HH20240310 T3726985386 No Limit Hold'em $1.84 + $0.16.txt"/>
  </r>
  <r>
    <n v="2307"/>
    <n v="50.129999999999995"/>
    <s v="10.03.2024"/>
    <n v="10"/>
    <x v="2"/>
    <x v="1"/>
    <x v="2"/>
    <n v="-2"/>
    <m/>
    <m/>
    <x v="2"/>
    <n v="-1"/>
    <s v="HH20240310 T3726992878 No Limit Hold'em $1.84 + $0.16.txt"/>
  </r>
  <r>
    <n v="2308"/>
    <n v="54.129999999999995"/>
    <s v="11.03.2024"/>
    <n v="11"/>
    <x v="2"/>
    <x v="1"/>
    <x v="2"/>
    <n v="-2"/>
    <n v="6"/>
    <m/>
    <x v="1"/>
    <n v="2"/>
    <s v="HH20240311 T3727462199 No Limit Hold'em $1.84 + $0.16.txt"/>
  </r>
  <r>
    <n v="2309"/>
    <n v="52.129999999999995"/>
    <s v="11.03.2024"/>
    <n v="11"/>
    <x v="2"/>
    <x v="1"/>
    <x v="2"/>
    <n v="-2"/>
    <m/>
    <m/>
    <x v="2"/>
    <n v="-1"/>
    <s v="HH20240311 T3727466532 No Limit Hold'em $1.84 + $0.16.txt"/>
  </r>
  <r>
    <n v="2310"/>
    <n v="50.129999999999995"/>
    <s v="11.03.2024"/>
    <n v="11"/>
    <x v="2"/>
    <x v="1"/>
    <x v="2"/>
    <n v="-2"/>
    <m/>
    <m/>
    <x v="2"/>
    <n v="-1"/>
    <s v="HH20240311 T3727563376 No Limit Hold'em $1.84 + $0.16.txt"/>
  </r>
  <r>
    <n v="2311"/>
    <n v="56.129999999999995"/>
    <s v="11.03.2024"/>
    <n v="11"/>
    <x v="2"/>
    <x v="1"/>
    <x v="2"/>
    <n v="-2"/>
    <n v="8"/>
    <m/>
    <x v="1"/>
    <n v="3"/>
    <s v="HH20240311 T3727571405 No Limit Hold'em $1.84 + $0.16.txt"/>
  </r>
  <r>
    <n v="2312"/>
    <n v="54.129999999999995"/>
    <s v="13.03.2024"/>
    <n v="13"/>
    <x v="2"/>
    <x v="1"/>
    <x v="2"/>
    <n v="-2"/>
    <m/>
    <m/>
    <x v="2"/>
    <n v="-1"/>
    <s v="HH20240313 T3728352135 No Limit Hold'em $1.84 + $0.16.txt"/>
  </r>
  <r>
    <n v="2313"/>
    <n v="52.129999999999995"/>
    <s v="13.03.2024"/>
    <n v="13"/>
    <x v="2"/>
    <x v="1"/>
    <x v="2"/>
    <n v="-2"/>
    <m/>
    <m/>
    <x v="2"/>
    <n v="-1"/>
    <s v="HH20240313 T3728356009 No Limit Hold'em $1.84 + $0.16.txt"/>
  </r>
  <r>
    <n v="2314"/>
    <n v="54.129999999999995"/>
    <s v="13.03.2024"/>
    <n v="13"/>
    <x v="2"/>
    <x v="1"/>
    <x v="2"/>
    <n v="-2"/>
    <n v="4"/>
    <m/>
    <x v="1"/>
    <n v="1"/>
    <s v="HH20240313 T3728357344 No Limit Hold'em $1.84 + $0.16.txt"/>
  </r>
  <r>
    <n v="2315"/>
    <n v="52.129999999999995"/>
    <s v="13.03.2024"/>
    <n v="13"/>
    <x v="2"/>
    <x v="1"/>
    <x v="2"/>
    <n v="-2"/>
    <m/>
    <m/>
    <x v="2"/>
    <n v="-1"/>
    <s v="HH20240313 T3728359956 No Limit Hold'em $1.84 + $0.16.txt"/>
  </r>
  <r>
    <n v="2316"/>
    <n v="50.129999999999995"/>
    <s v="13.03.2024"/>
    <n v="13"/>
    <x v="2"/>
    <x v="1"/>
    <x v="2"/>
    <n v="-2"/>
    <m/>
    <m/>
    <x v="2"/>
    <n v="-1"/>
    <s v="HH20240313 T3728363287 No Limit Hold'em $1.84 + $0.16.txt"/>
  </r>
  <r>
    <n v="2317"/>
    <n v="52.129999999999995"/>
    <s v="13.03.2024"/>
    <n v="13"/>
    <x v="2"/>
    <x v="1"/>
    <x v="2"/>
    <n v="-2"/>
    <n v="4"/>
    <m/>
    <x v="1"/>
    <n v="1"/>
    <s v="HH20240313 T3728367872 No Limit Hold'em $1.84 + $0.16.txt"/>
  </r>
  <r>
    <n v="2318"/>
    <n v="50.129999999999995"/>
    <s v="13.03.2024"/>
    <n v="13"/>
    <x v="2"/>
    <x v="1"/>
    <x v="2"/>
    <n v="-2"/>
    <m/>
    <m/>
    <x v="2"/>
    <n v="-1"/>
    <s v="HH20240313 T3728393924 No Limit Hold'em $1.84 + $0.16.txt"/>
  </r>
  <r>
    <n v="2319"/>
    <n v="48.129999999999995"/>
    <s v="13.03.2024"/>
    <n v="13"/>
    <x v="2"/>
    <x v="1"/>
    <x v="2"/>
    <n v="-2"/>
    <m/>
    <m/>
    <x v="2"/>
    <n v="-1"/>
    <s v="HH20240313 T3728396286 No Limit Hold'em $1.84 + $0.16.txt"/>
  </r>
  <r>
    <n v="2320"/>
    <n v="46.129999999999995"/>
    <s v="13.03.2024"/>
    <n v="13"/>
    <x v="2"/>
    <x v="1"/>
    <x v="2"/>
    <n v="-2"/>
    <m/>
    <m/>
    <x v="2"/>
    <n v="-1"/>
    <s v="HH20240313 T3728398261 No Limit Hold'em $1.84 + $0.16.txt"/>
  </r>
  <r>
    <n v="2321"/>
    <n v="48.129999999999995"/>
    <s v="13.03.2024"/>
    <n v="13"/>
    <x v="2"/>
    <x v="1"/>
    <x v="2"/>
    <n v="-2"/>
    <n v="4"/>
    <m/>
    <x v="1"/>
    <n v="1"/>
    <s v="HH20240313 T3728401148 No Limit Hold'em $1.84 + $0.16.txt"/>
  </r>
  <r>
    <n v="2322"/>
    <n v="52.129999999999995"/>
    <s v="13.03.2024"/>
    <n v="13"/>
    <x v="2"/>
    <x v="1"/>
    <x v="2"/>
    <n v="-2"/>
    <n v="6"/>
    <m/>
    <x v="1"/>
    <n v="2"/>
    <s v="HH20240313 T3728405101 No Limit Hold'em $1.84 + $0.16.txt"/>
  </r>
  <r>
    <n v="2323"/>
    <n v="50.129999999999995"/>
    <s v="13.03.2024"/>
    <n v="13"/>
    <x v="2"/>
    <x v="1"/>
    <x v="2"/>
    <n v="-2"/>
    <m/>
    <m/>
    <x v="2"/>
    <n v="-1"/>
    <s v="HH20240313 T3728415849 No Limit Hold'em $1.84 + $0.16.txt"/>
  </r>
  <r>
    <n v="2324"/>
    <n v="52.129999999999995"/>
    <s v="13.03.2024"/>
    <n v="13"/>
    <x v="2"/>
    <x v="1"/>
    <x v="2"/>
    <n v="-2"/>
    <n v="4"/>
    <m/>
    <x v="1"/>
    <n v="1"/>
    <s v="HH20240313 T3728420242 No Limit Hold'em $1.84 + $0.16.txt"/>
  </r>
  <r>
    <n v="2325"/>
    <n v="54.129999999999995"/>
    <s v="13.03.2024"/>
    <n v="13"/>
    <x v="2"/>
    <x v="1"/>
    <x v="2"/>
    <n v="-2"/>
    <n v="4"/>
    <m/>
    <x v="1"/>
    <n v="1"/>
    <s v="HH20240313 T3728424518 No Limit Hold'em $1.84 + $0.16.txt"/>
  </r>
  <r>
    <n v="2326"/>
    <n v="52.129999999999995"/>
    <s v="13.03.2024"/>
    <n v="13"/>
    <x v="2"/>
    <x v="1"/>
    <x v="2"/>
    <n v="-2"/>
    <m/>
    <m/>
    <x v="2"/>
    <n v="-1"/>
    <s v="HH20240313 T3728426055 No Limit Hold'em $1.84 + $0.16.txt"/>
  </r>
  <r>
    <n v="2327"/>
    <n v="50.129999999999995"/>
    <s v="13.03.2024"/>
    <n v="13"/>
    <x v="2"/>
    <x v="1"/>
    <x v="2"/>
    <n v="-2"/>
    <m/>
    <m/>
    <x v="2"/>
    <n v="-1"/>
    <s v="HH20240313 T3728431682 No Limit Hold'em $1.84 + $0.16.txt"/>
  </r>
  <r>
    <n v="2328"/>
    <n v="54.129999999999995"/>
    <s v="13.03.2024"/>
    <n v="13"/>
    <x v="2"/>
    <x v="1"/>
    <x v="2"/>
    <n v="-2"/>
    <n v="6"/>
    <m/>
    <x v="1"/>
    <n v="2"/>
    <s v="HH20240313 T3728436528 No Limit Hold'em $1.84 + $0.16.txt"/>
  </r>
  <r>
    <n v="2329"/>
    <n v="56.129999999999995"/>
    <s v="14.03.2024"/>
    <n v="14"/>
    <x v="2"/>
    <x v="1"/>
    <x v="2"/>
    <n v="-2"/>
    <n v="4"/>
    <m/>
    <x v="1"/>
    <n v="1"/>
    <s v="HH20240314 T3728756935 No Limit Hold'em $1.84 + $0.16.txt"/>
  </r>
  <r>
    <n v="2330"/>
    <n v="54.129999999999995"/>
    <s v="14.03.2024"/>
    <n v="14"/>
    <x v="2"/>
    <x v="1"/>
    <x v="2"/>
    <n v="-2"/>
    <m/>
    <m/>
    <x v="2"/>
    <n v="-1"/>
    <s v="HH20240314 T3728815478 No Limit Hold'em $1.84 + $0.16.txt"/>
  </r>
  <r>
    <n v="2331"/>
    <n v="52.129999999999995"/>
    <s v="14.03.2024"/>
    <n v="14"/>
    <x v="2"/>
    <x v="1"/>
    <x v="2"/>
    <n v="-2"/>
    <m/>
    <m/>
    <x v="2"/>
    <n v="-1"/>
    <s v="HH20240314 T3728819011 No Limit Hold'em $1.84 + $0.16.txt"/>
  </r>
  <r>
    <n v="2332"/>
    <n v="50.129999999999995"/>
    <s v="14.03.2024"/>
    <n v="14"/>
    <x v="2"/>
    <x v="1"/>
    <x v="2"/>
    <n v="-2"/>
    <m/>
    <m/>
    <x v="2"/>
    <n v="-1"/>
    <s v="HH20240314 T3728822612 No Limit Hold'em $1.84 + $0.16.txt"/>
  </r>
  <r>
    <n v="2333"/>
    <n v="52.129999999999995"/>
    <s v="14.03.2024"/>
    <n v="14"/>
    <x v="2"/>
    <x v="1"/>
    <x v="2"/>
    <n v="-2"/>
    <n v="4"/>
    <m/>
    <x v="1"/>
    <n v="1"/>
    <s v="HH20240314 T3728823427 No Limit Hold'em $1.84 + $0.16.txt"/>
  </r>
  <r>
    <n v="2334"/>
    <n v="50.129999999999995"/>
    <s v="14.03.2024"/>
    <n v="14"/>
    <x v="2"/>
    <x v="1"/>
    <x v="2"/>
    <n v="-2"/>
    <m/>
    <m/>
    <x v="2"/>
    <n v="-1"/>
    <s v="HH20240314 T3728826293 No Limit Hold'em $1.84 + $0.16.txt"/>
  </r>
  <r>
    <n v="2335"/>
    <n v="48.129999999999995"/>
    <s v="14.03.2024"/>
    <n v="14"/>
    <x v="2"/>
    <x v="1"/>
    <x v="2"/>
    <n v="-2"/>
    <m/>
    <m/>
    <x v="2"/>
    <n v="-1"/>
    <s v="HH20240314 T3728829055 No Limit Hold'em $1.84 + $0.16.txt"/>
  </r>
  <r>
    <n v="2336"/>
    <n v="46.129999999999995"/>
    <s v="15.03.2024"/>
    <n v="15"/>
    <x v="2"/>
    <x v="1"/>
    <x v="2"/>
    <n v="-2"/>
    <m/>
    <m/>
    <x v="2"/>
    <n v="-1"/>
    <s v="HH20240315 T3729131161 No Limit Hold'em $1.84 + $0.16.txt"/>
  </r>
  <r>
    <n v="2337"/>
    <n v="44.129999999999995"/>
    <s v="15.03.2024"/>
    <n v="15"/>
    <x v="2"/>
    <x v="1"/>
    <x v="2"/>
    <n v="-2"/>
    <m/>
    <m/>
    <x v="2"/>
    <n v="-1"/>
    <s v="HH20240315 T3729134775 No Limit Hold'em $1.84 + $0.16.txt"/>
  </r>
  <r>
    <n v="2338"/>
    <n v="42.129999999999995"/>
    <s v="15.03.2024"/>
    <n v="15"/>
    <x v="2"/>
    <x v="1"/>
    <x v="2"/>
    <n v="-2"/>
    <m/>
    <m/>
    <x v="2"/>
    <n v="-1"/>
    <s v="HH20240315 T3729139251 No Limit Hold'em $1.84 + $0.16.txt"/>
  </r>
  <r>
    <n v="2339"/>
    <n v="46.129999999999995"/>
    <s v="15.03.2024"/>
    <n v="15"/>
    <x v="2"/>
    <x v="1"/>
    <x v="2"/>
    <n v="-2"/>
    <n v="6"/>
    <m/>
    <x v="1"/>
    <n v="2"/>
    <s v="HH20240315 T3729142589 No Limit Hold'em $1.84 + $0.16.txt"/>
  </r>
  <r>
    <n v="2340"/>
    <n v="44.129999999999995"/>
    <s v="15.03.2024"/>
    <n v="15"/>
    <x v="2"/>
    <x v="1"/>
    <x v="2"/>
    <n v="-2"/>
    <m/>
    <m/>
    <x v="2"/>
    <n v="-1"/>
    <s v="HH20240315 T3729146889 No Limit Hold'em $1.84 + $0.16.txt"/>
  </r>
  <r>
    <n v="2341"/>
    <n v="48.129999999999995"/>
    <s v="15.03.2024"/>
    <n v="15"/>
    <x v="2"/>
    <x v="1"/>
    <x v="2"/>
    <n v="-2"/>
    <n v="6"/>
    <m/>
    <x v="1"/>
    <n v="2"/>
    <s v="HH20240315 T3729149311 No Limit Hold'em $1.84 + $0.16.txt"/>
  </r>
  <r>
    <n v="2342"/>
    <n v="50.129999999999995"/>
    <s v="15.03.2024"/>
    <n v="15"/>
    <x v="2"/>
    <x v="1"/>
    <x v="2"/>
    <n v="-2"/>
    <n v="4"/>
    <m/>
    <x v="1"/>
    <n v="1"/>
    <s v="HH20240315 T3729150605 No Limit Hold'em $1.84 + $0.16.txt"/>
  </r>
  <r>
    <n v="2343"/>
    <n v="48.129999999999995"/>
    <s v="15.03.2024"/>
    <n v="15"/>
    <x v="2"/>
    <x v="1"/>
    <x v="2"/>
    <n v="-2"/>
    <m/>
    <m/>
    <x v="2"/>
    <n v="-1"/>
    <s v="HH20240315 T3729152997 No Limit Hold'em $1.84 + $0.16.txt"/>
  </r>
  <r>
    <n v="2344"/>
    <n v="46.129999999999995"/>
    <s v="15.03.2024"/>
    <n v="15"/>
    <x v="2"/>
    <x v="1"/>
    <x v="2"/>
    <n v="-2"/>
    <m/>
    <m/>
    <x v="2"/>
    <n v="-1"/>
    <s v="HH20240315 T3729153897 No Limit Hold'em $1.84 + $0.16.txt"/>
  </r>
  <r>
    <n v="2345"/>
    <n v="48.129999999999995"/>
    <s v="15.03.2024"/>
    <n v="15"/>
    <x v="2"/>
    <x v="1"/>
    <x v="2"/>
    <n v="-2"/>
    <n v="4"/>
    <m/>
    <x v="1"/>
    <n v="1"/>
    <s v="HH20240315 T3729155243 No Limit Hold'em $1.84 + $0.16.txt"/>
  </r>
  <r>
    <n v="2346"/>
    <n v="52.129999999999995"/>
    <s v="15.03.2024"/>
    <n v="15"/>
    <x v="2"/>
    <x v="1"/>
    <x v="2"/>
    <n v="-2"/>
    <n v="6"/>
    <m/>
    <x v="1"/>
    <n v="2"/>
    <s v="HH20240315 T3729156878 No Limit Hold'em $1.84 + $0.16.txt"/>
  </r>
  <r>
    <n v="2347"/>
    <n v="54.129999999999995"/>
    <s v="15.03.2024"/>
    <n v="15"/>
    <x v="2"/>
    <x v="1"/>
    <x v="2"/>
    <n v="-2"/>
    <n v="4"/>
    <m/>
    <x v="1"/>
    <n v="1"/>
    <s v="HH20240315 T3729160399 No Limit Hold'em $1.84 + $0.16.txt"/>
  </r>
  <r>
    <n v="2348"/>
    <n v="58.129999999999995"/>
    <s v="16.03.2024"/>
    <n v="16"/>
    <x v="2"/>
    <x v="1"/>
    <x v="2"/>
    <n v="-2"/>
    <n v="6"/>
    <m/>
    <x v="1"/>
    <n v="2"/>
    <s v="HH20240316 T3729487207 No Limit Hold'em $1.84 + $0.16.txt"/>
  </r>
  <r>
    <n v="2349"/>
    <n v="56.129999999999995"/>
    <s v="17.03.2024"/>
    <n v="17"/>
    <x v="2"/>
    <x v="1"/>
    <x v="2"/>
    <n v="-2"/>
    <m/>
    <m/>
    <x v="2"/>
    <n v="-1"/>
    <s v="HH20240317 T3729925472 No Limit Hold'em $1.84 + $0.16.txt"/>
  </r>
  <r>
    <n v="2350"/>
    <n v="54.129999999999995"/>
    <s v="17.03.2024"/>
    <n v="17"/>
    <x v="2"/>
    <x v="1"/>
    <x v="2"/>
    <n v="-2"/>
    <m/>
    <m/>
    <x v="2"/>
    <n v="-1"/>
    <s v="HH20240317 T3729926928 No Limit Hold'em $1.84 + $0.16.txt"/>
  </r>
  <r>
    <n v="2351"/>
    <n v="52.129999999999995"/>
    <s v="17.03.2024"/>
    <n v="17"/>
    <x v="2"/>
    <x v="1"/>
    <x v="2"/>
    <n v="-2"/>
    <m/>
    <m/>
    <x v="2"/>
    <n v="-1"/>
    <s v="HH20240317 T3729927567 No Limit Hold'em $1.84 + $0.16.txt"/>
  </r>
  <r>
    <n v="2352"/>
    <n v="50.129999999999995"/>
    <s v="17.03.2024"/>
    <n v="17"/>
    <x v="2"/>
    <x v="1"/>
    <x v="2"/>
    <n v="-2"/>
    <m/>
    <m/>
    <x v="2"/>
    <n v="-1"/>
    <s v="HH20240317 T3729956953 No Limit Hold'em $1.84 + $0.16.txt"/>
  </r>
  <r>
    <n v="2353"/>
    <n v="54.129999999999995"/>
    <s v="17.03.2024"/>
    <n v="17"/>
    <x v="2"/>
    <x v="1"/>
    <x v="2"/>
    <n v="-2"/>
    <n v="6"/>
    <m/>
    <x v="1"/>
    <n v="2"/>
    <s v="HH20240317 T3729958882 No Limit Hold'em $1.84 + $0.16.txt"/>
  </r>
  <r>
    <n v="2354"/>
    <n v="56.129999999999995"/>
    <s v="17.03.2024"/>
    <n v="17"/>
    <x v="2"/>
    <x v="1"/>
    <x v="2"/>
    <n v="-2"/>
    <n v="4"/>
    <m/>
    <x v="1"/>
    <n v="1"/>
    <s v="HH20240317 T3729959726 No Limit Hold'em $1.84 + $0.16.txt"/>
  </r>
  <r>
    <n v="2355"/>
    <n v="54.129999999999995"/>
    <s v="17.03.2024"/>
    <n v="17"/>
    <x v="2"/>
    <x v="1"/>
    <x v="2"/>
    <n v="-2"/>
    <m/>
    <m/>
    <x v="2"/>
    <n v="-1"/>
    <s v="HH20240317 T3729962085 No Limit Hold'em $1.84 + $0.16.txt"/>
  </r>
  <r>
    <n v="2356"/>
    <n v="52.129999999999995"/>
    <s v="17.03.2024"/>
    <n v="17"/>
    <x v="2"/>
    <x v="1"/>
    <x v="2"/>
    <n v="-2"/>
    <m/>
    <m/>
    <x v="2"/>
    <n v="-1"/>
    <s v="HH20240317 T3730011663 No Limit Hold'em $1.84 + $0.16.txt"/>
  </r>
  <r>
    <n v="2357"/>
    <n v="50.129999999999995"/>
    <s v="17.03.2024"/>
    <n v="17"/>
    <x v="2"/>
    <x v="1"/>
    <x v="2"/>
    <n v="-2"/>
    <m/>
    <m/>
    <x v="2"/>
    <n v="-1"/>
    <s v="HH20240317 T3730013492 No Limit Hold'em $1.84 + $0.16.txt"/>
  </r>
  <r>
    <n v="2358"/>
    <n v="48.129999999999995"/>
    <s v="17.03.2024"/>
    <n v="17"/>
    <x v="2"/>
    <x v="1"/>
    <x v="2"/>
    <n v="-2"/>
    <m/>
    <m/>
    <x v="2"/>
    <n v="-1"/>
    <s v="HH20240317 T3730014242 No Limit Hold'em $1.84 + $0.16.txt"/>
  </r>
  <r>
    <n v="2359"/>
    <n v="46.129999999999995"/>
    <s v="17.03.2024"/>
    <n v="17"/>
    <x v="2"/>
    <x v="1"/>
    <x v="2"/>
    <n v="-2"/>
    <m/>
    <m/>
    <x v="2"/>
    <n v="-1"/>
    <s v="HH20240317 T3730017289 No Limit Hold'em $1.84 + $0.16.txt"/>
  </r>
  <r>
    <n v="2360"/>
    <n v="50.129999999999995"/>
    <s v="17.03.2024"/>
    <n v="17"/>
    <x v="2"/>
    <x v="1"/>
    <x v="2"/>
    <n v="-2"/>
    <n v="6"/>
    <m/>
    <x v="1"/>
    <n v="2"/>
    <s v="HH20240317 T3730019390 No Limit Hold'em $1.84 + $0.16.txt"/>
  </r>
  <r>
    <n v="2361"/>
    <n v="48.129999999999995"/>
    <s v="17.03.2024"/>
    <n v="17"/>
    <x v="2"/>
    <x v="1"/>
    <x v="2"/>
    <n v="-2"/>
    <m/>
    <m/>
    <x v="2"/>
    <n v="-1"/>
    <s v="HH20240317 T3730021951 No Limit Hold'em $1.84 + $0.16.txt"/>
  </r>
  <r>
    <n v="2362"/>
    <n v="50.129999999999995"/>
    <s v="17.03.2024"/>
    <n v="17"/>
    <x v="2"/>
    <x v="1"/>
    <x v="2"/>
    <n v="-2"/>
    <n v="4"/>
    <m/>
    <x v="1"/>
    <n v="1"/>
    <s v="HH20240317 T3730023714 No Limit Hold'em $1.84 + $0.16.txt"/>
  </r>
  <r>
    <n v="2363"/>
    <n v="48.129999999999995"/>
    <s v="17.03.2024"/>
    <n v="17"/>
    <x v="2"/>
    <x v="1"/>
    <x v="2"/>
    <n v="-2"/>
    <m/>
    <m/>
    <x v="2"/>
    <n v="-1"/>
    <s v="HH20240317 T3730027262 No Limit Hold'em $1.84 + $0.16.txt"/>
  </r>
  <r>
    <n v="2364"/>
    <n v="46.129999999999995"/>
    <s v="17.03.2024"/>
    <n v="17"/>
    <x v="2"/>
    <x v="1"/>
    <x v="2"/>
    <n v="-2"/>
    <m/>
    <m/>
    <x v="2"/>
    <n v="-1"/>
    <s v="HH20240317 T3730028765 No Limit Hold'em $1.84 + $0.16.txt"/>
  </r>
  <r>
    <n v="2365"/>
    <n v="44.129999999999995"/>
    <s v="17.03.2024"/>
    <n v="17"/>
    <x v="2"/>
    <x v="1"/>
    <x v="2"/>
    <n v="-2"/>
    <m/>
    <m/>
    <x v="2"/>
    <n v="-1"/>
    <s v="HH20240317 T3730029444 No Limit Hold'em $1.84 + $0.16.txt"/>
  </r>
  <r>
    <n v="2366"/>
    <n v="48.129999999999995"/>
    <s v="17.03.2024"/>
    <n v="17"/>
    <x v="2"/>
    <x v="1"/>
    <x v="2"/>
    <n v="-2"/>
    <n v="6"/>
    <m/>
    <x v="1"/>
    <n v="2"/>
    <s v="HH20240317 T3730029724 No Limit Hold'em $1.84 + $0.16.txt"/>
  </r>
  <r>
    <n v="2367"/>
    <n v="46.129999999999995"/>
    <s v="17.03.2024"/>
    <n v="17"/>
    <x v="2"/>
    <x v="1"/>
    <x v="2"/>
    <n v="-2"/>
    <m/>
    <m/>
    <x v="2"/>
    <n v="-1"/>
    <s v="HH20240317 T3730033456 No Limit Hold'em $1.84 + $0.16.txt"/>
  </r>
  <r>
    <n v="2368"/>
    <n v="48.129999999999995"/>
    <s v="17.03.2024"/>
    <n v="17"/>
    <x v="2"/>
    <x v="1"/>
    <x v="2"/>
    <n v="-2"/>
    <n v="4"/>
    <m/>
    <x v="1"/>
    <n v="1"/>
    <s v="HH20240317 T3730074790 No Limit Hold'em $1.84 + $0.16.txt"/>
  </r>
  <r>
    <n v="2369"/>
    <n v="50.129999999999995"/>
    <s v="17.03.2024"/>
    <n v="17"/>
    <x v="2"/>
    <x v="1"/>
    <x v="2"/>
    <n v="-2"/>
    <n v="4"/>
    <m/>
    <x v="1"/>
    <n v="1"/>
    <s v="HH20240317 T3730078923 No Limit Hold'em $1.84 + $0.16.txt"/>
  </r>
  <r>
    <n v="2370"/>
    <n v="54.129999999999995"/>
    <s v="17.03.2024"/>
    <n v="17"/>
    <x v="2"/>
    <x v="1"/>
    <x v="2"/>
    <n v="-2"/>
    <n v="6"/>
    <m/>
    <x v="1"/>
    <n v="2"/>
    <s v="HH20240317 T3730081372 No Limit Hold'em $1.84 + $0.16.txt"/>
  </r>
  <r>
    <n v="2371"/>
    <n v="58.129999999999995"/>
    <s v="17.03.2024"/>
    <n v="17"/>
    <x v="2"/>
    <x v="1"/>
    <x v="2"/>
    <n v="-2"/>
    <n v="6"/>
    <m/>
    <x v="1"/>
    <n v="2"/>
    <s v="HH20240317 T3730083988 No Limit Hold'em $1.84 + $0.16.txt"/>
  </r>
  <r>
    <n v="2372"/>
    <n v="56.129999999999995"/>
    <s v="17.03.2024"/>
    <n v="17"/>
    <x v="2"/>
    <x v="1"/>
    <x v="2"/>
    <n v="-2"/>
    <m/>
    <m/>
    <x v="2"/>
    <n v="-1"/>
    <s v="HH20240317 T3730092572 No Limit Hold'em $1.84 + $0.16.txt"/>
  </r>
  <r>
    <n v="2373"/>
    <n v="60.129999999999995"/>
    <s v="17.03.2024"/>
    <n v="17"/>
    <x v="2"/>
    <x v="1"/>
    <x v="2"/>
    <n v="-2"/>
    <n v="6"/>
    <m/>
    <x v="1"/>
    <n v="2"/>
    <s v="HH20240317 T3730159788 No Limit Hold'em $1.84 + $0.16.txt"/>
  </r>
  <r>
    <n v="2374"/>
    <n v="58.129999999999995"/>
    <s v="18.03.2024"/>
    <n v="18"/>
    <x v="2"/>
    <x v="1"/>
    <x v="2"/>
    <n v="-2"/>
    <m/>
    <m/>
    <x v="2"/>
    <n v="-1"/>
    <s v="HH20240318 T3730505129 No Limit Hold'em $1.84 + $0.16.txt"/>
  </r>
  <r>
    <n v="2375"/>
    <n v="60.129999999999995"/>
    <s v="18.03.2024"/>
    <n v="18"/>
    <x v="2"/>
    <x v="1"/>
    <x v="2"/>
    <n v="-2"/>
    <n v="4"/>
    <m/>
    <x v="1"/>
    <n v="1"/>
    <s v="HH20240318 T3730600038 No Limit Hold'em $1.84 + $0.16.txt"/>
  </r>
  <r>
    <n v="2376"/>
    <n v="58.129999999999995"/>
    <s v="19.03.2024"/>
    <n v="19"/>
    <x v="2"/>
    <x v="1"/>
    <x v="2"/>
    <n v="-2"/>
    <m/>
    <m/>
    <x v="2"/>
    <n v="-1"/>
    <s v="HH20240319 T3730954387 No Limit Hold'em $1.84 + $0.16.txt"/>
  </r>
  <r>
    <n v="2377"/>
    <n v="60.129999999999995"/>
    <s v="19.03.2024"/>
    <n v="19"/>
    <x v="2"/>
    <x v="1"/>
    <x v="2"/>
    <n v="-2"/>
    <n v="4"/>
    <m/>
    <x v="1"/>
    <n v="1"/>
    <s v="HH20240319 T3730957683 No Limit Hold'em $1.84 + $0.16.txt"/>
  </r>
  <r>
    <n v="2378"/>
    <n v="58.129999999999995"/>
    <s v="19.03.2024"/>
    <n v="19"/>
    <x v="2"/>
    <x v="1"/>
    <x v="2"/>
    <n v="-2"/>
    <m/>
    <m/>
    <x v="2"/>
    <n v="-1"/>
    <s v="HH20240319 T3730961594 No Limit Hold'em $1.84 + $0.16.txt"/>
  </r>
  <r>
    <n v="2379"/>
    <n v="56.129999999999995"/>
    <s v="19.03.2024"/>
    <n v="19"/>
    <x v="2"/>
    <x v="1"/>
    <x v="2"/>
    <n v="-2"/>
    <m/>
    <m/>
    <x v="2"/>
    <n v="-1"/>
    <s v="HH20240319 T3730966440 No Limit Hold'em $1.84 + $0.16.txt"/>
  </r>
  <r>
    <n v="2380"/>
    <n v="54.129999999999995"/>
    <s v="19.03.2024"/>
    <n v="19"/>
    <x v="2"/>
    <x v="1"/>
    <x v="2"/>
    <n v="-2"/>
    <m/>
    <m/>
    <x v="2"/>
    <n v="-1"/>
    <s v="HH20240319 T3730969258 No Limit Hold'em $1.84 + $0.16.txt"/>
  </r>
  <r>
    <n v="2381"/>
    <n v="52.129999999999995"/>
    <s v="19.03.2024"/>
    <n v="19"/>
    <x v="2"/>
    <x v="1"/>
    <x v="2"/>
    <n v="-2"/>
    <m/>
    <m/>
    <x v="2"/>
    <n v="-1"/>
    <s v="HH20240319 T3730973279 No Limit Hold'em $1.84 + $0.16.txt"/>
  </r>
  <r>
    <n v="2382"/>
    <n v="56.129999999999995"/>
    <s v="19.03.2024"/>
    <n v="19"/>
    <x v="2"/>
    <x v="1"/>
    <x v="2"/>
    <n v="-2"/>
    <n v="6"/>
    <m/>
    <x v="1"/>
    <n v="2"/>
    <s v="HH20240319 T3730974602 No Limit Hold'em $1.84 + $0.16.txt"/>
  </r>
  <r>
    <n v="2383"/>
    <n v="54.129999999999995"/>
    <s v="19.03.2024"/>
    <n v="19"/>
    <x v="2"/>
    <x v="1"/>
    <x v="2"/>
    <n v="-2"/>
    <m/>
    <m/>
    <x v="2"/>
    <n v="-1"/>
    <s v="HH20240319 T3730978612 No Limit Hold'em $1.84 + $0.16.txt"/>
  </r>
  <r>
    <n v="2384"/>
    <n v="52.129999999999995"/>
    <s v="19.03.2024"/>
    <n v="19"/>
    <x v="2"/>
    <x v="1"/>
    <x v="2"/>
    <n v="-2"/>
    <m/>
    <m/>
    <x v="2"/>
    <n v="-1"/>
    <s v="HH20240319 T3730980466 No Limit Hold'em $1.84 + $0.16.txt"/>
  </r>
  <r>
    <n v="2385"/>
    <n v="56.129999999999995"/>
    <s v="19.03.2024"/>
    <n v="19"/>
    <x v="2"/>
    <x v="1"/>
    <x v="2"/>
    <n v="-2"/>
    <n v="6"/>
    <m/>
    <x v="1"/>
    <n v="2"/>
    <s v="HH20240319 T3730982189 No Limit Hold'em $1.84 + $0.16.txt"/>
  </r>
  <r>
    <n v="2386"/>
    <n v="54.129999999999995"/>
    <s v="20.03.2024"/>
    <n v="20"/>
    <x v="2"/>
    <x v="1"/>
    <x v="2"/>
    <n v="-2"/>
    <m/>
    <m/>
    <x v="2"/>
    <n v="-1"/>
    <s v="HH20240320 T3731325060 No Limit Hold'em $1.84 + $0.16.txt"/>
  </r>
  <r>
    <n v="2387"/>
    <n v="60.129999999999995"/>
    <s v="20.03.2024"/>
    <n v="20"/>
    <x v="2"/>
    <x v="1"/>
    <x v="2"/>
    <n v="-2"/>
    <n v="8"/>
    <m/>
    <x v="1"/>
    <n v="3"/>
    <s v="HH20240320 T3731326755 No Limit Hold'em $1.84 + $0.16.txt"/>
  </r>
  <r>
    <n v="2388"/>
    <n v="64.13"/>
    <s v="20.03.2024"/>
    <n v="20"/>
    <x v="2"/>
    <x v="1"/>
    <x v="2"/>
    <n v="-2"/>
    <n v="6"/>
    <m/>
    <x v="1"/>
    <n v="2"/>
    <s v="HH20240320 T3731329503 No Limit Hold'em $1.84 + $0.16.txt"/>
  </r>
  <r>
    <n v="2389"/>
    <n v="62.129999999999995"/>
    <s v="20.03.2024"/>
    <n v="20"/>
    <x v="2"/>
    <x v="1"/>
    <x v="2"/>
    <n v="-2"/>
    <m/>
    <m/>
    <x v="2"/>
    <n v="-1"/>
    <s v="HH20240320 T3731378332 No Limit Hold'em $1.84 + $0.16.txt"/>
  </r>
  <r>
    <n v="2390"/>
    <n v="60.129999999999995"/>
    <s v="20.03.2024"/>
    <n v="20"/>
    <x v="2"/>
    <x v="1"/>
    <x v="2"/>
    <n v="-2"/>
    <m/>
    <m/>
    <x v="2"/>
    <n v="-1"/>
    <s v="HH20240320 T3731380866 No Limit Hold'em $1.84 + $0.16.txt"/>
  </r>
  <r>
    <n v="2391"/>
    <n v="58.129999999999995"/>
    <s v="20.03.2024"/>
    <n v="20"/>
    <x v="2"/>
    <x v="1"/>
    <x v="2"/>
    <n v="-2"/>
    <m/>
    <m/>
    <x v="2"/>
    <n v="-1"/>
    <s v="HH20240320 T3731382513 No Limit Hold'em $1.84 + $0.16.txt"/>
  </r>
  <r>
    <n v="2392"/>
    <n v="64.13"/>
    <s v="22.03.2024"/>
    <n v="22"/>
    <x v="2"/>
    <x v="1"/>
    <x v="2"/>
    <n v="-2"/>
    <n v="8"/>
    <m/>
    <x v="1"/>
    <n v="3"/>
    <s v="HH20240322 T3732012529 No Limit Hold'em $1.84 + $0.16.txt"/>
  </r>
  <r>
    <n v="2393"/>
    <n v="62.129999999999995"/>
    <s v="22.03.2024"/>
    <n v="22"/>
    <x v="2"/>
    <x v="1"/>
    <x v="2"/>
    <n v="-2"/>
    <m/>
    <m/>
    <x v="2"/>
    <n v="-1"/>
    <s v="HH20240322 T3732030558 No Limit Hold'em $1.84 + $0.16.txt"/>
  </r>
  <r>
    <n v="2394"/>
    <n v="64.13"/>
    <s v="22.03.2024"/>
    <n v="22"/>
    <x v="2"/>
    <x v="1"/>
    <x v="2"/>
    <n v="-2"/>
    <n v="4"/>
    <m/>
    <x v="1"/>
    <n v="1"/>
    <s v="HH20240322 T3732031873 No Limit Hold'em $1.84 + $0.16.txt"/>
  </r>
  <r>
    <n v="2395"/>
    <n v="70.13"/>
    <s v="22.03.2024"/>
    <n v="22"/>
    <x v="2"/>
    <x v="1"/>
    <x v="2"/>
    <n v="-2"/>
    <n v="8"/>
    <m/>
    <x v="1"/>
    <n v="3"/>
    <s v="HH20240322 T3732034165 No Limit Hold'em $1.84 + $0.16.txt"/>
  </r>
  <r>
    <n v="2396"/>
    <n v="72.13"/>
    <s v="22.03.2024"/>
    <n v="22"/>
    <x v="2"/>
    <x v="1"/>
    <x v="2"/>
    <n v="-2"/>
    <n v="4"/>
    <m/>
    <x v="1"/>
    <n v="1"/>
    <s v="HH20240322 T3732086410 No Limit Hold'em $1.84 + $0.16.txt"/>
  </r>
  <r>
    <n v="2397"/>
    <n v="70.13"/>
    <s v="22.03.2024"/>
    <n v="22"/>
    <x v="2"/>
    <x v="1"/>
    <x v="2"/>
    <n v="-2"/>
    <m/>
    <m/>
    <x v="2"/>
    <n v="-1"/>
    <s v="HH20240322 T3732087841 No Limit Hold'em $1.84 + $0.16.txt"/>
  </r>
  <r>
    <n v="2398"/>
    <n v="68.13"/>
    <s v="22.03.2024"/>
    <n v="22"/>
    <x v="2"/>
    <x v="1"/>
    <x v="2"/>
    <n v="-2"/>
    <m/>
    <m/>
    <x v="2"/>
    <n v="-1"/>
    <s v="HH20240322 T3732088304 No Limit Hold'em $1.84 + $0.16.txt"/>
  </r>
  <r>
    <n v="2399"/>
    <n v="66.13"/>
    <s v="22.03.2024"/>
    <n v="22"/>
    <x v="2"/>
    <x v="1"/>
    <x v="2"/>
    <n v="-2"/>
    <m/>
    <m/>
    <x v="2"/>
    <n v="-1"/>
    <s v="HH20240322 T3732089264 No Limit Hold'em $1.84 + $0.16.txt"/>
  </r>
  <r>
    <n v="2400"/>
    <n v="64.13"/>
    <s v="22.03.2024"/>
    <n v="22"/>
    <x v="2"/>
    <x v="1"/>
    <x v="2"/>
    <n v="-2"/>
    <m/>
    <m/>
    <x v="2"/>
    <n v="-1"/>
    <s v="HH20240322 T3732092292 No Limit Hold'em $1.84 + $0.16.txt"/>
  </r>
  <r>
    <n v="2401"/>
    <n v="66.13"/>
    <s v="22.03.2024"/>
    <n v="22"/>
    <x v="2"/>
    <x v="1"/>
    <x v="2"/>
    <n v="-2"/>
    <n v="4"/>
    <m/>
    <x v="1"/>
    <n v="1"/>
    <s v="HH20240322 T3732094179 No Limit Hold'em $1.84 + $0.16.txt"/>
  </r>
  <r>
    <n v="2402"/>
    <n v="64.13"/>
    <s v="22.03.2024"/>
    <n v="22"/>
    <x v="2"/>
    <x v="1"/>
    <x v="2"/>
    <n v="-2"/>
    <m/>
    <m/>
    <x v="2"/>
    <n v="-1"/>
    <s v="HH20240322 T3732098210 No Limit Hold'em $1.84 + $0.16.txt"/>
  </r>
  <r>
    <n v="2403"/>
    <n v="66.13"/>
    <s v="22.03.2024"/>
    <n v="22"/>
    <x v="2"/>
    <x v="1"/>
    <x v="2"/>
    <n v="-2"/>
    <n v="4"/>
    <m/>
    <x v="1"/>
    <n v="1"/>
    <s v="HH20240322 T3732099099 No Limit Hold'em $1.84 + $0.16.txt"/>
  </r>
  <r>
    <n v="2404"/>
    <n v="70.13"/>
    <s v="22.03.2024"/>
    <n v="22"/>
    <x v="2"/>
    <x v="1"/>
    <x v="2"/>
    <n v="-2"/>
    <n v="6"/>
    <m/>
    <x v="1"/>
    <n v="2"/>
    <s v="HH20240322 T3732100891 No Limit Hold'em $1.84 + $0.16.txt"/>
  </r>
  <r>
    <n v="2405"/>
    <n v="68.13"/>
    <s v="22.03.2024"/>
    <n v="22"/>
    <x v="2"/>
    <x v="1"/>
    <x v="2"/>
    <n v="-2"/>
    <m/>
    <m/>
    <x v="2"/>
    <n v="-1"/>
    <s v="HH20240322 T3732108989 No Limit Hold'em $1.84 + $0.16.txt"/>
  </r>
  <r>
    <n v="2406"/>
    <n v="70.13"/>
    <s v="22.03.2024"/>
    <n v="22"/>
    <x v="2"/>
    <x v="1"/>
    <x v="2"/>
    <n v="-2"/>
    <n v="4"/>
    <m/>
    <x v="1"/>
    <n v="1"/>
    <s v="HH20240322 T3732135375 No Limit Hold'em $1.84 + $0.16.txt"/>
  </r>
  <r>
    <n v="2407"/>
    <n v="72.13"/>
    <s v="22.03.2024"/>
    <n v="22"/>
    <x v="2"/>
    <x v="1"/>
    <x v="2"/>
    <n v="-2"/>
    <n v="4"/>
    <m/>
    <x v="1"/>
    <n v="1"/>
    <s v="HH20240322 T3732141412 No Limit Hold'em $1.84 + $0.16.txt"/>
  </r>
  <r>
    <n v="2408"/>
    <n v="70.13"/>
    <s v="22.03.2024"/>
    <n v="22"/>
    <x v="2"/>
    <x v="1"/>
    <x v="2"/>
    <n v="-2"/>
    <m/>
    <m/>
    <x v="2"/>
    <n v="-1"/>
    <s v="HH20240322 T3732143797 No Limit Hold'em $1.84 + $0.16.txt"/>
  </r>
  <r>
    <n v="2409"/>
    <n v="68.13"/>
    <s v="22.03.2024"/>
    <n v="22"/>
    <x v="2"/>
    <x v="1"/>
    <x v="2"/>
    <n v="-2"/>
    <m/>
    <m/>
    <x v="2"/>
    <n v="-1"/>
    <s v="HH20240322 T3732147334 No Limit Hold'em $1.84 + $0.16.txt"/>
  </r>
  <r>
    <n v="2410"/>
    <n v="72.13"/>
    <s v="22.03.2024"/>
    <n v="22"/>
    <x v="2"/>
    <x v="1"/>
    <x v="2"/>
    <n v="-2"/>
    <n v="6"/>
    <m/>
    <x v="1"/>
    <n v="2"/>
    <s v="HH20240322 T3732149031 No Limit Hold'em $1.84 + $0.16.txt"/>
  </r>
  <r>
    <n v="2411"/>
    <n v="70.13"/>
    <s v="22.03.2024"/>
    <n v="22"/>
    <x v="2"/>
    <x v="1"/>
    <x v="2"/>
    <n v="-2"/>
    <m/>
    <m/>
    <x v="2"/>
    <n v="-1"/>
    <s v="HH20240322 T3732249680 No Limit Hold'em $1.84 + $0.16.txt"/>
  </r>
  <r>
    <n v="2412"/>
    <n v="68.13"/>
    <s v="22.03.2024"/>
    <n v="22"/>
    <x v="2"/>
    <x v="1"/>
    <x v="2"/>
    <n v="-2"/>
    <m/>
    <m/>
    <x v="2"/>
    <n v="-1"/>
    <s v="HH20240322 T3732253847 No Limit Hold'em $1.84 + $0.16.txt"/>
  </r>
  <r>
    <n v="2413"/>
    <n v="72.13"/>
    <s v="22.03.2024"/>
    <n v="22"/>
    <x v="2"/>
    <x v="1"/>
    <x v="2"/>
    <n v="-2"/>
    <n v="6"/>
    <m/>
    <x v="1"/>
    <n v="2"/>
    <s v="HH20240322 T3732255065 No Limit Hold'em $1.84 + $0.16.txt"/>
  </r>
  <r>
    <n v="2414"/>
    <n v="74.13"/>
    <s v="23.03.2024"/>
    <n v="23"/>
    <x v="2"/>
    <x v="1"/>
    <x v="2"/>
    <n v="-2"/>
    <n v="4"/>
    <m/>
    <x v="1"/>
    <n v="1"/>
    <s v="HH20240323 T3732527262 No Limit Hold'em $1.84 + $0.16.txt"/>
  </r>
  <r>
    <n v="2415"/>
    <n v="72.13"/>
    <s v="23.03.2024"/>
    <n v="23"/>
    <x v="2"/>
    <x v="1"/>
    <x v="2"/>
    <n v="-2"/>
    <m/>
    <m/>
    <x v="2"/>
    <n v="-1"/>
    <s v="HH20240323 T3732535411 No Limit Hold'em $1.84 + $0.16.txt"/>
  </r>
  <r>
    <n v="2416"/>
    <n v="70.13"/>
    <s v="23.03.2024"/>
    <n v="23"/>
    <x v="2"/>
    <x v="1"/>
    <x v="2"/>
    <n v="-2"/>
    <m/>
    <m/>
    <x v="2"/>
    <n v="-1"/>
    <s v="HH20240323 T3732556019 No Limit Hold'em $1.84 + $0.16.txt"/>
  </r>
  <r>
    <n v="2417"/>
    <n v="72.13"/>
    <s v="23.03.2024"/>
    <n v="23"/>
    <x v="2"/>
    <x v="1"/>
    <x v="2"/>
    <n v="-2"/>
    <n v="4"/>
    <m/>
    <x v="1"/>
    <n v="1"/>
    <s v="HH20240323 T3732557861 No Limit Hold'em $1.84 + $0.16.txt"/>
  </r>
  <r>
    <n v="2418"/>
    <n v="76.13"/>
    <s v="23.03.2024"/>
    <n v="23"/>
    <x v="2"/>
    <x v="1"/>
    <x v="2"/>
    <n v="-2"/>
    <n v="6"/>
    <m/>
    <x v="1"/>
    <n v="2"/>
    <s v="HH20240323 T3732559640 No Limit Hold'em $1.84 + $0.16.txt"/>
  </r>
  <r>
    <n v="2419"/>
    <n v="74.13"/>
    <s v="23.03.2024"/>
    <n v="23"/>
    <x v="2"/>
    <x v="1"/>
    <x v="2"/>
    <n v="-2"/>
    <m/>
    <m/>
    <x v="2"/>
    <n v="-1"/>
    <s v="HH20240323 T3732562797 No Limit Hold'em $1.84 + $0.16.txt"/>
  </r>
  <r>
    <n v="2420"/>
    <n v="78.13"/>
    <s v="23.03.2024"/>
    <n v="23"/>
    <x v="2"/>
    <x v="1"/>
    <x v="2"/>
    <n v="-2"/>
    <n v="6"/>
    <m/>
    <x v="1"/>
    <n v="2"/>
    <s v="HH20240323 T3732566149 No Limit Hold'em $1.84 + $0.16.txt"/>
  </r>
  <r>
    <n v="2421"/>
    <n v="76.13"/>
    <s v="23.03.2024"/>
    <n v="23"/>
    <x v="2"/>
    <x v="1"/>
    <x v="2"/>
    <n v="-2"/>
    <m/>
    <m/>
    <x v="2"/>
    <n v="-1"/>
    <s v="HH20240323 T3732603424 No Limit Hold'em $1.84 + $0.16.txt"/>
  </r>
  <r>
    <n v="2422"/>
    <n v="74.13"/>
    <s v="23.03.2024"/>
    <n v="23"/>
    <x v="2"/>
    <x v="1"/>
    <x v="2"/>
    <n v="-2"/>
    <m/>
    <m/>
    <x v="2"/>
    <n v="-1"/>
    <s v="HH20240323 T3732606427 No Limit Hold'em $1.84 + $0.16.txt"/>
  </r>
  <r>
    <n v="2423"/>
    <n v="72.5"/>
    <s v="23.03.2024"/>
    <n v="23"/>
    <x v="2"/>
    <x v="1"/>
    <x v="3"/>
    <n v="-3.3"/>
    <m/>
    <n v="1.67"/>
    <x v="2"/>
    <n v="-0.4939393939393939"/>
    <s v="HH20240323 T3730408957 No Limit Hold'em $2.94 + $0.36.txt"/>
  </r>
  <r>
    <n v="2424"/>
    <n v="74.5"/>
    <s v="23.03.2024"/>
    <n v="23"/>
    <x v="2"/>
    <x v="1"/>
    <x v="2"/>
    <n v="-2"/>
    <n v="4"/>
    <m/>
    <x v="1"/>
    <n v="1"/>
    <s v="HH20240323 T3732690330 No Limit Hold'em $1.84 + $0.16.txt"/>
  </r>
  <r>
    <n v="2425"/>
    <n v="76.5"/>
    <s v="23.03.2024"/>
    <n v="23"/>
    <x v="2"/>
    <x v="1"/>
    <x v="2"/>
    <n v="-2"/>
    <n v="4"/>
    <m/>
    <x v="1"/>
    <n v="1"/>
    <s v="HH20240323 T3732694159 No Limit Hold'em $1.84 + $0.16.txt"/>
  </r>
  <r>
    <n v="2426"/>
    <n v="74.5"/>
    <s v="23.03.2024"/>
    <n v="23"/>
    <x v="2"/>
    <x v="1"/>
    <x v="2"/>
    <n v="-2"/>
    <m/>
    <m/>
    <x v="2"/>
    <n v="-1"/>
    <s v="HH20240323 T3732697080 No Limit Hold'em $1.84 + $0.16.txt"/>
  </r>
  <r>
    <n v="2427"/>
    <n v="72.5"/>
    <s v="23.03.2024"/>
    <n v="23"/>
    <x v="2"/>
    <x v="1"/>
    <x v="2"/>
    <n v="-2"/>
    <m/>
    <m/>
    <x v="2"/>
    <n v="-1"/>
    <s v="HH20240323 T3732699314 No Limit Hold'em $1.84 + $0.16.txt"/>
  </r>
  <r>
    <n v="2428"/>
    <n v="70.5"/>
    <s v="24.03.2024"/>
    <n v="24"/>
    <x v="2"/>
    <x v="1"/>
    <x v="2"/>
    <n v="-2"/>
    <m/>
    <m/>
    <x v="2"/>
    <n v="-1"/>
    <s v="HH20240324 T3732917069 No Limit Hold'em $1.84 + $0.16.txt"/>
  </r>
  <r>
    <n v="2429"/>
    <n v="68.5"/>
    <s v="24.03.2024"/>
    <n v="24"/>
    <x v="2"/>
    <x v="1"/>
    <x v="2"/>
    <n v="-2"/>
    <m/>
    <m/>
    <x v="2"/>
    <n v="-1"/>
    <s v="HH20240324 T3732938935 No Limit Hold'em $1.84 + $0.16.txt"/>
  </r>
  <r>
    <n v="2430"/>
    <n v="72.5"/>
    <s v="24.03.2024"/>
    <n v="24"/>
    <x v="2"/>
    <x v="1"/>
    <x v="2"/>
    <n v="-2"/>
    <n v="6"/>
    <m/>
    <x v="1"/>
    <n v="2"/>
    <s v="HH20240324 T3732940759 No Limit Hold'em $1.84 + $0.16.txt"/>
  </r>
  <r>
    <n v="2431"/>
    <n v="70.5"/>
    <s v="24.03.2024"/>
    <n v="24"/>
    <x v="2"/>
    <x v="1"/>
    <x v="2"/>
    <n v="-2"/>
    <m/>
    <m/>
    <x v="2"/>
    <n v="-1"/>
    <s v="HH20240324 T3732942869 No Limit Hold'em $1.84 + $0.16.txt"/>
  </r>
  <r>
    <n v="2432"/>
    <n v="68.5"/>
    <s v="24.03.2024"/>
    <n v="24"/>
    <x v="2"/>
    <x v="1"/>
    <x v="2"/>
    <n v="-2"/>
    <m/>
    <m/>
    <x v="2"/>
    <n v="-1"/>
    <s v="HH20240324 T3732945074 No Limit Hold'em $1.84 + $0.16.txt"/>
  </r>
  <r>
    <n v="2433"/>
    <n v="72.5"/>
    <s v="24.03.2024"/>
    <n v="24"/>
    <x v="2"/>
    <x v="1"/>
    <x v="2"/>
    <n v="-2"/>
    <n v="6"/>
    <m/>
    <x v="1"/>
    <n v="2"/>
    <s v="HH20240324 T3732945497 No Limit Hold'em $1.84 + $0.16.txt"/>
  </r>
  <r>
    <n v="2434"/>
    <n v="70.5"/>
    <s v="24.03.2024"/>
    <n v="24"/>
    <x v="2"/>
    <x v="1"/>
    <x v="2"/>
    <n v="-2"/>
    <m/>
    <m/>
    <x v="2"/>
    <n v="-1"/>
    <s v="HH20240324 T3732946558 No Limit Hold'em $1.84 + $0.16.txt"/>
  </r>
  <r>
    <n v="2435"/>
    <n v="72.5"/>
    <s v="24.03.2024"/>
    <n v="24"/>
    <x v="2"/>
    <x v="1"/>
    <x v="2"/>
    <n v="-2"/>
    <n v="4"/>
    <m/>
    <x v="1"/>
    <n v="1"/>
    <s v="HH20240324 T3732948511 No Limit Hold'em $1.84 + $0.16.txt"/>
  </r>
  <r>
    <n v="2436"/>
    <n v="70.5"/>
    <s v="24.03.2024"/>
    <n v="24"/>
    <x v="2"/>
    <x v="1"/>
    <x v="2"/>
    <n v="-2"/>
    <m/>
    <m/>
    <x v="2"/>
    <n v="-1"/>
    <s v="HH20240324 T3732950403 No Limit Hold'em $1.84 + $0.16.txt"/>
  </r>
  <r>
    <n v="2437"/>
    <n v="72.5"/>
    <s v="24.03.2024"/>
    <n v="24"/>
    <x v="2"/>
    <x v="1"/>
    <x v="2"/>
    <n v="-2"/>
    <n v="4"/>
    <m/>
    <x v="1"/>
    <n v="1"/>
    <s v="HH20240324 T3732952819 No Limit Hold'em $1.84 + $0.16.txt"/>
  </r>
  <r>
    <n v="2438"/>
    <n v="74.5"/>
    <s v="24.03.2024"/>
    <n v="24"/>
    <x v="2"/>
    <x v="1"/>
    <x v="2"/>
    <n v="-2"/>
    <n v="4"/>
    <m/>
    <x v="1"/>
    <n v="1"/>
    <s v="HH20240324 T3732954274 No Limit Hold'em $1.84 + $0.16.txt"/>
  </r>
  <r>
    <n v="2439"/>
    <n v="78.5"/>
    <s v="24.03.2024"/>
    <n v="24"/>
    <x v="2"/>
    <x v="1"/>
    <x v="2"/>
    <n v="-2"/>
    <n v="6"/>
    <m/>
    <x v="1"/>
    <n v="2"/>
    <s v="HH20240324 T3732956522 No Limit Hold'em $1.84 + $0.16.txt"/>
  </r>
  <r>
    <n v="2440"/>
    <n v="76.5"/>
    <s v="24.03.2024"/>
    <n v="24"/>
    <x v="2"/>
    <x v="1"/>
    <x v="2"/>
    <n v="-2"/>
    <m/>
    <m/>
    <x v="2"/>
    <n v="-1"/>
    <s v="HH20240324 T3732958847 No Limit Hold'em $1.84 + $0.16.txt"/>
  </r>
  <r>
    <n v="2441"/>
    <n v="71.5"/>
    <s v="24.03.2024"/>
    <n v="24"/>
    <x v="2"/>
    <x v="1"/>
    <x v="2"/>
    <n v="-5"/>
    <m/>
    <m/>
    <x v="2"/>
    <n v="-1"/>
    <s v="HH20240324 T3732961317 No Limit Hold'em $4.60 + $0.40.txt"/>
  </r>
  <r>
    <n v="2442"/>
    <n v="71.5"/>
    <s v="24.03.2024"/>
    <n v="24"/>
    <x v="2"/>
    <x v="1"/>
    <x v="2"/>
    <m/>
    <m/>
    <m/>
    <x v="2"/>
    <n v="0"/>
    <s v="HH20240324 T3732963187 No Limit Hold'em $1.84 + $0.16.txt"/>
  </r>
  <r>
    <n v="2443"/>
    <n v="61.5"/>
    <s v="24.03.2024"/>
    <n v="24"/>
    <x v="2"/>
    <x v="1"/>
    <x v="2"/>
    <n v="-10"/>
    <m/>
    <m/>
    <x v="2"/>
    <n v="-1"/>
    <s v="HH20240324 T3732964501 No Limit Hold'em $9.30 + $0.70.txt"/>
  </r>
  <r>
    <n v="2444"/>
    <n v="71.5"/>
    <s v="24.03.2024"/>
    <n v="24"/>
    <x v="2"/>
    <x v="1"/>
    <x v="2"/>
    <n v="-10"/>
    <n v="20"/>
    <m/>
    <x v="1"/>
    <n v="1"/>
    <s v="HH20240324 T3732966724 No Limit Hold'em $9.30 + $0.70.txt"/>
  </r>
  <r>
    <n v="2445"/>
    <n v="61.5"/>
    <s v="24.03.2024"/>
    <n v="24"/>
    <x v="2"/>
    <x v="1"/>
    <x v="2"/>
    <n v="-10"/>
    <m/>
    <m/>
    <x v="2"/>
    <n v="-1"/>
    <s v="HH20240324 T3732990493 No Limit Hold'em $9.30 + $0.70.txt"/>
  </r>
  <r>
    <n v="2446"/>
    <n v="51.5"/>
    <s v="24.03.2024"/>
    <n v="24"/>
    <x v="2"/>
    <x v="1"/>
    <x v="2"/>
    <n v="-10"/>
    <m/>
    <m/>
    <x v="2"/>
    <n v="-1"/>
    <s v="HH20240324 T3732994214 No Limit Hold'em $9.30 + $0.70.txt"/>
  </r>
  <r>
    <n v="2447"/>
    <n v="41.5"/>
    <s v="24.03.2024"/>
    <n v="24"/>
    <x v="2"/>
    <x v="1"/>
    <x v="2"/>
    <n v="-10"/>
    <m/>
    <m/>
    <x v="2"/>
    <n v="-1"/>
    <s v="HH20240324 T3732995634 No Limit Hold'em $9.30 + $0.70.txt"/>
  </r>
  <r>
    <n v="2448"/>
    <n v="31.5"/>
    <s v="24.03.2024"/>
    <n v="24"/>
    <x v="2"/>
    <x v="1"/>
    <x v="2"/>
    <n v="-10"/>
    <m/>
    <m/>
    <x v="2"/>
    <n v="-1"/>
    <s v="HH20240324 T3732996721 No Limit Hold'em $9.30 + $0.70.txt"/>
  </r>
  <r>
    <n v="2449"/>
    <n v="6.5"/>
    <s v="24.03.2024"/>
    <n v="24"/>
    <x v="2"/>
    <x v="1"/>
    <x v="2"/>
    <n v="-25"/>
    <m/>
    <m/>
    <x v="2"/>
    <n v="-1"/>
    <s v="HH20240324 T3732999926 No Limit Hold'em $23.50 + $1.50.txt"/>
  </r>
  <r>
    <n v="2450"/>
    <n v="1.5"/>
    <s v="24.03.2024"/>
    <n v="24"/>
    <x v="2"/>
    <x v="1"/>
    <x v="2"/>
    <n v="-5"/>
    <m/>
    <m/>
    <x v="2"/>
    <n v="-1"/>
    <s v="HH20240324 T3733003376 No Limit Hold'em $4.60 + $0.40.txt"/>
  </r>
  <r>
    <n v="2451"/>
    <n v="57.19"/>
    <s v="24.03.2024"/>
    <n v="24"/>
    <x v="2"/>
    <x v="1"/>
    <x v="1"/>
    <m/>
    <n v="55.69"/>
    <m/>
    <x v="0"/>
    <m/>
    <m/>
  </r>
  <r>
    <n v="2452"/>
    <n v="55.19"/>
    <s v="24.03.2024"/>
    <n v="24"/>
    <x v="2"/>
    <x v="1"/>
    <x v="2"/>
    <n v="-2"/>
    <m/>
    <m/>
    <x v="2"/>
    <n v="-1"/>
    <s v="HH20240324 T3733005764 No Limit Hold'em $1.84 + $0.16.txt"/>
  </r>
  <r>
    <n v="2453"/>
    <n v="53.19"/>
    <s v="28.03.2024"/>
    <n v="28"/>
    <x v="2"/>
    <x v="1"/>
    <x v="2"/>
    <n v="-2"/>
    <m/>
    <m/>
    <x v="2"/>
    <n v="-1"/>
    <s v="HH20240328 T3734565797 No Limit Hold'em $1.84 + $0.16.txt"/>
  </r>
  <r>
    <n v="2454"/>
    <n v="55.19"/>
    <s v="28.03.2024"/>
    <n v="28"/>
    <x v="2"/>
    <x v="1"/>
    <x v="2"/>
    <n v="-2"/>
    <n v="4"/>
    <m/>
    <x v="1"/>
    <n v="1"/>
    <s v="HH20240328 T3734567595 No Limit Hold'em $1.84 + $0.16.txt"/>
  </r>
  <r>
    <n v="2455"/>
    <n v="53.19"/>
    <s v="28.03.2024"/>
    <n v="28"/>
    <x v="2"/>
    <x v="1"/>
    <x v="2"/>
    <n v="-2"/>
    <m/>
    <m/>
    <x v="2"/>
    <n v="-1"/>
    <s v="HH20240328 T3734788902 No Limit Hold'em $1.84 + $0.16.txt"/>
  </r>
  <r>
    <n v="2456"/>
    <n v="51.19"/>
    <s v="29.03.2024"/>
    <n v="29"/>
    <x v="2"/>
    <x v="1"/>
    <x v="2"/>
    <n v="-2"/>
    <m/>
    <m/>
    <x v="2"/>
    <n v="-1"/>
    <s v="HH20240329 T3735013481 No Limit Hold'em $1.84 + $0.16.txt"/>
  </r>
  <r>
    <n v="2457"/>
    <n v="49.19"/>
    <s v="29.03.2024"/>
    <n v="29"/>
    <x v="2"/>
    <x v="1"/>
    <x v="2"/>
    <n v="-2"/>
    <m/>
    <m/>
    <x v="2"/>
    <n v="-1"/>
    <s v="HH20240329 T3735015554 No Limit Hold'em $1.84 + $0.16.txt"/>
  </r>
  <r>
    <n v="2458"/>
    <n v="53.19"/>
    <s v="29.03.2024"/>
    <n v="29"/>
    <x v="2"/>
    <x v="1"/>
    <x v="2"/>
    <n v="-2"/>
    <n v="6"/>
    <m/>
    <x v="1"/>
    <n v="2"/>
    <s v="HH20240329 T3735023208 No Limit Hold'em $1.84 + $0.16.txt"/>
  </r>
  <r>
    <n v="2459"/>
    <n v="51.19"/>
    <s v="29.03.2024"/>
    <n v="29"/>
    <x v="2"/>
    <x v="1"/>
    <x v="2"/>
    <n v="-2"/>
    <m/>
    <m/>
    <x v="2"/>
    <n v="-1"/>
    <s v="HH20240329 T3735031002 No Limit Hold'em $1.84 + $0.16.txt"/>
  </r>
  <r>
    <n v="2460"/>
    <n v="49.19"/>
    <s v="29.03.2024"/>
    <n v="29"/>
    <x v="2"/>
    <x v="1"/>
    <x v="2"/>
    <n v="-2"/>
    <m/>
    <m/>
    <x v="2"/>
    <n v="-1"/>
    <s v="HH20240329 T3735033876 No Limit Hold'em $1.84 + $0.16.txt"/>
  </r>
  <r>
    <n v="2461"/>
    <n v="47.19"/>
    <s v="29.03.2024"/>
    <n v="29"/>
    <x v="2"/>
    <x v="1"/>
    <x v="2"/>
    <n v="-2"/>
    <m/>
    <m/>
    <x v="2"/>
    <n v="-1"/>
    <s v="HH20240329 T3735035759 No Limit Hold'em $1.84 + $0.16.txt"/>
  </r>
  <r>
    <n v="2462"/>
    <n v="45.19"/>
    <s v="29.03.2024"/>
    <n v="29"/>
    <x v="2"/>
    <x v="1"/>
    <x v="2"/>
    <n v="-2"/>
    <m/>
    <m/>
    <x v="2"/>
    <n v="-1"/>
    <s v="HH20240329 T3735036792 No Limit Hold'em $1.84 + $0.16.txt"/>
  </r>
  <r>
    <n v="2463"/>
    <n v="43.19"/>
    <s v="29.03.2024"/>
    <n v="29"/>
    <x v="2"/>
    <x v="1"/>
    <x v="2"/>
    <n v="-2"/>
    <m/>
    <m/>
    <x v="2"/>
    <n v="-1"/>
    <s v="HH20240329 T3735038313 No Limit Hold'em $1.84 + $0.16.txt"/>
  </r>
  <r>
    <n v="2464"/>
    <n v="41.19"/>
    <s v="29.03.2024"/>
    <n v="29"/>
    <x v="2"/>
    <x v="1"/>
    <x v="2"/>
    <n v="-2"/>
    <m/>
    <m/>
    <x v="2"/>
    <n v="-1"/>
    <s v="HH20240329 T3735038644 No Limit Hold'em $1.84 + $0.16.txt"/>
  </r>
  <r>
    <n v="2465"/>
    <n v="43.19"/>
    <s v="29.03.2024"/>
    <n v="29"/>
    <x v="2"/>
    <x v="1"/>
    <x v="2"/>
    <n v="-2"/>
    <n v="4"/>
    <m/>
    <x v="1"/>
    <n v="1"/>
    <s v="HH20240329 T3735059527 No Limit Hold'em $1.84 + $0.16.txt"/>
  </r>
  <r>
    <n v="2466"/>
    <n v="41.19"/>
    <s v="29.03.2024"/>
    <n v="29"/>
    <x v="2"/>
    <x v="1"/>
    <x v="2"/>
    <n v="-2"/>
    <m/>
    <m/>
    <x v="2"/>
    <n v="-1"/>
    <s v="HH20240329 T3735061165 No Limit Hold'em $1.84 + $0.16.txt"/>
  </r>
  <r>
    <n v="2467"/>
    <n v="39.19"/>
    <s v="29.03.2024"/>
    <n v="29"/>
    <x v="2"/>
    <x v="1"/>
    <x v="2"/>
    <n v="-2"/>
    <m/>
    <m/>
    <x v="2"/>
    <n v="-1"/>
    <s v="HH20240329 T3735063610 No Limit Hold'em $1.84 + $0.16.txt"/>
  </r>
  <r>
    <n v="2468"/>
    <n v="43.19"/>
    <s v="29.03.2024"/>
    <n v="29"/>
    <x v="2"/>
    <x v="1"/>
    <x v="2"/>
    <n v="-2"/>
    <n v="6"/>
    <m/>
    <x v="1"/>
    <n v="2"/>
    <s v="HH20240329 T3735065276 No Limit Hold'em $1.84 + $0.16.txt"/>
  </r>
  <r>
    <n v="2469"/>
    <n v="45.19"/>
    <s v="29.03.2024"/>
    <n v="29"/>
    <x v="2"/>
    <x v="1"/>
    <x v="2"/>
    <n v="-2"/>
    <n v="4"/>
    <m/>
    <x v="1"/>
    <n v="1"/>
    <s v="HH20240329 T3735068369 No Limit Hold'em $1.84 + $0.16.txt"/>
  </r>
  <r>
    <n v="2470"/>
    <n v="43.19"/>
    <s v="30.03.2024"/>
    <n v="30"/>
    <x v="2"/>
    <x v="1"/>
    <x v="2"/>
    <n v="-2"/>
    <m/>
    <m/>
    <x v="2"/>
    <n v="-1"/>
    <s v="HH20240330 T3735425969 No Limit Hold'em $1.84 + $0.16.txt"/>
  </r>
  <r>
    <n v="2471"/>
    <n v="47.19"/>
    <s v="30.03.2024"/>
    <n v="30"/>
    <x v="2"/>
    <x v="1"/>
    <x v="2"/>
    <n v="-2"/>
    <n v="6"/>
    <m/>
    <x v="1"/>
    <n v="2"/>
    <s v="HH20240330 T3735426971 No Limit Hold'em $1.84 + $0.16.txt"/>
  </r>
  <r>
    <n v="2472"/>
    <n v="45.19"/>
    <s v="30.03.2024"/>
    <n v="30"/>
    <x v="2"/>
    <x v="1"/>
    <x v="2"/>
    <n v="-2"/>
    <m/>
    <m/>
    <x v="2"/>
    <n v="-1"/>
    <s v="HH20240330 T3735429252 No Limit Hold'em $1.84 + $0.16.txt"/>
  </r>
  <r>
    <n v="2473"/>
    <n v="47.19"/>
    <s v="30.03.2024"/>
    <n v="30"/>
    <x v="2"/>
    <x v="1"/>
    <x v="2"/>
    <n v="-2"/>
    <n v="4"/>
    <m/>
    <x v="1"/>
    <n v="1"/>
    <s v="HH20240330 T3735443462 No Limit Hold'em $1.84 + $0.16.txt"/>
  </r>
  <r>
    <n v="2474"/>
    <n v="45.19"/>
    <s v="30.03.2024"/>
    <n v="30"/>
    <x v="2"/>
    <x v="1"/>
    <x v="2"/>
    <n v="-2"/>
    <m/>
    <m/>
    <x v="2"/>
    <n v="-1"/>
    <s v="HH20240330 T3735450315 No Limit Hold'em $1.84 + $0.16.txt"/>
  </r>
  <r>
    <n v="2475"/>
    <n v="43.19"/>
    <s v="30.03.2024"/>
    <n v="30"/>
    <x v="2"/>
    <x v="1"/>
    <x v="2"/>
    <n v="-2"/>
    <m/>
    <m/>
    <x v="2"/>
    <n v="-1"/>
    <s v="HH20240330 T3735472986 No Limit Hold'em $1.84 + $0.16.txt"/>
  </r>
  <r>
    <n v="2476"/>
    <n v="41.19"/>
    <s v="30.03.2024"/>
    <n v="30"/>
    <x v="2"/>
    <x v="1"/>
    <x v="2"/>
    <n v="-2"/>
    <m/>
    <m/>
    <x v="2"/>
    <n v="-1"/>
    <s v="HH20240330 T3735482232 No Limit Hold'em $1.84 + $0.16.txt"/>
  </r>
  <r>
    <n v="2477"/>
    <n v="39.19"/>
    <s v="30.03.2024"/>
    <n v="30"/>
    <x v="2"/>
    <x v="1"/>
    <x v="2"/>
    <n v="-2"/>
    <m/>
    <m/>
    <x v="2"/>
    <n v="-1"/>
    <s v="HH20240330 T3735585383 No Limit Hold'em $1.84 + $0.16.txt"/>
  </r>
  <r>
    <n v="2478"/>
    <n v="37.19"/>
    <s v="30.03.2024"/>
    <n v="30"/>
    <x v="2"/>
    <x v="1"/>
    <x v="2"/>
    <n v="-2"/>
    <m/>
    <m/>
    <x v="2"/>
    <n v="-1"/>
    <s v="HH20240330 T3735586453 No Limit Hold'em $1.84 + $0.16.txt"/>
  </r>
  <r>
    <n v="2479"/>
    <n v="35.19"/>
    <s v="30.03.2024"/>
    <n v="30"/>
    <x v="2"/>
    <x v="1"/>
    <x v="2"/>
    <n v="-2"/>
    <m/>
    <m/>
    <x v="2"/>
    <n v="-1"/>
    <s v="HH20240330 T3735587490 No Limit Hold'em $1.84 + $0.16.txt"/>
  </r>
  <r>
    <n v="2480"/>
    <n v="30.189999999999998"/>
    <s v="30.03.2024"/>
    <n v="30"/>
    <x v="2"/>
    <x v="1"/>
    <x v="2"/>
    <n v="-5"/>
    <m/>
    <m/>
    <x v="2"/>
    <n v="-1"/>
    <s v="HH20240330 T3735588724 No Limit Hold'em $4.60 + $0.40.txt"/>
  </r>
  <r>
    <n v="2481"/>
    <n v="40.19"/>
    <s v="30.03.2024"/>
    <n v="30"/>
    <x v="2"/>
    <x v="1"/>
    <x v="2"/>
    <n v="-10"/>
    <n v="20"/>
    <m/>
    <x v="1"/>
    <n v="1"/>
    <s v="HH20240330 T3735592464 No Limit Hold'em $9.30 + $0.70.txt"/>
  </r>
  <r>
    <n v="2482"/>
    <n v="30.189999999999998"/>
    <s v="30.03.2024"/>
    <n v="30"/>
    <x v="2"/>
    <x v="1"/>
    <x v="2"/>
    <n v="-10"/>
    <m/>
    <m/>
    <x v="2"/>
    <n v="-1"/>
    <s v="HH20240330 T3735596495 No Limit Hold'em $9.30 + $0.70.txt"/>
  </r>
  <r>
    <n v="2483"/>
    <n v="50.19"/>
    <s v="30.03.2024"/>
    <n v="30"/>
    <x v="2"/>
    <x v="1"/>
    <x v="2"/>
    <n v="-10"/>
    <n v="30"/>
    <m/>
    <x v="1"/>
    <n v="2"/>
    <s v="HH20240330 T3735639408 No Limit Hold'em $9.30 + $0.70.txt"/>
  </r>
  <r>
    <n v="2484"/>
    <n v="60.19"/>
    <s v="30.03.2024"/>
    <n v="30"/>
    <x v="2"/>
    <x v="1"/>
    <x v="2"/>
    <n v="-10"/>
    <n v="20"/>
    <m/>
    <x v="1"/>
    <n v="1"/>
    <s v="HH20240330 T3735643583 No Limit Hold'em $9.30 + $0.70.txt"/>
  </r>
  <r>
    <n v="2485"/>
    <n v="58.19"/>
    <s v="31.03.2024"/>
    <n v="31"/>
    <x v="2"/>
    <x v="1"/>
    <x v="2"/>
    <n v="-2"/>
    <m/>
    <m/>
    <x v="2"/>
    <n v="-1"/>
    <s v="HH20240331 T3735851775 No Limit Hold'em $1.84 + $0.16.txt"/>
  </r>
  <r>
    <n v="2486"/>
    <n v="60.19"/>
    <s v="31.03.2024"/>
    <n v="31"/>
    <x v="2"/>
    <x v="1"/>
    <x v="2"/>
    <n v="-2"/>
    <n v="4"/>
    <m/>
    <x v="1"/>
    <n v="1"/>
    <s v="HH20240331 T3735852424 No Limit Hold'em $1.84 + $0.16.txt"/>
  </r>
  <r>
    <n v="2487"/>
    <n v="58.19"/>
    <s v="31.03.2024"/>
    <n v="31"/>
    <x v="2"/>
    <x v="1"/>
    <x v="2"/>
    <n v="-2"/>
    <m/>
    <m/>
    <x v="2"/>
    <n v="-1"/>
    <s v="HH20240331 T3735854496 No Limit Hold'em $1.84 + $0.16.txt"/>
  </r>
  <r>
    <n v="2488"/>
    <n v="60.19"/>
    <s v="31.03.2024"/>
    <n v="31"/>
    <x v="2"/>
    <x v="1"/>
    <x v="2"/>
    <n v="-2"/>
    <n v="4"/>
    <m/>
    <x v="1"/>
    <n v="1"/>
    <s v="HH20240331 T3735856520 No Limit Hold'em $1.84 + $0.16.txt"/>
  </r>
  <r>
    <n v="2489"/>
    <n v="58.19"/>
    <s v="31.03.2024"/>
    <n v="31"/>
    <x v="2"/>
    <x v="1"/>
    <x v="2"/>
    <n v="-2"/>
    <m/>
    <m/>
    <x v="2"/>
    <n v="-1"/>
    <s v="HH20240331 T3735857152 No Limit Hold'em $1.84 + $0.16.txt"/>
  </r>
  <r>
    <n v="2490"/>
    <n v="56.19"/>
    <s v="31.03.2024"/>
    <n v="31"/>
    <x v="2"/>
    <x v="1"/>
    <x v="2"/>
    <n v="-2"/>
    <m/>
    <m/>
    <x v="2"/>
    <n v="-1"/>
    <s v="HH20240331 T3735915483 No Limit Hold'em $1.84 + $0.16.txt"/>
  </r>
  <r>
    <n v="2491"/>
    <n v="54.19"/>
    <s v="31.03.2024"/>
    <n v="31"/>
    <x v="2"/>
    <x v="1"/>
    <x v="2"/>
    <n v="-2"/>
    <m/>
    <m/>
    <x v="2"/>
    <n v="-1"/>
    <s v="HH20240331 T3735916910 No Limit Hold'em $1.84 + $0.16.txt"/>
  </r>
  <r>
    <n v="2492"/>
    <n v="56.19"/>
    <s v="31.03.2024"/>
    <n v="31"/>
    <x v="2"/>
    <x v="1"/>
    <x v="2"/>
    <n v="-2"/>
    <n v="4"/>
    <m/>
    <x v="1"/>
    <n v="1"/>
    <s v="HH20240331 T3735918829 No Limit Hold'em $1.84 + $0.16.txt"/>
  </r>
  <r>
    <n v="2493"/>
    <n v="54.19"/>
    <s v="31.03.2024"/>
    <n v="31"/>
    <x v="2"/>
    <x v="1"/>
    <x v="2"/>
    <n v="-2"/>
    <m/>
    <m/>
    <x v="2"/>
    <n v="-1"/>
    <s v="HH20240331 T3735919387 No Limit Hold'em $1.84 + $0.16.txt"/>
  </r>
  <r>
    <n v="2494"/>
    <n v="56.19"/>
    <s v="31.03.2024"/>
    <n v="31"/>
    <x v="2"/>
    <x v="1"/>
    <x v="2"/>
    <n v="-2"/>
    <n v="4"/>
    <m/>
    <x v="1"/>
    <n v="1"/>
    <s v="HH20240331 T3735921353 No Limit Hold'em $1.84 + $0.16.txt"/>
  </r>
  <r>
    <n v="2495"/>
    <n v="62.19"/>
    <s v="31.03.2024"/>
    <n v="31"/>
    <x v="2"/>
    <x v="1"/>
    <x v="2"/>
    <n v="-2"/>
    <n v="8"/>
    <m/>
    <x v="1"/>
    <n v="3"/>
    <s v="HH20240331 T3735923678 No Limit Hold'em $1.84 + $0.16.txt"/>
  </r>
  <r>
    <n v="2496"/>
    <n v="60.19"/>
    <s v="31.03.2024"/>
    <n v="31"/>
    <x v="2"/>
    <x v="1"/>
    <x v="2"/>
    <n v="-2"/>
    <m/>
    <m/>
    <x v="2"/>
    <n v="-1"/>
    <s v="HH20240331 T3735973708 No Limit Hold'em $1.84 + $0.16.txt"/>
  </r>
  <r>
    <n v="2497"/>
    <n v="58.19"/>
    <s v="31.03.2024"/>
    <n v="31"/>
    <x v="2"/>
    <x v="1"/>
    <x v="2"/>
    <n v="-2"/>
    <m/>
    <m/>
    <x v="2"/>
    <n v="-1"/>
    <s v="HH20240331 T3735974912 No Limit Hold'em $1.84 + $0.16.txt"/>
  </r>
  <r>
    <n v="2498"/>
    <n v="56.19"/>
    <s v="31.03.2024"/>
    <n v="31"/>
    <x v="2"/>
    <x v="1"/>
    <x v="2"/>
    <n v="-2"/>
    <m/>
    <m/>
    <x v="2"/>
    <n v="-1"/>
    <s v="HH20240331 T3735977885 No Limit Hold'em $1.84 + $0.16.txt"/>
  </r>
  <r>
    <n v="2499"/>
    <n v="58.19"/>
    <s v="31.03.2024"/>
    <n v="31"/>
    <x v="2"/>
    <x v="1"/>
    <x v="2"/>
    <n v="-2"/>
    <n v="4"/>
    <m/>
    <x v="1"/>
    <n v="1"/>
    <s v="HH20240331 T3735978092 No Limit Hold'em $1.84 + $0.16.txt"/>
  </r>
  <r>
    <n v="2500"/>
    <n v="62.19"/>
    <s v="31.03.2024"/>
    <n v="31"/>
    <x v="2"/>
    <x v="1"/>
    <x v="2"/>
    <n v="-2"/>
    <n v="6"/>
    <m/>
    <x v="1"/>
    <n v="2"/>
    <s v="HH20240331 T3736040936 No Limit Hold'em $1.84 + $0.16.txt"/>
  </r>
  <r>
    <n v="2501"/>
    <n v="60.19"/>
    <s v="31.03.2024"/>
    <n v="31"/>
    <x v="2"/>
    <x v="1"/>
    <x v="2"/>
    <n v="-2"/>
    <m/>
    <m/>
    <x v="2"/>
    <n v="-1"/>
    <s v="HH20240331 T3736105933 No Limit Hold'em $1.84 + $0.16.txt"/>
  </r>
  <r>
    <n v="2502"/>
    <n v="58.19"/>
    <s v="31.03.2024"/>
    <n v="31"/>
    <x v="2"/>
    <x v="1"/>
    <x v="2"/>
    <n v="-2"/>
    <m/>
    <m/>
    <x v="2"/>
    <n v="-1"/>
    <s v="HH20240331 T3736109116 No Limit Hold'em $1.84 + $0.16.txt"/>
  </r>
  <r>
    <n v="2503"/>
    <n v="56.19"/>
    <s v="01.04.2024"/>
    <n v="1"/>
    <x v="3"/>
    <x v="1"/>
    <x v="2"/>
    <n v="-2"/>
    <m/>
    <m/>
    <x v="2"/>
    <n v="-1"/>
    <s v="HH20240401 T3736354143 No Limit Hold'em $1.84 + $0.16.txt"/>
  </r>
  <r>
    <n v="2504"/>
    <n v="54.19"/>
    <s v="01.04.2024"/>
    <n v="1"/>
    <x v="3"/>
    <x v="1"/>
    <x v="2"/>
    <n v="-2"/>
    <m/>
    <m/>
    <x v="2"/>
    <n v="-1"/>
    <s v="HH20240401 T3736354602 No Limit Hold'em $1.84 + $0.16.txt"/>
  </r>
  <r>
    <n v="2505"/>
    <n v="52.19"/>
    <s v="01.04.2024"/>
    <n v="1"/>
    <x v="3"/>
    <x v="1"/>
    <x v="2"/>
    <n v="-2"/>
    <m/>
    <m/>
    <x v="2"/>
    <n v="-1"/>
    <s v="HH20240401 T3736356107 No Limit Hold'em $1.84 + $0.16.txt"/>
  </r>
  <r>
    <n v="2506"/>
    <n v="50.19"/>
    <s v="01.04.2024"/>
    <n v="1"/>
    <x v="3"/>
    <x v="1"/>
    <x v="2"/>
    <n v="-2"/>
    <m/>
    <m/>
    <x v="2"/>
    <n v="-1"/>
    <s v="HH20240401 T3736359568 No Limit Hold'em $1.84 + $0.16.txt"/>
  </r>
  <r>
    <n v="2507"/>
    <n v="60.19"/>
    <s v="01.04.2024"/>
    <n v="1"/>
    <x v="3"/>
    <x v="1"/>
    <x v="2"/>
    <n v="-10"/>
    <n v="20"/>
    <m/>
    <x v="1"/>
    <n v="1"/>
    <s v="HH20240401 T3736362781 No Limit Hold'em $9.30 + $0.70.txt"/>
  </r>
  <r>
    <n v="2508"/>
    <n v="80.19"/>
    <s v="01.04.2024"/>
    <n v="1"/>
    <x v="3"/>
    <x v="1"/>
    <x v="2"/>
    <n v="-10"/>
    <n v="30"/>
    <m/>
    <x v="1"/>
    <n v="2"/>
    <s v="HH20240401 T3736365213 No Limit Hold'em $9.30 + $0.70.txt"/>
  </r>
  <r>
    <n v="2509"/>
    <n v="78.19"/>
    <s v="01.04.2024"/>
    <n v="1"/>
    <x v="3"/>
    <x v="1"/>
    <x v="2"/>
    <n v="-2"/>
    <m/>
    <m/>
    <x v="2"/>
    <n v="-1"/>
    <s v="HH20240401 T3736446952 No Limit Hold'em $1.84 + $0.16.txt"/>
  </r>
  <r>
    <n v="2510"/>
    <n v="80.19"/>
    <s v="01.04.2024"/>
    <n v="1"/>
    <x v="3"/>
    <x v="1"/>
    <x v="2"/>
    <n v="-2"/>
    <n v="4"/>
    <m/>
    <x v="1"/>
    <n v="1"/>
    <s v="HH20240401 T3736480658 No Limit Hold'em $1.84 + $0.16.txt"/>
  </r>
  <r>
    <n v="2511"/>
    <n v="78.19"/>
    <s v="01.04.2024"/>
    <n v="1"/>
    <x v="3"/>
    <x v="1"/>
    <x v="2"/>
    <n v="-2"/>
    <m/>
    <m/>
    <x v="2"/>
    <n v="-1"/>
    <s v="HH20240401 T3736483622 No Limit Hold'em $1.84 + $0.16.txt"/>
  </r>
  <r>
    <n v="2512"/>
    <n v="80.19"/>
    <s v="02.04.2024"/>
    <n v="2"/>
    <x v="3"/>
    <x v="1"/>
    <x v="2"/>
    <n v="-2"/>
    <n v="4"/>
    <m/>
    <x v="1"/>
    <n v="1"/>
    <s v="HH20240402 T3736856971 No Limit Hold'em $1.84 + $0.16.txt"/>
  </r>
  <r>
    <n v="2513"/>
    <n v="78.19"/>
    <s v="02.04.2024"/>
    <n v="2"/>
    <x v="3"/>
    <x v="1"/>
    <x v="2"/>
    <n v="-2"/>
    <m/>
    <m/>
    <x v="2"/>
    <n v="-1"/>
    <s v="HH20240402 T3736861042 No Limit Hold'em $1.84 + $0.16.txt"/>
  </r>
  <r>
    <n v="2514"/>
    <n v="76.19"/>
    <s v="03.04.2024"/>
    <n v="3"/>
    <x v="3"/>
    <x v="1"/>
    <x v="2"/>
    <n v="-2"/>
    <m/>
    <m/>
    <x v="2"/>
    <n v="-1"/>
    <s v="HH20240403 T3737111540 No Limit Hold'em $1.84 + $0.16.txt"/>
  </r>
  <r>
    <n v="2515"/>
    <n v="78.19"/>
    <s v="03.04.2024"/>
    <n v="3"/>
    <x v="3"/>
    <x v="1"/>
    <x v="2"/>
    <n v="-2"/>
    <n v="4"/>
    <m/>
    <x v="1"/>
    <n v="1"/>
    <s v="HH20240403 T3737199131 No Limit Hold'em $1.84 + $0.16.txt"/>
  </r>
  <r>
    <n v="2516"/>
    <n v="76.19"/>
    <s v="03.04.2024"/>
    <n v="3"/>
    <x v="3"/>
    <x v="1"/>
    <x v="2"/>
    <n v="-2"/>
    <m/>
    <m/>
    <x v="2"/>
    <n v="-1"/>
    <s v="HH20240403 T3737202353 No Limit Hold'em $1.84 + $0.16.txt"/>
  </r>
  <r>
    <n v="2517"/>
    <n v="80.19"/>
    <s v="04.04.2024"/>
    <n v="4"/>
    <x v="3"/>
    <x v="1"/>
    <x v="2"/>
    <n v="-2"/>
    <n v="6"/>
    <m/>
    <x v="1"/>
    <n v="2"/>
    <s v="HH20240404 T3737544453 No Limit Hold'em $1.84 + $0.16.txt"/>
  </r>
  <r>
    <n v="2518"/>
    <n v="84.19"/>
    <s v="04.04.2024"/>
    <n v="4"/>
    <x v="3"/>
    <x v="1"/>
    <x v="2"/>
    <n v="-2"/>
    <n v="6"/>
    <m/>
    <x v="1"/>
    <n v="2"/>
    <s v="HH20240404 T3737548242 No Limit Hold'em $1.84 + $0.16.txt"/>
  </r>
  <r>
    <n v="2519"/>
    <n v="82.19"/>
    <s v="05.04.2024"/>
    <n v="5"/>
    <x v="3"/>
    <x v="1"/>
    <x v="2"/>
    <n v="-2"/>
    <m/>
    <m/>
    <x v="2"/>
    <n v="-1"/>
    <s v="HH20240405 T3737802679 No Limit Hold'em $1.84 + $0.16.txt"/>
  </r>
  <r>
    <n v="2520"/>
    <n v="80.19"/>
    <s v="05.04.2024"/>
    <n v="5"/>
    <x v="3"/>
    <x v="1"/>
    <x v="2"/>
    <n v="-2"/>
    <m/>
    <m/>
    <x v="2"/>
    <n v="-1"/>
    <s v="HH20240405 T3737803250 No Limit Hold'em $1.84 + $0.16.txt"/>
  </r>
  <r>
    <n v="2521"/>
    <n v="78.19"/>
    <s v="05.04.2024"/>
    <n v="5"/>
    <x v="3"/>
    <x v="1"/>
    <x v="2"/>
    <n v="-2"/>
    <m/>
    <m/>
    <x v="2"/>
    <n v="-1"/>
    <s v="HH20240405 T3737804498 No Limit Hold'em $1.84 + $0.16.txt"/>
  </r>
  <r>
    <n v="2522"/>
    <n v="76.19"/>
    <s v="06.04.2024"/>
    <n v="6"/>
    <x v="3"/>
    <x v="1"/>
    <x v="2"/>
    <n v="-2"/>
    <m/>
    <m/>
    <x v="2"/>
    <n v="-1"/>
    <s v="HH20240406 T3738368821 No Limit Hold'em $1.84 + $0.16.txt"/>
  </r>
  <r>
    <n v="2523"/>
    <n v="74.19"/>
    <s v="06.04.2024"/>
    <n v="6"/>
    <x v="3"/>
    <x v="1"/>
    <x v="2"/>
    <n v="-2"/>
    <m/>
    <m/>
    <x v="2"/>
    <n v="-1"/>
    <s v="HH20240406 T3738370077 No Limit Hold'em $1.84 + $0.16.txt"/>
  </r>
  <r>
    <n v="2524"/>
    <n v="72.19"/>
    <s v="06.04.2024"/>
    <n v="6"/>
    <x v="3"/>
    <x v="1"/>
    <x v="2"/>
    <n v="-2"/>
    <m/>
    <m/>
    <x v="2"/>
    <n v="-1"/>
    <s v="HH20240406 T3738370712 No Limit Hold'em $1.84 + $0.16.txt"/>
  </r>
  <r>
    <n v="2525"/>
    <n v="70.19"/>
    <s v="06.04.2024"/>
    <n v="6"/>
    <x v="3"/>
    <x v="1"/>
    <x v="2"/>
    <n v="-2"/>
    <m/>
    <m/>
    <x v="2"/>
    <n v="-1"/>
    <s v="HH20240406 T3738371285 No Limit Hold'em $1.84 + $0.16.txt"/>
  </r>
  <r>
    <n v="2526"/>
    <n v="74.19"/>
    <s v="06.04.2024"/>
    <n v="6"/>
    <x v="3"/>
    <x v="1"/>
    <x v="2"/>
    <n v="-2"/>
    <n v="6"/>
    <m/>
    <x v="1"/>
    <n v="2"/>
    <s v="HH20240406 T3738373095 No Limit Hold'em $1.84 + $0.16.txt"/>
  </r>
  <r>
    <n v="2527"/>
    <n v="72.19"/>
    <s v="06.04.2024"/>
    <n v="6"/>
    <x v="3"/>
    <x v="1"/>
    <x v="2"/>
    <n v="-2"/>
    <m/>
    <m/>
    <x v="2"/>
    <n v="-1"/>
    <s v="HH20240406 T3738375178 No Limit Hold'em $1.84 + $0.16.txt"/>
  </r>
  <r>
    <n v="2528"/>
    <n v="80.19"/>
    <s v="06.04.2024"/>
    <n v="6"/>
    <x v="3"/>
    <x v="1"/>
    <x v="2"/>
    <n v="-2"/>
    <n v="10"/>
    <m/>
    <x v="1"/>
    <n v="4"/>
    <s v="HH20240406 T3738377231 No Limit Hold'em $1.84 + $0.16.txt"/>
  </r>
  <r>
    <n v="2529"/>
    <n v="84.19"/>
    <s v="06.04.2024"/>
    <n v="6"/>
    <x v="3"/>
    <x v="1"/>
    <x v="2"/>
    <n v="-2"/>
    <n v="6"/>
    <m/>
    <x v="1"/>
    <n v="2"/>
    <s v="HH20240406 T3738384002 No Limit Hold'em $1.84 + $0.16.txt"/>
  </r>
  <r>
    <n v="2530"/>
    <n v="82.19"/>
    <s v="06.04.2024"/>
    <n v="6"/>
    <x v="3"/>
    <x v="1"/>
    <x v="2"/>
    <n v="-2"/>
    <m/>
    <m/>
    <x v="2"/>
    <n v="-1"/>
    <s v="HH20240406 T3738396985 No Limit Hold'em $1.84 + $0.16.txt"/>
  </r>
  <r>
    <n v="2531"/>
    <n v="80.19"/>
    <s v="06.04.2024"/>
    <n v="6"/>
    <x v="3"/>
    <x v="1"/>
    <x v="2"/>
    <n v="-2"/>
    <m/>
    <m/>
    <x v="2"/>
    <n v="-1"/>
    <s v="HH20240406 T3738399863 No Limit Hold'em $1.84 + $0.16.txt"/>
  </r>
  <r>
    <n v="2532"/>
    <n v="78.19"/>
    <s v="07.04.2024"/>
    <n v="7"/>
    <x v="3"/>
    <x v="1"/>
    <x v="2"/>
    <n v="-2"/>
    <m/>
    <m/>
    <x v="2"/>
    <n v="-1"/>
    <s v="HH20240407 T3738721991 No Limit Hold'em $1.84 + $0.16.txt"/>
  </r>
  <r>
    <n v="2533"/>
    <n v="76.19"/>
    <s v="07.04.2024"/>
    <n v="7"/>
    <x v="3"/>
    <x v="1"/>
    <x v="2"/>
    <n v="-2"/>
    <m/>
    <m/>
    <x v="2"/>
    <n v="-1"/>
    <s v="HH20240407 T3738723167 No Limit Hold'em $1.84 + $0.16.txt"/>
  </r>
  <r>
    <n v="2534"/>
    <n v="80.19"/>
    <s v="07.04.2024"/>
    <n v="7"/>
    <x v="3"/>
    <x v="1"/>
    <x v="2"/>
    <n v="-2"/>
    <n v="6"/>
    <m/>
    <x v="1"/>
    <n v="2"/>
    <s v="HH20240407 T3738723673 No Limit Hold'em $1.84 + $0.16.txt"/>
  </r>
  <r>
    <n v="2535"/>
    <n v="78.19"/>
    <s v="07.04.2024"/>
    <n v="7"/>
    <x v="3"/>
    <x v="1"/>
    <x v="2"/>
    <n v="-2"/>
    <m/>
    <m/>
    <x v="2"/>
    <n v="-1"/>
    <s v="HH20240407 T3738878236 No Limit Hold'em $1.84 + $0.16.txt"/>
  </r>
  <r>
    <n v="2536"/>
    <n v="76.19"/>
    <s v="07.04.2024"/>
    <n v="7"/>
    <x v="3"/>
    <x v="1"/>
    <x v="2"/>
    <n v="-2"/>
    <m/>
    <m/>
    <x v="2"/>
    <n v="-1"/>
    <s v="HH20240407 T3738879786 No Limit Hold'em $1.84 + $0.16.txt"/>
  </r>
  <r>
    <n v="2537"/>
    <n v="74.19"/>
    <s v="07.04.2024"/>
    <n v="7"/>
    <x v="3"/>
    <x v="1"/>
    <x v="2"/>
    <n v="-2"/>
    <m/>
    <m/>
    <x v="2"/>
    <n v="-1"/>
    <s v="HH20240407 T3738882698 No Limit Hold'em $1.84 + $0.16.txt"/>
  </r>
  <r>
    <n v="2538"/>
    <n v="72.19"/>
    <s v="07.04.2024"/>
    <n v="7"/>
    <x v="3"/>
    <x v="1"/>
    <x v="2"/>
    <n v="-2"/>
    <m/>
    <m/>
    <x v="2"/>
    <n v="-1"/>
    <s v="HH20240407 T3738883502 No Limit Hold'em $1.84 + $0.16.txt"/>
  </r>
  <r>
    <n v="2539"/>
    <n v="70.19"/>
    <s v="08.04.2024"/>
    <n v="8"/>
    <x v="3"/>
    <x v="1"/>
    <x v="2"/>
    <n v="-2"/>
    <m/>
    <m/>
    <x v="2"/>
    <n v="-1"/>
    <s v="HH20240408 T3739311269 No Limit Hold'em $1.84 + $0.16.txt"/>
  </r>
  <r>
    <n v="2540"/>
    <n v="68.19"/>
    <s v="08.04.2024"/>
    <n v="8"/>
    <x v="3"/>
    <x v="1"/>
    <x v="2"/>
    <n v="-2"/>
    <m/>
    <m/>
    <x v="2"/>
    <n v="-1"/>
    <s v="HH20240408 T3739391075 No Limit Hold'em $1.84 + $0.16.txt"/>
  </r>
  <r>
    <n v="2541"/>
    <n v="66.19"/>
    <s v="08.04.2024"/>
    <n v="8"/>
    <x v="3"/>
    <x v="1"/>
    <x v="2"/>
    <n v="-2"/>
    <m/>
    <m/>
    <x v="2"/>
    <n v="-1"/>
    <s v="HH20240408 T3739391942 No Limit Hold'em $1.84 + $0.16.txt"/>
  </r>
  <r>
    <n v="2542"/>
    <n v="64.19"/>
    <s v="08.04.2024"/>
    <n v="8"/>
    <x v="3"/>
    <x v="1"/>
    <x v="2"/>
    <n v="-2"/>
    <m/>
    <m/>
    <x v="2"/>
    <n v="-1"/>
    <s v="HH20240408 T3739393117 No Limit Hold'em $1.84 + $0.16.txt"/>
  </r>
  <r>
    <n v="2543"/>
    <n v="62.19"/>
    <s v="09.04.2024"/>
    <n v="9"/>
    <x v="3"/>
    <x v="1"/>
    <x v="2"/>
    <n v="-2"/>
    <m/>
    <m/>
    <x v="2"/>
    <n v="-1"/>
    <s v="HH20240409 T3739627008 No Limit Hold'em $1.84 + $0.16.txt"/>
  </r>
  <r>
    <n v="2544"/>
    <n v="64.19"/>
    <s v="09.04.2024"/>
    <n v="9"/>
    <x v="3"/>
    <x v="1"/>
    <x v="2"/>
    <n v="-2"/>
    <n v="4"/>
    <m/>
    <x v="1"/>
    <n v="1"/>
    <s v="HH20240409 T3739731027 No Limit Hold'em $1.84 + $0.16.txt"/>
  </r>
  <r>
    <n v="2545"/>
    <n v="66.19"/>
    <s v="09.04.2024"/>
    <n v="9"/>
    <x v="3"/>
    <x v="1"/>
    <x v="2"/>
    <n v="-2"/>
    <n v="4"/>
    <m/>
    <x v="1"/>
    <n v="1"/>
    <s v="HH20240409 T3739734697 No Limit Hold'em $1.84 + $0.16.txt"/>
  </r>
  <r>
    <n v="2546"/>
    <n v="64.19"/>
    <s v="09.04.2024"/>
    <n v="9"/>
    <x v="3"/>
    <x v="1"/>
    <x v="2"/>
    <n v="-2"/>
    <m/>
    <m/>
    <x v="2"/>
    <n v="-1"/>
    <s v="HH20240409 T3739738470 No Limit Hold'em $1.84 + $0.16.txt"/>
  </r>
  <r>
    <n v="2547"/>
    <n v="62.19"/>
    <s v="09.04.2024"/>
    <n v="9"/>
    <x v="3"/>
    <x v="1"/>
    <x v="2"/>
    <n v="-2"/>
    <m/>
    <m/>
    <x v="2"/>
    <n v="-1"/>
    <s v="HH20240409 T3739743145 No Limit Hold'em $1.84 + $0.16.txt"/>
  </r>
  <r>
    <n v="2548"/>
    <n v="60.19"/>
    <s v="09.04.2024"/>
    <n v="9"/>
    <x v="3"/>
    <x v="1"/>
    <x v="2"/>
    <n v="-2"/>
    <m/>
    <m/>
    <x v="2"/>
    <n v="-1"/>
    <s v="HH20240409 T3739746078 No Limit Hold'em $1.84 + $0.16.txt"/>
  </r>
  <r>
    <n v="2549"/>
    <n v="58.19"/>
    <s v="09.04.2024"/>
    <n v="9"/>
    <x v="3"/>
    <x v="1"/>
    <x v="2"/>
    <n v="-2"/>
    <m/>
    <m/>
    <x v="2"/>
    <n v="-1"/>
    <s v="HH20240409 T3739748590 No Limit Hold'em $1.84 + $0.16.txt"/>
  </r>
  <r>
    <n v="2550"/>
    <n v="56.19"/>
    <s v="09.04.2024"/>
    <n v="9"/>
    <x v="3"/>
    <x v="1"/>
    <x v="2"/>
    <n v="-2"/>
    <m/>
    <m/>
    <x v="2"/>
    <n v="-1"/>
    <s v="HH20240409 T3739769334 No Limit Hold'em $1.84 + $0.16.txt"/>
  </r>
  <r>
    <n v="2551"/>
    <n v="58.19"/>
    <s v="09.04.2024"/>
    <n v="9"/>
    <x v="3"/>
    <x v="1"/>
    <x v="2"/>
    <n v="-2"/>
    <n v="4"/>
    <m/>
    <x v="1"/>
    <n v="1"/>
    <s v="HH20240409 T3739770401 No Limit Hold'em $1.84 + $0.16.txt"/>
  </r>
  <r>
    <n v="2552"/>
    <n v="60.19"/>
    <s v="10.04.2024"/>
    <n v="10"/>
    <x v="3"/>
    <x v="1"/>
    <x v="2"/>
    <n v="-2"/>
    <n v="4"/>
    <m/>
    <x v="1"/>
    <n v="1"/>
    <s v="HH20240410 T3740201761 No Limit Hold'em $1.84 + $0.16.txt"/>
  </r>
  <r>
    <n v="2553"/>
    <n v="62.19"/>
    <s v="15.04.2024"/>
    <n v="15"/>
    <x v="3"/>
    <x v="1"/>
    <x v="2"/>
    <n v="-2"/>
    <n v="4"/>
    <m/>
    <x v="1"/>
    <n v="1"/>
    <s v="HH20240415 T3742252566 No Limit Hold'em $1.84 + $0.16.txt"/>
  </r>
  <r>
    <n v="2554"/>
    <n v="60.19"/>
    <s v="17.04.2024"/>
    <n v="17"/>
    <x v="3"/>
    <x v="1"/>
    <x v="2"/>
    <n v="-2"/>
    <m/>
    <m/>
    <x v="2"/>
    <n v="-1"/>
    <s v="HH20240417 T3743082259 No Limit Hold'em $1.84 + $0.16.txt"/>
  </r>
  <r>
    <n v="2555"/>
    <n v="58.19"/>
    <s v="17.04.2024"/>
    <n v="17"/>
    <x v="3"/>
    <x v="1"/>
    <x v="2"/>
    <n v="-2"/>
    <m/>
    <m/>
    <x v="2"/>
    <n v="-1"/>
    <s v="HH20240417 T3743085036 No Limit Hold'em $1.84 + $0.16.txt"/>
  </r>
  <r>
    <n v="2556"/>
    <n v="56.19"/>
    <s v="18.04.2024"/>
    <n v="18"/>
    <x v="3"/>
    <x v="1"/>
    <x v="2"/>
    <n v="-2"/>
    <m/>
    <m/>
    <x v="2"/>
    <n v="-1"/>
    <s v="HH20240418 T3743440180 No Limit Hold'em $1.84 + $0.16.txt"/>
  </r>
  <r>
    <n v="2557"/>
    <n v="54.19"/>
    <s v="18.04.2024"/>
    <n v="18"/>
    <x v="3"/>
    <x v="1"/>
    <x v="2"/>
    <n v="-2"/>
    <m/>
    <m/>
    <x v="2"/>
    <n v="-1"/>
    <s v="HH20240418 T3743441257 No Limit Hold'em $1.84 + $0.16.txt"/>
  </r>
  <r>
    <n v="2558"/>
    <n v="56.19"/>
    <s v="18.04.2024"/>
    <n v="18"/>
    <x v="3"/>
    <x v="1"/>
    <x v="2"/>
    <n v="-2"/>
    <n v="4"/>
    <m/>
    <x v="1"/>
    <n v="1"/>
    <s v="HH20240418 T3743444605 No Limit Hold'em $1.84 + $0.16.txt"/>
  </r>
  <r>
    <n v="2559"/>
    <n v="60.19"/>
    <s v="18.04.2024"/>
    <n v="18"/>
    <x v="3"/>
    <x v="1"/>
    <x v="2"/>
    <n v="-2"/>
    <n v="6"/>
    <m/>
    <x v="1"/>
    <n v="2"/>
    <s v="HH20240418 T3743447913 No Limit Hold'em $1.84 + $0.16.txt"/>
  </r>
  <r>
    <n v="2560"/>
    <n v="70.19"/>
    <s v="18.04.2024"/>
    <n v="18"/>
    <x v="3"/>
    <x v="1"/>
    <x v="2"/>
    <n v="-10"/>
    <n v="20"/>
    <m/>
    <x v="1"/>
    <n v="1"/>
    <s v="HH20240418 T3743453652 No Limit Hold'em $9.30 + $0.70.txt"/>
  </r>
  <r>
    <n v="2561"/>
    <n v="72.19"/>
    <s v="19.04.2024"/>
    <n v="19"/>
    <x v="3"/>
    <x v="1"/>
    <x v="2"/>
    <n v="-2"/>
    <n v="4"/>
    <m/>
    <x v="1"/>
    <n v="1"/>
    <s v="HH20240419 T3743716673 No Limit Hold'em $1.84 + $0.16.txt"/>
  </r>
  <r>
    <n v="2562"/>
    <n v="76.19"/>
    <s v="19.04.2024"/>
    <n v="19"/>
    <x v="3"/>
    <x v="1"/>
    <x v="2"/>
    <n v="-2"/>
    <n v="6"/>
    <m/>
    <x v="1"/>
    <n v="2"/>
    <s v="HH20240419 T3743723763 No Limit Hold'em $1.84 + $0.16.txt"/>
  </r>
  <r>
    <n v="2563"/>
    <n v="74.19"/>
    <s v="20.04.2024"/>
    <n v="20"/>
    <x v="3"/>
    <x v="1"/>
    <x v="2"/>
    <n v="-2"/>
    <m/>
    <m/>
    <x v="2"/>
    <n v="-1"/>
    <s v="HH20240420 T3744306205 No Limit Hold'em $1.84 + $0.16.txt"/>
  </r>
  <r>
    <n v="2564"/>
    <n v="72.19"/>
    <s v="20.04.2024"/>
    <n v="20"/>
    <x v="3"/>
    <x v="1"/>
    <x v="2"/>
    <n v="-2"/>
    <m/>
    <m/>
    <x v="2"/>
    <n v="-1"/>
    <s v="HH20240420 T3744309293 No Limit Hold'em $1.84 + $0.16.txt"/>
  </r>
  <r>
    <n v="2565"/>
    <n v="70.19"/>
    <s v="22.04.2024"/>
    <n v="22"/>
    <x v="3"/>
    <x v="1"/>
    <x v="2"/>
    <n v="-2"/>
    <m/>
    <m/>
    <x v="2"/>
    <n v="-1"/>
    <s v="HH20240422 T3745142515 No Limit Hold'em $1.84 + $0.16.txt"/>
  </r>
  <r>
    <n v="2566"/>
    <n v="76.19"/>
    <s v="22.04.2024"/>
    <n v="22"/>
    <x v="3"/>
    <x v="1"/>
    <x v="2"/>
    <n v="-2"/>
    <n v="8"/>
    <m/>
    <x v="1"/>
    <n v="3"/>
    <s v="HH20240422 T3745146480 No Limit Hold'em $1.84 + $0.16.txt"/>
  </r>
  <r>
    <n v="2567"/>
    <n v="78.19"/>
    <s v="22.04.2024"/>
    <n v="22"/>
    <x v="3"/>
    <x v="1"/>
    <x v="2"/>
    <n v="-2"/>
    <n v="4"/>
    <m/>
    <x v="1"/>
    <n v="1"/>
    <s v="HH20240422 T3745149829 No Limit Hold'em $1.84 + $0.16.txt"/>
  </r>
  <r>
    <n v="2568"/>
    <n v="76.19"/>
    <s v="23.04.2024"/>
    <n v="23"/>
    <x v="3"/>
    <x v="1"/>
    <x v="2"/>
    <n v="-2"/>
    <m/>
    <m/>
    <x v="2"/>
    <n v="-1"/>
    <s v="HH20240423 T3745494667 No Limit Hold'em $1.84 + $0.16.txt"/>
  </r>
  <r>
    <n v="2569"/>
    <n v="74.19"/>
    <s v="23.04.2024"/>
    <n v="23"/>
    <x v="3"/>
    <x v="1"/>
    <x v="2"/>
    <n v="-2"/>
    <m/>
    <m/>
    <x v="2"/>
    <n v="-1"/>
    <s v="HH20240423 T3745499211 No Limit Hold'em $1.84 + $0.16.txt"/>
  </r>
  <r>
    <n v="2570"/>
    <n v="72.19"/>
    <s v="23.04.2024"/>
    <n v="23"/>
    <x v="3"/>
    <x v="1"/>
    <x v="2"/>
    <n v="-2"/>
    <m/>
    <m/>
    <x v="2"/>
    <n v="-1"/>
    <s v="HH20240423 T3745502139 No Limit Hold'em $1.84 + $0.16.txt"/>
  </r>
  <r>
    <n v="2571"/>
    <n v="70.19"/>
    <s v="24.04.2024"/>
    <n v="24"/>
    <x v="3"/>
    <x v="1"/>
    <x v="2"/>
    <n v="-2"/>
    <m/>
    <m/>
    <x v="2"/>
    <n v="-1"/>
    <s v="HH20240424 T3746380292 No Limit Hold'em $1.84 + $0.16.txt"/>
  </r>
  <r>
    <n v="2572"/>
    <n v="68.19"/>
    <s v="24.04.2024"/>
    <n v="24"/>
    <x v="3"/>
    <x v="1"/>
    <x v="2"/>
    <n v="-2"/>
    <m/>
    <m/>
    <x v="2"/>
    <n v="-1"/>
    <s v="HH20240424 T3746382975 No Limit Hold'em $1.84 + $0.16.txt"/>
  </r>
  <r>
    <n v="2573"/>
    <n v="66.19"/>
    <s v="24.04.2024"/>
    <n v="24"/>
    <x v="3"/>
    <x v="1"/>
    <x v="2"/>
    <n v="-2"/>
    <m/>
    <m/>
    <x v="2"/>
    <n v="-1"/>
    <s v="HH20240424 T3746388254 No Limit Hold'em $1.84 + $0.16.txt"/>
  </r>
  <r>
    <n v="2574"/>
    <n v="64.19"/>
    <s v="24.04.2024"/>
    <n v="24"/>
    <x v="3"/>
    <x v="1"/>
    <x v="2"/>
    <n v="-2"/>
    <m/>
    <m/>
    <x v="2"/>
    <n v="-1"/>
    <s v="HH20240424 T3746391545 No Limit Hold'em $1.84 + $0.16.txt"/>
  </r>
  <r>
    <n v="2575"/>
    <n v="68.19"/>
    <s v="24.04.2024"/>
    <n v="24"/>
    <x v="3"/>
    <x v="1"/>
    <x v="2"/>
    <n v="-2"/>
    <n v="6"/>
    <m/>
    <x v="1"/>
    <n v="2"/>
    <s v="HH20240424 T3746397737 No Limit Hold'em $1.84 + $0.16.txt"/>
  </r>
  <r>
    <n v="2576"/>
    <n v="72.19"/>
    <s v="24.04.2024"/>
    <n v="24"/>
    <x v="3"/>
    <x v="1"/>
    <x v="2"/>
    <n v="-2"/>
    <n v="6"/>
    <m/>
    <x v="1"/>
    <n v="2"/>
    <s v="HH20240424 T3746400502 No Limit Hold'em $1.84 + $0.16.txt"/>
  </r>
  <r>
    <n v="2577"/>
    <n v="70.19"/>
    <s v="24.04.2024"/>
    <n v="24"/>
    <x v="3"/>
    <x v="1"/>
    <x v="2"/>
    <n v="-2"/>
    <m/>
    <m/>
    <x v="2"/>
    <n v="-1"/>
    <s v="HH20240424 T3746405426 No Limit Hold'em $1.84 + $0.16.txt"/>
  </r>
  <r>
    <n v="2578"/>
    <n v="68.19"/>
    <s v="26.04.2024"/>
    <n v="26"/>
    <x v="3"/>
    <x v="1"/>
    <x v="2"/>
    <n v="-2"/>
    <m/>
    <m/>
    <x v="2"/>
    <n v="-1"/>
    <s v="HH20240426 T3747096688 No Limit Hold'em $1.84 + $0.16.txt"/>
  </r>
  <r>
    <n v="2579"/>
    <n v="70.19"/>
    <s v="26.04.2024"/>
    <n v="26"/>
    <x v="3"/>
    <x v="1"/>
    <x v="2"/>
    <n v="-2"/>
    <n v="4"/>
    <m/>
    <x v="1"/>
    <n v="1"/>
    <s v="HH20240426 T3747097788 No Limit Hold'em $1.84 + $0.16.txt"/>
  </r>
  <r>
    <n v="2580"/>
    <n v="74.19"/>
    <s v="26.04.2024"/>
    <n v="26"/>
    <x v="3"/>
    <x v="1"/>
    <x v="2"/>
    <n v="-2"/>
    <n v="6"/>
    <m/>
    <x v="1"/>
    <n v="2"/>
    <s v="HH20240426 T3747100801 No Limit Hold'em $1.84 + $0.16.txt"/>
  </r>
  <r>
    <n v="2581"/>
    <n v="72.19"/>
    <s v="26.04.2024"/>
    <n v="26"/>
    <x v="3"/>
    <x v="1"/>
    <x v="2"/>
    <n v="-2"/>
    <m/>
    <m/>
    <x v="2"/>
    <n v="-1"/>
    <s v="HH20240426 T3747140761 No Limit Hold'em $1.84 + $0.16.txt"/>
  </r>
  <r>
    <n v="2582"/>
    <n v="70.19"/>
    <s v="26.04.2024"/>
    <n v="26"/>
    <x v="3"/>
    <x v="1"/>
    <x v="2"/>
    <n v="-2"/>
    <m/>
    <m/>
    <x v="2"/>
    <n v="-1"/>
    <s v="HH20240426 T3747184771 No Limit Hold'em $1.84 + $0.16.txt"/>
  </r>
  <r>
    <n v="2583"/>
    <n v="68.19"/>
    <s v="26.04.2024"/>
    <n v="26"/>
    <x v="3"/>
    <x v="1"/>
    <x v="2"/>
    <n v="-2"/>
    <m/>
    <m/>
    <x v="2"/>
    <n v="-1"/>
    <s v="HH20240426 T3747186121 No Limit Hold'em $1.84 + $0.16.txt"/>
  </r>
  <r>
    <n v="2584"/>
    <n v="66.19"/>
    <s v="26.04.2024"/>
    <n v="26"/>
    <x v="3"/>
    <x v="1"/>
    <x v="2"/>
    <n v="-2"/>
    <m/>
    <m/>
    <x v="2"/>
    <n v="-1"/>
    <s v="HH20240426 T3747189553 No Limit Hold'em $1.84 + $0.16.txt"/>
  </r>
  <r>
    <n v="2585"/>
    <n v="64.19"/>
    <s v="26.04.2024"/>
    <n v="26"/>
    <x v="3"/>
    <x v="1"/>
    <x v="2"/>
    <n v="-2"/>
    <m/>
    <m/>
    <x v="2"/>
    <n v="-1"/>
    <s v="HH20240426 T3747191143 No Limit Hold'em $1.84 + $0.16.txt"/>
  </r>
  <r>
    <n v="2586"/>
    <n v="68.19"/>
    <s v="26.04.2024"/>
    <n v="26"/>
    <x v="3"/>
    <x v="1"/>
    <x v="2"/>
    <n v="-2"/>
    <n v="6"/>
    <m/>
    <x v="1"/>
    <n v="2"/>
    <s v="HH20240426 T3747194027 No Limit Hold'em $1.84 + $0.16.txt"/>
  </r>
  <r>
    <n v="2587"/>
    <n v="72.19"/>
    <s v="27.04.2024"/>
    <n v="27"/>
    <x v="3"/>
    <x v="1"/>
    <x v="2"/>
    <n v="-2"/>
    <n v="6"/>
    <m/>
    <x v="1"/>
    <n v="2"/>
    <s v="HH20240427 T3747450524 No Limit Hold'em $1.84 + $0.16.txt"/>
  </r>
  <r>
    <n v="2588"/>
    <n v="70.19"/>
    <s v="27.04.2024"/>
    <n v="27"/>
    <x v="3"/>
    <x v="1"/>
    <x v="2"/>
    <n v="-2"/>
    <m/>
    <m/>
    <x v="2"/>
    <n v="-1"/>
    <s v="HH20240427 T3747451148 No Limit Hold'em $1.84 + $0.16.txt"/>
  </r>
  <r>
    <n v="2589"/>
    <n v="68.19"/>
    <s v="28.04.2024"/>
    <n v="28"/>
    <x v="3"/>
    <x v="1"/>
    <x v="2"/>
    <n v="-2"/>
    <m/>
    <m/>
    <x v="2"/>
    <n v="-1"/>
    <s v="HH20240428 T3747844682 No Limit Hold'em $1.84 + $0.16.txt"/>
  </r>
  <r>
    <n v="2590"/>
    <n v="66.19"/>
    <s v="28.04.2024"/>
    <n v="28"/>
    <x v="3"/>
    <x v="1"/>
    <x v="2"/>
    <n v="-2"/>
    <m/>
    <m/>
    <x v="2"/>
    <n v="-1"/>
    <s v="HH20240428 T3747846111 No Limit Hold'em $1.84 + $0.16.txt"/>
  </r>
  <r>
    <n v="2591"/>
    <n v="64.19"/>
    <s v="28.04.2024"/>
    <n v="28"/>
    <x v="3"/>
    <x v="1"/>
    <x v="2"/>
    <n v="-2"/>
    <m/>
    <m/>
    <x v="2"/>
    <n v="-1"/>
    <s v="HH20240428 T3747846922 No Limit Hold'em $1.84 + $0.16.txt"/>
  </r>
  <r>
    <n v="2592"/>
    <n v="62.19"/>
    <s v="01.05.2024"/>
    <n v="1"/>
    <x v="4"/>
    <x v="1"/>
    <x v="2"/>
    <n v="-2"/>
    <m/>
    <m/>
    <x v="2"/>
    <n v="-1"/>
    <s v="HH20240501 T3749009327 No Limit Hold'em $1.84 + $0.16.txt"/>
  </r>
  <r>
    <n v="2593"/>
    <n v="60.19"/>
    <s v="01.05.2024"/>
    <n v="1"/>
    <x v="4"/>
    <x v="1"/>
    <x v="2"/>
    <n v="-2"/>
    <m/>
    <m/>
    <x v="2"/>
    <n v="-1"/>
    <s v="HH20240501 T3749011836 No Limit Hold'em $1.84 + $0.16.txt"/>
  </r>
  <r>
    <n v="2594"/>
    <n v="58.19"/>
    <s v="01.05.2024"/>
    <n v="1"/>
    <x v="4"/>
    <x v="1"/>
    <x v="2"/>
    <n v="-2"/>
    <m/>
    <m/>
    <x v="2"/>
    <n v="-1"/>
    <s v="HH20240501 T3749223773 No Limit Hold'em $1.84 + $0.16.txt"/>
  </r>
  <r>
    <n v="2595"/>
    <n v="62.19"/>
    <s v="06.05.2024"/>
    <n v="6"/>
    <x v="4"/>
    <x v="1"/>
    <x v="2"/>
    <n v="-2"/>
    <n v="6"/>
    <m/>
    <x v="1"/>
    <n v="2"/>
    <s v="HH20240506 T3751172091 No Limit Hold'em $1.84 + $0.16.txt"/>
  </r>
  <r>
    <n v="2596"/>
    <n v="60.19"/>
    <s v="06.05.2024"/>
    <n v="6"/>
    <x v="4"/>
    <x v="1"/>
    <x v="2"/>
    <n v="-2"/>
    <m/>
    <m/>
    <x v="2"/>
    <n v="-1"/>
    <s v="HH20240506 T3751174009 No Limit Hold'em $1.84 + $0.16.txt"/>
  </r>
  <r>
    <n v="2597"/>
    <n v="58.19"/>
    <s v="06.05.2024"/>
    <n v="6"/>
    <x v="4"/>
    <x v="1"/>
    <x v="2"/>
    <n v="-2"/>
    <m/>
    <m/>
    <x v="2"/>
    <n v="-1"/>
    <s v="HH20240506 T3751177821 No Limit Hold'em $1.84 + $0.16.txt"/>
  </r>
  <r>
    <n v="2598"/>
    <n v="56.19"/>
    <s v="09.05.2024"/>
    <n v="9"/>
    <x v="4"/>
    <x v="1"/>
    <x v="2"/>
    <n v="-2"/>
    <m/>
    <m/>
    <x v="2"/>
    <n v="-1"/>
    <s v="HH20240509 T3752232236 No Limit Hold'em $1.84 + $0.16.txt"/>
  </r>
  <r>
    <n v="2599"/>
    <n v="54.19"/>
    <s v="09.05.2024"/>
    <n v="9"/>
    <x v="4"/>
    <x v="1"/>
    <x v="2"/>
    <n v="-2"/>
    <m/>
    <m/>
    <x v="2"/>
    <n v="-1"/>
    <s v="HH20240509 T3752232760 No Limit Hold'em $1.84 + $0.16.txt"/>
  </r>
  <r>
    <n v="2600"/>
    <n v="52.19"/>
    <s v="09.05.2024"/>
    <n v="9"/>
    <x v="4"/>
    <x v="1"/>
    <x v="2"/>
    <n v="-2"/>
    <m/>
    <m/>
    <x v="2"/>
    <n v="-1"/>
    <s v="HH20240509 T3752233791 No Limit Hold'em $1.84 + $0.16.txt"/>
  </r>
  <r>
    <n v="2601"/>
    <n v="50.19"/>
    <s v="09.05.2024"/>
    <n v="9"/>
    <x v="4"/>
    <x v="1"/>
    <x v="2"/>
    <n v="-2"/>
    <m/>
    <m/>
    <x v="2"/>
    <n v="-1"/>
    <s v="HH20240509 T3752234524 No Limit Hold'em $1.84 + $0.16.txt"/>
  </r>
  <r>
    <n v="2602"/>
    <n v="52.19"/>
    <s v="10.05.2024"/>
    <n v="10"/>
    <x v="4"/>
    <x v="1"/>
    <x v="2"/>
    <n v="-2"/>
    <n v="4"/>
    <m/>
    <x v="1"/>
    <n v="1"/>
    <s v="HH20240510 T3752804588 No Limit Hold'em $1.84 + $0.16.txt"/>
  </r>
  <r>
    <n v="2603"/>
    <n v="50.19"/>
    <s v="10.05.2024"/>
    <n v="10"/>
    <x v="4"/>
    <x v="1"/>
    <x v="2"/>
    <n v="-2"/>
    <m/>
    <m/>
    <x v="2"/>
    <n v="-1"/>
    <s v="HH20240510 T3752806313 No Limit Hold'em $1.84 + $0.16.txt"/>
  </r>
  <r>
    <n v="2604"/>
    <n v="54.19"/>
    <s v="10.05.2024"/>
    <n v="10"/>
    <x v="4"/>
    <x v="1"/>
    <x v="2"/>
    <n v="-2"/>
    <n v="6"/>
    <m/>
    <x v="1"/>
    <n v="2"/>
    <s v="HH20240510 T3752811277 No Limit Hold'em $1.84 + $0.16.txt"/>
  </r>
  <r>
    <n v="2605"/>
    <n v="52.19"/>
    <s v="11.05.2024"/>
    <n v="11"/>
    <x v="4"/>
    <x v="1"/>
    <x v="2"/>
    <n v="-2"/>
    <m/>
    <m/>
    <x v="2"/>
    <n v="-1"/>
    <s v="HH20240511 T3753122710 No Limit Hold'em $1.84 + $0.16.txt"/>
  </r>
  <r>
    <n v="2606"/>
    <n v="50.19"/>
    <s v="11.05.2024"/>
    <n v="11"/>
    <x v="4"/>
    <x v="1"/>
    <x v="2"/>
    <n v="-2"/>
    <m/>
    <m/>
    <x v="2"/>
    <n v="-1"/>
    <s v="HH20240511 T3753123678 No Limit Hold'em $1.84 + $0.16.txt"/>
  </r>
  <r>
    <n v="2607"/>
    <n v="48.19"/>
    <s v="12.05.2024"/>
    <n v="12"/>
    <x v="4"/>
    <x v="1"/>
    <x v="2"/>
    <n v="-2"/>
    <m/>
    <m/>
    <x v="2"/>
    <n v="-1"/>
    <s v="HH20240512 T3753550073 No Limit Hold'em $1.84 + $0.16.txt"/>
  </r>
  <r>
    <n v="2608"/>
    <n v="46.19"/>
    <s v="12.05.2024"/>
    <n v="12"/>
    <x v="4"/>
    <x v="1"/>
    <x v="2"/>
    <n v="-2"/>
    <m/>
    <m/>
    <x v="2"/>
    <n v="-1"/>
    <s v="HH20240512 T3753552565 No Limit Hold'em $1.84 + $0.16.txt"/>
  </r>
  <r>
    <n v="2609"/>
    <n v="48.19"/>
    <s v="12.05.2024"/>
    <n v="12"/>
    <x v="4"/>
    <x v="1"/>
    <x v="2"/>
    <n v="-2"/>
    <n v="4"/>
    <m/>
    <x v="1"/>
    <n v="1"/>
    <s v="HH20240512 T3753554834 No Limit Hold'em $1.84 + $0.16.txt"/>
  </r>
  <r>
    <n v="2610"/>
    <n v="54.19"/>
    <s v="12.05.2024"/>
    <n v="12"/>
    <x v="4"/>
    <x v="1"/>
    <x v="2"/>
    <n v="-2"/>
    <n v="8"/>
    <m/>
    <x v="1"/>
    <n v="3"/>
    <s v="HH20240512 T3753558076 No Limit Hold'em $1.84 + $0.16.txt"/>
  </r>
  <r>
    <n v="2611"/>
    <n v="52.19"/>
    <s v="14.05.2024"/>
    <n v="14"/>
    <x v="4"/>
    <x v="1"/>
    <x v="2"/>
    <n v="-2"/>
    <m/>
    <m/>
    <x v="2"/>
    <n v="-1"/>
    <s v="HH20240514 T3754437519 No Limit Hold'em $1.84 + $0.16.txt"/>
  </r>
  <r>
    <n v="2612"/>
    <n v="52.19"/>
    <s v="14.05.2024"/>
    <n v="14"/>
    <x v="4"/>
    <x v="1"/>
    <x v="12"/>
    <m/>
    <m/>
    <m/>
    <x v="2"/>
    <n v="0"/>
    <s v="HH20240514 T3754442645 No Limit Hold'em $0.46 + $0.04.txt"/>
  </r>
  <r>
    <n v="2613"/>
    <n v="52.19"/>
    <s v="14.05.2024"/>
    <n v="14"/>
    <x v="4"/>
    <x v="1"/>
    <x v="12"/>
    <m/>
    <m/>
    <m/>
    <x v="2"/>
    <n v="0"/>
    <s v="HH20240514 T3754443579 No Limit Hold'em $0.46 + $0.04.txt"/>
  </r>
  <r>
    <n v="2614"/>
    <n v="50.19"/>
    <s v="14.05.2024"/>
    <n v="14"/>
    <x v="4"/>
    <x v="1"/>
    <x v="2"/>
    <n v="-2"/>
    <m/>
    <m/>
    <x v="2"/>
    <n v="-1"/>
    <s v="HH20240514 T3754446957 No Limit Hold'em $1.84 + $0.16.txt"/>
  </r>
  <r>
    <n v="2615"/>
    <n v="48.19"/>
    <s v="14.05.2024"/>
    <n v="14"/>
    <x v="4"/>
    <x v="1"/>
    <x v="2"/>
    <n v="-2"/>
    <m/>
    <m/>
    <x v="2"/>
    <n v="-1"/>
    <s v="HH20240514 T3754450951 No Limit Hold'em $1.84 + $0.16.txt"/>
  </r>
  <r>
    <n v="2616"/>
    <n v="46.19"/>
    <s v="15.05.2024"/>
    <n v="15"/>
    <x v="4"/>
    <x v="1"/>
    <x v="2"/>
    <n v="-2"/>
    <m/>
    <m/>
    <x v="2"/>
    <n v="-1"/>
    <s v="HH20240515 T3754620366 No Limit Hold'em $1.84 + $0.16.txt"/>
  </r>
  <r>
    <n v="2617"/>
    <n v="44.19"/>
    <s v="15.05.2024"/>
    <n v="15"/>
    <x v="4"/>
    <x v="1"/>
    <x v="2"/>
    <n v="-2"/>
    <m/>
    <m/>
    <x v="2"/>
    <n v="-1"/>
    <s v="HH20240515 T3754620690 No Limit Hold'em $1.84 + $0.16.txt"/>
  </r>
  <r>
    <n v="2618"/>
    <n v="42.19"/>
    <s v="15.05.2024"/>
    <n v="15"/>
    <x v="4"/>
    <x v="1"/>
    <x v="2"/>
    <n v="-2"/>
    <m/>
    <m/>
    <x v="2"/>
    <n v="-1"/>
    <s v="HH20240515 T3754621529 No Limit Hold'em $1.84 + $0.16.txt"/>
  </r>
  <r>
    <n v="2619"/>
    <n v="44.19"/>
    <s v="15.05.2024"/>
    <n v="15"/>
    <x v="4"/>
    <x v="1"/>
    <x v="2"/>
    <n v="-2"/>
    <n v="4"/>
    <m/>
    <x v="1"/>
    <n v="1"/>
    <s v="HH20240515 T3754656437 No Limit Hold'em $1.84 + $0.16.txt"/>
  </r>
  <r>
    <n v="2620"/>
    <n v="42.19"/>
    <s v="15.05.2024"/>
    <n v="15"/>
    <x v="4"/>
    <x v="1"/>
    <x v="2"/>
    <n v="-2"/>
    <m/>
    <m/>
    <x v="2"/>
    <n v="-1"/>
    <s v="HH20240515 T3754658056 No Limit Hold'em $1.84 + $0.16.txt"/>
  </r>
  <r>
    <n v="2621"/>
    <n v="44.19"/>
    <s v="15.05.2024"/>
    <n v="15"/>
    <x v="4"/>
    <x v="1"/>
    <x v="2"/>
    <n v="-2"/>
    <n v="4"/>
    <m/>
    <x v="1"/>
    <n v="1"/>
    <s v="HH20240515 T3754676708 No Limit Hold'em $1.84 + $0.16.txt"/>
  </r>
  <r>
    <n v="2622"/>
    <n v="42.19"/>
    <s v="15.05.2024"/>
    <n v="15"/>
    <x v="4"/>
    <x v="1"/>
    <x v="2"/>
    <n v="-2"/>
    <m/>
    <m/>
    <x v="2"/>
    <n v="-1"/>
    <s v="HH20240515 T3754679294 No Limit Hold'em $1.84 + $0.16.txt"/>
  </r>
  <r>
    <n v="2623"/>
    <n v="46.19"/>
    <s v="15.05.2024"/>
    <n v="15"/>
    <x v="4"/>
    <x v="1"/>
    <x v="2"/>
    <n v="-2"/>
    <n v="6"/>
    <m/>
    <x v="1"/>
    <n v="2"/>
    <s v="HH20240515 T3754680530 No Limit Hold'em $1.84 + $0.16.txt"/>
  </r>
  <r>
    <n v="2624"/>
    <n v="44.19"/>
    <s v="15.05.2024"/>
    <n v="15"/>
    <x v="4"/>
    <x v="1"/>
    <x v="2"/>
    <n v="-2"/>
    <m/>
    <m/>
    <x v="2"/>
    <n v="-1"/>
    <s v="HH20240515 T3754747661 No Limit Hold'em $1.84 + $0.16.txt"/>
  </r>
  <r>
    <n v="2625"/>
    <n v="42.19"/>
    <s v="15.05.2024"/>
    <n v="15"/>
    <x v="4"/>
    <x v="1"/>
    <x v="2"/>
    <n v="-2"/>
    <m/>
    <m/>
    <x v="2"/>
    <n v="-1"/>
    <s v="HH20240515 T3754750800 No Limit Hold'em $1.84 + $0.16.txt"/>
  </r>
  <r>
    <n v="2626"/>
    <n v="40.19"/>
    <s v="15.05.2024"/>
    <n v="15"/>
    <x v="4"/>
    <x v="1"/>
    <x v="2"/>
    <n v="-2"/>
    <m/>
    <m/>
    <x v="2"/>
    <n v="-1"/>
    <s v="HH20240515 T3754751472 No Limit Hold'em $1.84 + $0.16.txt"/>
  </r>
  <r>
    <n v="2627"/>
    <n v="50.19"/>
    <s v="15.05.2024"/>
    <n v="15"/>
    <x v="4"/>
    <x v="1"/>
    <x v="2"/>
    <n v="-10"/>
    <n v="20"/>
    <m/>
    <x v="1"/>
    <n v="1"/>
    <s v="HH20240515 T3754752989 No Limit Hold'em $9.30 + $0.70.txt"/>
  </r>
  <r>
    <n v="2628"/>
    <n v="56.19"/>
    <s v="16.05.2024"/>
    <n v="16"/>
    <x v="4"/>
    <x v="1"/>
    <x v="2"/>
    <n v="-2"/>
    <n v="8"/>
    <m/>
    <x v="1"/>
    <n v="3"/>
    <s v="HH20240516 T3755015285 No Limit Hold'em $1.84 + $0.16.txt"/>
  </r>
  <r>
    <n v="2629"/>
    <n v="54.19"/>
    <s v="16.05.2024"/>
    <n v="16"/>
    <x v="4"/>
    <x v="1"/>
    <x v="2"/>
    <n v="-2"/>
    <m/>
    <m/>
    <x v="2"/>
    <n v="-1"/>
    <s v="HH20240516 T3755050358 No Limit Hold'em $1.84 + $0.16.txt"/>
  </r>
  <r>
    <n v="2630"/>
    <n v="62.19"/>
    <s v="16.05.2024"/>
    <n v="16"/>
    <x v="4"/>
    <x v="1"/>
    <x v="2"/>
    <n v="-2"/>
    <n v="10"/>
    <m/>
    <x v="1"/>
    <n v="4"/>
    <s v="HH20240516 T3755052215 No Limit Hold'em $1.84 + $0.16.txt"/>
  </r>
  <r>
    <n v="2631"/>
    <n v="64.19"/>
    <s v="17.05.2024"/>
    <n v="17"/>
    <x v="4"/>
    <x v="1"/>
    <x v="2"/>
    <n v="-2"/>
    <n v="4"/>
    <m/>
    <x v="1"/>
    <n v="1"/>
    <s v="HH20240517 T3755430666 No Limit Hold'em $1.84 + $0.16.txt"/>
  </r>
  <r>
    <n v="2632"/>
    <n v="62.19"/>
    <s v="17.05.2024"/>
    <n v="17"/>
    <x v="4"/>
    <x v="1"/>
    <x v="2"/>
    <n v="-2"/>
    <m/>
    <m/>
    <x v="2"/>
    <n v="-1"/>
    <s v="HH20240517 T3755537170 No Limit Hold'em $1.84 + $0.16.txt"/>
  </r>
  <r>
    <n v="2633"/>
    <n v="64.19"/>
    <s v="17.05.2024"/>
    <n v="17"/>
    <x v="4"/>
    <x v="1"/>
    <x v="2"/>
    <n v="-2"/>
    <n v="4"/>
    <m/>
    <x v="1"/>
    <n v="1"/>
    <s v="HH20240517 T3755539438 No Limit Hold'em $1.84 + $0.16.txt"/>
  </r>
  <r>
    <n v="2634"/>
    <n v="62.19"/>
    <s v="17.05.2024"/>
    <n v="17"/>
    <x v="4"/>
    <x v="1"/>
    <x v="2"/>
    <n v="-2"/>
    <m/>
    <m/>
    <x v="2"/>
    <n v="-1"/>
    <s v="HH20240517 T3755542390 No Limit Hold'em $1.84 + $0.16.txt"/>
  </r>
  <r>
    <n v="2635"/>
    <n v="64.19"/>
    <s v="17.05.2024"/>
    <n v="17"/>
    <x v="4"/>
    <x v="1"/>
    <x v="2"/>
    <n v="-2"/>
    <n v="4"/>
    <m/>
    <x v="1"/>
    <n v="1"/>
    <s v="HH20240517 T3755545849 No Limit Hold'em $1.84 + $0.16.txt"/>
  </r>
  <r>
    <n v="2636"/>
    <n v="62.19"/>
    <s v="17.05.2024"/>
    <n v="17"/>
    <x v="4"/>
    <x v="1"/>
    <x v="2"/>
    <n v="-2"/>
    <m/>
    <m/>
    <x v="2"/>
    <n v="-1"/>
    <s v="HH20240517 T3755548873 No Limit Hold'em $1.84 + $0.16.txt"/>
  </r>
  <r>
    <n v="2637"/>
    <n v="60.19"/>
    <s v="20.05.2024"/>
    <n v="20"/>
    <x v="4"/>
    <x v="1"/>
    <x v="2"/>
    <n v="-2"/>
    <m/>
    <m/>
    <x v="2"/>
    <n v="-1"/>
    <s v="HH20240520 T3756652925 No Limit Hold'em $1.84 + $0.16.txt"/>
  </r>
  <r>
    <n v="2638"/>
    <n v="60.19"/>
    <s v="20.05.2024"/>
    <n v="20"/>
    <x v="4"/>
    <x v="1"/>
    <x v="12"/>
    <m/>
    <m/>
    <m/>
    <x v="2"/>
    <n v="0"/>
    <s v="HH20240520 T3756654783 No Limit Hold'em $0.46 + $0.04.txt"/>
  </r>
  <r>
    <n v="2639"/>
    <n v="60.19"/>
    <s v="20.05.2024"/>
    <n v="20"/>
    <x v="4"/>
    <x v="1"/>
    <x v="12"/>
    <m/>
    <m/>
    <m/>
    <x v="2"/>
    <n v="0"/>
    <s v="HH20240520 T3756655759 No Limit Hold'em $0.46 + $0.04.txt"/>
  </r>
  <r>
    <n v="2640"/>
    <n v="60.19"/>
    <s v="22.05.2024"/>
    <n v="22"/>
    <x v="4"/>
    <x v="1"/>
    <x v="12"/>
    <m/>
    <m/>
    <m/>
    <x v="2"/>
    <n v="0"/>
    <s v="HH20240522 T3757598156 No Limit Hold'em $0.46 + $0.04.txt"/>
  </r>
  <r>
    <n v="2641"/>
    <n v="58.19"/>
    <s v="22.05.2024"/>
    <n v="22"/>
    <x v="4"/>
    <x v="1"/>
    <x v="2"/>
    <n v="-2"/>
    <m/>
    <m/>
    <x v="2"/>
    <n v="-1"/>
    <s v="HH20240522 T3757601366 No Limit Hold'em $1.84 + $0.16.txt"/>
  </r>
  <r>
    <n v="2642"/>
    <n v="58.19"/>
    <s v="22.05.2024"/>
    <n v="22"/>
    <x v="4"/>
    <x v="1"/>
    <x v="12"/>
    <m/>
    <m/>
    <m/>
    <x v="2"/>
    <n v="0"/>
    <s v="HH20240522 T3757602898 No Limit Hold'em $0.46 + $0.04.txt"/>
  </r>
  <r>
    <n v="2643"/>
    <n v="60.19"/>
    <s v="31.05.2024"/>
    <n v="31"/>
    <x v="4"/>
    <x v="1"/>
    <x v="2"/>
    <n v="-2"/>
    <n v="4"/>
    <m/>
    <x v="1"/>
    <n v="1"/>
    <s v="HH20240531 T3760970905 No Limit Hold'em $1.84 + $0.16.txt"/>
  </r>
  <r>
    <n v="2644"/>
    <n v="60.19"/>
    <s v="31.05.2024"/>
    <n v="31"/>
    <x v="4"/>
    <x v="1"/>
    <x v="12"/>
    <m/>
    <m/>
    <m/>
    <x v="2"/>
    <n v="0"/>
    <s v="HH20240531 T3760974716 No Limit Hold'em $0.46 + $0.04.txt"/>
  </r>
  <r>
    <n v="2645"/>
    <n v="58.19"/>
    <s v="31.05.2024"/>
    <n v="31"/>
    <x v="4"/>
    <x v="1"/>
    <x v="2"/>
    <n v="-2"/>
    <m/>
    <m/>
    <x v="2"/>
    <n v="-1"/>
    <s v="HH20240531 T3760975675 No Limit Hold'em $1.84 + $0.16.txt"/>
  </r>
  <r>
    <n v="2646"/>
    <n v="56.19"/>
    <s v="31.05.2024"/>
    <n v="31"/>
    <x v="4"/>
    <x v="1"/>
    <x v="2"/>
    <n v="-2"/>
    <m/>
    <m/>
    <x v="2"/>
    <n v="-1"/>
    <s v="HH20240531 T3760977403 No Limit Hold'em $1.84 + $0.16.txt"/>
  </r>
  <r>
    <n v="2647"/>
    <n v="54.19"/>
    <s v="31.05.2024"/>
    <n v="31"/>
    <x v="4"/>
    <x v="1"/>
    <x v="2"/>
    <n v="-2"/>
    <m/>
    <m/>
    <x v="2"/>
    <n v="-1"/>
    <s v="HH20240531 T3760978766 No Limit Hold'em $1.84 + $0.16.txt"/>
  </r>
  <r>
    <n v="2648"/>
    <n v="62.19"/>
    <s v="31.05.2024"/>
    <n v="31"/>
    <x v="4"/>
    <x v="1"/>
    <x v="2"/>
    <n v="-2"/>
    <n v="10"/>
    <m/>
    <x v="1"/>
    <n v="4"/>
    <s v="HH20240531 T3760982631 No Limit Hold'em $1.84 + $0.16.txt"/>
  </r>
  <r>
    <n v="2649"/>
    <n v="60.19"/>
    <s v="22.06.2024"/>
    <n v="22"/>
    <x v="5"/>
    <x v="1"/>
    <x v="2"/>
    <n v="-2"/>
    <m/>
    <m/>
    <x v="2"/>
    <n v="-1"/>
    <s v="HH20240622 T3769769208 No Limit Hold'em $1.84 + $0.16.txt"/>
  </r>
  <r>
    <n v="2650"/>
    <n v="60.19"/>
    <s v="22.06.2024"/>
    <n v="22"/>
    <x v="5"/>
    <x v="1"/>
    <x v="12"/>
    <m/>
    <m/>
    <m/>
    <x v="2"/>
    <n v="0"/>
    <s v="HH20240622 T3769770864 No Limit Hold'em $0.46 + $0.04.txt"/>
  </r>
  <r>
    <n v="2651"/>
    <n v="66.19"/>
    <s v="22.06.2024"/>
    <n v="22"/>
    <x v="5"/>
    <x v="1"/>
    <x v="2"/>
    <n v="-2"/>
    <n v="8"/>
    <m/>
    <x v="1"/>
    <n v="3"/>
    <s v="HH20240622 T3769771497 No Limit Hold'em $1.84 + $0.16.txt"/>
  </r>
  <r>
    <n v="2652"/>
    <n v="72.19"/>
    <s v="22.06.2024"/>
    <n v="22"/>
    <x v="5"/>
    <x v="1"/>
    <x v="2"/>
    <n v="-2"/>
    <n v="8"/>
    <m/>
    <x v="1"/>
    <n v="3"/>
    <s v="HH20240622 T3769773166 No Limit Hold'em $1.84 + $0.16.txt"/>
  </r>
  <r>
    <n v="2653"/>
    <n v="70.19"/>
    <s v="27.06.2024"/>
    <n v="27"/>
    <x v="5"/>
    <x v="1"/>
    <x v="2"/>
    <n v="-2"/>
    <m/>
    <m/>
    <x v="2"/>
    <n v="-1"/>
    <s v="HH20240627 T3771647681 No Limit Hold'em $1.84 + $0.16.txt"/>
  </r>
  <r>
    <n v="2654"/>
    <n v="70.19"/>
    <s v="27.06.2024"/>
    <n v="27"/>
    <x v="5"/>
    <x v="1"/>
    <x v="12"/>
    <m/>
    <m/>
    <m/>
    <x v="2"/>
    <n v="0"/>
    <s v="HH20240627 T3771650005 No Limit Hold'em $0.46 + $0.04.txt"/>
  </r>
  <r>
    <n v="2655"/>
    <n v="68.19"/>
    <s v="27.06.2024"/>
    <n v="27"/>
    <x v="5"/>
    <x v="1"/>
    <x v="2"/>
    <n v="-2"/>
    <m/>
    <m/>
    <x v="2"/>
    <n v="-1"/>
    <s v="HH20240627 T3771651691 No Limit Hold'em $1.84 + $0.16.txt"/>
  </r>
  <r>
    <n v="2656"/>
    <n v="66.19"/>
    <s v="27.06.2024"/>
    <n v="27"/>
    <x v="5"/>
    <x v="1"/>
    <x v="2"/>
    <n v="-2"/>
    <m/>
    <m/>
    <x v="2"/>
    <n v="-1"/>
    <s v="HH20240627 T3771653537 No Limit Hold'em $1.84 + $0.16.txt"/>
  </r>
  <r>
    <n v="2657"/>
    <n v="64.19"/>
    <s v="27.06.2024"/>
    <n v="27"/>
    <x v="5"/>
    <x v="1"/>
    <x v="2"/>
    <n v="-2"/>
    <m/>
    <m/>
    <x v="2"/>
    <n v="-1"/>
    <s v="HH20240627 T3771655616 No Limit Hold'em $1.84 + $0.16.txt"/>
  </r>
  <r>
    <n v="2658"/>
    <n v="66.19"/>
    <s v="29.06.2024"/>
    <n v="29"/>
    <x v="5"/>
    <x v="1"/>
    <x v="2"/>
    <n v="-2"/>
    <n v="4"/>
    <m/>
    <x v="1"/>
    <n v="1"/>
    <s v="HH20240629 T3772394986 No Limit Hold'em $1.84 + $0.16.txt"/>
  </r>
  <r>
    <n v="2659"/>
    <n v="66.19"/>
    <s v="29.06.2024"/>
    <n v="29"/>
    <x v="5"/>
    <x v="1"/>
    <x v="12"/>
    <m/>
    <m/>
    <m/>
    <x v="2"/>
    <n v="0"/>
    <s v="HH20240629 T3772397570 No Limit Hold'em $0.46 + $0.04.txt"/>
  </r>
  <r>
    <n v="2660"/>
    <n v="64.19"/>
    <s v="29.06.2024"/>
    <n v="29"/>
    <x v="5"/>
    <x v="1"/>
    <x v="2"/>
    <n v="-2"/>
    <m/>
    <m/>
    <x v="2"/>
    <n v="-1"/>
    <s v="HH20240629 T3772398295 No Limit Hold'em $1.84 + $0.16.txt"/>
  </r>
  <r>
    <n v="2661"/>
    <n v="62.19"/>
    <s v="29.06.2024"/>
    <n v="29"/>
    <x v="5"/>
    <x v="1"/>
    <x v="2"/>
    <n v="-2"/>
    <m/>
    <m/>
    <x v="2"/>
    <n v="-1"/>
    <s v="HH20240629 T3772400312 No Limit Hold'em $1.84 + $0.16.txt"/>
  </r>
  <r>
    <n v="2662"/>
    <n v="66.19"/>
    <s v="29.06.2024"/>
    <n v="29"/>
    <x v="5"/>
    <x v="1"/>
    <x v="2"/>
    <n v="-2"/>
    <n v="6"/>
    <m/>
    <x v="1"/>
    <n v="2"/>
    <s v="HH20240629 T3772402998 No Limit Hold'em $1.84 + $0.16.txt"/>
  </r>
  <r>
    <n v="2663"/>
    <n v="64.19"/>
    <s v="29.06.2024"/>
    <n v="29"/>
    <x v="5"/>
    <x v="1"/>
    <x v="2"/>
    <n v="-2"/>
    <m/>
    <m/>
    <x v="2"/>
    <n v="-1"/>
    <s v="HH20240629 T3772404536 No Limit Hold'em $1.84 + $0.16.txt"/>
  </r>
  <r>
    <n v="2664"/>
    <n v="62.19"/>
    <s v="29.06.2024"/>
    <n v="29"/>
    <x v="5"/>
    <x v="1"/>
    <x v="2"/>
    <n v="-2"/>
    <m/>
    <m/>
    <x v="2"/>
    <n v="-1"/>
    <s v="HH20240629 T3772408057 No Limit Hold'em $1.84 + $0.16.txt"/>
  </r>
  <r>
    <n v="2665"/>
    <n v="66.19"/>
    <s v="29.06.2024"/>
    <n v="29"/>
    <x v="5"/>
    <x v="1"/>
    <x v="2"/>
    <n v="-2"/>
    <n v="6"/>
    <m/>
    <x v="1"/>
    <n v="2"/>
    <s v="HH20240629 T3772412970 No Limit Hold'em $1.84 + $0.16.txt"/>
  </r>
  <r>
    <n v="2666"/>
    <n v="70.19"/>
    <s v="29.06.2024"/>
    <n v="29"/>
    <x v="5"/>
    <x v="1"/>
    <x v="2"/>
    <n v="-2"/>
    <n v="6"/>
    <m/>
    <x v="1"/>
    <n v="2"/>
    <s v="HH20240629 T3772416052 No Limit Hold'em $1.84 + $0.16.txt"/>
  </r>
  <r>
    <n v="2667"/>
    <n v="68.19"/>
    <s v="30.06.2024"/>
    <n v="30"/>
    <x v="5"/>
    <x v="1"/>
    <x v="2"/>
    <n v="-2"/>
    <m/>
    <m/>
    <x v="2"/>
    <n v="-1"/>
    <s v="HH20240630 T3772588728 No Limit Hold'em $1.84 + $0.16.txt"/>
  </r>
  <r>
    <n v="2668"/>
    <n v="68.19"/>
    <s v="30.06.2024"/>
    <n v="30"/>
    <x v="5"/>
    <x v="1"/>
    <x v="12"/>
    <m/>
    <m/>
    <m/>
    <x v="2"/>
    <n v="0"/>
    <s v="HH20240630 T3772590409 No Limit Hold'em $0.46 + $0.04.txt"/>
  </r>
  <r>
    <n v="2669"/>
    <n v="66.19"/>
    <s v="30.06.2024"/>
    <n v="30"/>
    <x v="5"/>
    <x v="1"/>
    <x v="2"/>
    <n v="-2"/>
    <m/>
    <m/>
    <x v="2"/>
    <n v="-1"/>
    <s v="HH20240630 T3772591120 No Limit Hold'em $1.84 + $0.16.txt"/>
  </r>
  <r>
    <n v="2670"/>
    <n v="64.19"/>
    <s v="05.07.2024"/>
    <n v="5"/>
    <x v="6"/>
    <x v="1"/>
    <x v="2"/>
    <n v="-2"/>
    <m/>
    <m/>
    <x v="2"/>
    <n v="-1"/>
    <s v="HH20240705 T3774398813 No Limit Hold'em $1.84 + $0.16.txt"/>
  </r>
  <r>
    <n v="2671"/>
    <n v="64.19"/>
    <s v="05.07.2024"/>
    <n v="5"/>
    <x v="6"/>
    <x v="1"/>
    <x v="12"/>
    <m/>
    <m/>
    <m/>
    <x v="2"/>
    <n v="0"/>
    <s v="HH20240705 T3774399890 No Limit Hold'em $0.46 + $0.04.txt"/>
  </r>
  <r>
    <n v="2672"/>
    <n v="62.19"/>
    <s v="06.07.2024"/>
    <n v="6"/>
    <x v="6"/>
    <x v="1"/>
    <x v="2"/>
    <n v="-2"/>
    <m/>
    <m/>
    <x v="2"/>
    <n v="-1"/>
    <s v="HH20240706 T3774785258 No Limit Hold'em $1.84 + $0.16.txt"/>
  </r>
  <r>
    <n v="2673"/>
    <n v="62.19"/>
    <s v="06.07.2024"/>
    <n v="6"/>
    <x v="6"/>
    <x v="1"/>
    <x v="12"/>
    <m/>
    <m/>
    <m/>
    <x v="1"/>
    <n v="0"/>
    <s v="HH20240706 T3774786861 No Limit Hold'em $0.46 + $0.04.txt"/>
  </r>
  <r>
    <n v="2674"/>
    <n v="62.19"/>
    <s v="06.07.2024"/>
    <n v="6"/>
    <x v="6"/>
    <x v="1"/>
    <x v="13"/>
    <m/>
    <m/>
    <m/>
    <x v="2"/>
    <n v="0"/>
    <s v="HH20240706 T3772266732 No Limit Hold'em $1.40 + $0.10.txt"/>
  </r>
  <r>
    <n v="2675"/>
    <n v="60.19"/>
    <s v="07.07.2024"/>
    <n v="7"/>
    <x v="6"/>
    <x v="1"/>
    <x v="2"/>
    <n v="-2"/>
    <m/>
    <m/>
    <x v="2"/>
    <n v="-1"/>
    <s v="HH20240707 T3775215842 No Limit Hold'em $1.84 + $0.16.txt"/>
  </r>
  <r>
    <n v="2676"/>
    <n v="60.19"/>
    <s v="07.07.2024"/>
    <n v="7"/>
    <x v="6"/>
    <x v="1"/>
    <x v="12"/>
    <m/>
    <m/>
    <m/>
    <x v="2"/>
    <n v="0"/>
    <s v="HH20240707 T3775217621 No Limit Hold'em $0.46 + $0.04.txt"/>
  </r>
  <r>
    <n v="2677"/>
    <n v="58.19"/>
    <s v="07.07.2024"/>
    <n v="7"/>
    <x v="6"/>
    <x v="1"/>
    <x v="2"/>
    <n v="-2"/>
    <m/>
    <m/>
    <x v="2"/>
    <n v="-1"/>
    <s v="HH20240707 T3775218393 No Limit Hold'em $1.84 + $0.16.txt"/>
  </r>
  <r>
    <n v="2678"/>
    <n v="60.19"/>
    <s v="07.07.2024"/>
    <n v="7"/>
    <x v="6"/>
    <x v="1"/>
    <x v="2"/>
    <n v="-2"/>
    <n v="4"/>
    <m/>
    <x v="1"/>
    <n v="1"/>
    <s v="HH20240707 T3775219387 No Limit Hold'em $1.84 + $0.16.txt"/>
  </r>
  <r>
    <n v="2679"/>
    <n v="64.19"/>
    <s v="08.07.2024"/>
    <n v="8"/>
    <x v="6"/>
    <x v="1"/>
    <x v="2"/>
    <n v="-2"/>
    <n v="6"/>
    <m/>
    <x v="1"/>
    <n v="2"/>
    <s v="HH20240709 T3775978237 No Limit Hold'em $1.84 + $0.16.txt"/>
  </r>
  <r>
    <n v="2680"/>
    <n v="62.19"/>
    <s v="08.07.2024"/>
    <n v="8"/>
    <x v="6"/>
    <x v="1"/>
    <x v="2"/>
    <n v="-2"/>
    <m/>
    <m/>
    <x v="2"/>
    <n v="-1"/>
    <s v="HH20240709 T3775982772 No Limit Hold'em $1.84 + $0.16.txt"/>
  </r>
  <r>
    <n v="2681"/>
    <n v="62.19"/>
    <s v="08.07.2024"/>
    <n v="8"/>
    <x v="6"/>
    <x v="1"/>
    <x v="12"/>
    <m/>
    <m/>
    <m/>
    <x v="2"/>
    <n v="0"/>
    <s v="HH20240709 T3775984254 No Limit Hold'em $0.46 + $0.04.txt"/>
  </r>
  <r>
    <n v="2682"/>
    <n v="60.19"/>
    <s v="08.07.2024"/>
    <n v="8"/>
    <x v="6"/>
    <x v="1"/>
    <x v="2"/>
    <n v="-2"/>
    <m/>
    <m/>
    <x v="2"/>
    <n v="-1"/>
    <s v="HH20240709 T3775984692 No Limit Hold'em $1.84 + $0.16.txt"/>
  </r>
  <r>
    <n v="2683"/>
    <n v="58.19"/>
    <s v="08.07.2024"/>
    <n v="8"/>
    <x v="6"/>
    <x v="1"/>
    <x v="2"/>
    <n v="-2"/>
    <m/>
    <m/>
    <x v="2"/>
    <n v="-1"/>
    <s v="HH20240709 T3775987531 No Limit Hold'em $1.84 + $0.16.txt"/>
  </r>
  <r>
    <n v="2684"/>
    <n v="56.19"/>
    <s v="11.07.2024"/>
    <n v="11"/>
    <x v="6"/>
    <x v="1"/>
    <x v="2"/>
    <n v="-2"/>
    <m/>
    <m/>
    <x v="2"/>
    <n v="-1"/>
    <s v="HH20240711 T3776720723 No Limit Hold'em $1.84 + $0.16.txt"/>
  </r>
  <r>
    <n v="2685"/>
    <n v="56.19"/>
    <s v="11.07.2024"/>
    <n v="11"/>
    <x v="6"/>
    <x v="1"/>
    <x v="12"/>
    <m/>
    <m/>
    <m/>
    <x v="1"/>
    <n v="0"/>
    <s v="HH20240711 T3776733397 No Limit Hold'em $0.46 + $0.04.txt"/>
  </r>
  <r>
    <n v="2686"/>
    <n v="56.19"/>
    <s v="11.07.2024"/>
    <n v="11"/>
    <x v="6"/>
    <x v="1"/>
    <x v="13"/>
    <m/>
    <m/>
    <m/>
    <x v="2"/>
    <n v="0"/>
    <s v="HH20240711 T3776734483 No Limit Hold'em $0.96 + $0.04.txt"/>
  </r>
  <r>
    <n v="2687"/>
    <n v="60.19"/>
    <s v="11.07.2024"/>
    <n v="11"/>
    <x v="6"/>
    <x v="1"/>
    <x v="2"/>
    <n v="-2"/>
    <n v="6"/>
    <m/>
    <x v="1"/>
    <n v="2"/>
    <s v="HH20240711 T3776736414 No Limit Hold'em $1.84 + $0.16.txt"/>
  </r>
  <r>
    <n v="2688"/>
    <n v="58.19"/>
    <s v="11.07.2024"/>
    <n v="11"/>
    <x v="6"/>
    <x v="1"/>
    <x v="2"/>
    <n v="-2"/>
    <m/>
    <m/>
    <x v="2"/>
    <n v="-1"/>
    <s v="HH20240711 T3776738755 No Limit Hold'em $1.84 + $0.16.txt"/>
  </r>
  <r>
    <n v="2689"/>
    <n v="56.19"/>
    <s v="11.07.2024"/>
    <n v="11"/>
    <x v="6"/>
    <x v="1"/>
    <x v="2"/>
    <n v="-2"/>
    <m/>
    <m/>
    <x v="2"/>
    <n v="-1"/>
    <s v="HH20240711 T3776743429 No Limit Hold'em $1.84 + $0.16.txt"/>
  </r>
  <r>
    <n v="2690"/>
    <n v="54.19"/>
    <s v="11.07.2024"/>
    <n v="11"/>
    <x v="6"/>
    <x v="1"/>
    <x v="2"/>
    <n v="-2"/>
    <m/>
    <m/>
    <x v="2"/>
    <n v="-1"/>
    <s v="HH20240711 T3776744511 No Limit Hold'em $1.84 + $0.16.txt"/>
  </r>
  <r>
    <n v="2691"/>
    <n v="52.19"/>
    <s v="11.07.2024"/>
    <n v="11"/>
    <x v="6"/>
    <x v="1"/>
    <x v="2"/>
    <n v="-2"/>
    <m/>
    <m/>
    <x v="2"/>
    <n v="-1"/>
    <s v="HH20240711 T3776746265 No Limit Hold'em $1.84 + $0.16.txt"/>
  </r>
  <r>
    <n v="2692"/>
    <n v="56.19"/>
    <s v="11.07.2024"/>
    <n v="11"/>
    <x v="6"/>
    <x v="1"/>
    <x v="2"/>
    <n v="-2"/>
    <n v="6"/>
    <m/>
    <x v="1"/>
    <n v="2"/>
    <s v="HH20240711 T3776748764 No Limit Hold'em $1.84 + $0.16.txt"/>
  </r>
  <r>
    <n v="2693"/>
    <n v="54.19"/>
    <s v="12.07.2024"/>
    <n v="12"/>
    <x v="6"/>
    <x v="1"/>
    <x v="2"/>
    <n v="-2"/>
    <m/>
    <m/>
    <x v="2"/>
    <n v="-1"/>
    <s v="HH20240712 T3776934562 No Limit Hold'em $1.84 + $0.16.txt"/>
  </r>
  <r>
    <n v="2694"/>
    <n v="54.19"/>
    <s v="12.07.2024"/>
    <n v="12"/>
    <x v="6"/>
    <x v="1"/>
    <x v="12"/>
    <m/>
    <m/>
    <m/>
    <x v="1"/>
    <n v="0"/>
    <s v="HH20240712 T3776936115 No Limit Hold'em $0.46 + $0.04.txt"/>
  </r>
  <r>
    <n v="2695"/>
    <n v="52.19"/>
    <s v="12.07.2024"/>
    <n v="12"/>
    <x v="6"/>
    <x v="1"/>
    <x v="2"/>
    <n v="-2"/>
    <m/>
    <m/>
    <x v="2"/>
    <n v="-1"/>
    <s v="HH20240712 T3776962505 No Limit Hold'em $1.84 + $0.16.txt"/>
  </r>
  <r>
    <n v="2696"/>
    <n v="50.19"/>
    <s v="12.07.2024"/>
    <n v="12"/>
    <x v="6"/>
    <x v="1"/>
    <x v="2"/>
    <n v="-2"/>
    <m/>
    <m/>
    <x v="2"/>
    <n v="-1"/>
    <s v="HH20240712 T3776964294 No Limit Hold'em $1.84 + $0.16.txt"/>
  </r>
  <r>
    <n v="2697"/>
    <n v="48.19"/>
    <s v="12.07.2024"/>
    <n v="12"/>
    <x v="6"/>
    <x v="1"/>
    <x v="2"/>
    <n v="-2"/>
    <m/>
    <m/>
    <x v="2"/>
    <n v="-1"/>
    <s v="HH20240712 T3776965274 No Limit Hold'em $1.84 + $0.16.txt"/>
  </r>
  <r>
    <n v="2698"/>
    <n v="48.19"/>
    <s v="12.07.2024"/>
    <n v="12"/>
    <x v="6"/>
    <x v="1"/>
    <x v="13"/>
    <m/>
    <m/>
    <m/>
    <x v="1"/>
    <n v="0"/>
    <s v="HH20240712 T3775177211 No Limit Hold'em $1.40 + $0.10.txt"/>
  </r>
  <r>
    <n v="2699"/>
    <n v="48.19"/>
    <s v="12.07.2024"/>
    <n v="12"/>
    <x v="6"/>
    <x v="1"/>
    <x v="14"/>
    <m/>
    <m/>
    <m/>
    <x v="2"/>
    <n v="0"/>
    <s v="HH20240712 T3775177099 No Limit Hold'em $10.27 + $0.73.txt"/>
  </r>
  <r>
    <n v="2700"/>
    <n v="46.19"/>
    <s v="12.07.2024"/>
    <n v="12"/>
    <x v="6"/>
    <x v="1"/>
    <x v="2"/>
    <n v="-2"/>
    <m/>
    <m/>
    <x v="2"/>
    <n v="-1"/>
    <s v="HH20240712 T3777078291 No Limit Hold'em $1.84 + $0.16.txt"/>
  </r>
  <r>
    <n v="2701"/>
    <n v="44.19"/>
    <s v="12.07.2024"/>
    <n v="12"/>
    <x v="6"/>
    <x v="1"/>
    <x v="2"/>
    <n v="-2"/>
    <m/>
    <m/>
    <x v="2"/>
    <n v="-1"/>
    <s v="HH20240712 T3777083183 No Limit Hold'em $1.84 + $0.16.txt"/>
  </r>
  <r>
    <n v="2702"/>
    <n v="48.19"/>
    <s v="12.07.2024"/>
    <n v="12"/>
    <x v="6"/>
    <x v="1"/>
    <x v="2"/>
    <n v="-2"/>
    <n v="6"/>
    <m/>
    <x v="1"/>
    <n v="2"/>
    <s v="HH20240712 T3777084196 No Limit Hold'em $1.84 + $0.16.txt"/>
  </r>
  <r>
    <n v="2703"/>
    <n v="50.19"/>
    <s v="12.07.2024"/>
    <n v="12"/>
    <x v="6"/>
    <x v="1"/>
    <x v="2"/>
    <n v="-2"/>
    <n v="4"/>
    <m/>
    <x v="1"/>
    <n v="1"/>
    <s v="HH20240712 T3777085143 No Limit Hold'em $1.84 + $0.16.txt"/>
  </r>
  <r>
    <n v="2704"/>
    <n v="54.19"/>
    <s v="12.07.2024"/>
    <n v="12"/>
    <x v="6"/>
    <x v="1"/>
    <x v="2"/>
    <n v="-2"/>
    <n v="6"/>
    <m/>
    <x v="1"/>
    <n v="2"/>
    <s v="HH20240712 T3777087850 No Limit Hold'em $1.84 + $0.16.txt"/>
  </r>
  <r>
    <n v="2705"/>
    <n v="52.19"/>
    <s v="12.07.2024"/>
    <n v="12"/>
    <x v="6"/>
    <x v="1"/>
    <x v="2"/>
    <n v="-2"/>
    <m/>
    <m/>
    <x v="2"/>
    <n v="-1"/>
    <s v="HH20240712 T3777100369 No Limit Hold'em $1.84 + $0.16.txt"/>
  </r>
  <r>
    <n v="2706"/>
    <n v="50.19"/>
    <s v="12.07.2024"/>
    <n v="12"/>
    <x v="6"/>
    <x v="1"/>
    <x v="2"/>
    <n v="-2"/>
    <m/>
    <m/>
    <x v="2"/>
    <n v="-1"/>
    <s v="HH20240712 T3777116199 No Limit Hold'em $1.84 + $0.16.txt"/>
  </r>
  <r>
    <n v="2707"/>
    <n v="48.19"/>
    <s v="12.07.2024"/>
    <n v="12"/>
    <x v="6"/>
    <x v="1"/>
    <x v="2"/>
    <n v="-2"/>
    <m/>
    <m/>
    <x v="2"/>
    <n v="-1"/>
    <s v="HH20240712 T3777117524 No Limit Hold'em $1.84 + $0.16.txt"/>
  </r>
  <r>
    <n v="2708"/>
    <n v="46.19"/>
    <s v="12.07.2024"/>
    <n v="12"/>
    <x v="6"/>
    <x v="1"/>
    <x v="2"/>
    <n v="-2"/>
    <m/>
    <m/>
    <x v="2"/>
    <n v="-1"/>
    <s v="HH20240712 T3777121823 No Limit Hold'em $1.84 + $0.16.txt"/>
  </r>
  <r>
    <n v="2709"/>
    <n v="44.19"/>
    <s v="12.07.2024"/>
    <n v="12"/>
    <x v="6"/>
    <x v="1"/>
    <x v="2"/>
    <n v="-2"/>
    <m/>
    <m/>
    <x v="2"/>
    <n v="-1"/>
    <s v="HH20240712 T3777123552 No Limit Hold'em $1.84 + $0.16.txt"/>
  </r>
  <r>
    <n v="2710"/>
    <n v="46.19"/>
    <s v="12.07.2024"/>
    <n v="12"/>
    <x v="6"/>
    <x v="1"/>
    <x v="2"/>
    <n v="-2"/>
    <n v="4"/>
    <m/>
    <x v="1"/>
    <n v="1"/>
    <s v="HH20240712 T3777126985 No Limit Hold'em $1.84 + $0.16.txt"/>
  </r>
  <r>
    <n v="2711"/>
    <n v="50.19"/>
    <s v="12.07.2024"/>
    <n v="12"/>
    <x v="6"/>
    <x v="1"/>
    <x v="2"/>
    <n v="-2"/>
    <n v="6"/>
    <m/>
    <x v="1"/>
    <n v="2"/>
    <s v="HH20240712 T3777129121 No Limit Hold'em $1.84 + $0.16.txt"/>
  </r>
  <r>
    <n v="2712"/>
    <n v="52.19"/>
    <s v="12.07.2024"/>
    <n v="12"/>
    <x v="6"/>
    <x v="1"/>
    <x v="2"/>
    <n v="-2"/>
    <n v="4"/>
    <m/>
    <x v="1"/>
    <n v="1"/>
    <s v="HH20240712 T3777132079 No Limit Hold'em $1.84 + $0.16.txt"/>
  </r>
  <r>
    <n v="2713"/>
    <n v="50.19"/>
    <s v="12.07.2024"/>
    <n v="12"/>
    <x v="6"/>
    <x v="1"/>
    <x v="2"/>
    <n v="-2"/>
    <m/>
    <m/>
    <x v="2"/>
    <n v="-1"/>
    <s v="HH20240712 T3777135111 No Limit Hold'em $1.84 + $0.16.txt"/>
  </r>
  <r>
    <n v="2714"/>
    <n v="48.19"/>
    <s v="12.07.2024"/>
    <n v="12"/>
    <x v="6"/>
    <x v="1"/>
    <x v="2"/>
    <n v="-2"/>
    <m/>
    <m/>
    <x v="2"/>
    <n v="-1"/>
    <s v="HH20240712 T3777135758 No Limit Hold'em $1.84 + $0.16.txt"/>
  </r>
  <r>
    <n v="2715"/>
    <n v="46.19"/>
    <s v="12.07.2024"/>
    <n v="12"/>
    <x v="6"/>
    <x v="1"/>
    <x v="2"/>
    <n v="-2"/>
    <m/>
    <m/>
    <x v="2"/>
    <n v="-1"/>
    <s v="HH20240712 T3777137286 No Limit Hold'em $1.84 + $0.16.txt"/>
  </r>
  <r>
    <n v="2716"/>
    <n v="44.19"/>
    <s v="14.07.2024"/>
    <n v="14"/>
    <x v="6"/>
    <x v="1"/>
    <x v="2"/>
    <n v="-2"/>
    <m/>
    <m/>
    <x v="2"/>
    <n v="-1"/>
    <s v="HH20240714 T3777692935 No Limit Hold'em $1.84 + $0.16.txt"/>
  </r>
  <r>
    <n v="2717"/>
    <n v="44.19"/>
    <s v="14.07.2024"/>
    <n v="14"/>
    <x v="6"/>
    <x v="1"/>
    <x v="12"/>
    <m/>
    <m/>
    <m/>
    <x v="2"/>
    <n v="0"/>
    <s v="HH20240714 T3777694360 No Limit Hold'em $0.46 + $0.04.txt"/>
  </r>
  <r>
    <n v="2718"/>
    <n v="46.19"/>
    <s v="14.07.2024"/>
    <n v="14"/>
    <x v="6"/>
    <x v="1"/>
    <x v="2"/>
    <n v="-2"/>
    <n v="4"/>
    <m/>
    <x v="1"/>
    <n v="1"/>
    <s v="HH20240714 T3777694633 No Limit Hold'em $1.84 + $0.16.txt"/>
  </r>
  <r>
    <n v="2719"/>
    <n v="50.19"/>
    <s v="14.07.2024"/>
    <n v="14"/>
    <x v="6"/>
    <x v="1"/>
    <x v="2"/>
    <n v="-2"/>
    <n v="6"/>
    <m/>
    <x v="1"/>
    <n v="2"/>
    <s v="HH20240714 T3777695806 No Limit Hold'em $1.84 + $0.16.txt"/>
  </r>
  <r>
    <n v="2720"/>
    <n v="48.19"/>
    <s v="14.07.2024"/>
    <n v="14"/>
    <x v="6"/>
    <x v="1"/>
    <x v="2"/>
    <n v="-2"/>
    <m/>
    <m/>
    <x v="2"/>
    <n v="-1"/>
    <s v="HH20240714 T3777776942 No Limit Hold'em $1.84 + $0.16.txt"/>
  </r>
  <r>
    <n v="2721"/>
    <n v="46.19"/>
    <s v="14.07.2024"/>
    <n v="14"/>
    <x v="6"/>
    <x v="1"/>
    <x v="2"/>
    <n v="-2"/>
    <m/>
    <m/>
    <x v="2"/>
    <n v="-1"/>
    <s v="HH20240714 T3777777398 No Limit Hold'em $1.84 + $0.16.txt"/>
  </r>
  <r>
    <n v="2722"/>
    <n v="50.19"/>
    <s v="14.07.2024"/>
    <n v="14"/>
    <x v="6"/>
    <x v="1"/>
    <x v="2"/>
    <n v="-2"/>
    <n v="6"/>
    <m/>
    <x v="1"/>
    <n v="2"/>
    <s v="HH20240714 T3777778193 No Limit Hold'em $1.84 + $0.16.txt"/>
  </r>
  <r>
    <n v="2723"/>
    <n v="48.19"/>
    <s v="14.07.2024"/>
    <n v="14"/>
    <x v="6"/>
    <x v="1"/>
    <x v="2"/>
    <n v="-2"/>
    <m/>
    <m/>
    <x v="2"/>
    <n v="-1"/>
    <s v="HH20240714 T3777780728 No Limit Hold'em $1.84 + $0.16.txt"/>
  </r>
  <r>
    <n v="2724"/>
    <n v="52.19"/>
    <s v="14.07.2024"/>
    <n v="14"/>
    <x v="6"/>
    <x v="1"/>
    <x v="2"/>
    <n v="-2"/>
    <n v="6"/>
    <m/>
    <x v="1"/>
    <n v="2"/>
    <s v="HH20240714 T3777782995 No Limit Hold'em $1.84 + $0.16.txt"/>
  </r>
  <r>
    <n v="2725"/>
    <n v="50.19"/>
    <s v="14.07.2024"/>
    <n v="14"/>
    <x v="6"/>
    <x v="1"/>
    <x v="2"/>
    <n v="-2"/>
    <m/>
    <m/>
    <x v="2"/>
    <n v="-1"/>
    <s v="HH20240714 T3777784017 No Limit Hold'em $1.84 + $0.16.txt"/>
  </r>
  <r>
    <n v="2726"/>
    <n v="52.19"/>
    <s v="14.07.2024"/>
    <n v="14"/>
    <x v="6"/>
    <x v="1"/>
    <x v="2"/>
    <n v="-2"/>
    <n v="4"/>
    <m/>
    <x v="1"/>
    <n v="1"/>
    <s v="HH20240714 T3777784961 No Limit Hold'em $1.84 + $0.16.txt"/>
  </r>
  <r>
    <n v="2727"/>
    <n v="56.19"/>
    <s v="14.07.2024"/>
    <n v="14"/>
    <x v="6"/>
    <x v="1"/>
    <x v="2"/>
    <n v="-2"/>
    <n v="6"/>
    <m/>
    <x v="1"/>
    <n v="2"/>
    <s v="HH20240714 T3777797442 No Limit Hold'em $1.84 + $0.16.txt"/>
  </r>
  <r>
    <n v="2728"/>
    <n v="58.19"/>
    <s v="16.07.2024"/>
    <n v="16"/>
    <x v="6"/>
    <x v="1"/>
    <x v="2"/>
    <n v="-2"/>
    <n v="4"/>
    <m/>
    <x v="1"/>
    <n v="1"/>
    <s v="HH20240716 T3778564283 No Limit Hold'em $1.84 + $0.16.txt"/>
  </r>
  <r>
    <n v="2729"/>
    <n v="58.19"/>
    <s v="16.07.2024"/>
    <n v="16"/>
    <x v="6"/>
    <x v="1"/>
    <x v="12"/>
    <m/>
    <m/>
    <m/>
    <x v="2"/>
    <n v="0"/>
    <s v="HH20240716 T3778569575 No Limit Hold'em $0.46 + $0.04.txt"/>
  </r>
  <r>
    <n v="2730"/>
    <n v="56.19"/>
    <s v="16.07.2024"/>
    <n v="16"/>
    <x v="6"/>
    <x v="1"/>
    <x v="2"/>
    <n v="-2"/>
    <m/>
    <m/>
    <x v="2"/>
    <n v="-1"/>
    <s v="HH20240716 T3778570122 No Limit Hold'em $1.84 + $0.16.txt"/>
  </r>
  <r>
    <n v="2731"/>
    <n v="54.19"/>
    <s v="17.07.2024"/>
    <n v="17"/>
    <x v="6"/>
    <x v="1"/>
    <x v="2"/>
    <n v="-2"/>
    <m/>
    <m/>
    <x v="2"/>
    <n v="-1"/>
    <s v="HH20240717 T3778880149 No Limit Hold'em $1.84 + $0.16.txt"/>
  </r>
  <r>
    <n v="2732"/>
    <n v="54.19"/>
    <s v="17.07.2024"/>
    <n v="17"/>
    <x v="6"/>
    <x v="1"/>
    <x v="12"/>
    <m/>
    <m/>
    <m/>
    <x v="1"/>
    <n v="0"/>
    <s v="HH20240717 T3778883652 No Limit Hold'em $0.46 + $0.04.txt"/>
  </r>
  <r>
    <n v="2733"/>
    <n v="54.19"/>
    <s v="17.07.2024"/>
    <n v="17"/>
    <x v="6"/>
    <x v="1"/>
    <x v="13"/>
    <m/>
    <m/>
    <m/>
    <x v="2"/>
    <n v="0"/>
    <s v="HH20240717 T3777816608 No Limit Hold'em $1.40 + $0.10.txt"/>
  </r>
  <r>
    <n v="2734"/>
    <n v="52.19"/>
    <s v="17.07.2024"/>
    <n v="17"/>
    <x v="6"/>
    <x v="1"/>
    <x v="2"/>
    <n v="-2"/>
    <m/>
    <m/>
    <x v="2"/>
    <n v="-1"/>
    <s v="HH20240717 T3778919483 No Limit Hold'em $1.84 + $0.16.txt"/>
  </r>
  <r>
    <n v="2735"/>
    <n v="56.19"/>
    <s v="17.07.2024"/>
    <n v="17"/>
    <x v="6"/>
    <x v="1"/>
    <x v="2"/>
    <n v="-2"/>
    <n v="6"/>
    <m/>
    <x v="1"/>
    <n v="2"/>
    <s v="HH20240717 T3778920663 No Limit Hold'em $1.84 + $0.16.txt"/>
  </r>
  <r>
    <n v="2736"/>
    <n v="60.19"/>
    <s v="17.07.2024"/>
    <n v="17"/>
    <x v="6"/>
    <x v="1"/>
    <x v="2"/>
    <n v="-2"/>
    <n v="6"/>
    <m/>
    <x v="1"/>
    <n v="2"/>
    <s v="HH20240717 T3778925044 No Limit Hold'em $1.84 + $0.16.txt"/>
  </r>
  <r>
    <n v="2737"/>
    <n v="58.19"/>
    <s v="17.07.2024"/>
    <n v="17"/>
    <x v="6"/>
    <x v="1"/>
    <x v="2"/>
    <n v="-2"/>
    <m/>
    <m/>
    <x v="2"/>
    <n v="-1"/>
    <s v="HH20240717 T3778936202 No Limit Hold'em $1.84 + $0.16.txt"/>
  </r>
  <r>
    <n v="2738"/>
    <n v="56.19"/>
    <s v="17.07.2024"/>
    <n v="17"/>
    <x v="6"/>
    <x v="1"/>
    <x v="2"/>
    <n v="-2"/>
    <m/>
    <m/>
    <x v="2"/>
    <n v="-1"/>
    <s v="HH20240717 T3778940217 No Limit Hold'em $1.84 + $0.16.txt"/>
  </r>
  <r>
    <n v="2739"/>
    <n v="54.19"/>
    <s v="17.07.2024"/>
    <n v="17"/>
    <x v="6"/>
    <x v="1"/>
    <x v="2"/>
    <n v="-2"/>
    <m/>
    <m/>
    <x v="2"/>
    <n v="-1"/>
    <s v="HH20240717 T3778942747 No Limit Hold'em $1.84 + $0.16.txt"/>
  </r>
  <r>
    <n v="2740"/>
    <n v="52.19"/>
    <s v="18.07.2024"/>
    <n v="18"/>
    <x v="6"/>
    <x v="1"/>
    <x v="2"/>
    <n v="-2"/>
    <m/>
    <m/>
    <x v="2"/>
    <n v="-1"/>
    <s v="HH20240718 T3779218689 No Limit Hold'em $1.84 + $0.16.txt"/>
  </r>
  <r>
    <n v="2741"/>
    <n v="52.19"/>
    <s v="18.07.2024"/>
    <n v="18"/>
    <x v="6"/>
    <x v="1"/>
    <x v="12"/>
    <m/>
    <m/>
    <m/>
    <x v="2"/>
    <n v="0"/>
    <s v="HH20240718 T3779219494 No Limit Hold'em $0.46 + $0.04.txt"/>
  </r>
  <r>
    <n v="2742"/>
    <n v="50.19"/>
    <s v="18.07.2024"/>
    <n v="18"/>
    <x v="6"/>
    <x v="1"/>
    <x v="2"/>
    <n v="-2"/>
    <m/>
    <m/>
    <x v="2"/>
    <n v="-1"/>
    <s v="HH20240718 T3779219752 No Limit Hold'em $1.84 + $0.16.txt"/>
  </r>
  <r>
    <n v="2743"/>
    <n v="48.19"/>
    <s v="18.07.2024"/>
    <n v="18"/>
    <x v="6"/>
    <x v="1"/>
    <x v="2"/>
    <n v="-2"/>
    <m/>
    <m/>
    <x v="2"/>
    <n v="-1"/>
    <s v="HH20240718 T3779222219 No Limit Hold'em $1.84 + $0.16.txt"/>
  </r>
  <r>
    <n v="2744"/>
    <n v="46.19"/>
    <s v="18.07.2024"/>
    <n v="18"/>
    <x v="6"/>
    <x v="1"/>
    <x v="2"/>
    <n v="-2"/>
    <m/>
    <m/>
    <x v="2"/>
    <n v="-1"/>
    <s v="HH20240718 T3779224016 No Limit Hold'em $1.84 + $0.16.txt"/>
  </r>
  <r>
    <n v="2745"/>
    <n v="44.19"/>
    <s v="18.07.2024"/>
    <n v="18"/>
    <x v="6"/>
    <x v="1"/>
    <x v="2"/>
    <n v="-2"/>
    <m/>
    <m/>
    <x v="2"/>
    <n v="-1"/>
    <s v="HH20240718 T3779226498 No Limit Hold'em $1.84 + $0.16.txt"/>
  </r>
  <r>
    <n v="2746"/>
    <n v="42.19"/>
    <s v="18.07.2024"/>
    <n v="18"/>
    <x v="6"/>
    <x v="1"/>
    <x v="2"/>
    <n v="-2"/>
    <m/>
    <m/>
    <x v="2"/>
    <n v="-1"/>
    <s v="HH20240718 T3779227826 No Limit Hold'em $1.84 + $0.16.txt"/>
  </r>
  <r>
    <n v="2747"/>
    <n v="40.19"/>
    <s v="18.07.2024"/>
    <n v="18"/>
    <x v="6"/>
    <x v="1"/>
    <x v="2"/>
    <n v="-2"/>
    <m/>
    <m/>
    <x v="2"/>
    <n v="-1"/>
    <s v="HH20240718 T3779230526 No Limit Hold'em $1.84 + $0.16.txt"/>
  </r>
  <r>
    <n v="2748"/>
    <n v="38.19"/>
    <s v="18.07.2024"/>
    <n v="18"/>
    <x v="6"/>
    <x v="1"/>
    <x v="2"/>
    <n v="-2"/>
    <m/>
    <m/>
    <x v="2"/>
    <n v="-1"/>
    <s v="HH20240718 T3779232192 No Limit Hold'em $1.84 + $0.16.txt"/>
  </r>
  <r>
    <n v="2749"/>
    <n v="40.19"/>
    <s v="18.07.2024"/>
    <n v="18"/>
    <x v="6"/>
    <x v="1"/>
    <x v="2"/>
    <n v="-2"/>
    <n v="4"/>
    <m/>
    <x v="1"/>
    <n v="1"/>
    <s v="HH20240718 T3779235494 No Limit Hold'em $1.84 + $0.16.txt"/>
  </r>
  <r>
    <n v="2750"/>
    <n v="48.19"/>
    <s v="18.07.2024"/>
    <n v="18"/>
    <x v="6"/>
    <x v="1"/>
    <x v="2"/>
    <n v="-2"/>
    <n v="10"/>
    <m/>
    <x v="1"/>
    <n v="4"/>
    <s v="HH20240718 T3779239719 No Limit Hold'em $1.84 + $0.16.txt"/>
  </r>
  <r>
    <n v="2751"/>
    <n v="52.19"/>
    <s v="18.07.2024"/>
    <n v="18"/>
    <x v="6"/>
    <x v="1"/>
    <x v="2"/>
    <n v="-2"/>
    <n v="6"/>
    <m/>
    <x v="1"/>
    <n v="2"/>
    <s v="HH20240718 T3779244838 No Limit Hold'em $1.84 + $0.16.txt"/>
  </r>
  <r>
    <n v="2752"/>
    <n v="50.19"/>
    <s v="18.07.2024"/>
    <n v="18"/>
    <x v="6"/>
    <x v="1"/>
    <x v="2"/>
    <n v="-2"/>
    <m/>
    <m/>
    <x v="2"/>
    <n v="-1"/>
    <s v="HH20240718 T3779245903 No Limit Hold'em $1.84 + $0.16.txt"/>
  </r>
  <r>
    <n v="2753"/>
    <n v="48.19"/>
    <s v="18.07.2024"/>
    <n v="18"/>
    <x v="6"/>
    <x v="1"/>
    <x v="2"/>
    <n v="-2"/>
    <m/>
    <m/>
    <x v="2"/>
    <n v="-1"/>
    <s v="HH20240718 T3779247382 No Limit Hold'em $1.84 + $0.16.txt"/>
  </r>
  <r>
    <n v="2754"/>
    <n v="52.19"/>
    <s v="19.07.2024"/>
    <n v="19"/>
    <x v="6"/>
    <x v="1"/>
    <x v="2"/>
    <n v="-2"/>
    <n v="6"/>
    <m/>
    <x v="1"/>
    <n v="2"/>
    <s v="HH20240719 T3779501189 No Limit Hold'em $1.84 + $0.16.txt"/>
  </r>
  <r>
    <n v="2755"/>
    <n v="52.19"/>
    <s v="19.07.2024"/>
    <n v="19"/>
    <x v="6"/>
    <x v="1"/>
    <x v="12"/>
    <m/>
    <m/>
    <m/>
    <x v="2"/>
    <n v="0"/>
    <s v="HH20240719 T3779503633 No Limit Hold'em $0.46 + $0.04.txt"/>
  </r>
  <r>
    <n v="2756"/>
    <n v="50.19"/>
    <s v="20.07.2024"/>
    <n v="20"/>
    <x v="6"/>
    <x v="1"/>
    <x v="2"/>
    <n v="-2"/>
    <m/>
    <m/>
    <x v="2"/>
    <n v="-1"/>
    <s v="HH20240720 T3779924097 No Limit Hold'em $1.84 + $0.16.txt"/>
  </r>
  <r>
    <n v="2757"/>
    <n v="50.19"/>
    <s v="20.07.2024"/>
    <n v="20"/>
    <x v="6"/>
    <x v="1"/>
    <x v="12"/>
    <m/>
    <m/>
    <m/>
    <x v="2"/>
    <n v="0"/>
    <s v="HH20240720 T3779926238 No Limit Hold'em $0.46 + $0.04.txt"/>
  </r>
  <r>
    <n v="2758"/>
    <n v="54.19"/>
    <s v="20.07.2024"/>
    <n v="20"/>
    <x v="6"/>
    <x v="1"/>
    <x v="2"/>
    <n v="-2"/>
    <n v="6"/>
    <m/>
    <x v="1"/>
    <n v="2"/>
    <s v="HH20240720 T3779927122 No Limit Hold'em $1.84 + $0.16.txt"/>
  </r>
  <r>
    <n v="2759"/>
    <n v="58.19"/>
    <s v="20.07.2024"/>
    <n v="20"/>
    <x v="6"/>
    <x v="1"/>
    <x v="2"/>
    <n v="-2"/>
    <n v="6"/>
    <m/>
    <x v="1"/>
    <n v="2"/>
    <s v="HH20240720 T3779971576 No Limit Hold'em $1.84 + $0.16.txt"/>
  </r>
  <r>
    <n v="2760"/>
    <n v="62.19"/>
    <s v="20.07.2024"/>
    <n v="20"/>
    <x v="6"/>
    <x v="1"/>
    <x v="2"/>
    <n v="-2"/>
    <n v="6"/>
    <m/>
    <x v="1"/>
    <n v="2"/>
    <s v="HH20240720 T3779996218 No Limit Hold'em $1.84 + $0.16.txt"/>
  </r>
  <r>
    <n v="2761"/>
    <n v="60.19"/>
    <s v="21.07.2024"/>
    <n v="21"/>
    <x v="6"/>
    <x v="1"/>
    <x v="2"/>
    <n v="-2"/>
    <m/>
    <m/>
    <x v="2"/>
    <n v="-1"/>
    <s v="HH20240721 T3780208434 No Limit Hold'em $1.84 + $0.16.txt"/>
  </r>
  <r>
    <n v="2762"/>
    <n v="60.19"/>
    <s v="21.07.2024"/>
    <n v="21"/>
    <x v="6"/>
    <x v="1"/>
    <x v="12"/>
    <m/>
    <m/>
    <m/>
    <x v="1"/>
    <n v="0"/>
    <s v="HH20240721 T3780210897 No Limit Hold'em $0.46 + $0.04.txt"/>
  </r>
  <r>
    <n v="2763"/>
    <n v="60.19"/>
    <s v="21.07.2024"/>
    <n v="21"/>
    <x v="6"/>
    <x v="1"/>
    <x v="13"/>
    <m/>
    <m/>
    <m/>
    <x v="2"/>
    <n v="0"/>
    <s v="HH20240721 T3780212662 No Limit Hold'em $0.96 + $0.04.txt"/>
  </r>
  <r>
    <n v="2764"/>
    <n v="58.19"/>
    <s v="21.07.2024"/>
    <n v="21"/>
    <x v="6"/>
    <x v="1"/>
    <x v="2"/>
    <n v="-2"/>
    <m/>
    <m/>
    <x v="2"/>
    <n v="-1"/>
    <s v="HH20240721 T3780214643 No Limit Hold'em $1.84 + $0.16.txt"/>
  </r>
  <r>
    <n v="2765"/>
    <n v="62.19"/>
    <s v="21.07.2024"/>
    <n v="21"/>
    <x v="6"/>
    <x v="1"/>
    <x v="2"/>
    <n v="-2"/>
    <n v="6"/>
    <m/>
    <x v="1"/>
    <n v="2"/>
    <s v="HH20240721 T3780216621 No Limit Hold'em $1.84 + $0.16.txt"/>
  </r>
  <r>
    <n v="2766"/>
    <n v="60.19"/>
    <s v="21.07.2024"/>
    <n v="21"/>
    <x v="6"/>
    <x v="1"/>
    <x v="2"/>
    <n v="-2"/>
    <m/>
    <m/>
    <x v="2"/>
    <n v="-1"/>
    <s v="HH20240721 T3780225077 No Limit Hold'em $1.84 + $0.16.txt"/>
  </r>
  <r>
    <n v="2767"/>
    <n v="58.19"/>
    <s v="21.07.2024"/>
    <n v="21"/>
    <x v="6"/>
    <x v="1"/>
    <x v="2"/>
    <n v="-2"/>
    <m/>
    <m/>
    <x v="2"/>
    <n v="-1"/>
    <s v="HH20240721 T3780297270 No Limit Hold'em $1.84 + $0.16.txt"/>
  </r>
  <r>
    <n v="2768"/>
    <n v="56.19"/>
    <s v="21.07.2024"/>
    <n v="21"/>
    <x v="6"/>
    <x v="1"/>
    <x v="2"/>
    <n v="-2"/>
    <m/>
    <m/>
    <x v="2"/>
    <n v="-1"/>
    <s v="HH20240721 T3780302435 No Limit Hold'em $1.84 + $0.16.txt"/>
  </r>
  <r>
    <n v="2769"/>
    <n v="54.19"/>
    <s v="21.07.2024"/>
    <n v="21"/>
    <x v="6"/>
    <x v="1"/>
    <x v="2"/>
    <n v="-2"/>
    <m/>
    <m/>
    <x v="2"/>
    <n v="-1"/>
    <s v="HH20240721 T3780305655 No Limit Hold'em $1.84 + $0.16.txt"/>
  </r>
  <r>
    <n v="2770"/>
    <n v="52.19"/>
    <s v="21.07.2024"/>
    <n v="21"/>
    <x v="6"/>
    <x v="1"/>
    <x v="2"/>
    <n v="-2"/>
    <m/>
    <m/>
    <x v="2"/>
    <n v="-1"/>
    <s v="HH20240721 T3780310276 No Limit Hold'em $1.84 + $0.16.txt"/>
  </r>
  <r>
    <n v="2771"/>
    <n v="50.19"/>
    <s v="21.07.2024"/>
    <n v="21"/>
    <x v="6"/>
    <x v="1"/>
    <x v="2"/>
    <n v="-2"/>
    <m/>
    <m/>
    <x v="2"/>
    <n v="-1"/>
    <s v="HH20240721 T3780310589 No Limit Hold'em $1.84 + $0.16.txt"/>
  </r>
  <r>
    <n v="2772"/>
    <n v="40.19"/>
    <s v="21.07.2024"/>
    <n v="21"/>
    <x v="6"/>
    <x v="1"/>
    <x v="2"/>
    <n v="-10"/>
    <m/>
    <m/>
    <x v="2"/>
    <n v="-1"/>
    <s v="HH20240721 T3780312352 No Limit Hold'em $9.30 + $0.70.txt"/>
  </r>
  <r>
    <n v="2773"/>
    <n v="30.189999999999998"/>
    <s v="21.07.2024"/>
    <n v="21"/>
    <x v="6"/>
    <x v="1"/>
    <x v="2"/>
    <n v="-10"/>
    <m/>
    <m/>
    <x v="2"/>
    <n v="-1"/>
    <s v="HH20240721 T3780313195 No Limit Hold'em $9.30 + $0.70.txt"/>
  </r>
  <r>
    <n v="2774"/>
    <n v="20.189999999999998"/>
    <s v="21.07.2024"/>
    <n v="21"/>
    <x v="6"/>
    <x v="1"/>
    <x v="2"/>
    <n v="-10"/>
    <m/>
    <m/>
    <x v="2"/>
    <n v="-1"/>
    <s v="HH20240721 T3780316652 No Limit Hold'em $9.30 + $0.70.txt"/>
  </r>
  <r>
    <n v="2775"/>
    <n v="10.189999999999998"/>
    <s v="21.07.2024"/>
    <n v="21"/>
    <x v="6"/>
    <x v="1"/>
    <x v="2"/>
    <n v="-10"/>
    <m/>
    <m/>
    <x v="2"/>
    <n v="-1"/>
    <s v="HH20240721 T3780319341 No Limit Hold'em $9.30 + $0.70.txt"/>
  </r>
  <r>
    <n v="2776"/>
    <n v="20.189999999999998"/>
    <s v="21.07.2024"/>
    <n v="21"/>
    <x v="6"/>
    <x v="1"/>
    <x v="2"/>
    <n v="-10"/>
    <n v="20"/>
    <m/>
    <x v="1"/>
    <n v="1"/>
    <s v="HH20240721 T3780319686 No Limit Hold'em $9.30 + $0.70.txt"/>
  </r>
  <r>
    <n v="2777"/>
    <n v="10.189999999999998"/>
    <s v="21.07.2024"/>
    <n v="21"/>
    <x v="6"/>
    <x v="1"/>
    <x v="2"/>
    <n v="-10"/>
    <m/>
    <m/>
    <x v="2"/>
    <n v="-1"/>
    <s v="HH20240721 T3780322665 No Limit Hold'em $9.30 + $0.70.txt"/>
  </r>
  <r>
    <n v="2778"/>
    <n v="0.18999999999999773"/>
    <s v="21.07.2024"/>
    <n v="21"/>
    <x v="6"/>
    <x v="1"/>
    <x v="2"/>
    <n v="-10"/>
    <m/>
    <m/>
    <x v="2"/>
    <n v="-1"/>
    <s v="HH20240721 T3780324508 No Limit Hold'em $9.30 + $0.70.txt"/>
  </r>
  <r>
    <n v="2779"/>
    <n v="57.93"/>
    <s v="18.08.2024"/>
    <n v="18"/>
    <x v="7"/>
    <x v="1"/>
    <x v="1"/>
    <m/>
    <n v="57.74"/>
    <m/>
    <x v="0"/>
    <m/>
    <m/>
  </r>
  <r>
    <n v="2780"/>
    <n v="55.93"/>
    <s v="06.09.2024"/>
    <n v="6"/>
    <x v="8"/>
    <x v="1"/>
    <x v="2"/>
    <n v="-2"/>
    <m/>
    <m/>
    <x v="2"/>
    <n v="-1"/>
    <s v="HH20240906 T3797299317 No Limit Hold'em $1.84 + $0.16.txt"/>
  </r>
  <r>
    <n v="2781"/>
    <n v="53.93"/>
    <s v="06.09.2024"/>
    <n v="6"/>
    <x v="8"/>
    <x v="1"/>
    <x v="2"/>
    <n v="-2"/>
    <m/>
    <m/>
    <x v="2"/>
    <n v="-1"/>
    <s v="HH20240906 T3797300421 No Limit Hold'em $1.84 + $0.16.txt"/>
  </r>
  <r>
    <n v="2782"/>
    <n v="51.93"/>
    <s v="06.09.2024"/>
    <n v="6"/>
    <x v="8"/>
    <x v="1"/>
    <x v="2"/>
    <n v="-2"/>
    <m/>
    <m/>
    <x v="2"/>
    <n v="-1"/>
    <s v="HH20240906 T3797301280 No Limit Hold'em $1.84 + $0.16.txt"/>
  </r>
  <r>
    <n v="2783"/>
    <n v="49.93"/>
    <s v="06.09.2024"/>
    <n v="6"/>
    <x v="8"/>
    <x v="1"/>
    <x v="2"/>
    <n v="-2"/>
    <m/>
    <m/>
    <x v="2"/>
    <n v="-1"/>
    <s v="HH20240906 T3797304785 No Limit Hold'em $1.84 + $0.16.txt"/>
  </r>
  <r>
    <n v="2784"/>
    <n v="47.93"/>
    <s v="06.09.2024"/>
    <n v="6"/>
    <x v="8"/>
    <x v="1"/>
    <x v="2"/>
    <n v="-2"/>
    <m/>
    <m/>
    <x v="2"/>
    <n v="-1"/>
    <s v="HH20240906 T3797305831 No Limit Hold'em $1.84 + $0.16.txt"/>
  </r>
  <r>
    <n v="2785"/>
    <n v="45.93"/>
    <s v="06.09.2024"/>
    <n v="6"/>
    <x v="8"/>
    <x v="1"/>
    <x v="2"/>
    <n v="-2"/>
    <m/>
    <m/>
    <x v="2"/>
    <n v="-1"/>
    <s v="HH20240906 T3797360030 No Limit Hold'em $1.84 + $0.16.txt"/>
  </r>
  <r>
    <n v="2786"/>
    <n v="43.93"/>
    <s v="06.09.2024"/>
    <n v="6"/>
    <x v="8"/>
    <x v="1"/>
    <x v="2"/>
    <n v="-2"/>
    <m/>
    <m/>
    <x v="2"/>
    <n v="-1"/>
    <s v="HH20240906 T3797362871 No Limit Hold'em $1.84 + $0.16.txt"/>
  </r>
  <r>
    <n v="2787"/>
    <n v="41.93"/>
    <s v="06.09.2024"/>
    <n v="6"/>
    <x v="8"/>
    <x v="1"/>
    <x v="2"/>
    <n v="-2"/>
    <m/>
    <m/>
    <x v="2"/>
    <n v="-1"/>
    <s v="HH20240906 T3797364368 No Limit Hold'em $1.84 + $0.16.txt"/>
  </r>
  <r>
    <n v="2788"/>
    <n v="39.93"/>
    <s v="06.09.2024"/>
    <n v="6"/>
    <x v="8"/>
    <x v="1"/>
    <x v="2"/>
    <n v="-2"/>
    <m/>
    <m/>
    <x v="2"/>
    <n v="-1"/>
    <s v="HH20240906 T3797364815 No Limit Hold'em $1.84 + $0.16.txt"/>
  </r>
  <r>
    <n v="2789"/>
    <n v="37.93"/>
    <s v="06.09.2024"/>
    <n v="6"/>
    <x v="8"/>
    <x v="1"/>
    <x v="2"/>
    <n v="-2"/>
    <m/>
    <m/>
    <x v="2"/>
    <n v="-1"/>
    <s v="HH20240906 T3797376668 No Limit Hold'em $1.84 + $0.16.txt"/>
  </r>
  <r>
    <n v="2790"/>
    <n v="35.93"/>
    <s v="06.09.2024"/>
    <n v="6"/>
    <x v="8"/>
    <x v="1"/>
    <x v="2"/>
    <n v="-2"/>
    <m/>
    <m/>
    <x v="2"/>
    <n v="-1"/>
    <s v="HH20240906 T3797378220 No Limit Hold'em $1.84 + $0.16.txt"/>
  </r>
  <r>
    <n v="2791"/>
    <n v="33.93"/>
    <s v="06.09.2024"/>
    <n v="6"/>
    <x v="8"/>
    <x v="1"/>
    <x v="2"/>
    <n v="-2"/>
    <m/>
    <m/>
    <x v="2"/>
    <n v="-1"/>
    <s v="HH20240906 T3797388961 No Limit Hold'em $1.84 + $0.16.txt"/>
  </r>
  <r>
    <n v="2792"/>
    <n v="31.93"/>
    <s v="06.09.2024"/>
    <n v="6"/>
    <x v="8"/>
    <x v="1"/>
    <x v="2"/>
    <n v="-2"/>
    <m/>
    <m/>
    <x v="2"/>
    <n v="-1"/>
    <s v="HH20240906 T3797391445 No Limit Hold'em $1.84 + $0.16.txt"/>
  </r>
  <r>
    <n v="2793"/>
    <n v="29.93"/>
    <s v="06.09.2024"/>
    <n v="6"/>
    <x v="8"/>
    <x v="1"/>
    <x v="2"/>
    <n v="-2"/>
    <m/>
    <m/>
    <x v="2"/>
    <n v="-1"/>
    <s v="HH20240906 T3797455200 No Limit Hold'em $1.84 + $0.16.txt"/>
  </r>
  <r>
    <n v="2794"/>
    <n v="27.93"/>
    <s v="06.09.2024"/>
    <n v="6"/>
    <x v="8"/>
    <x v="1"/>
    <x v="2"/>
    <n v="-2"/>
    <m/>
    <m/>
    <x v="2"/>
    <n v="-1"/>
    <s v="HH20240906 T3797456763 No Limit Hold'em $1.84 + $0.16.txt"/>
  </r>
  <r>
    <n v="2795"/>
    <n v="29.93"/>
    <s v="06.09.2024"/>
    <n v="6"/>
    <x v="8"/>
    <x v="1"/>
    <x v="2"/>
    <n v="-2"/>
    <n v="4"/>
    <m/>
    <x v="1"/>
    <n v="1"/>
    <s v="HH20240906 T3797458998 No Limit Hold'em $1.84 + $0.16.txt"/>
  </r>
  <r>
    <n v="2796"/>
    <n v="27.93"/>
    <s v="06.09.2024"/>
    <n v="6"/>
    <x v="8"/>
    <x v="1"/>
    <x v="2"/>
    <n v="-2"/>
    <m/>
    <m/>
    <x v="2"/>
    <n v="-1"/>
    <s v="HH20240906 T3797463279 No Limit Hold'em $1.84 + $0.16.txt"/>
  </r>
  <r>
    <n v="2797"/>
    <n v="25.93"/>
    <s v="06.09.2024"/>
    <n v="6"/>
    <x v="8"/>
    <x v="1"/>
    <x v="2"/>
    <n v="-2"/>
    <m/>
    <m/>
    <x v="2"/>
    <n v="-1"/>
    <s v="HH20240906 T3797465696 No Limit Hold'em $1.84 + $0.16.txt"/>
  </r>
  <r>
    <n v="2798"/>
    <n v="27.93"/>
    <s v="06.09.2024"/>
    <n v="6"/>
    <x v="8"/>
    <x v="1"/>
    <x v="2"/>
    <n v="-2"/>
    <n v="4"/>
    <m/>
    <x v="1"/>
    <n v="1"/>
    <s v="HH20240906 T3797468997 No Limit Hold'em $1.84 + $0.16.txt"/>
  </r>
  <r>
    <n v="2799"/>
    <n v="25.93"/>
    <s v="06.09.2024"/>
    <n v="6"/>
    <x v="8"/>
    <x v="1"/>
    <x v="2"/>
    <n v="-2"/>
    <m/>
    <m/>
    <x v="2"/>
    <n v="-1"/>
    <s v="HH20240906 T3797471419 No Limit Hold'em $1.84 + $0.16.txt"/>
  </r>
  <r>
    <n v="2800"/>
    <n v="23.93"/>
    <s v="06.09.2024"/>
    <n v="6"/>
    <x v="8"/>
    <x v="1"/>
    <x v="2"/>
    <n v="-2"/>
    <m/>
    <m/>
    <x v="2"/>
    <n v="-1"/>
    <s v="HH20240906 T3797474942 No Limit Hold'em $1.84 + $0.16.txt"/>
  </r>
  <r>
    <n v="2801"/>
    <n v="27.93"/>
    <s v="06.09.2024"/>
    <n v="6"/>
    <x v="8"/>
    <x v="1"/>
    <x v="2"/>
    <n v="-2"/>
    <n v="6"/>
    <m/>
    <x v="1"/>
    <n v="2"/>
    <s v="HH20240906 T3797477851 No Limit Hold'em $1.84 + $0.16.txt"/>
  </r>
  <r>
    <n v="2802"/>
    <n v="25.93"/>
    <s v="07.09.2024"/>
    <n v="7"/>
    <x v="8"/>
    <x v="1"/>
    <x v="2"/>
    <n v="-2"/>
    <m/>
    <m/>
    <x v="2"/>
    <n v="-1"/>
    <s v="HH20240907 T3797710186 No Limit Hold'em $1.84 + $0.16.txt"/>
  </r>
  <r>
    <n v="2803"/>
    <n v="25.93"/>
    <s v="07.09.2024"/>
    <n v="7"/>
    <x v="8"/>
    <x v="1"/>
    <x v="12"/>
    <m/>
    <m/>
    <m/>
    <x v="2"/>
    <n v="0"/>
    <s v="HH20240907 T3797712256 No Limit Hold'em $0.46 + $0.04.txt"/>
  </r>
  <r>
    <n v="2804"/>
    <n v="25.93"/>
    <s v="07.09.2024"/>
    <n v="7"/>
    <x v="8"/>
    <x v="1"/>
    <x v="12"/>
    <m/>
    <m/>
    <m/>
    <x v="1"/>
    <n v="0"/>
    <s v="HH20240907 T3797714346 No Limit Hold'em $0.46 + $0.04.txt"/>
  </r>
  <r>
    <n v="2805"/>
    <n v="25.93"/>
    <s v="07.09.2024"/>
    <n v="7"/>
    <x v="8"/>
    <x v="1"/>
    <x v="13"/>
    <m/>
    <m/>
    <m/>
    <x v="2"/>
    <n v="0"/>
    <s v="HH20240907 T3795439053 No Limit Hold'em $1.40 + $0.10.txt"/>
  </r>
  <r>
    <n v="2806"/>
    <n v="23.93"/>
    <s v="07.09.2024"/>
    <n v="7"/>
    <x v="8"/>
    <x v="1"/>
    <x v="2"/>
    <n v="-2"/>
    <m/>
    <m/>
    <x v="2"/>
    <n v="-1"/>
    <s v="HH20240907 T3797717569 No Limit Hold'em $1.84 + $0.16.txt"/>
  </r>
  <r>
    <n v="2807"/>
    <n v="25.93"/>
    <s v="07.09.2024"/>
    <n v="7"/>
    <x v="8"/>
    <x v="1"/>
    <x v="2"/>
    <n v="-2"/>
    <n v="4"/>
    <m/>
    <x v="1"/>
    <n v="1"/>
    <s v="HH20240907 T3797719888 No Limit Hold'em $1.84 + $0.16.txt"/>
  </r>
  <r>
    <n v="2808"/>
    <n v="52.480000000000004"/>
    <s v="07.09.2024"/>
    <n v="7"/>
    <x v="8"/>
    <x v="1"/>
    <x v="15"/>
    <n v="-4.4000000000000004"/>
    <n v="8.5"/>
    <n v="22.45"/>
    <x v="1"/>
    <n v="6.0340909090909083"/>
    <s v="HH20240907 T3794725250 No Limit Hold'em $3.92 + $0.48.txt"/>
  </r>
  <r>
    <n v="2809"/>
    <n v="50.480000000000004"/>
    <s v="08.09.2024"/>
    <n v="8"/>
    <x v="8"/>
    <x v="1"/>
    <x v="2"/>
    <n v="-2"/>
    <m/>
    <m/>
    <x v="2"/>
    <n v="-1"/>
    <s v="HH20240908 T3798014085 No Limit Hold'em $1.84 + $0.16.txt"/>
  </r>
  <r>
    <n v="2810"/>
    <n v="50.480000000000004"/>
    <s v="08.09.2024"/>
    <n v="8"/>
    <x v="8"/>
    <x v="1"/>
    <x v="12"/>
    <m/>
    <m/>
    <m/>
    <x v="2"/>
    <n v="0"/>
    <s v="HH20240908 T3798014954 No Limit Hold'em $0.46 + $0.04.txt"/>
  </r>
  <r>
    <n v="2811"/>
    <n v="48.480000000000004"/>
    <s v="08.09.2024"/>
    <n v="8"/>
    <x v="8"/>
    <x v="1"/>
    <x v="2"/>
    <n v="-2"/>
    <m/>
    <m/>
    <x v="2"/>
    <n v="-1"/>
    <s v="HH20240908 T3798208875 No Limit Hold'em $1.84 + $0.16.txt"/>
  </r>
  <r>
    <n v="2812"/>
    <n v="50.480000000000004"/>
    <s v="09.09.2024"/>
    <n v="9"/>
    <x v="8"/>
    <x v="1"/>
    <x v="2"/>
    <n v="-2"/>
    <n v="4"/>
    <m/>
    <x v="1"/>
    <n v="1"/>
    <s v="HH20240909 T3798538119 No Limit Hold'em $1.84 + $0.16.txt"/>
  </r>
  <r>
    <n v="2813"/>
    <n v="50.480000000000004"/>
    <s v="09.09.2024"/>
    <n v="9"/>
    <x v="8"/>
    <x v="1"/>
    <x v="12"/>
    <m/>
    <m/>
    <m/>
    <x v="2"/>
    <n v="0"/>
    <s v="HH20240909 T3798540678 No Limit Hold'em $0.46 + $0.04.txt"/>
  </r>
  <r>
    <n v="2814"/>
    <n v="48.480000000000004"/>
    <s v="10.09.2024"/>
    <n v="10"/>
    <x v="8"/>
    <x v="1"/>
    <x v="2"/>
    <n v="-2"/>
    <m/>
    <m/>
    <x v="2"/>
    <n v="-1"/>
    <s v="HH20240910 T3798959580 No Limit Hold'em $1.84 + $0.16.txt"/>
  </r>
  <r>
    <n v="2815"/>
    <n v="48.480000000000004"/>
    <s v="10.09.2024"/>
    <n v="10"/>
    <x v="8"/>
    <x v="1"/>
    <x v="12"/>
    <m/>
    <m/>
    <m/>
    <x v="1"/>
    <n v="0"/>
    <s v="HH20240910 T3798961184 No Limit Hold'em $0.46 + $0.04.txt"/>
  </r>
  <r>
    <n v="2816"/>
    <n v="48.480000000000004"/>
    <s v="10.09.2024"/>
    <n v="10"/>
    <x v="8"/>
    <x v="1"/>
    <x v="13"/>
    <m/>
    <m/>
    <m/>
    <x v="2"/>
    <n v="0"/>
    <s v="HH20240910 T3798963441 No Limit Hold'em $0.96 + $0.04.txt"/>
  </r>
  <r>
    <n v="2817"/>
    <n v="52.480000000000004"/>
    <s v="11.09.2024"/>
    <n v="11"/>
    <x v="8"/>
    <x v="1"/>
    <x v="2"/>
    <n v="-2"/>
    <n v="6"/>
    <m/>
    <x v="1"/>
    <n v="2"/>
    <s v="HH20240911 T3799275303 No Limit Hold'em $1.84 + $0.16.txt"/>
  </r>
  <r>
    <n v="2818"/>
    <n v="52.480000000000004"/>
    <s v="11.09.2024"/>
    <n v="11"/>
    <x v="8"/>
    <x v="1"/>
    <x v="12"/>
    <m/>
    <m/>
    <m/>
    <x v="1"/>
    <n v="0"/>
    <s v="HH20240911 T3799305184 No Limit Hold'em $0.46 + $0.04.txt"/>
  </r>
  <r>
    <n v="2819"/>
    <n v="52.480000000000004"/>
    <s v="11.09.2024"/>
    <n v="11"/>
    <x v="8"/>
    <x v="1"/>
    <x v="13"/>
    <m/>
    <m/>
    <m/>
    <x v="2"/>
    <n v="0"/>
    <s v="HH20240911 T3797719451 No Limit Hold'em $1.40 + $0.10.txt"/>
  </r>
  <r>
    <n v="2820"/>
    <n v="50.480000000000004"/>
    <s v="11.09.2024"/>
    <n v="11"/>
    <x v="8"/>
    <x v="1"/>
    <x v="2"/>
    <n v="-2"/>
    <m/>
    <m/>
    <x v="2"/>
    <n v="-1"/>
    <s v="HH20240911 T3799337371 No Limit Hold'em $1.84 + $0.16.txt"/>
  </r>
  <r>
    <n v="2821"/>
    <n v="48.480000000000004"/>
    <s v="11.09.2024"/>
    <n v="11"/>
    <x v="8"/>
    <x v="1"/>
    <x v="2"/>
    <n v="-2"/>
    <m/>
    <m/>
    <x v="2"/>
    <n v="-1"/>
    <s v="HH20240911 T3799340080 No Limit Hold'em $1.84 + $0.16.txt"/>
  </r>
  <r>
    <n v="2822"/>
    <n v="46.480000000000004"/>
    <s v="14.09.2024"/>
    <n v="14"/>
    <x v="8"/>
    <x v="1"/>
    <x v="2"/>
    <n v="-2"/>
    <m/>
    <m/>
    <x v="2"/>
    <n v="-1"/>
    <s v="HH20240914 T3800351988 No Limit Hold'em $1.84 + $0.16.txt"/>
  </r>
  <r>
    <n v="2823"/>
    <n v="44.480000000000004"/>
    <s v="14.09.2024"/>
    <n v="14"/>
    <x v="8"/>
    <x v="1"/>
    <x v="2"/>
    <n v="-2"/>
    <m/>
    <m/>
    <x v="2"/>
    <n v="-1"/>
    <s v="HH20240914 T3800353465 No Limit Hold'em $1.84 + $0.16.txt"/>
  </r>
  <r>
    <n v="2824"/>
    <n v="44.480000000000004"/>
    <s v="14.09.2024"/>
    <n v="14"/>
    <x v="8"/>
    <x v="1"/>
    <x v="12"/>
    <m/>
    <m/>
    <m/>
    <x v="2"/>
    <n v="0"/>
    <s v="HH20240914 T3800354784 No Limit Hold'em $0.46 + $0.04.txt"/>
  </r>
  <r>
    <n v="2825"/>
    <n v="46.480000000000004"/>
    <s v="14.09.2024"/>
    <n v="14"/>
    <x v="8"/>
    <x v="1"/>
    <x v="2"/>
    <n v="-2"/>
    <n v="4"/>
    <m/>
    <x v="1"/>
    <n v="1"/>
    <s v="HH20240914 T3800355610 No Limit Hold'em $1.84 + $0.16.txt"/>
  </r>
  <r>
    <n v="2826"/>
    <n v="44.480000000000004"/>
    <s v="14.09.2024"/>
    <n v="14"/>
    <x v="8"/>
    <x v="1"/>
    <x v="2"/>
    <n v="-2"/>
    <m/>
    <m/>
    <x v="2"/>
    <n v="-1"/>
    <s v="HH20240914 T3800357358 No Limit Hold'em $1.84 + $0.16.txt"/>
  </r>
  <r>
    <n v="2827"/>
    <n v="43.760000000000005"/>
    <s v="14.09.2024"/>
    <n v="14"/>
    <x v="8"/>
    <x v="1"/>
    <x v="16"/>
    <n v="-11"/>
    <m/>
    <n v="10.28"/>
    <x v="2"/>
    <n v="-6.5454545454545543E-2"/>
    <s v="HH20240914 T3799228565 No Limit Hold'em $10.27 + $0.73 Zoom.txt"/>
  </r>
  <r>
    <n v="2828"/>
    <n v="41.760000000000005"/>
    <s v="14.09.2024"/>
    <n v="14"/>
    <x v="8"/>
    <x v="1"/>
    <x v="2"/>
    <n v="-2"/>
    <m/>
    <m/>
    <x v="2"/>
    <n v="-1"/>
    <s v="HH20240914 T3800403144 No Limit Hold'em $1.84 + $0.16.txt"/>
  </r>
  <r>
    <n v="2829"/>
    <n v="39.760000000000005"/>
    <s v="14.09.2024"/>
    <n v="14"/>
    <x v="8"/>
    <x v="1"/>
    <x v="2"/>
    <n v="-2"/>
    <m/>
    <m/>
    <x v="2"/>
    <n v="-1"/>
    <s v="HH20240914 T3800405047 No Limit Hold'em $1.84 + $0.16.txt"/>
  </r>
  <r>
    <n v="2830"/>
    <n v="41.760000000000005"/>
    <s v="14.09.2024"/>
    <n v="14"/>
    <x v="8"/>
    <x v="1"/>
    <x v="2"/>
    <n v="-2"/>
    <n v="4"/>
    <m/>
    <x v="1"/>
    <n v="1"/>
    <s v="HH20240914 T3800405588 No Limit Hold'em $1.84 + $0.16.txt"/>
  </r>
  <r>
    <n v="2831"/>
    <n v="39.760000000000005"/>
    <s v="14.09.2024"/>
    <n v="14"/>
    <x v="8"/>
    <x v="1"/>
    <x v="2"/>
    <n v="-2"/>
    <m/>
    <m/>
    <x v="2"/>
    <n v="-1"/>
    <s v="HH20240914 T3800407737 No Limit Hold'em $1.84 + $0.16.txt"/>
  </r>
  <r>
    <n v="2832"/>
    <n v="41.760000000000005"/>
    <s v="14.09.2024"/>
    <n v="14"/>
    <x v="8"/>
    <x v="1"/>
    <x v="2"/>
    <n v="-2"/>
    <n v="4"/>
    <m/>
    <x v="1"/>
    <n v="1"/>
    <s v="HH20240914 T3800409682 No Limit Hold'em $1.84 + $0.16.txt"/>
  </r>
  <r>
    <n v="2833"/>
    <n v="39.760000000000005"/>
    <s v="14.09.2024"/>
    <n v="14"/>
    <x v="8"/>
    <x v="1"/>
    <x v="2"/>
    <n v="-2"/>
    <m/>
    <m/>
    <x v="2"/>
    <n v="-1"/>
    <s v="HH20240914 T3800413067 No Limit Hold'em $1.84 + $0.16.txt"/>
  </r>
  <r>
    <n v="2834"/>
    <n v="37.760000000000005"/>
    <s v="14.09.2024"/>
    <n v="14"/>
    <x v="8"/>
    <x v="1"/>
    <x v="2"/>
    <n v="-2"/>
    <m/>
    <m/>
    <x v="2"/>
    <n v="-1"/>
    <s v="HH20240914 T3800416168 No Limit Hold'em $1.84 + $0.16.txt"/>
  </r>
  <r>
    <n v="2835"/>
    <n v="41.760000000000005"/>
    <s v="14.09.2024"/>
    <n v="14"/>
    <x v="8"/>
    <x v="1"/>
    <x v="2"/>
    <n v="-2"/>
    <n v="6"/>
    <m/>
    <x v="1"/>
    <n v="2"/>
    <s v="HH20240914 T3800419527 No Limit Hold'em $1.84 + $0.16.txt"/>
  </r>
  <r>
    <n v="2836"/>
    <n v="47.760000000000005"/>
    <s v="14.09.2024"/>
    <n v="14"/>
    <x v="8"/>
    <x v="1"/>
    <x v="2"/>
    <n v="-2"/>
    <n v="8"/>
    <m/>
    <x v="1"/>
    <n v="3"/>
    <s v="HH20240914 T3800421267 No Limit Hold'em $1.84 + $0.16.txt"/>
  </r>
  <r>
    <n v="2837"/>
    <n v="49.760000000000005"/>
    <s v="14.09.2024"/>
    <n v="14"/>
    <x v="8"/>
    <x v="1"/>
    <x v="2"/>
    <n v="-2"/>
    <n v="4"/>
    <m/>
    <x v="1"/>
    <n v="1"/>
    <s v="HH20240914 T3800424346 No Limit Hold'em $1.84 + $0.16.txt"/>
  </r>
  <r>
    <n v="2838"/>
    <n v="51.760000000000005"/>
    <s v="14.09.2024"/>
    <n v="14"/>
    <x v="8"/>
    <x v="1"/>
    <x v="2"/>
    <n v="-2"/>
    <n v="4"/>
    <m/>
    <x v="1"/>
    <n v="1"/>
    <s v="HH20240914 T3800516420 No Limit Hold'em $1.84 + $0.16.txt"/>
  </r>
  <r>
    <n v="2839"/>
    <n v="55.760000000000005"/>
    <s v="14.09.2024"/>
    <n v="14"/>
    <x v="8"/>
    <x v="1"/>
    <x v="2"/>
    <n v="-2"/>
    <n v="6"/>
    <m/>
    <x v="1"/>
    <n v="2"/>
    <s v="HH20240914 T3800521627 No Limit Hold'em $1.84 + $0.16.txt"/>
  </r>
  <r>
    <n v="2840"/>
    <n v="53.760000000000005"/>
    <s v="15.09.2024"/>
    <n v="15"/>
    <x v="8"/>
    <x v="1"/>
    <x v="2"/>
    <n v="-2"/>
    <m/>
    <m/>
    <x v="2"/>
    <n v="-1"/>
    <s v="HH20240915 T3800692933 No Limit Hold'em $1.84 + $0.16.txt"/>
  </r>
  <r>
    <n v="2841"/>
    <n v="53.760000000000005"/>
    <s v="15.09.2024"/>
    <n v="15"/>
    <x v="8"/>
    <x v="1"/>
    <x v="12"/>
    <m/>
    <m/>
    <m/>
    <x v="2"/>
    <n v="0"/>
    <s v="HH20240915 T3800695183 No Limit Hold'em $0.46 + $0.04.txt"/>
  </r>
  <r>
    <n v="2842"/>
    <n v="51.760000000000005"/>
    <s v="15.09.2024"/>
    <n v="15"/>
    <x v="8"/>
    <x v="1"/>
    <x v="2"/>
    <n v="-2"/>
    <m/>
    <m/>
    <x v="2"/>
    <n v="-1"/>
    <s v="HH20240915 T3800823316 No Limit Hold'em $1.84 + $0.16.txt"/>
  </r>
  <r>
    <n v="2843"/>
    <n v="49.760000000000005"/>
    <s v="15.09.2024"/>
    <n v="15"/>
    <x v="8"/>
    <x v="1"/>
    <x v="2"/>
    <n v="-2"/>
    <m/>
    <m/>
    <x v="2"/>
    <n v="-1"/>
    <s v="HH20240915 T3800823879 No Limit Hold'em $1.84 + $0.16.txt"/>
  </r>
  <r>
    <n v="2844"/>
    <n v="53.760000000000005"/>
    <s v="15.09.2024"/>
    <n v="15"/>
    <x v="8"/>
    <x v="1"/>
    <x v="2"/>
    <n v="-2"/>
    <n v="6"/>
    <m/>
    <x v="1"/>
    <n v="2"/>
    <s v="HH20240915 T3800825459 No Limit Hold'em $1.84 + $0.16.txt"/>
  </r>
  <r>
    <n v="2845"/>
    <n v="51.760000000000005"/>
    <s v="15.09.2024"/>
    <n v="15"/>
    <x v="8"/>
    <x v="1"/>
    <x v="2"/>
    <n v="-2"/>
    <m/>
    <m/>
    <x v="2"/>
    <n v="-1"/>
    <s v="HH20240915 T3800826874 No Limit Hold'em $1.84 + $0.16.txt"/>
  </r>
  <r>
    <n v="2846"/>
    <n v="55.760000000000005"/>
    <s v="15.09.2024"/>
    <n v="15"/>
    <x v="8"/>
    <x v="1"/>
    <x v="2"/>
    <n v="-2"/>
    <n v="6"/>
    <m/>
    <x v="1"/>
    <n v="2"/>
    <s v="HH20240915 T3800828655 No Limit Hold'em $1.84 + $0.16.txt"/>
  </r>
  <r>
    <n v="2847"/>
    <n v="53.760000000000005"/>
    <s v="15.09.2024"/>
    <n v="15"/>
    <x v="8"/>
    <x v="1"/>
    <x v="2"/>
    <n v="-2"/>
    <m/>
    <m/>
    <x v="2"/>
    <n v="-1"/>
    <s v="HH20240915 T3800831395 No Limit Hold'em $1.84 + $0.16.txt"/>
  </r>
  <r>
    <n v="2848"/>
    <n v="51.760000000000005"/>
    <s v="15.09.2024"/>
    <n v="15"/>
    <x v="8"/>
    <x v="1"/>
    <x v="2"/>
    <n v="-2"/>
    <m/>
    <m/>
    <x v="2"/>
    <n v="-1"/>
    <s v="HH20240915 T3800833383 No Limit Hold'em $1.84 + $0.16.txt"/>
  </r>
  <r>
    <n v="2849"/>
    <n v="55.760000000000005"/>
    <s v="15.09.2024"/>
    <n v="15"/>
    <x v="8"/>
    <x v="1"/>
    <x v="2"/>
    <n v="-2"/>
    <n v="6"/>
    <m/>
    <x v="1"/>
    <n v="2"/>
    <s v="HH20240915 T3800875100 No Limit Hold'em $1.84 + $0.16.txt"/>
  </r>
  <r>
    <n v="2850"/>
    <n v="57.760000000000005"/>
    <s v="16.09.2024"/>
    <n v="16"/>
    <x v="8"/>
    <x v="1"/>
    <x v="2"/>
    <n v="-2"/>
    <n v="4"/>
    <m/>
    <x v="1"/>
    <n v="1"/>
    <s v="HH20240916 T3801175793 No Limit Hold'em $1.84 + $0.16.txt"/>
  </r>
  <r>
    <n v="2851"/>
    <n v="57.760000000000005"/>
    <s v="16.09.2024"/>
    <n v="16"/>
    <x v="8"/>
    <x v="1"/>
    <x v="12"/>
    <m/>
    <m/>
    <m/>
    <x v="1"/>
    <n v="0"/>
    <s v="HH20240916 T3801178436 No Limit Hold'em $0.46 + $0.04.txt"/>
  </r>
  <r>
    <n v="2852"/>
    <n v="65.760000000000005"/>
    <s v="18.09.2024"/>
    <n v="18"/>
    <x v="8"/>
    <x v="1"/>
    <x v="2"/>
    <n v="-2"/>
    <n v="10"/>
    <m/>
    <x v="1"/>
    <n v="4"/>
    <s v="HH20240918 T3802273669 No Limit Hold'em $1.84 + $0.16.txt"/>
  </r>
  <r>
    <n v="2853"/>
    <n v="65.760000000000005"/>
    <s v="18.09.2024"/>
    <n v="18"/>
    <x v="8"/>
    <x v="1"/>
    <x v="12"/>
    <m/>
    <m/>
    <m/>
    <x v="2"/>
    <n v="0"/>
    <s v="HH20240918 T3802275577 No Limit Hold'em $0.46 + $0.04.txt"/>
  </r>
  <r>
    <n v="2854"/>
    <n v="69.760000000000005"/>
    <s v="18.09.2024"/>
    <n v="18"/>
    <x v="8"/>
    <x v="1"/>
    <x v="2"/>
    <n v="-2"/>
    <n v="6"/>
    <m/>
    <x v="1"/>
    <n v="2"/>
    <s v="HH20240918 T3802299741 No Limit Hold'em $1.84 + $0.16.txt"/>
  </r>
  <r>
    <n v="2855"/>
    <n v="67.760000000000005"/>
    <s v="18.09.2024"/>
    <n v="18"/>
    <x v="8"/>
    <x v="1"/>
    <x v="2"/>
    <n v="-2"/>
    <m/>
    <m/>
    <x v="2"/>
    <n v="-1"/>
    <s v="HH20240918 T3802327534 No Limit Hold'em $1.84 + $0.16.txt"/>
  </r>
  <r>
    <n v="2856"/>
    <n v="71.760000000000005"/>
    <s v="18.09.2024"/>
    <n v="18"/>
    <x v="8"/>
    <x v="1"/>
    <x v="2"/>
    <n v="-2"/>
    <n v="6"/>
    <m/>
    <x v="1"/>
    <n v="2"/>
    <s v="HH20240918 T3802442152 No Limit Hold'em $1.84 + $0.16.txt"/>
  </r>
  <r>
    <n v="2857"/>
    <n v="75.760000000000005"/>
    <s v="18.09.2024"/>
    <n v="18"/>
    <x v="8"/>
    <x v="1"/>
    <x v="2"/>
    <n v="-2"/>
    <n v="6"/>
    <m/>
    <x v="1"/>
    <n v="2"/>
    <s v="HH20240918 T3802444822 No Limit Hold'em $1.84 + $0.16.txt"/>
  </r>
  <r>
    <n v="2858"/>
    <n v="73.760000000000005"/>
    <s v="19.09.2024"/>
    <n v="19"/>
    <x v="8"/>
    <x v="1"/>
    <x v="2"/>
    <n v="-2"/>
    <m/>
    <m/>
    <x v="2"/>
    <n v="-1"/>
    <s v="HH20240919 T3802763605 No Limit Hold'em $1.84 + $0.16.txt"/>
  </r>
  <r>
    <n v="2859"/>
    <n v="73.760000000000005"/>
    <s v="19.09.2024"/>
    <n v="19"/>
    <x v="8"/>
    <x v="1"/>
    <x v="12"/>
    <m/>
    <m/>
    <m/>
    <x v="2"/>
    <n v="0"/>
    <s v="HH20240919 T3802766391 No Limit Hold'em $0.46 + $0.04.txt"/>
  </r>
  <r>
    <n v="2860"/>
    <n v="75.760000000000005"/>
    <s v="19.09.2024"/>
    <n v="19"/>
    <x v="8"/>
    <x v="1"/>
    <x v="2"/>
    <n v="-2"/>
    <n v="4"/>
    <m/>
    <x v="1"/>
    <n v="1"/>
    <s v="HH20240919 T3802768421 No Limit Hold'em $1.84 + $0.16.txt"/>
  </r>
  <r>
    <n v="2861"/>
    <n v="73.760000000000005"/>
    <s v="19.09.2024"/>
    <n v="19"/>
    <x v="8"/>
    <x v="1"/>
    <x v="2"/>
    <n v="-2"/>
    <m/>
    <m/>
    <x v="2"/>
    <n v="-1"/>
    <s v="HH20240919 T3802856128 No Limit Hold'em $1.84 + $0.16.txt"/>
  </r>
  <r>
    <n v="2862"/>
    <n v="71.760000000000005"/>
    <s v="19.09.2024"/>
    <n v="19"/>
    <x v="8"/>
    <x v="1"/>
    <x v="2"/>
    <n v="-2"/>
    <m/>
    <m/>
    <x v="2"/>
    <n v="-1"/>
    <s v="HH20240919 T3802857778 No Limit Hold'em $1.84 + $0.16.txt"/>
  </r>
  <r>
    <n v="2863"/>
    <n v="69.760000000000005"/>
    <s v="21.09.2024"/>
    <n v="21"/>
    <x v="8"/>
    <x v="1"/>
    <x v="2"/>
    <n v="-2"/>
    <m/>
    <m/>
    <x v="2"/>
    <n v="-1"/>
    <s v="HH20240921 T3803457384 No Limit Hold'em $1.84 + $0.16.txt"/>
  </r>
  <r>
    <n v="2864"/>
    <n v="69.760000000000005"/>
    <s v="21.09.2024"/>
    <n v="21"/>
    <x v="8"/>
    <x v="1"/>
    <x v="12"/>
    <m/>
    <m/>
    <m/>
    <x v="2"/>
    <n v="0"/>
    <s v="HH20240921 T3803459994 No Limit Hold'em $0.46 + $0.04.txt"/>
  </r>
  <r>
    <n v="2865"/>
    <n v="73.760000000000005"/>
    <s v="21.09.2024"/>
    <n v="21"/>
    <x v="8"/>
    <x v="1"/>
    <x v="2"/>
    <n v="-2"/>
    <n v="6"/>
    <m/>
    <x v="1"/>
    <n v="2"/>
    <s v="HH20240921 T3803460388 No Limit Hold'em $1.84 + $0.16.txt"/>
  </r>
  <r>
    <n v="2866"/>
    <n v="71.760000000000005"/>
    <s v="21.09.2024"/>
    <n v="21"/>
    <x v="8"/>
    <x v="1"/>
    <x v="2"/>
    <n v="-2"/>
    <m/>
    <m/>
    <x v="2"/>
    <n v="-1"/>
    <s v="HH20240921 T3803461851 No Limit Hold'em $1.84 + $0.16.txt"/>
  </r>
  <r>
    <n v="2867"/>
    <n v="69.760000000000005"/>
    <s v="21.09.2024"/>
    <n v="21"/>
    <x v="8"/>
    <x v="1"/>
    <x v="2"/>
    <n v="-2"/>
    <m/>
    <m/>
    <x v="2"/>
    <n v="-1"/>
    <s v="HH20240921 T3803464158 No Limit Hold'em $1.84 + $0.16.txt"/>
  </r>
  <r>
    <n v="2868"/>
    <n v="67.760000000000005"/>
    <s v="21.09.2024"/>
    <n v="21"/>
    <x v="8"/>
    <x v="1"/>
    <x v="2"/>
    <n v="-2"/>
    <m/>
    <m/>
    <x v="2"/>
    <n v="-1"/>
    <s v="HH20240921 T3803464975 No Limit Hold'em $1.84 + $0.16.txt"/>
  </r>
  <r>
    <n v="2869"/>
    <n v="69.760000000000005"/>
    <s v="21.09.2024"/>
    <n v="21"/>
    <x v="8"/>
    <x v="1"/>
    <x v="2"/>
    <n v="-2"/>
    <n v="4"/>
    <m/>
    <x v="1"/>
    <n v="1"/>
    <s v="HH20240921 T3803465527 No Limit Hold'em $1.84 + $0.16.txt"/>
  </r>
  <r>
    <n v="2870"/>
    <n v="73.760000000000005"/>
    <s v="21.09.2024"/>
    <n v="21"/>
    <x v="8"/>
    <x v="1"/>
    <x v="2"/>
    <n v="-2"/>
    <n v="6"/>
    <m/>
    <x v="1"/>
    <n v="2"/>
    <s v="HH20240921 T3803495677 No Limit Hold'em $1.84 + $0.16.txt"/>
  </r>
  <r>
    <n v="2871"/>
    <n v="71.760000000000005"/>
    <s v="21.09.2024"/>
    <n v="21"/>
    <x v="8"/>
    <x v="1"/>
    <x v="2"/>
    <n v="-2"/>
    <m/>
    <m/>
    <x v="2"/>
    <n v="-1"/>
    <s v="HH20240921 T3803503338 No Limit Hold'em $1.84 + $0.16.txt"/>
  </r>
  <r>
    <n v="2872"/>
    <n v="69.760000000000005"/>
    <s v="21.09.2024"/>
    <n v="21"/>
    <x v="8"/>
    <x v="1"/>
    <x v="2"/>
    <n v="-2"/>
    <m/>
    <m/>
    <x v="2"/>
    <n v="-1"/>
    <s v="HH20240921 T3803505546 No Limit Hold'em $1.84 + $0.16.txt"/>
  </r>
  <r>
    <n v="2873"/>
    <n v="67.760000000000005"/>
    <s v="21.09.2024"/>
    <n v="21"/>
    <x v="8"/>
    <x v="1"/>
    <x v="2"/>
    <n v="-2"/>
    <m/>
    <m/>
    <x v="2"/>
    <n v="-1"/>
    <s v="HH20240921 T3803506949 No Limit Hold'em $1.84 + $0.16.txt"/>
  </r>
  <r>
    <n v="2874"/>
    <n v="69.760000000000005"/>
    <s v="21.09.2024"/>
    <n v="21"/>
    <x v="8"/>
    <x v="1"/>
    <x v="2"/>
    <n v="-2"/>
    <n v="4"/>
    <m/>
    <x v="1"/>
    <n v="1"/>
    <s v="HH20240921 T3803508129 No Limit Hold'em $1.84 + $0.16.txt"/>
  </r>
  <r>
    <n v="2875"/>
    <n v="59.760000000000005"/>
    <s v="21.09.2024"/>
    <n v="21"/>
    <x v="8"/>
    <x v="1"/>
    <x v="2"/>
    <n v="-10"/>
    <m/>
    <m/>
    <x v="2"/>
    <n v="-1"/>
    <s v="HH20240921 T3803512363 No Limit Hold'em $9.30 + $0.70.txt"/>
  </r>
  <r>
    <n v="2876"/>
    <n v="57.760000000000005"/>
    <s v="21.09.2024"/>
    <n v="21"/>
    <x v="8"/>
    <x v="1"/>
    <x v="2"/>
    <n v="-2"/>
    <m/>
    <m/>
    <x v="2"/>
    <n v="-1"/>
    <s v="HH20240921 T3803514235 No Limit Hold'em $1.84 + $0.16.txt"/>
  </r>
  <r>
    <n v="2877"/>
    <n v="55.760000000000005"/>
    <s v="21.09.2024"/>
    <n v="21"/>
    <x v="8"/>
    <x v="1"/>
    <x v="2"/>
    <n v="-2"/>
    <m/>
    <m/>
    <x v="2"/>
    <n v="-1"/>
    <s v="HH20240921 T3803516029 No Limit Hold'em $1.84 + $0.16.txt"/>
  </r>
  <r>
    <n v="2878"/>
    <n v="57.760000000000005"/>
    <s v="21.09.2024"/>
    <n v="21"/>
    <x v="8"/>
    <x v="1"/>
    <x v="2"/>
    <n v="-2"/>
    <n v="4"/>
    <m/>
    <x v="1"/>
    <n v="1"/>
    <s v="HH20240921 T3803518663 No Limit Hold'em $1.84 + $0.16.txt"/>
  </r>
  <r>
    <n v="2879"/>
    <n v="61.760000000000005"/>
    <s v="21.09.2024"/>
    <n v="21"/>
    <x v="8"/>
    <x v="1"/>
    <x v="2"/>
    <n v="-2"/>
    <n v="6"/>
    <m/>
    <x v="1"/>
    <n v="2"/>
    <s v="HH20240921 T3803521572 No Limit Hold'em $1.84 + $0.16.txt"/>
  </r>
  <r>
    <n v="2880"/>
    <n v="51.760000000000005"/>
    <s v="21.09.2024"/>
    <n v="21"/>
    <x v="8"/>
    <x v="1"/>
    <x v="2"/>
    <n v="-10"/>
    <m/>
    <m/>
    <x v="2"/>
    <n v="-1"/>
    <s v="HH20240921 T3803523650 No Limit Hold'em $9.30 + $0.70.txt"/>
  </r>
  <r>
    <n v="2881"/>
    <n v="57.760000000000005"/>
    <s v="21.09.2024"/>
    <n v="21"/>
    <x v="8"/>
    <x v="1"/>
    <x v="2"/>
    <n v="-2"/>
    <n v="8"/>
    <m/>
    <x v="1"/>
    <n v="3"/>
    <s v="HH20240921 T3803525741 No Limit Hold'em $1.84 + $0.16.txt"/>
  </r>
  <r>
    <n v="2882"/>
    <n v="55.760000000000005"/>
    <s v="21.09.2024"/>
    <n v="21"/>
    <x v="8"/>
    <x v="1"/>
    <x v="2"/>
    <n v="-2"/>
    <m/>
    <m/>
    <x v="2"/>
    <n v="-1"/>
    <s v="HH20240921 T3803527963 No Limit Hold'em $1.84 + $0.16.txt"/>
  </r>
  <r>
    <n v="2883"/>
    <n v="53.760000000000005"/>
    <s v="21.09.2024"/>
    <n v="21"/>
    <x v="8"/>
    <x v="1"/>
    <x v="2"/>
    <n v="-2"/>
    <m/>
    <m/>
    <x v="2"/>
    <n v="-1"/>
    <s v="HH20240921 T3803622830 No Limit Hold'em $1.84 + $0.16.txt"/>
  </r>
  <r>
    <n v="2884"/>
    <n v="51.760000000000005"/>
    <s v="21.09.2024"/>
    <n v="21"/>
    <x v="8"/>
    <x v="1"/>
    <x v="2"/>
    <n v="-2"/>
    <m/>
    <m/>
    <x v="2"/>
    <n v="-1"/>
    <s v="HH20240921 T3803625943 No Limit Hold'em $1.84 + $0.16.txt"/>
  </r>
  <r>
    <n v="2885"/>
    <n v="49.760000000000005"/>
    <s v="22.09.2024"/>
    <n v="22"/>
    <x v="8"/>
    <x v="1"/>
    <x v="2"/>
    <n v="-2"/>
    <m/>
    <m/>
    <x v="2"/>
    <n v="-1"/>
    <s v="HH20240922 T3803774928 No Limit Hold'em $1.84 + $0.16.txt"/>
  </r>
  <r>
    <n v="2886"/>
    <n v="49.760000000000005"/>
    <s v="22.09.2024"/>
    <n v="22"/>
    <x v="8"/>
    <x v="1"/>
    <x v="12"/>
    <m/>
    <m/>
    <m/>
    <x v="2"/>
    <n v="0"/>
    <s v="HH20240922 T3803776777 No Limit Hold'em $0.46 + $0.04.txt"/>
  </r>
  <r>
    <n v="2887"/>
    <n v="51.760000000000005"/>
    <s v="22.09.2024"/>
    <n v="22"/>
    <x v="8"/>
    <x v="1"/>
    <x v="2"/>
    <n v="-2"/>
    <n v="4"/>
    <m/>
    <x v="1"/>
    <n v="1"/>
    <s v="HH20240922 T3803777117 No Limit Hold'em $1.84 + $0.16.txt"/>
  </r>
  <r>
    <n v="2888"/>
    <n v="49.760000000000005"/>
    <s v="22.09.2024"/>
    <n v="22"/>
    <x v="8"/>
    <x v="1"/>
    <x v="2"/>
    <n v="-2"/>
    <m/>
    <m/>
    <x v="2"/>
    <n v="-1"/>
    <s v="HH20240922 T3803778787 No Limit Hold'em $1.84 + $0.16.txt"/>
  </r>
  <r>
    <n v="2889"/>
    <n v="51.760000000000005"/>
    <s v="22.09.2024"/>
    <n v="22"/>
    <x v="8"/>
    <x v="1"/>
    <x v="2"/>
    <n v="-2"/>
    <n v="4"/>
    <m/>
    <x v="1"/>
    <n v="1"/>
    <s v="HH20240922 T3803838308 No Limit Hold'em $1.84 + $0.16.txt"/>
  </r>
  <r>
    <n v="2890"/>
    <n v="49.760000000000005"/>
    <s v="22.09.2024"/>
    <n v="22"/>
    <x v="8"/>
    <x v="1"/>
    <x v="2"/>
    <n v="-2"/>
    <m/>
    <m/>
    <x v="2"/>
    <n v="-1"/>
    <s v="HH20240922 T3803887851 No Limit Hold'em $1.84 + $0.16.txt"/>
  </r>
  <r>
    <n v="2891"/>
    <n v="47.760000000000005"/>
    <s v="22.09.2024"/>
    <n v="22"/>
    <x v="8"/>
    <x v="1"/>
    <x v="2"/>
    <n v="-2"/>
    <m/>
    <m/>
    <x v="2"/>
    <n v="-1"/>
    <s v="HH20240922 T3803889195 No Limit Hold'em $1.84 + $0.16.txt"/>
  </r>
  <r>
    <n v="2892"/>
    <n v="45.760000000000005"/>
    <s v="22.09.2024"/>
    <n v="22"/>
    <x v="8"/>
    <x v="1"/>
    <x v="2"/>
    <n v="-2"/>
    <m/>
    <m/>
    <x v="2"/>
    <n v="-1"/>
    <s v="HH20240922 T3803889728 No Limit Hold'em $1.84 + $0.16.txt"/>
  </r>
  <r>
    <n v="2893"/>
    <n v="51.760000000000005"/>
    <s v="22.09.2024"/>
    <n v="22"/>
    <x v="8"/>
    <x v="1"/>
    <x v="2"/>
    <n v="-2"/>
    <n v="8"/>
    <m/>
    <x v="1"/>
    <n v="3"/>
    <s v="HH20240922 T3803890626 No Limit Hold'em $1.84 + $0.16.txt"/>
  </r>
  <r>
    <n v="2894"/>
    <n v="59.760000000000005"/>
    <s v="22.09.2024"/>
    <n v="22"/>
    <x v="8"/>
    <x v="1"/>
    <x v="2"/>
    <n v="-2"/>
    <n v="10"/>
    <m/>
    <x v="1"/>
    <n v="4"/>
    <s v="HH20240922 T3803892872 No Limit Hold'em $1.84 + $0.16.txt"/>
  </r>
  <r>
    <n v="2895"/>
    <n v="59.760000000000005"/>
    <s v="22.09.2024"/>
    <n v="22"/>
    <x v="8"/>
    <x v="1"/>
    <x v="13"/>
    <m/>
    <m/>
    <m/>
    <x v="2"/>
    <n v="0"/>
    <s v="HH20240922 T3799553731 No Limit Hold'em $1.40 + $0.10.txt"/>
  </r>
  <r>
    <n v="2896"/>
    <n v="57.760000000000005"/>
    <s v="22.09.2024"/>
    <n v="22"/>
    <x v="8"/>
    <x v="1"/>
    <x v="2"/>
    <n v="-2"/>
    <m/>
    <m/>
    <x v="2"/>
    <n v="-1"/>
    <s v="HH20240922 T3803929698 No Limit Hold'em $1.84 + $0.16.txt"/>
  </r>
  <r>
    <n v="2897"/>
    <n v="47.760000000000005"/>
    <s v="22.09.2024"/>
    <n v="22"/>
    <x v="8"/>
    <x v="1"/>
    <x v="2"/>
    <n v="-10"/>
    <m/>
    <m/>
    <x v="2"/>
    <n v="-1"/>
    <s v="HH20240922 T3803933120 No Limit Hold'em $9.30 + $0.70.txt"/>
  </r>
  <r>
    <n v="2898"/>
    <n v="45.760000000000005"/>
    <s v="22.09.2024"/>
    <n v="22"/>
    <x v="8"/>
    <x v="1"/>
    <x v="2"/>
    <n v="-2"/>
    <m/>
    <m/>
    <x v="2"/>
    <n v="-1"/>
    <s v="HH20240922 T3803936404 No Limit Hold'em $1.84 + $0.16.txt"/>
  </r>
  <r>
    <n v="2899"/>
    <n v="43.760000000000005"/>
    <s v="22.09.2024"/>
    <n v="22"/>
    <x v="8"/>
    <x v="1"/>
    <x v="2"/>
    <n v="-2"/>
    <m/>
    <m/>
    <x v="2"/>
    <n v="-1"/>
    <s v="HH20240922 T3803937859 No Limit Hold'em $1.84 + $0.16.txt"/>
  </r>
  <r>
    <n v="2900"/>
    <n v="41.760000000000005"/>
    <s v="23.09.2024"/>
    <n v="23"/>
    <x v="8"/>
    <x v="1"/>
    <x v="2"/>
    <n v="-2"/>
    <m/>
    <m/>
    <x v="2"/>
    <n v="-1"/>
    <s v="HH20240923 T3804129837 No Limit Hold'em $1.84 + $0.16.txt"/>
  </r>
  <r>
    <n v="2901"/>
    <n v="41.760000000000005"/>
    <s v="23.09.2024"/>
    <n v="23"/>
    <x v="8"/>
    <x v="1"/>
    <x v="12"/>
    <m/>
    <m/>
    <m/>
    <x v="1"/>
    <n v="0"/>
    <s v="HH20240923 T3804130807 No Limit Hold'em $0.46 + $0.04.txt"/>
  </r>
  <r>
    <n v="2902"/>
    <n v="41.760000000000005"/>
    <s v="23.09.2024"/>
    <n v="23"/>
    <x v="8"/>
    <x v="1"/>
    <x v="13"/>
    <m/>
    <m/>
    <m/>
    <x v="1"/>
    <n v="0"/>
    <s v="HH20240923 T3804131190 No Limit Hold'em $0.96 + $0.04.txt"/>
  </r>
  <r>
    <n v="2903"/>
    <n v="39.760000000000005"/>
    <s v="23.09.2024"/>
    <n v="23"/>
    <x v="8"/>
    <x v="1"/>
    <x v="2"/>
    <n v="-2"/>
    <m/>
    <m/>
    <x v="2"/>
    <n v="-1"/>
    <s v="HH20240923 T3804176520 No Limit Hold'em $1.84 + $0.16.txt"/>
  </r>
  <r>
    <n v="2904"/>
    <n v="37.760000000000005"/>
    <s v="23.09.2024"/>
    <n v="23"/>
    <x v="8"/>
    <x v="1"/>
    <x v="2"/>
    <n v="-2"/>
    <m/>
    <m/>
    <x v="2"/>
    <n v="-1"/>
    <s v="HH20240923 T3804178320 No Limit Hold'em $1.84 + $0.16.txt"/>
  </r>
  <r>
    <n v="2905"/>
    <n v="35.760000000000005"/>
    <s v="23.09.2024"/>
    <n v="23"/>
    <x v="8"/>
    <x v="1"/>
    <x v="2"/>
    <n v="-2"/>
    <m/>
    <m/>
    <x v="2"/>
    <n v="-1"/>
    <s v="HH20240923 T3804229440 No Limit Hold'em $1.84 + $0.16.txt"/>
  </r>
  <r>
    <n v="2906"/>
    <n v="33.760000000000005"/>
    <s v="23.09.2024"/>
    <n v="23"/>
    <x v="8"/>
    <x v="1"/>
    <x v="2"/>
    <n v="-2"/>
    <m/>
    <m/>
    <x v="2"/>
    <n v="-1"/>
    <s v="HH20240923 T3804233574 No Limit Hold'em $1.84 + $0.16.txt"/>
  </r>
  <r>
    <n v="2907"/>
    <n v="31.760000000000005"/>
    <s v="23.09.2024"/>
    <n v="23"/>
    <x v="8"/>
    <x v="1"/>
    <x v="2"/>
    <n v="-2"/>
    <m/>
    <m/>
    <x v="2"/>
    <n v="-1"/>
    <s v="HH20240923 T3804234643 No Limit Hold'em $1.84 + $0.16.txt"/>
  </r>
  <r>
    <n v="2908"/>
    <n v="29.760000000000005"/>
    <s v="23.09.2024"/>
    <n v="23"/>
    <x v="8"/>
    <x v="1"/>
    <x v="2"/>
    <n v="-2"/>
    <m/>
    <m/>
    <x v="2"/>
    <n v="-1"/>
    <s v="HH20240923 T3804299822 No Limit Hold'em $1.84 + $0.16.txt"/>
  </r>
  <r>
    <n v="2909"/>
    <n v="27.760000000000005"/>
    <s v="23.09.2024"/>
    <n v="23"/>
    <x v="8"/>
    <x v="1"/>
    <x v="2"/>
    <n v="-2"/>
    <m/>
    <m/>
    <x v="2"/>
    <n v="-1"/>
    <s v="HH20240923 T3804303186 No Limit Hold'em $1.84 + $0.16.txt"/>
  </r>
  <r>
    <n v="2910"/>
    <n v="31.760000000000005"/>
    <s v="23.09.2024"/>
    <n v="23"/>
    <x v="8"/>
    <x v="1"/>
    <x v="2"/>
    <n v="-2"/>
    <n v="6"/>
    <m/>
    <x v="1"/>
    <n v="2"/>
    <s v="HH20240923 T3804306532 No Limit Hold'em $1.84 + $0.16.txt"/>
  </r>
  <r>
    <n v="2911"/>
    <n v="29.760000000000005"/>
    <s v="24.09.2024"/>
    <n v="24"/>
    <x v="8"/>
    <x v="1"/>
    <x v="2"/>
    <n v="-2"/>
    <m/>
    <m/>
    <x v="2"/>
    <n v="-1"/>
    <s v="HH20240924 T3804566533 No Limit Hold'em $1.84 + $0.16.txt"/>
  </r>
  <r>
    <n v="2912"/>
    <n v="29.760000000000005"/>
    <s v="24.09.2024"/>
    <n v="24"/>
    <x v="8"/>
    <x v="1"/>
    <x v="12"/>
    <m/>
    <m/>
    <m/>
    <x v="2"/>
    <n v="0"/>
    <s v="HH20240924 T3804567102 No Limit Hold'em $0.46 + $0.04.txt"/>
  </r>
  <r>
    <n v="2913"/>
    <n v="27.760000000000005"/>
    <s v="24.09.2024"/>
    <n v="24"/>
    <x v="8"/>
    <x v="1"/>
    <x v="2"/>
    <n v="-2"/>
    <m/>
    <m/>
    <x v="2"/>
    <n v="-1"/>
    <s v="HH20240924 T3804568669 No Limit Hold'em $1.84 + $0.16.txt"/>
  </r>
  <r>
    <n v="2914"/>
    <n v="25.760000000000005"/>
    <s v="24.09.2024"/>
    <n v="24"/>
    <x v="8"/>
    <x v="1"/>
    <x v="2"/>
    <n v="-2"/>
    <m/>
    <m/>
    <x v="2"/>
    <n v="-1"/>
    <s v="HH20240924 T3804569495 No Limit Hold'em $1.84 + $0.16.txt"/>
  </r>
  <r>
    <n v="2915"/>
    <n v="27.760000000000005"/>
    <s v="24.09.2024"/>
    <n v="24"/>
    <x v="8"/>
    <x v="1"/>
    <x v="2"/>
    <n v="-2"/>
    <n v="4"/>
    <m/>
    <x v="1"/>
    <n v="1"/>
    <s v="HH20240924 T3804570286 No Limit Hold'em $1.84 + $0.16.txt"/>
  </r>
  <r>
    <n v="2916"/>
    <n v="25.760000000000005"/>
    <s v="24.09.2024"/>
    <n v="24"/>
    <x v="8"/>
    <x v="1"/>
    <x v="2"/>
    <n v="-2"/>
    <m/>
    <m/>
    <x v="2"/>
    <n v="-1"/>
    <s v="HH20240924 T3804573004 No Limit Hold'em $1.84 + $0.16.txt"/>
  </r>
  <r>
    <n v="2917"/>
    <n v="23.760000000000005"/>
    <s v="25.09.2024"/>
    <n v="25"/>
    <x v="8"/>
    <x v="1"/>
    <x v="2"/>
    <n v="-2"/>
    <m/>
    <m/>
    <x v="2"/>
    <n v="-1"/>
    <s v="HH20240925 T3805018811 No Limit Hold'em $1.84 + $0.16.txt"/>
  </r>
  <r>
    <n v="2918"/>
    <n v="21.760000000000005"/>
    <s v="26.09.2024"/>
    <n v="26"/>
    <x v="8"/>
    <x v="1"/>
    <x v="2"/>
    <n v="-2"/>
    <m/>
    <m/>
    <x v="2"/>
    <n v="-1"/>
    <s v="HH20240926 T3805331083 No Limit Hold'em $1.84 + $0.16.txt"/>
  </r>
  <r>
    <n v="2919"/>
    <n v="21.760000000000005"/>
    <s v="26.09.2024"/>
    <n v="26"/>
    <x v="8"/>
    <x v="1"/>
    <x v="12"/>
    <m/>
    <m/>
    <m/>
    <x v="1"/>
    <n v="0"/>
    <s v="HH20240926 T3805333328 No Limit Hold'em $0.46 + $0.04.txt"/>
  </r>
  <r>
    <n v="2920"/>
    <n v="21.760000000000005"/>
    <s v="26.09.2024"/>
    <n v="26"/>
    <x v="8"/>
    <x v="1"/>
    <x v="12"/>
    <m/>
    <m/>
    <m/>
    <x v="2"/>
    <n v="0"/>
    <s v="HH20240926 T3805335658 No Limit Hold'em $0.46 + $0.04.txt"/>
  </r>
  <r>
    <n v="2921"/>
    <n v="21.760000000000005"/>
    <s v="26.09.2024"/>
    <n v="26"/>
    <x v="8"/>
    <x v="1"/>
    <x v="13"/>
    <m/>
    <m/>
    <m/>
    <x v="1"/>
    <n v="0"/>
    <s v="HH20240926 T3805336156 No Limit Hold'em $0.96 + $0.04.txt"/>
  </r>
  <r>
    <n v="2922"/>
    <n v="25.760000000000005"/>
    <s v="26.09.2024"/>
    <n v="26"/>
    <x v="8"/>
    <x v="1"/>
    <x v="2"/>
    <n v="-2"/>
    <n v="6"/>
    <m/>
    <x v="1"/>
    <n v="2"/>
    <s v="HH20240926 T3805340452 No Limit Hold'em $1.84 + $0.16.txt"/>
  </r>
  <r>
    <n v="2923"/>
    <n v="27.760000000000005"/>
    <s v="27.09.2024"/>
    <n v="27"/>
    <x v="8"/>
    <x v="1"/>
    <x v="2"/>
    <n v="-2"/>
    <n v="4"/>
    <m/>
    <x v="1"/>
    <n v="1"/>
    <s v="HH20240927 T3805561547 No Limit Hold'em $1.84 + $0.16.txt"/>
  </r>
  <r>
    <n v="2924"/>
    <n v="27.760000000000005"/>
    <s v="27.09.2024"/>
    <n v="27"/>
    <x v="8"/>
    <x v="1"/>
    <x v="12"/>
    <m/>
    <m/>
    <m/>
    <x v="2"/>
    <n v="0"/>
    <s v="HH20240927 T3805563689 No Limit Hold'em $0.46 + $0.04.txt"/>
  </r>
  <r>
    <n v="2925"/>
    <n v="25.760000000000005"/>
    <s v="27.09.2024"/>
    <n v="27"/>
    <x v="8"/>
    <x v="1"/>
    <x v="2"/>
    <n v="-2"/>
    <m/>
    <m/>
    <x v="2"/>
    <n v="-1"/>
    <s v="HH20240927 T3805565756 No Limit Hold'em $1.84 + $0.16.txt"/>
  </r>
  <r>
    <n v="2926"/>
    <n v="23.760000000000005"/>
    <s v="27.09.2024"/>
    <n v="27"/>
    <x v="8"/>
    <x v="1"/>
    <x v="2"/>
    <n v="-2"/>
    <m/>
    <m/>
    <x v="2"/>
    <n v="-1"/>
    <s v="HH20240927 T3805566494 No Limit Hold'em $1.84 + $0.16.txt"/>
  </r>
  <r>
    <n v="2927"/>
    <n v="21.760000000000005"/>
    <s v="27.09.2024"/>
    <n v="27"/>
    <x v="8"/>
    <x v="1"/>
    <x v="2"/>
    <n v="-2"/>
    <m/>
    <m/>
    <x v="2"/>
    <n v="-1"/>
    <s v="HH20240927 T3805568692 No Limit Hold'em $1.84 + $0.16.txt"/>
  </r>
  <r>
    <n v="2928"/>
    <n v="23.760000000000005"/>
    <s v="27.09.2024"/>
    <n v="27"/>
    <x v="8"/>
    <x v="1"/>
    <x v="2"/>
    <n v="-2"/>
    <n v="4"/>
    <m/>
    <x v="1"/>
    <n v="1"/>
    <s v="HH20240927 T3805570207 No Limit Hold'em $1.84 + $0.16.txt"/>
  </r>
  <r>
    <n v="2929"/>
    <n v="21.760000000000005"/>
    <s v="27.09.2024"/>
    <n v="27"/>
    <x v="8"/>
    <x v="1"/>
    <x v="2"/>
    <n v="-2"/>
    <m/>
    <m/>
    <x v="2"/>
    <n v="-1"/>
    <s v="HH20240927 T3805609286 No Limit Hold'em $1.84 + $0.16.txt"/>
  </r>
  <r>
    <n v="2930"/>
    <n v="19.760000000000005"/>
    <s v="27.09.2024"/>
    <n v="27"/>
    <x v="8"/>
    <x v="1"/>
    <x v="2"/>
    <n v="-2"/>
    <m/>
    <m/>
    <x v="2"/>
    <n v="-1"/>
    <s v="HH20240927 T3805611142 No Limit Hold'em $1.84 + $0.16.txt"/>
  </r>
  <r>
    <n v="2931"/>
    <n v="17.760000000000005"/>
    <s v="27.09.2024"/>
    <n v="27"/>
    <x v="8"/>
    <x v="1"/>
    <x v="2"/>
    <n v="-2"/>
    <m/>
    <m/>
    <x v="2"/>
    <n v="-1"/>
    <s v="HH20240927 T3805613211 No Limit Hold'em $1.84 + $0.16.txt"/>
  </r>
  <r>
    <n v="2932"/>
    <n v="15.760000000000005"/>
    <s v="27.09.2024"/>
    <n v="27"/>
    <x v="8"/>
    <x v="1"/>
    <x v="2"/>
    <n v="-2"/>
    <m/>
    <m/>
    <x v="2"/>
    <n v="-1"/>
    <s v="HH20240927 T3805613705 No Limit Hold'em $1.84 + $0.16.txt"/>
  </r>
  <r>
    <n v="2933"/>
    <n v="10.760000000000005"/>
    <s v="27.09.2024"/>
    <n v="27"/>
    <x v="8"/>
    <x v="1"/>
    <x v="2"/>
    <n v="-5"/>
    <m/>
    <m/>
    <x v="2"/>
    <n v="-1"/>
    <s v="HH20240927 T3805614954 No Limit Hold'em $4.60 + $0.40.txt"/>
  </r>
  <r>
    <n v="2934"/>
    <n v="0.76000000000000512"/>
    <s v="27.09.2024"/>
    <n v="27"/>
    <x v="8"/>
    <x v="1"/>
    <x v="2"/>
    <n v="-10"/>
    <m/>
    <m/>
    <x v="2"/>
    <n v="-1"/>
    <s v="HH20240927 T3805615913 No Limit Hold'em $9.30 + $0.70.txt"/>
  </r>
  <r>
    <n v="2935"/>
    <n v="60.120000000000005"/>
    <s v="27.09.2024"/>
    <n v="27"/>
    <x v="8"/>
    <x v="1"/>
    <x v="1"/>
    <m/>
    <n v="59.36"/>
    <m/>
    <x v="0"/>
    <m/>
    <m/>
  </r>
  <r>
    <n v="2936"/>
    <n v="62.120000000000005"/>
    <s v="28.09.2024"/>
    <n v="28"/>
    <x v="8"/>
    <x v="1"/>
    <x v="2"/>
    <n v="-2"/>
    <n v="4"/>
    <m/>
    <x v="1"/>
    <n v="1"/>
    <s v="HH20240928 T3805978810 No Limit Hold'em $1.84 + $0.16.txt"/>
  </r>
  <r>
    <n v="2937"/>
    <n v="62.120000000000005"/>
    <s v="28.09.2024"/>
    <n v="28"/>
    <x v="8"/>
    <x v="1"/>
    <x v="12"/>
    <m/>
    <m/>
    <m/>
    <x v="1"/>
    <n v="0"/>
    <s v="HH20240928 T3805981196 No Limit Hold'em $0.46 + $0.04.txt"/>
  </r>
  <r>
    <n v="2938"/>
    <n v="60.120000000000005"/>
    <s v="28.09.2024"/>
    <n v="28"/>
    <x v="8"/>
    <x v="1"/>
    <x v="2"/>
    <n v="-2"/>
    <m/>
    <m/>
    <x v="2"/>
    <n v="-1"/>
    <s v="HH20240928 T3806002706 No Limit Hold'em $1.84 + $0.16.txt"/>
  </r>
  <r>
    <n v="2939"/>
    <n v="58.120000000000005"/>
    <s v="28.09.2024"/>
    <n v="28"/>
    <x v="8"/>
    <x v="1"/>
    <x v="2"/>
    <n v="-2"/>
    <m/>
    <m/>
    <x v="2"/>
    <n v="-1"/>
    <s v="HH20240928 T3806004437 No Limit Hold'em $1.84 + $0.16.txt"/>
  </r>
  <r>
    <n v="2940"/>
    <n v="58.120000000000005"/>
    <s v="28.09.2024"/>
    <n v="28"/>
    <x v="8"/>
    <x v="1"/>
    <x v="14"/>
    <m/>
    <m/>
    <m/>
    <x v="2"/>
    <n v="0"/>
    <s v="HH20240928 T3803448796 No Limit Hold'em $10.27 + $0.73.txt"/>
  </r>
  <r>
    <n v="2941"/>
    <n v="56.120000000000005"/>
    <s v="28.09.2024"/>
    <n v="28"/>
    <x v="8"/>
    <x v="1"/>
    <x v="2"/>
    <n v="-2"/>
    <m/>
    <m/>
    <x v="2"/>
    <n v="-1"/>
    <s v="HH20240928 T3806060153 No Limit Hold'em $1.84 + $0.16.txt"/>
  </r>
  <r>
    <n v="2942"/>
    <n v="54.120000000000005"/>
    <s v="28.09.2024"/>
    <n v="28"/>
    <x v="8"/>
    <x v="1"/>
    <x v="2"/>
    <n v="-2"/>
    <m/>
    <m/>
    <x v="2"/>
    <n v="-1"/>
    <s v="HH20240928 T3806063222 No Limit Hold'em $1.84 + $0.16.txt"/>
  </r>
  <r>
    <n v="2943"/>
    <n v="52.120000000000005"/>
    <s v="28.09.2024"/>
    <n v="28"/>
    <x v="8"/>
    <x v="1"/>
    <x v="2"/>
    <n v="-2"/>
    <m/>
    <m/>
    <x v="2"/>
    <n v="-1"/>
    <s v="HH20240928 T3806064199 No Limit Hold'em $1.84 + $0.16.txt"/>
  </r>
  <r>
    <n v="2944"/>
    <n v="54.120000000000005"/>
    <s v="28.09.2024"/>
    <n v="28"/>
    <x v="8"/>
    <x v="1"/>
    <x v="2"/>
    <n v="-2"/>
    <n v="4"/>
    <m/>
    <x v="1"/>
    <n v="1"/>
    <s v="HH20240928 T3806065178 No Limit Hold'em $1.84 + $0.16.txt"/>
  </r>
  <r>
    <n v="2945"/>
    <n v="52.120000000000005"/>
    <s v="28.09.2024"/>
    <n v="28"/>
    <x v="8"/>
    <x v="1"/>
    <x v="2"/>
    <n v="-2"/>
    <m/>
    <m/>
    <x v="2"/>
    <n v="-1"/>
    <s v="HH20240928 T3806066937 No Limit Hold'em $1.84 + $0.16.txt"/>
  </r>
  <r>
    <n v="2946"/>
    <n v="50.120000000000005"/>
    <s v="28.09.2024"/>
    <n v="28"/>
    <x v="8"/>
    <x v="1"/>
    <x v="2"/>
    <n v="-2"/>
    <m/>
    <m/>
    <x v="2"/>
    <n v="-1"/>
    <s v="HH20240928 T3806067796 No Limit Hold'em $1.84 + $0.16.txt"/>
  </r>
  <r>
    <n v="2947"/>
    <n v="48.120000000000005"/>
    <s v="28.09.2024"/>
    <n v="28"/>
    <x v="8"/>
    <x v="1"/>
    <x v="2"/>
    <n v="-2"/>
    <m/>
    <m/>
    <x v="2"/>
    <n v="-1"/>
    <s v="HH20240928 T3806121993 No Limit Hold'em $1.84 + $0.16.txt"/>
  </r>
  <r>
    <n v="2948"/>
    <n v="52.120000000000005"/>
    <s v="28.09.2024"/>
    <n v="28"/>
    <x v="8"/>
    <x v="1"/>
    <x v="2"/>
    <n v="-2"/>
    <n v="6"/>
    <m/>
    <x v="1"/>
    <n v="2"/>
    <s v="HH20240928 T3806124291 No Limit Hold'em $1.84 + $0.16.txt"/>
  </r>
  <r>
    <n v="2949"/>
    <n v="54.120000000000005"/>
    <s v="28.09.2024"/>
    <n v="28"/>
    <x v="8"/>
    <x v="1"/>
    <x v="2"/>
    <n v="-2"/>
    <n v="4"/>
    <m/>
    <x v="1"/>
    <n v="1"/>
    <s v="HH20240928 T3806126364 No Limit Hold'em $1.84 + $0.16.txt"/>
  </r>
  <r>
    <n v="2950"/>
    <n v="52.120000000000005"/>
    <s v="28.09.2024"/>
    <n v="28"/>
    <x v="8"/>
    <x v="1"/>
    <x v="2"/>
    <n v="-2"/>
    <m/>
    <m/>
    <x v="2"/>
    <n v="-1"/>
    <s v="HH20240928 T3806130131 No Limit Hold'em $1.84 + $0.16.txt"/>
  </r>
  <r>
    <n v="2951"/>
    <n v="50.120000000000005"/>
    <s v="29.09.2024"/>
    <n v="29"/>
    <x v="8"/>
    <x v="1"/>
    <x v="2"/>
    <n v="-2"/>
    <m/>
    <m/>
    <x v="2"/>
    <n v="-1"/>
    <s v="HH20240929 T3806302394 No Limit Hold'em $1.84 + $0.16.txt"/>
  </r>
  <r>
    <n v="2952"/>
    <n v="50.120000000000005"/>
    <s v="29.09.2024"/>
    <n v="29"/>
    <x v="8"/>
    <x v="1"/>
    <x v="12"/>
    <m/>
    <m/>
    <m/>
    <x v="2"/>
    <n v="0"/>
    <s v="HH20240929 T3806304213 No Limit Hold'em $0.46 + $0.04.txt"/>
  </r>
  <r>
    <n v="2953"/>
    <n v="52.120000000000005"/>
    <s v="01.10.2024"/>
    <n v="1"/>
    <x v="9"/>
    <x v="1"/>
    <x v="2"/>
    <n v="-2"/>
    <n v="4"/>
    <m/>
    <x v="1"/>
    <n v="1"/>
    <s v="HH20241001 T3807092612 No Limit Hold'em $1.84 + $0.16.txt"/>
  </r>
  <r>
    <n v="2954"/>
    <n v="52.120000000000005"/>
    <s v="01.10.2024"/>
    <n v="1"/>
    <x v="9"/>
    <x v="1"/>
    <x v="12"/>
    <m/>
    <m/>
    <m/>
    <x v="2"/>
    <n v="0"/>
    <s v="HH20241001 T3807094360 No Limit Hold'em $0.46 + $0.04.txt"/>
  </r>
  <r>
    <n v="2955"/>
    <n v="50.120000000000005"/>
    <s v="01.10.2024"/>
    <n v="1"/>
    <x v="9"/>
    <x v="1"/>
    <x v="2"/>
    <n v="-2"/>
    <m/>
    <m/>
    <x v="2"/>
    <n v="-1"/>
    <s v="HH20241001 T3807148193 No Limit Hold'em $1.84 + $0.16.txt"/>
  </r>
  <r>
    <n v="2956"/>
    <n v="54.120000000000005"/>
    <s v="01.10.2024"/>
    <n v="1"/>
    <x v="9"/>
    <x v="1"/>
    <x v="2"/>
    <n v="-2"/>
    <n v="6"/>
    <m/>
    <x v="1"/>
    <n v="2"/>
    <s v="HH20241001 T3807151531 No Limit Hold'em $1.84 + $0.16.txt"/>
  </r>
  <r>
    <n v="2957"/>
    <n v="52.120000000000005"/>
    <s v="01.10.2024"/>
    <n v="1"/>
    <x v="9"/>
    <x v="1"/>
    <x v="2"/>
    <n v="-2"/>
    <m/>
    <m/>
    <x v="2"/>
    <n v="-1"/>
    <s v="HH20241001 T3807152805 No Limit Hold'em $1.84 + $0.16.txt"/>
  </r>
  <r>
    <n v="2958"/>
    <n v="54.120000000000005"/>
    <s v="02.10.2024"/>
    <n v="2"/>
    <x v="9"/>
    <x v="1"/>
    <x v="2"/>
    <n v="-2"/>
    <n v="4"/>
    <m/>
    <x v="1"/>
    <n v="1"/>
    <s v="HH20241002 T3807355633 No Limit Hold'em $1.84 + $0.16.txt"/>
  </r>
  <r>
    <n v="2959"/>
    <n v="54.120000000000005"/>
    <s v="02.10.2024"/>
    <n v="2"/>
    <x v="9"/>
    <x v="1"/>
    <x v="12"/>
    <m/>
    <m/>
    <m/>
    <x v="2"/>
    <n v="0"/>
    <s v="HH20241002 T3807357237 No Limit Hold'em $0.46 + $0.04.txt"/>
  </r>
  <r>
    <n v="2960"/>
    <n v="57.150000000000006"/>
    <s v="02.10.2024"/>
    <n v="2"/>
    <x v="9"/>
    <x v="1"/>
    <x v="10"/>
    <n v="-2"/>
    <n v="5.03"/>
    <m/>
    <x v="1"/>
    <n v="1.5150000000000001"/>
    <s v="HH20241002 Halley - $0.01-$0.02 - USD No Limit Hold'em.txt"/>
  </r>
  <r>
    <n v="2961"/>
    <n v="55.150000000000006"/>
    <s v="02.10.2024"/>
    <n v="2"/>
    <x v="9"/>
    <x v="1"/>
    <x v="10"/>
    <n v="-2"/>
    <m/>
    <m/>
    <x v="2"/>
    <n v="-1"/>
    <s v="HH20241002 Halley - $0.01-$0.02 - USD No Limit Hold'em 2.txt"/>
  </r>
  <r>
    <n v="2962"/>
    <n v="53.150000000000006"/>
    <s v="02.10.2024"/>
    <n v="2"/>
    <x v="9"/>
    <x v="1"/>
    <x v="10"/>
    <n v="-2"/>
    <m/>
    <m/>
    <x v="2"/>
    <n v="-1"/>
    <s v="HH20241002 Halley #2 - $0.01-$0.02 - USD No Limit Hold'em 3.txt"/>
  </r>
  <r>
    <n v="2963"/>
    <n v="54.120000000000005"/>
    <s v="02.10.2024"/>
    <n v="2"/>
    <x v="9"/>
    <x v="1"/>
    <x v="10"/>
    <n v="-2"/>
    <n v="2.97"/>
    <m/>
    <x v="1"/>
    <n v="0.4850000000000001"/>
    <s v="HH20241002 Halley #3 - $0.01-$0.02 - USD No Limit Hold'em.txt"/>
  </r>
  <r>
    <n v="2964"/>
    <n v="52.120000000000005"/>
    <s v="02.10.2024"/>
    <n v="2"/>
    <x v="9"/>
    <x v="1"/>
    <x v="2"/>
    <n v="-2"/>
    <m/>
    <m/>
    <x v="2"/>
    <n v="-1"/>
    <s v="HH20241002 T3807434645 No Limit Hold'em $1.84 + $0.16.txt"/>
  </r>
  <r>
    <n v="2965"/>
    <n v="50.120000000000005"/>
    <s v="02.10.2024"/>
    <n v="2"/>
    <x v="9"/>
    <x v="1"/>
    <x v="2"/>
    <n v="-2"/>
    <m/>
    <m/>
    <x v="2"/>
    <n v="-1"/>
    <s v="HH20241002 T3807436301 No Limit Hold'em $1.84 + $0.16.txt"/>
  </r>
  <r>
    <n v="2966"/>
    <n v="48.120000000000005"/>
    <s v="02.10.2024"/>
    <n v="2"/>
    <x v="9"/>
    <x v="1"/>
    <x v="2"/>
    <n v="-2"/>
    <m/>
    <m/>
    <x v="2"/>
    <n v="-1"/>
    <s v="HH20241002 T3807436635 No Limit Hold'em $1.84 + $0.16.txt"/>
  </r>
  <r>
    <n v="2967"/>
    <n v="46.120000000000005"/>
    <s v="02.10.2024"/>
    <n v="2"/>
    <x v="9"/>
    <x v="1"/>
    <x v="2"/>
    <n v="-2"/>
    <m/>
    <m/>
    <x v="2"/>
    <n v="-1"/>
    <s v="HH20241002 T3807440211 No Limit Hold'em $1.84 + $0.16.txt"/>
  </r>
  <r>
    <n v="2968"/>
    <n v="44.120000000000005"/>
    <s v="02.10.2024"/>
    <n v="2"/>
    <x v="9"/>
    <x v="1"/>
    <x v="2"/>
    <n v="-2"/>
    <m/>
    <m/>
    <x v="2"/>
    <n v="-1"/>
    <s v="HH20241002 T3807440629 No Limit Hold'em $1.84 + $0.16.txt"/>
  </r>
  <r>
    <n v="2969"/>
    <n v="48.120000000000005"/>
    <s v="02.10.2024"/>
    <n v="2"/>
    <x v="9"/>
    <x v="1"/>
    <x v="2"/>
    <n v="-2"/>
    <n v="6"/>
    <m/>
    <x v="1"/>
    <n v="2"/>
    <s v="HH20241002 T3807442277 No Limit Hold'em $1.84 + $0.16.txt"/>
  </r>
  <r>
    <n v="2970"/>
    <n v="46.120000000000005"/>
    <s v="02.10.2024"/>
    <n v="2"/>
    <x v="9"/>
    <x v="1"/>
    <x v="2"/>
    <n v="-2"/>
    <m/>
    <m/>
    <x v="2"/>
    <n v="-1"/>
    <s v="HH20241002 T3807446628 No Limit Hold'em $1.84 + $0.16.txt"/>
  </r>
  <r>
    <n v="2971"/>
    <n v="44.120000000000005"/>
    <s v="02.10.2024"/>
    <n v="2"/>
    <x v="9"/>
    <x v="1"/>
    <x v="2"/>
    <n v="-2"/>
    <m/>
    <m/>
    <x v="2"/>
    <n v="-1"/>
    <s v="HH20241002 T3807448822 No Limit Hold'em $1.84 + $0.16.txt"/>
  </r>
  <r>
    <n v="2972"/>
    <n v="48.120000000000005"/>
    <s v="02.10.2024"/>
    <n v="2"/>
    <x v="9"/>
    <x v="1"/>
    <x v="2"/>
    <n v="-2"/>
    <n v="6"/>
    <m/>
    <x v="1"/>
    <n v="2"/>
    <s v="HH20241002 T3807451300 No Limit Hold'em $1.84 + $0.16.txt"/>
  </r>
  <r>
    <n v="2973"/>
    <n v="50.120000000000005"/>
    <s v="02.10.2024"/>
    <n v="2"/>
    <x v="9"/>
    <x v="1"/>
    <x v="2"/>
    <n v="-2"/>
    <n v="4"/>
    <m/>
    <x v="1"/>
    <n v="1"/>
    <s v="HH20241002 T3807453603 No Limit Hold'em $1.84 + $0.16.txt"/>
  </r>
  <r>
    <n v="2974"/>
    <n v="52.120000000000005"/>
    <s v="02.10.2024"/>
    <n v="2"/>
    <x v="9"/>
    <x v="1"/>
    <x v="2"/>
    <n v="-2"/>
    <n v="4"/>
    <m/>
    <x v="1"/>
    <n v="1"/>
    <s v="HH20241002 T3807523493 No Limit Hold'em $1.84 + $0.16.txt"/>
  </r>
  <r>
    <n v="2975"/>
    <n v="54.120000000000005"/>
    <s v="02.10.2024"/>
    <n v="2"/>
    <x v="9"/>
    <x v="1"/>
    <x v="2"/>
    <n v="-2"/>
    <n v="4"/>
    <m/>
    <x v="1"/>
    <n v="1"/>
    <s v="HH20241002 T3807530025 No Limit Hold'em $1.84 + $0.16.txt"/>
  </r>
  <r>
    <n v="2976"/>
    <n v="53.870000000000005"/>
    <s v="02.10.2024"/>
    <n v="2"/>
    <x v="9"/>
    <x v="1"/>
    <x v="9"/>
    <n v="-0.25"/>
    <m/>
    <m/>
    <x v="2"/>
    <n v="-1"/>
    <s v="HH20241002 T3807531638 No Limit Hold'em $0.23 + $0.02.txt"/>
  </r>
  <r>
    <n v="2977"/>
    <n v="54.250000000000007"/>
    <s v="02.10.2024"/>
    <n v="2"/>
    <x v="9"/>
    <x v="1"/>
    <x v="9"/>
    <n v="-0.5"/>
    <n v="0.88"/>
    <m/>
    <x v="1"/>
    <n v="0.76"/>
    <s v="HH20241002 T3807531512 No Limit Hold'em $0.45 + $0.05.txt"/>
  </r>
  <r>
    <n v="2978"/>
    <n v="52.250000000000007"/>
    <s v="03.10.2024"/>
    <n v="3"/>
    <x v="9"/>
    <x v="1"/>
    <x v="2"/>
    <n v="-2"/>
    <m/>
    <m/>
    <x v="2"/>
    <n v="-1"/>
    <s v="HH20241003 T3807736043 No Limit Hold'em $1.84 + $0.16.txt"/>
  </r>
  <r>
    <n v="2979"/>
    <n v="52.250000000000007"/>
    <s v="03.10.2024"/>
    <n v="3"/>
    <x v="9"/>
    <x v="1"/>
    <x v="12"/>
    <m/>
    <m/>
    <m/>
    <x v="2"/>
    <n v="0"/>
    <s v="HH20241003 T3807738131 No Limit Hold'em $0.46 + $0.04.txt"/>
  </r>
  <r>
    <n v="2980"/>
    <n v="50.250000000000007"/>
    <s v="03.10.2024"/>
    <n v="3"/>
    <x v="9"/>
    <x v="1"/>
    <x v="2"/>
    <n v="-2"/>
    <m/>
    <m/>
    <x v="2"/>
    <n v="-1"/>
    <s v="HH20241003 T3807738826 No Limit Hold'em $1.84 + $0.16.txt"/>
  </r>
  <r>
    <n v="2981"/>
    <n v="48.830000000000013"/>
    <s v="03.10.2024"/>
    <n v="3"/>
    <x v="9"/>
    <x v="1"/>
    <x v="3"/>
    <n v="-3.3"/>
    <m/>
    <n v="1.88"/>
    <x v="2"/>
    <n v="-0.4303030303030303"/>
    <s v="HH20241003 T3807390443 No Limit Hold'em $2.94 + $0.36.txt"/>
  </r>
  <r>
    <n v="2982"/>
    <n v="46.830000000000013"/>
    <s v="04.10.2024"/>
    <n v="4"/>
    <x v="9"/>
    <x v="1"/>
    <x v="2"/>
    <n v="-2"/>
    <m/>
    <m/>
    <x v="2"/>
    <n v="-1"/>
    <s v="HH20241004 T3807961677 No Limit Hold'em $1.84 + $0.16.txt"/>
  </r>
  <r>
    <n v="2983"/>
    <n v="46.830000000000013"/>
    <s v="04.10.2024"/>
    <n v="4"/>
    <x v="9"/>
    <x v="1"/>
    <x v="12"/>
    <m/>
    <m/>
    <m/>
    <x v="1"/>
    <n v="0"/>
    <s v="HH20241004 T3807963213 No Limit Hold'em $0.46 + $0.04.txt"/>
  </r>
  <r>
    <n v="2984"/>
    <n v="46.830000000000013"/>
    <s v="04.10.2024"/>
    <n v="4"/>
    <x v="9"/>
    <x v="1"/>
    <x v="13"/>
    <m/>
    <m/>
    <m/>
    <x v="2"/>
    <n v="0"/>
    <s v="HH20241004 T3807963404 No Limit Hold'em $0.96 + $0.04.txt"/>
  </r>
  <r>
    <n v="2985"/>
    <n v="44.830000000000013"/>
    <s v="04.10.2024"/>
    <n v="4"/>
    <x v="9"/>
    <x v="1"/>
    <x v="2"/>
    <n v="-2"/>
    <m/>
    <m/>
    <x v="2"/>
    <n v="-1"/>
    <s v="HH20241004 T3807965816 No Limit Hold'em $1.84 + $0.16.txt"/>
  </r>
  <r>
    <n v="2986"/>
    <n v="42.830000000000013"/>
    <s v="04.10.2024"/>
    <n v="4"/>
    <x v="9"/>
    <x v="1"/>
    <x v="2"/>
    <n v="-2"/>
    <m/>
    <m/>
    <x v="2"/>
    <n v="-1"/>
    <s v="HH20241004 T3807966084 No Limit Hold'em $1.84 + $0.16.txt"/>
  </r>
  <r>
    <n v="2987"/>
    <n v="40.830000000000013"/>
    <s v="04.10.2024"/>
    <n v="4"/>
    <x v="9"/>
    <x v="1"/>
    <x v="2"/>
    <n v="-2"/>
    <m/>
    <m/>
    <x v="2"/>
    <n v="-1"/>
    <s v="HH20241004 T3807966772 No Limit Hold'em $1.84 + $0.16.txt"/>
  </r>
  <r>
    <n v="2988"/>
    <n v="42.830000000000013"/>
    <s v="04.10.2024"/>
    <n v="4"/>
    <x v="9"/>
    <x v="1"/>
    <x v="2"/>
    <n v="-2"/>
    <n v="4"/>
    <m/>
    <x v="1"/>
    <n v="1"/>
    <s v="HH20241004 T3807997282 No Limit Hold'em $1.84 + $0.16.txt"/>
  </r>
  <r>
    <n v="2989"/>
    <n v="40.830000000000013"/>
    <s v="04.10.2024"/>
    <n v="4"/>
    <x v="9"/>
    <x v="1"/>
    <x v="2"/>
    <n v="-2"/>
    <m/>
    <m/>
    <x v="2"/>
    <n v="-1"/>
    <s v="HH20241004 T3807998821 No Limit Hold'em $1.84 + $0.16.txt"/>
  </r>
  <r>
    <n v="2990"/>
    <n v="38.830000000000013"/>
    <s v="04.10.2024"/>
    <n v="4"/>
    <x v="9"/>
    <x v="1"/>
    <x v="2"/>
    <n v="-2"/>
    <m/>
    <m/>
    <x v="2"/>
    <n v="-1"/>
    <s v="HH20241004 T3808000569 No Limit Hold'em $1.84 + $0.16.txt"/>
  </r>
  <r>
    <n v="2991"/>
    <n v="42.830000000000013"/>
    <s v="04.10.2024"/>
    <n v="4"/>
    <x v="9"/>
    <x v="1"/>
    <x v="2"/>
    <n v="-2"/>
    <n v="6"/>
    <m/>
    <x v="1"/>
    <n v="2"/>
    <s v="HH20241004 T3808000895 No Limit Hold'em $1.84 + $0.16.txt"/>
  </r>
  <r>
    <n v="2992"/>
    <n v="40.830000000000013"/>
    <s v="04.10.2024"/>
    <n v="4"/>
    <x v="9"/>
    <x v="1"/>
    <x v="2"/>
    <n v="-2"/>
    <m/>
    <m/>
    <x v="2"/>
    <n v="-1"/>
    <s v="HH20241004 T3808005101 No Limit Hold'em $1.84 + $0.16.txt"/>
  </r>
  <r>
    <n v="2993"/>
    <n v="38.830000000000013"/>
    <s v="04.10.2024"/>
    <n v="4"/>
    <x v="9"/>
    <x v="1"/>
    <x v="2"/>
    <n v="-2"/>
    <m/>
    <m/>
    <x v="2"/>
    <n v="-1"/>
    <s v="HH20241004 T3808006569 No Limit Hold'em $1.84 + $0.16.txt"/>
  </r>
  <r>
    <n v="2994"/>
    <n v="36.830000000000013"/>
    <s v="04.10.2024"/>
    <n v="4"/>
    <x v="9"/>
    <x v="1"/>
    <x v="2"/>
    <n v="-2"/>
    <m/>
    <m/>
    <x v="2"/>
    <n v="-1"/>
    <s v="HH20241004 T3808007859 No Limit Hold'em $1.84 + $0.16.txt"/>
  </r>
  <r>
    <n v="2995"/>
    <n v="34.830000000000013"/>
    <s v="04.10.2024"/>
    <n v="4"/>
    <x v="9"/>
    <x v="1"/>
    <x v="2"/>
    <n v="-2"/>
    <m/>
    <m/>
    <x v="2"/>
    <n v="-1"/>
    <s v="HH20241004 T3808008894 No Limit Hold'em $1.84 + $0.16.txt"/>
  </r>
  <r>
    <n v="2996"/>
    <n v="36.830000000000013"/>
    <s v="04.10.2024"/>
    <n v="4"/>
    <x v="9"/>
    <x v="1"/>
    <x v="2"/>
    <n v="-2"/>
    <n v="4"/>
    <m/>
    <x v="1"/>
    <n v="1"/>
    <s v="HH20241004 T3808011043 No Limit Hold'em $1.84 + $0.16.txt"/>
  </r>
  <r>
    <n v="2997"/>
    <n v="40.830000000000013"/>
    <s v="04.10.2024"/>
    <n v="4"/>
    <x v="9"/>
    <x v="1"/>
    <x v="2"/>
    <n v="-2"/>
    <n v="6"/>
    <m/>
    <x v="1"/>
    <n v="2"/>
    <s v="HH20241004 T3808013417 No Limit Hold'em $1.84 + $0.16.txt"/>
  </r>
  <r>
    <n v="2998"/>
    <n v="38.830000000000013"/>
    <s v="04.10.2024"/>
    <n v="4"/>
    <x v="9"/>
    <x v="1"/>
    <x v="2"/>
    <n v="-2"/>
    <m/>
    <m/>
    <x v="2"/>
    <n v="-1"/>
    <s v="HH20241004 T3808016237 No Limit Hold'em $1.84 + $0.16.txt"/>
  </r>
  <r>
    <n v="2999"/>
    <n v="36.830000000000013"/>
    <s v="04.10.2024"/>
    <n v="4"/>
    <x v="9"/>
    <x v="1"/>
    <x v="2"/>
    <n v="-2"/>
    <m/>
    <m/>
    <x v="2"/>
    <n v="-1"/>
    <s v="HH20241004 T3808017632 No Limit Hold'em $1.84 + $0.16.txt"/>
  </r>
  <r>
    <n v="3000"/>
    <n v="34.830000000000013"/>
    <s v="04.10.2024"/>
    <n v="4"/>
    <x v="9"/>
    <x v="1"/>
    <x v="2"/>
    <n v="-2"/>
    <m/>
    <m/>
    <x v="2"/>
    <n v="-1"/>
    <s v="HH20241004 T3808018834 No Limit Hold'em $1.84 + $0.16.txt"/>
  </r>
  <r>
    <n v="3001"/>
    <n v="32.830000000000013"/>
    <s v="04.10.2024"/>
    <n v="4"/>
    <x v="9"/>
    <x v="1"/>
    <x v="2"/>
    <n v="-2"/>
    <m/>
    <m/>
    <x v="2"/>
    <n v="-1"/>
    <s v="HH20241004 T3808019828 No Limit Hold'em $1.84 + $0.16.txt"/>
  </r>
  <r>
    <n v="3002"/>
    <n v="30.830000000000013"/>
    <s v="04.10.2024"/>
    <n v="4"/>
    <x v="9"/>
    <x v="1"/>
    <x v="2"/>
    <n v="-2"/>
    <m/>
    <m/>
    <x v="2"/>
    <n v="-1"/>
    <s v="HH20241004 T3808021595 No Limit Hold'em $1.84 + $0.16.txt"/>
  </r>
  <r>
    <n v="3003"/>
    <n v="28.830000000000013"/>
    <s v="04.10.2024"/>
    <n v="4"/>
    <x v="9"/>
    <x v="1"/>
    <x v="2"/>
    <n v="-2"/>
    <m/>
    <m/>
    <x v="2"/>
    <n v="-1"/>
    <s v="HH20241004 T3808208293 No Limit Hold'em $1.84 + $0.16.txt"/>
  </r>
  <r>
    <n v="3004"/>
    <n v="30.830000000000013"/>
    <s v="04.10.2024"/>
    <n v="4"/>
    <x v="9"/>
    <x v="1"/>
    <x v="2"/>
    <n v="-2"/>
    <n v="4"/>
    <m/>
    <x v="1"/>
    <n v="1"/>
    <s v="HH20241004 T3808213884 No Limit Hold'em $1.84 + $0.16.txt"/>
  </r>
  <r>
    <n v="3005"/>
    <n v="28.830000000000013"/>
    <s v="05.10.2024"/>
    <n v="5"/>
    <x v="9"/>
    <x v="1"/>
    <x v="2"/>
    <n v="-2"/>
    <m/>
    <m/>
    <x v="2"/>
    <n v="-1"/>
    <s v="HH20241005 T3808368627 No Limit Hold'em $1.84 + $0.16.txt"/>
  </r>
  <r>
    <n v="3006"/>
    <n v="28.830000000000013"/>
    <s v="05.10.2024"/>
    <n v="5"/>
    <x v="9"/>
    <x v="1"/>
    <x v="12"/>
    <m/>
    <m/>
    <m/>
    <x v="2"/>
    <n v="0"/>
    <s v="HH20241005 T3808371268 No Limit Hold'em $0.46 + $0.04.txt"/>
  </r>
  <r>
    <n v="3007"/>
    <n v="26.830000000000013"/>
    <s v="05.10.2024"/>
    <n v="5"/>
    <x v="9"/>
    <x v="1"/>
    <x v="2"/>
    <n v="-2"/>
    <m/>
    <m/>
    <x v="2"/>
    <n v="-1"/>
    <s v="HH20241005 T3808371950 No Limit Hold'em $1.84 + $0.16.txt"/>
  </r>
  <r>
    <n v="3008"/>
    <n v="28.830000000000013"/>
    <s v="05.10.2024"/>
    <n v="5"/>
    <x v="9"/>
    <x v="1"/>
    <x v="2"/>
    <n v="-2"/>
    <n v="4"/>
    <m/>
    <x v="1"/>
    <n v="1"/>
    <s v="HH20241005 T3808373361 No Limit Hold'em $1.84 + $0.16.txt"/>
  </r>
  <r>
    <n v="3009"/>
    <n v="30.830000000000013"/>
    <s v="05.10.2024"/>
    <n v="5"/>
    <x v="9"/>
    <x v="1"/>
    <x v="2"/>
    <n v="-2"/>
    <n v="4"/>
    <m/>
    <x v="1"/>
    <n v="1"/>
    <s v="HH20241005 T3808375184 No Limit Hold'em $1.84 + $0.16.txt"/>
  </r>
  <r>
    <n v="3010"/>
    <n v="28.830000000000013"/>
    <s v="05.10.2024"/>
    <n v="5"/>
    <x v="9"/>
    <x v="1"/>
    <x v="2"/>
    <n v="-2"/>
    <m/>
    <m/>
    <x v="2"/>
    <n v="-1"/>
    <s v="HH20241005 T3808378279 No Limit Hold'em $1.84 + $0.16.txt"/>
  </r>
  <r>
    <n v="3011"/>
    <n v="26.830000000000013"/>
    <s v="05.10.2024"/>
    <n v="5"/>
    <x v="9"/>
    <x v="1"/>
    <x v="2"/>
    <n v="-2"/>
    <m/>
    <m/>
    <x v="2"/>
    <n v="-1"/>
    <s v="HH20241005 T3808380585 No Limit Hold'em $1.84 + $0.16.txt"/>
  </r>
  <r>
    <n v="3012"/>
    <n v="24.830000000000013"/>
    <s v="05.10.2024"/>
    <n v="5"/>
    <x v="9"/>
    <x v="1"/>
    <x v="2"/>
    <n v="-2"/>
    <m/>
    <m/>
    <x v="2"/>
    <n v="-1"/>
    <s v="HH20241005 T3808381219 No Limit Hold'em $1.84 + $0.16.txt"/>
  </r>
  <r>
    <n v="3013"/>
    <n v="26.830000000000013"/>
    <s v="06.10.2024"/>
    <n v="6"/>
    <x v="9"/>
    <x v="1"/>
    <x v="2"/>
    <n v="-2"/>
    <n v="4"/>
    <m/>
    <x v="1"/>
    <n v="1"/>
    <s v="HH20241006 T3808840363 No Limit Hold'em $1.84 + $0.16.txt"/>
  </r>
  <r>
    <n v="3014"/>
    <n v="26.830000000000013"/>
    <s v="06.10.2024"/>
    <n v="6"/>
    <x v="9"/>
    <x v="1"/>
    <x v="12"/>
    <m/>
    <m/>
    <m/>
    <x v="2"/>
    <n v="0"/>
    <s v="HH20241006 T3808843425 No Limit Hold'em $0.46 + $0.04.txt"/>
  </r>
  <r>
    <n v="3015"/>
    <n v="24.830000000000013"/>
    <s v="07.10.2024"/>
    <n v="7"/>
    <x v="9"/>
    <x v="1"/>
    <x v="2"/>
    <n v="-2"/>
    <m/>
    <m/>
    <x v="2"/>
    <n v="-1"/>
    <s v="HH20241007 T3809197044 No Limit Hold'em $1.84 + $0.16.txt"/>
  </r>
  <r>
    <n v="3016"/>
    <n v="24.830000000000013"/>
    <s v="07.10.2024"/>
    <n v="7"/>
    <x v="9"/>
    <x v="1"/>
    <x v="12"/>
    <m/>
    <m/>
    <m/>
    <x v="1"/>
    <n v="0"/>
    <s v="HH20241007 T3809198613 No Limit Hold'em $0.46 + $0.04.txt"/>
  </r>
  <r>
    <n v="3017"/>
    <n v="24.830000000000013"/>
    <s v="07.10.2024"/>
    <n v="7"/>
    <x v="9"/>
    <x v="1"/>
    <x v="13"/>
    <m/>
    <m/>
    <m/>
    <x v="2"/>
    <n v="0"/>
    <s v="HH20241007 T3808437948 No Limit Hold'em $1.40 + $0.10.txt"/>
  </r>
  <r>
    <n v="3018"/>
    <n v="22.830000000000013"/>
    <s v="07.10.2024"/>
    <n v="7"/>
    <x v="9"/>
    <x v="1"/>
    <x v="2"/>
    <n v="-2"/>
    <m/>
    <m/>
    <x v="2"/>
    <n v="-1"/>
    <s v="HH20241007 T3809201946 No Limit Hold'em $1.84 + $0.16.txt"/>
  </r>
  <r>
    <n v="3019"/>
    <n v="20.830000000000013"/>
    <s v="07.10.2024"/>
    <n v="7"/>
    <x v="9"/>
    <x v="1"/>
    <x v="2"/>
    <n v="-2"/>
    <m/>
    <m/>
    <x v="2"/>
    <n v="-1"/>
    <s v="HH20241007 T3809202485 No Limit Hold'em $1.84 + $0.16.txt"/>
  </r>
  <r>
    <n v="3020"/>
    <n v="18.830000000000013"/>
    <s v="07.10.2024"/>
    <n v="7"/>
    <x v="9"/>
    <x v="1"/>
    <x v="2"/>
    <n v="-2"/>
    <m/>
    <m/>
    <x v="2"/>
    <n v="-1"/>
    <s v="HH20241007 T3809203282 No Limit Hold'em $1.84 + $0.16.txt"/>
  </r>
  <r>
    <n v="3021"/>
    <n v="16.830000000000013"/>
    <s v="07.10.2024"/>
    <n v="7"/>
    <x v="9"/>
    <x v="1"/>
    <x v="2"/>
    <n v="-2"/>
    <m/>
    <m/>
    <x v="2"/>
    <n v="-1"/>
    <s v="HH20241007 T3809203833 No Limit Hold'em $1.84 + $0.16.txt"/>
  </r>
  <r>
    <n v="3022"/>
    <n v="14.830000000000013"/>
    <s v="07.10.2024"/>
    <n v="7"/>
    <x v="9"/>
    <x v="1"/>
    <x v="2"/>
    <n v="-2"/>
    <m/>
    <m/>
    <x v="2"/>
    <n v="-1"/>
    <s v="HH20241007 T3809205676 No Limit Hold'em $1.84 + $0.16.txt"/>
  </r>
  <r>
    <n v="3023"/>
    <n v="12.830000000000013"/>
    <s v="07.10.2024"/>
    <n v="7"/>
    <x v="9"/>
    <x v="1"/>
    <x v="2"/>
    <n v="-2"/>
    <m/>
    <m/>
    <x v="2"/>
    <n v="-1"/>
    <s v="HH20241007 T3809207308 No Limit Hold'em $1.84 + $0.16.txt"/>
  </r>
  <r>
    <n v="3024"/>
    <n v="10.830000000000013"/>
    <s v="07.10.2024"/>
    <n v="7"/>
    <x v="9"/>
    <x v="1"/>
    <x v="2"/>
    <n v="-2"/>
    <m/>
    <m/>
    <x v="2"/>
    <n v="-1"/>
    <s v="HH20241007 T3809222543 No Limit Hold'em $1.84 + $0.16.txt"/>
  </r>
  <r>
    <n v="3025"/>
    <n v="0.83000000000001251"/>
    <s v="07.10.2024"/>
    <n v="7"/>
    <x v="9"/>
    <x v="1"/>
    <x v="2"/>
    <n v="-10"/>
    <m/>
    <m/>
    <x v="2"/>
    <n v="-1"/>
    <s v="HH20241007 T3809224614 No Limit Hold'em $9.30 + $0.70.txt"/>
  </r>
  <r>
    <n v="3026"/>
    <n v="30.050000000000011"/>
    <s v="08.10.2024"/>
    <n v="8"/>
    <x v="9"/>
    <x v="1"/>
    <x v="1"/>
    <m/>
    <n v="29.22"/>
    <m/>
    <x v="0"/>
    <m/>
    <m/>
  </r>
  <r>
    <n v="3027"/>
    <n v="32.050000000000011"/>
    <s v="08.10.2024"/>
    <n v="8"/>
    <x v="9"/>
    <x v="1"/>
    <x v="2"/>
    <n v="-2"/>
    <n v="4"/>
    <m/>
    <x v="1"/>
    <n v="1"/>
    <s v="HH20241008 T3809528358 No Limit Hold'em $1.84 + $0.16.txt"/>
  </r>
  <r>
    <n v="3028"/>
    <n v="32.050000000000011"/>
    <s v="08.10.2024"/>
    <n v="8"/>
    <x v="9"/>
    <x v="1"/>
    <x v="12"/>
    <m/>
    <m/>
    <m/>
    <x v="2"/>
    <n v="0"/>
    <s v="HH20241008 T3809529789 No Limit Hold'em $0.46 + $0.04.txt"/>
  </r>
  <r>
    <n v="3029"/>
    <n v="30.050000000000011"/>
    <s v="09.10.2024"/>
    <n v="9"/>
    <x v="9"/>
    <x v="1"/>
    <x v="2"/>
    <n v="-2"/>
    <m/>
    <m/>
    <x v="2"/>
    <n v="-1"/>
    <s v="HH20241009 T3809901634 No Limit Hold'em $1.84 + $0.16.txt"/>
  </r>
  <r>
    <n v="3030"/>
    <n v="30.050000000000011"/>
    <s v="09.10.2024"/>
    <n v="9"/>
    <x v="9"/>
    <x v="1"/>
    <x v="12"/>
    <m/>
    <m/>
    <m/>
    <x v="2"/>
    <n v="0"/>
    <s v="HH20241009 T3809902470 No Limit Hold'em $0.46 + $0.04.txt"/>
  </r>
  <r>
    <n v="3031"/>
    <n v="28.050000000000011"/>
    <s v="09.10.2024"/>
    <n v="9"/>
    <x v="9"/>
    <x v="1"/>
    <x v="2"/>
    <n v="-2"/>
    <m/>
    <m/>
    <x v="2"/>
    <n v="-1"/>
    <s v="HH20241009 T3809903659 No Limit Hold'em $1.84 + $0.16.txt"/>
  </r>
  <r>
    <n v="3032"/>
    <n v="26.050000000000011"/>
    <s v="09.10.2024"/>
    <n v="9"/>
    <x v="9"/>
    <x v="1"/>
    <x v="2"/>
    <n v="-2"/>
    <m/>
    <m/>
    <x v="2"/>
    <n v="-1"/>
    <s v="HH20241009 T3809904715 No Limit Hold'em $1.84 + $0.16.txt"/>
  </r>
  <r>
    <n v="3033"/>
    <n v="28.050000000000011"/>
    <s v="09.10.2024"/>
    <n v="9"/>
    <x v="9"/>
    <x v="1"/>
    <x v="2"/>
    <n v="-2"/>
    <n v="4"/>
    <m/>
    <x v="1"/>
    <n v="1"/>
    <s v="HH20241009 T3809905970 No Limit Hold'em $1.84 + $0.16.txt"/>
  </r>
  <r>
    <n v="3034"/>
    <n v="32.050000000000011"/>
    <s v="09.10.2024"/>
    <n v="9"/>
    <x v="9"/>
    <x v="1"/>
    <x v="2"/>
    <n v="-2"/>
    <n v="6"/>
    <m/>
    <x v="1"/>
    <n v="2"/>
    <s v="HH20241009 T3809907889 No Limit Hold'em $1.84 + $0.16.txt"/>
  </r>
  <r>
    <n v="3035"/>
    <n v="30.050000000000011"/>
    <s v="09.10.2024"/>
    <n v="9"/>
    <x v="9"/>
    <x v="1"/>
    <x v="2"/>
    <n v="-2"/>
    <m/>
    <m/>
    <x v="2"/>
    <n v="-1"/>
    <s v="HH20241009 T3809910543 No Limit Hold'em $1.84 + $0.16.txt"/>
  </r>
  <r>
    <n v="3036"/>
    <n v="28.050000000000011"/>
    <s v="09.10.2024"/>
    <n v="9"/>
    <x v="9"/>
    <x v="1"/>
    <x v="2"/>
    <n v="-2"/>
    <m/>
    <m/>
    <x v="2"/>
    <n v="-1"/>
    <s v="HH20241009 T3809911458 No Limit Hold'em $1.84 + $0.16.txt"/>
  </r>
  <r>
    <n v="3037"/>
    <n v="32.050000000000011"/>
    <s v="09.10.2024"/>
    <n v="9"/>
    <x v="9"/>
    <x v="1"/>
    <x v="2"/>
    <n v="-2"/>
    <n v="6"/>
    <m/>
    <x v="1"/>
    <n v="2"/>
    <s v="HH20241009 T3809914600 No Limit Hold'em $1.84 + $0.16.txt"/>
  </r>
  <r>
    <n v="3038"/>
    <n v="36.050000000000011"/>
    <s v="09.10.2024"/>
    <n v="9"/>
    <x v="9"/>
    <x v="1"/>
    <x v="2"/>
    <n v="-2"/>
    <n v="6"/>
    <m/>
    <x v="1"/>
    <n v="2"/>
    <s v="HH20241009 T3809915733 No Limit Hold'em $1.84 + $0.16.txt"/>
  </r>
  <r>
    <n v="3039"/>
    <n v="34.050000000000011"/>
    <s v="09.10.2024"/>
    <n v="9"/>
    <x v="9"/>
    <x v="1"/>
    <x v="2"/>
    <n v="-2"/>
    <m/>
    <m/>
    <x v="2"/>
    <n v="-1"/>
    <s v="HH20241009 T3809961336 No Limit Hold'em $1.84 + $0.16.txt"/>
  </r>
  <r>
    <n v="3040"/>
    <n v="32.050000000000011"/>
    <s v="09.10.2024"/>
    <n v="9"/>
    <x v="9"/>
    <x v="1"/>
    <x v="2"/>
    <n v="-2"/>
    <m/>
    <m/>
    <x v="2"/>
    <n v="-1"/>
    <s v="HH20241009 T3809964504 No Limit Hold'em $1.84 + $0.16.txt"/>
  </r>
  <r>
    <n v="3041"/>
    <n v="30.050000000000011"/>
    <s v="09.10.2024"/>
    <n v="9"/>
    <x v="9"/>
    <x v="1"/>
    <x v="2"/>
    <n v="-2"/>
    <m/>
    <m/>
    <x v="2"/>
    <n v="-1"/>
    <s v="HH20241009 T3809965350 No Limit Hold'em $1.84 + $0.16.txt"/>
  </r>
  <r>
    <n v="3042"/>
    <n v="28.050000000000011"/>
    <s v="09.10.2024"/>
    <n v="9"/>
    <x v="9"/>
    <x v="1"/>
    <x v="2"/>
    <n v="-2"/>
    <m/>
    <m/>
    <x v="2"/>
    <n v="-1"/>
    <s v="HH20241009 T3809967151 No Limit Hold'em $1.84 + $0.16.txt"/>
  </r>
  <r>
    <n v="3043"/>
    <n v="26.050000000000011"/>
    <s v="09.10.2024"/>
    <n v="9"/>
    <x v="9"/>
    <x v="1"/>
    <x v="2"/>
    <n v="-2"/>
    <m/>
    <m/>
    <x v="2"/>
    <n v="-1"/>
    <s v="HH20241009 T3809969001 No Limit Hold'em $1.84 + $0.16.txt"/>
  </r>
  <r>
    <n v="3044"/>
    <n v="24.050000000000011"/>
    <s v="09.10.2024"/>
    <n v="9"/>
    <x v="9"/>
    <x v="1"/>
    <x v="2"/>
    <n v="-2"/>
    <m/>
    <m/>
    <x v="2"/>
    <n v="-1"/>
    <s v="HH20241009 T3809969711 No Limit Hold'em $1.84 + $0.16.txt"/>
  </r>
  <r>
    <n v="3045"/>
    <n v="22.050000000000011"/>
    <s v="09.10.2024"/>
    <n v="9"/>
    <x v="9"/>
    <x v="1"/>
    <x v="2"/>
    <n v="-2"/>
    <m/>
    <m/>
    <x v="2"/>
    <n v="-1"/>
    <s v="HH20241009 T3809971423 No Limit Hold'em $1.84 + $0.16.txt"/>
  </r>
  <r>
    <n v="3046"/>
    <n v="24.050000000000011"/>
    <s v="09.10.2024"/>
    <n v="9"/>
    <x v="9"/>
    <x v="1"/>
    <x v="2"/>
    <n v="-2"/>
    <n v="4"/>
    <m/>
    <x v="1"/>
    <n v="1"/>
    <s v="HH20241009 T3809972862 No Limit Hold'em $1.84 + $0.16.txt"/>
  </r>
  <r>
    <n v="3047"/>
    <n v="30.050000000000011"/>
    <s v="09.10.2024"/>
    <n v="9"/>
    <x v="9"/>
    <x v="1"/>
    <x v="2"/>
    <n v="-2"/>
    <n v="8"/>
    <m/>
    <x v="1"/>
    <n v="3"/>
    <s v="HH20241009 T3809975301 No Limit Hold'em $1.84 + $0.16.txt"/>
  </r>
  <r>
    <n v="3048"/>
    <n v="34.050000000000011"/>
    <s v="09.10.2024"/>
    <n v="9"/>
    <x v="9"/>
    <x v="1"/>
    <x v="2"/>
    <n v="-2"/>
    <n v="6"/>
    <m/>
    <x v="1"/>
    <n v="2"/>
    <s v="HH20241009 T3809980229 No Limit Hold'em $1.84 + $0.16.txt"/>
  </r>
  <r>
    <n v="3049"/>
    <n v="32.050000000000011"/>
    <s v="09.10.2024"/>
    <n v="9"/>
    <x v="9"/>
    <x v="1"/>
    <x v="2"/>
    <n v="-2"/>
    <m/>
    <m/>
    <x v="2"/>
    <n v="-1"/>
    <s v="HH20241009 T3809982177 No Limit Hold'em $1.84 + $0.16.txt"/>
  </r>
  <r>
    <n v="3050"/>
    <n v="36.050000000000011"/>
    <s v="09.10.2024"/>
    <n v="9"/>
    <x v="9"/>
    <x v="1"/>
    <x v="2"/>
    <n v="-2"/>
    <n v="6"/>
    <m/>
    <x v="1"/>
    <n v="2"/>
    <s v="HH20241009 T3809984115 No Limit Hold'em $1.84 + $0.16.txt"/>
  </r>
  <r>
    <n v="3051"/>
    <n v="38.050000000000011"/>
    <s v="09.10.2024"/>
    <n v="9"/>
    <x v="9"/>
    <x v="1"/>
    <x v="2"/>
    <n v="-2"/>
    <n v="4"/>
    <m/>
    <x v="1"/>
    <n v="1"/>
    <s v="HH20241009 T3809986327 No Limit Hold'em $1.84 + $0.16.txt"/>
  </r>
  <r>
    <n v="3052"/>
    <n v="36.050000000000011"/>
    <s v="09.10.2024"/>
    <n v="9"/>
    <x v="9"/>
    <x v="1"/>
    <x v="2"/>
    <n v="-2"/>
    <m/>
    <m/>
    <x v="2"/>
    <n v="-1"/>
    <s v="HH20241009 T3809989524 No Limit Hold'em $1.84 + $0.16.txt"/>
  </r>
  <r>
    <n v="3053"/>
    <n v="34.050000000000011"/>
    <s v="09.10.2024"/>
    <n v="9"/>
    <x v="9"/>
    <x v="1"/>
    <x v="2"/>
    <n v="-2"/>
    <m/>
    <m/>
    <x v="2"/>
    <n v="-1"/>
    <s v="HH20241009 T3809991885 No Limit Hold'em $1.84 + $0.16.txt"/>
  </r>
  <r>
    <n v="3054"/>
    <n v="29.990000000000013"/>
    <s v="09.10.2024"/>
    <n v="9"/>
    <x v="9"/>
    <x v="1"/>
    <x v="3"/>
    <n v="-4.4000000000000004"/>
    <m/>
    <n v="0.34"/>
    <x v="2"/>
    <n v="-0.92272727272727273"/>
    <s v="HH20241009 T3808033574 No Limit Hold'em $3.92 + $0.48.txt"/>
  </r>
  <r>
    <n v="3055"/>
    <n v="33.990000000000009"/>
    <s v="09.10.2024"/>
    <n v="9"/>
    <x v="9"/>
    <x v="1"/>
    <x v="2"/>
    <n v="-2"/>
    <n v="6"/>
    <m/>
    <x v="1"/>
    <n v="2"/>
    <s v="HH20241009 T3810069389 No Limit Hold'em $1.84 + $0.16.txt"/>
  </r>
  <r>
    <n v="3056"/>
    <n v="31.990000000000009"/>
    <s v="09.10.2024"/>
    <n v="9"/>
    <x v="9"/>
    <x v="1"/>
    <x v="2"/>
    <n v="-2"/>
    <m/>
    <m/>
    <x v="2"/>
    <n v="-1"/>
    <s v="HH20241009 T3810074105 No Limit Hold'em $1.84 + $0.16.txt"/>
  </r>
  <r>
    <n v="3057"/>
    <n v="29.990000000000009"/>
    <s v="09.10.2024"/>
    <n v="9"/>
    <x v="9"/>
    <x v="1"/>
    <x v="2"/>
    <n v="-2"/>
    <m/>
    <m/>
    <x v="2"/>
    <n v="-1"/>
    <s v="HH20241009 T3810076265 No Limit Hold'em $1.84 + $0.16.txt"/>
  </r>
  <r>
    <n v="3058"/>
    <n v="31.990000000000009"/>
    <s v="09.10.2024"/>
    <n v="9"/>
    <x v="9"/>
    <x v="1"/>
    <x v="2"/>
    <n v="-2"/>
    <n v="4"/>
    <m/>
    <x v="1"/>
    <n v="1"/>
    <s v="HH20241009 T3810078315 No Limit Hold'em $1.84 + $0.16.txt"/>
  </r>
  <r>
    <n v="3059"/>
    <n v="35.990000000000009"/>
    <s v="09.10.2024"/>
    <n v="9"/>
    <x v="9"/>
    <x v="1"/>
    <x v="2"/>
    <n v="-2"/>
    <n v="6"/>
    <m/>
    <x v="1"/>
    <n v="2"/>
    <s v="HH20241009 T3810079870 No Limit Hold'em $1.84 + $0.16.txt"/>
  </r>
  <r>
    <n v="3060"/>
    <n v="37.990000000000009"/>
    <s v="10.10.2024"/>
    <n v="10"/>
    <x v="9"/>
    <x v="1"/>
    <x v="2"/>
    <n v="-2"/>
    <n v="4"/>
    <m/>
    <x v="1"/>
    <n v="1"/>
    <s v="HH20241010 T3810236822 No Limit Hold'em $1.84 + $0.16.txt"/>
  </r>
  <r>
    <n v="3061"/>
    <n v="37.990000000000009"/>
    <s v="10.10.2024"/>
    <n v="10"/>
    <x v="9"/>
    <x v="1"/>
    <x v="12"/>
    <m/>
    <m/>
    <m/>
    <x v="2"/>
    <n v="0"/>
    <s v="HH20241010 T3810238310 No Limit Hold'em $0.46 + $0.04.txt"/>
  </r>
  <r>
    <n v="3062"/>
    <n v="35.990000000000009"/>
    <s v="10.10.2024"/>
    <n v="10"/>
    <x v="9"/>
    <x v="1"/>
    <x v="2"/>
    <n v="-2"/>
    <m/>
    <m/>
    <x v="2"/>
    <n v="-1"/>
    <s v="HH20241010 T3810256648 No Limit Hold'em $1.84 + $0.16.txt"/>
  </r>
  <r>
    <n v="3063"/>
    <n v="33.990000000000009"/>
    <s v="10.10.2024"/>
    <n v="10"/>
    <x v="9"/>
    <x v="1"/>
    <x v="2"/>
    <n v="-2"/>
    <m/>
    <m/>
    <x v="2"/>
    <n v="-1"/>
    <s v="HH20241010 T3810256891 No Limit Hold'em $1.84 + $0.16.txt"/>
  </r>
  <r>
    <n v="3064"/>
    <n v="31.990000000000009"/>
    <s v="10.10.2024"/>
    <n v="10"/>
    <x v="9"/>
    <x v="1"/>
    <x v="2"/>
    <n v="-2"/>
    <m/>
    <m/>
    <x v="2"/>
    <n v="-1"/>
    <s v="HH20241010 T3810257356 No Limit Hold'em $1.84 + $0.16.txt"/>
  </r>
  <r>
    <n v="3065"/>
    <n v="29.990000000000009"/>
    <s v="10.10.2024"/>
    <n v="10"/>
    <x v="9"/>
    <x v="1"/>
    <x v="2"/>
    <n v="-2"/>
    <m/>
    <m/>
    <x v="2"/>
    <n v="-1"/>
    <s v="HH20241010 T3810258800 No Limit Hold'em $1.84 + $0.16.txt"/>
  </r>
  <r>
    <n v="3066"/>
    <n v="31.990000000000009"/>
    <s v="10.10.2024"/>
    <n v="10"/>
    <x v="9"/>
    <x v="1"/>
    <x v="2"/>
    <n v="-2"/>
    <n v="4"/>
    <m/>
    <x v="1"/>
    <n v="1"/>
    <s v="HH20241010 T3810259873 No Limit Hold'em $1.84 + $0.16.txt"/>
  </r>
  <r>
    <n v="3067"/>
    <n v="29.990000000000009"/>
    <s v="10.10.2024"/>
    <n v="10"/>
    <x v="9"/>
    <x v="1"/>
    <x v="2"/>
    <n v="-2"/>
    <m/>
    <m/>
    <x v="2"/>
    <n v="-1"/>
    <s v="HH20241010 T3810279286 No Limit Hold'em $1.84 + $0.16.txt"/>
  </r>
  <r>
    <n v="3068"/>
    <n v="27.990000000000009"/>
    <s v="10.10.2024"/>
    <n v="10"/>
    <x v="9"/>
    <x v="1"/>
    <x v="2"/>
    <n v="-2"/>
    <m/>
    <m/>
    <x v="2"/>
    <n v="-1"/>
    <s v="HH20241010 T3810281971 No Limit Hold'em $1.84 + $0.16.txt"/>
  </r>
  <r>
    <n v="3069"/>
    <n v="25.990000000000009"/>
    <s v="10.10.2024"/>
    <n v="10"/>
    <x v="9"/>
    <x v="1"/>
    <x v="2"/>
    <n v="-2"/>
    <m/>
    <m/>
    <x v="2"/>
    <n v="-1"/>
    <s v="HH20241010 T3810282264 No Limit Hold'em $1.84 + $0.16.txt"/>
  </r>
  <r>
    <n v="3070"/>
    <n v="23.990000000000009"/>
    <s v="10.10.2024"/>
    <n v="10"/>
    <x v="9"/>
    <x v="1"/>
    <x v="2"/>
    <n v="-2"/>
    <m/>
    <m/>
    <x v="2"/>
    <n v="-1"/>
    <s v="HH20241010 T3810283434 No Limit Hold'em $1.84 + $0.16.txt"/>
  </r>
  <r>
    <n v="3071"/>
    <n v="21.990000000000009"/>
    <s v="10.10.2024"/>
    <n v="10"/>
    <x v="9"/>
    <x v="1"/>
    <x v="2"/>
    <n v="-2"/>
    <m/>
    <m/>
    <x v="2"/>
    <n v="-1"/>
    <s v="HH20241010 T3810285266 No Limit Hold'em $1.84 + $0.16.txt"/>
  </r>
  <r>
    <n v="3072"/>
    <n v="19.990000000000009"/>
    <s v="10.10.2024"/>
    <n v="10"/>
    <x v="9"/>
    <x v="1"/>
    <x v="2"/>
    <n v="-2"/>
    <m/>
    <m/>
    <x v="2"/>
    <n v="-1"/>
    <s v="HH20241010 T3810285846 No Limit Hold'em $1.84 + $0.16.txt"/>
  </r>
  <r>
    <n v="3073"/>
    <n v="17.990000000000009"/>
    <s v="10.10.2024"/>
    <n v="10"/>
    <x v="9"/>
    <x v="1"/>
    <x v="2"/>
    <n v="-2"/>
    <m/>
    <m/>
    <x v="2"/>
    <n v="-1"/>
    <s v="HH20241010 T3810286861 No Limit Hold'em $1.84 + $0.16.txt"/>
  </r>
  <r>
    <n v="3074"/>
    <n v="23.990000000000009"/>
    <s v="10.10.2024"/>
    <n v="10"/>
    <x v="9"/>
    <x v="1"/>
    <x v="2"/>
    <n v="-2"/>
    <n v="8"/>
    <m/>
    <x v="1"/>
    <n v="3"/>
    <s v="HH20241010 T3810287275 No Limit Hold'em $1.84 + $0.16.txt"/>
  </r>
  <r>
    <n v="3075"/>
    <n v="21.990000000000009"/>
    <s v="10.10.2024"/>
    <n v="10"/>
    <x v="9"/>
    <x v="1"/>
    <x v="2"/>
    <n v="-2"/>
    <m/>
    <m/>
    <x v="2"/>
    <n v="-1"/>
    <s v="HH20241010 T3810313558 No Limit Hold'em $1.84 + $0.16.txt"/>
  </r>
  <r>
    <n v="3076"/>
    <n v="19.990000000000009"/>
    <s v="10.10.2024"/>
    <n v="10"/>
    <x v="9"/>
    <x v="1"/>
    <x v="2"/>
    <n v="-2"/>
    <m/>
    <m/>
    <x v="2"/>
    <n v="-1"/>
    <s v="HH20241010 T3810314806 No Limit Hold'em $1.84 + $0.16.txt"/>
  </r>
  <r>
    <n v="3077"/>
    <n v="21.990000000000009"/>
    <s v="10.10.2024"/>
    <n v="10"/>
    <x v="9"/>
    <x v="1"/>
    <x v="2"/>
    <n v="-2"/>
    <n v="4"/>
    <m/>
    <x v="1"/>
    <n v="1"/>
    <s v="HH20241010 T3810316523 No Limit Hold'em $1.84 + $0.16.txt"/>
  </r>
  <r>
    <n v="3078"/>
    <n v="25.990000000000009"/>
    <s v="10.10.2024"/>
    <n v="10"/>
    <x v="9"/>
    <x v="1"/>
    <x v="2"/>
    <n v="-2"/>
    <n v="6"/>
    <m/>
    <x v="1"/>
    <n v="2"/>
    <s v="HH20241010 T3810321034 No Limit Hold'em $1.84 + $0.16.txt"/>
  </r>
  <r>
    <n v="3079"/>
    <n v="23.990000000000009"/>
    <s v="10.10.2024"/>
    <n v="10"/>
    <x v="9"/>
    <x v="1"/>
    <x v="2"/>
    <n v="-2"/>
    <m/>
    <m/>
    <x v="2"/>
    <n v="-1"/>
    <s v="HH20241010 T3810322587 No Limit Hold'em $1.84 + $0.16.txt"/>
  </r>
  <r>
    <n v="3080"/>
    <n v="25.990000000000009"/>
    <s v="10.10.2024"/>
    <n v="10"/>
    <x v="9"/>
    <x v="1"/>
    <x v="2"/>
    <n v="-2"/>
    <n v="4"/>
    <m/>
    <x v="1"/>
    <n v="1"/>
    <s v="HH20241010 T3810325198 No Limit Hold'em $1.84 + $0.16.txt"/>
  </r>
  <r>
    <n v="3081"/>
    <n v="29.990000000000009"/>
    <s v="10.10.2024"/>
    <n v="10"/>
    <x v="9"/>
    <x v="1"/>
    <x v="2"/>
    <n v="-2"/>
    <n v="6"/>
    <m/>
    <x v="1"/>
    <n v="2"/>
    <s v="HH20241010 T3810327093 No Limit Hold'em $1.84 + $0.16.txt"/>
  </r>
  <r>
    <n v="3082"/>
    <n v="27.990000000000009"/>
    <s v="10.10.2024"/>
    <n v="10"/>
    <x v="9"/>
    <x v="1"/>
    <x v="2"/>
    <n v="-2"/>
    <m/>
    <m/>
    <x v="2"/>
    <n v="-1"/>
    <s v="HH20241010 T3810328224 No Limit Hold'em $1.84 + $0.16.txt"/>
  </r>
  <r>
    <n v="3083"/>
    <n v="25.990000000000009"/>
    <s v="10.10.2024"/>
    <n v="10"/>
    <x v="9"/>
    <x v="1"/>
    <x v="2"/>
    <n v="-2"/>
    <m/>
    <m/>
    <x v="2"/>
    <n v="-1"/>
    <s v="HH20241010 T3810329593 No Limit Hold'em $1.84 + $0.16.txt"/>
  </r>
  <r>
    <n v="3084"/>
    <n v="23.990000000000009"/>
    <s v="10.10.2024"/>
    <n v="10"/>
    <x v="9"/>
    <x v="1"/>
    <x v="2"/>
    <n v="-2"/>
    <m/>
    <m/>
    <x v="2"/>
    <n v="-1"/>
    <s v="HH20241010 T3810332080 No Limit Hold'em $1.84 + $0.16.txt"/>
  </r>
  <r>
    <n v="3085"/>
    <n v="25.990000000000009"/>
    <s v="10.10.2024"/>
    <n v="10"/>
    <x v="9"/>
    <x v="1"/>
    <x v="2"/>
    <n v="-2"/>
    <n v="4"/>
    <m/>
    <x v="1"/>
    <n v="1"/>
    <s v="HH20241010 T3810333051 No Limit Hold'em $1.84 + $0.16.txt"/>
  </r>
  <r>
    <n v="3086"/>
    <n v="23.990000000000009"/>
    <s v="10.10.2024"/>
    <n v="10"/>
    <x v="9"/>
    <x v="1"/>
    <x v="2"/>
    <n v="-2"/>
    <m/>
    <m/>
    <x v="2"/>
    <n v="-1"/>
    <s v="HH20241010 T3810335816 No Limit Hold'em $1.84 + $0.16.txt"/>
  </r>
  <r>
    <n v="3087"/>
    <n v="21.990000000000009"/>
    <s v="10.10.2024"/>
    <n v="10"/>
    <x v="9"/>
    <x v="1"/>
    <x v="2"/>
    <n v="-2"/>
    <m/>
    <m/>
    <x v="2"/>
    <n v="-1"/>
    <s v="HH20241010 T3810336851 No Limit Hold'em $1.84 + $0.16.txt"/>
  </r>
  <r>
    <n v="3088"/>
    <n v="19.990000000000009"/>
    <s v="10.10.2024"/>
    <n v="10"/>
    <x v="9"/>
    <x v="1"/>
    <x v="2"/>
    <n v="-2"/>
    <m/>
    <m/>
    <x v="2"/>
    <n v="-1"/>
    <s v="HH20241010 T3810339410 No Limit Hold'em $1.84 + $0.16.txt"/>
  </r>
  <r>
    <n v="3089"/>
    <n v="23.990000000000009"/>
    <s v="10.10.2024"/>
    <n v="10"/>
    <x v="9"/>
    <x v="1"/>
    <x v="2"/>
    <n v="-2"/>
    <n v="6"/>
    <m/>
    <x v="1"/>
    <n v="2"/>
    <s v="HH20241010 T3810340665 No Limit Hold'em $1.84 + $0.16.txt"/>
  </r>
  <r>
    <n v="3090"/>
    <n v="21.990000000000009"/>
    <s v="10.10.2024"/>
    <n v="10"/>
    <x v="9"/>
    <x v="1"/>
    <x v="2"/>
    <n v="-2"/>
    <m/>
    <m/>
    <x v="2"/>
    <n v="-1"/>
    <s v="HH20241010 T3810345560 No Limit Hold'em $1.84 + $0.16.txt"/>
  </r>
  <r>
    <n v="3091"/>
    <n v="19.990000000000009"/>
    <s v="10.10.2024"/>
    <n v="10"/>
    <x v="9"/>
    <x v="1"/>
    <x v="2"/>
    <n v="-2"/>
    <m/>
    <m/>
    <x v="2"/>
    <n v="-1"/>
    <s v="HH20241010 T3810345926 No Limit Hold'em $1.84 + $0.16.txt"/>
  </r>
  <r>
    <n v="3092"/>
    <n v="17.990000000000009"/>
    <s v="10.10.2024"/>
    <n v="10"/>
    <x v="9"/>
    <x v="1"/>
    <x v="2"/>
    <n v="-2"/>
    <m/>
    <m/>
    <x v="2"/>
    <n v="-1"/>
    <s v="HH20241010 T3810347005 No Limit Hold'em $1.84 + $0.16.txt"/>
  </r>
  <r>
    <n v="3093"/>
    <n v="15.990000000000009"/>
    <s v="10.10.2024"/>
    <n v="10"/>
    <x v="9"/>
    <x v="1"/>
    <x v="2"/>
    <n v="-2"/>
    <m/>
    <m/>
    <x v="2"/>
    <n v="-1"/>
    <s v="HH20241010 T3810350494 No Limit Hold'em $1.84 + $0.16.txt"/>
  </r>
  <r>
    <n v="3094"/>
    <n v="19.990000000000009"/>
    <s v="10.10.2024"/>
    <n v="10"/>
    <x v="9"/>
    <x v="1"/>
    <x v="2"/>
    <n v="-2"/>
    <n v="6"/>
    <m/>
    <x v="1"/>
    <n v="2"/>
    <s v="HH20241010 T3810351968 No Limit Hold'em $1.84 + $0.16.txt"/>
  </r>
  <r>
    <n v="3095"/>
    <n v="21.990000000000009"/>
    <s v="10.10.2024"/>
    <n v="10"/>
    <x v="9"/>
    <x v="1"/>
    <x v="2"/>
    <n v="-2"/>
    <n v="4"/>
    <m/>
    <x v="1"/>
    <n v="1"/>
    <s v="HH20241010 T3810354494 No Limit Hold'em $1.84 + $0.16.txt"/>
  </r>
  <r>
    <n v="3096"/>
    <n v="19.990000000000009"/>
    <s v="10.10.2024"/>
    <n v="10"/>
    <x v="9"/>
    <x v="1"/>
    <x v="2"/>
    <n v="-2"/>
    <m/>
    <m/>
    <x v="2"/>
    <n v="-1"/>
    <s v="HH20241010 T3810356178 No Limit Hold'em $1.84 + $0.16.txt"/>
  </r>
  <r>
    <n v="3097"/>
    <n v="23.990000000000009"/>
    <s v="10.10.2024"/>
    <n v="10"/>
    <x v="9"/>
    <x v="1"/>
    <x v="2"/>
    <n v="-2"/>
    <n v="6"/>
    <m/>
    <x v="1"/>
    <n v="2"/>
    <s v="HH20241010 T3810369904 No Limit Hold'em $1.84 + $0.16.txt"/>
  </r>
  <r>
    <n v="3098"/>
    <n v="19.590000000000011"/>
    <s v="10.10.2024"/>
    <n v="10"/>
    <x v="9"/>
    <x v="1"/>
    <x v="3"/>
    <n v="-4.4000000000000004"/>
    <m/>
    <m/>
    <x v="2"/>
    <n v="-1"/>
    <s v="HH20241010 T3809942339 No Limit Hold'em $3.92 + $0.48.txt"/>
  </r>
  <r>
    <n v="3099"/>
    <n v="17.590000000000011"/>
    <s v="10.10.2024"/>
    <n v="10"/>
    <x v="9"/>
    <x v="1"/>
    <x v="2"/>
    <n v="-2"/>
    <m/>
    <m/>
    <x v="2"/>
    <n v="-1"/>
    <s v="HH20241010 T3810444704 No Limit Hold'em $1.84 + $0.16.txt"/>
  </r>
  <r>
    <n v="3100"/>
    <n v="15.590000000000011"/>
    <s v="10.10.2024"/>
    <n v="10"/>
    <x v="9"/>
    <x v="1"/>
    <x v="2"/>
    <n v="-2"/>
    <m/>
    <m/>
    <x v="2"/>
    <n v="-1"/>
    <s v="HH20241010 T3810447601 No Limit Hold'em $1.84 + $0.16.txt"/>
  </r>
  <r>
    <n v="3101"/>
    <n v="13.590000000000011"/>
    <s v="10.10.2024"/>
    <n v="10"/>
    <x v="9"/>
    <x v="1"/>
    <x v="2"/>
    <n v="-2"/>
    <m/>
    <m/>
    <x v="2"/>
    <n v="-1"/>
    <s v="HH20241010 T3810448323 No Limit Hold'em $1.84 + $0.16.txt"/>
  </r>
  <r>
    <n v="3102"/>
    <n v="11.590000000000011"/>
    <s v="10.10.2024"/>
    <n v="10"/>
    <x v="9"/>
    <x v="1"/>
    <x v="2"/>
    <n v="-2"/>
    <m/>
    <m/>
    <x v="2"/>
    <n v="-1"/>
    <s v="HH20241010 T3810449598 No Limit Hold'em $1.84 + $0.16.txt"/>
  </r>
  <r>
    <n v="3103"/>
    <n v="1.5900000000000105"/>
    <s v="10.10.2024"/>
    <n v="10"/>
    <x v="9"/>
    <x v="1"/>
    <x v="2"/>
    <n v="-10"/>
    <m/>
    <m/>
    <x v="2"/>
    <n v="-1"/>
    <s v="HH20241010 T3810451867 No Limit Hold'em $9.30 + $0.70.txt"/>
  </r>
  <r>
    <n v="3104"/>
    <n v="59.960000000000008"/>
    <s v="10.10.2024"/>
    <n v="10"/>
    <x v="9"/>
    <x v="1"/>
    <x v="1"/>
    <m/>
    <n v="58.37"/>
    <m/>
    <x v="0"/>
    <m/>
    <m/>
  </r>
  <r>
    <n v="3105"/>
    <n v="63.960000000000008"/>
    <s v="11.10.2024"/>
    <n v="11"/>
    <x v="9"/>
    <x v="1"/>
    <x v="2"/>
    <n v="-2"/>
    <n v="6"/>
    <m/>
    <x v="1"/>
    <n v="2"/>
    <s v="HH20241011 T3810605212 No Limit Hold'em $1.84 + $0.16.txt"/>
  </r>
  <r>
    <n v="3106"/>
    <n v="63.960000000000008"/>
    <s v="11.10.2024"/>
    <n v="11"/>
    <x v="9"/>
    <x v="1"/>
    <x v="12"/>
    <m/>
    <m/>
    <m/>
    <x v="1"/>
    <n v="0"/>
    <s v="HH20241011 T3810606762 No Limit Hold'em $0.46 + $0.04.txt"/>
  </r>
  <r>
    <n v="3107"/>
    <n v="65.960000000000008"/>
    <s v="11.10.2024"/>
    <n v="11"/>
    <x v="9"/>
    <x v="1"/>
    <x v="2"/>
    <n v="-2"/>
    <n v="4"/>
    <m/>
    <x v="1"/>
    <n v="1"/>
    <s v="HH20241011 T3810643491 No Limit Hold'em $1.84 + $0.16.txt"/>
  </r>
  <r>
    <n v="3108"/>
    <n v="63.960000000000008"/>
    <s v="11.10.2024"/>
    <n v="11"/>
    <x v="9"/>
    <x v="1"/>
    <x v="2"/>
    <n v="-2"/>
    <m/>
    <m/>
    <x v="2"/>
    <n v="-1"/>
    <s v="HH20241011 T3810644504 No Limit Hold'em $1.84 + $0.16.txt"/>
  </r>
  <r>
    <n v="3109"/>
    <n v="61.960000000000008"/>
    <s v="11.10.2024"/>
    <n v="11"/>
    <x v="9"/>
    <x v="1"/>
    <x v="2"/>
    <n v="-2"/>
    <m/>
    <m/>
    <x v="2"/>
    <n v="-1"/>
    <s v="HH20241011 T3810679867 No Limit Hold'em $1.84 + $0.16.txt"/>
  </r>
  <r>
    <n v="3110"/>
    <n v="59.960000000000008"/>
    <s v="11.10.2024"/>
    <n v="11"/>
    <x v="9"/>
    <x v="1"/>
    <x v="2"/>
    <n v="-2"/>
    <m/>
    <m/>
    <x v="2"/>
    <n v="-1"/>
    <s v="HH20241011 T3810682038 No Limit Hold'em $1.84 + $0.16.txt"/>
  </r>
  <r>
    <n v="3111"/>
    <n v="61.960000000000008"/>
    <s v="11.10.2024"/>
    <n v="11"/>
    <x v="9"/>
    <x v="1"/>
    <x v="2"/>
    <n v="-2"/>
    <n v="4"/>
    <m/>
    <x v="1"/>
    <n v="1"/>
    <s v="HH20241011 T3810683680 No Limit Hold'em $1.84 + $0.16.txt"/>
  </r>
  <r>
    <n v="3112"/>
    <n v="59.960000000000008"/>
    <s v="11.10.2024"/>
    <n v="11"/>
    <x v="9"/>
    <x v="1"/>
    <x v="2"/>
    <n v="-2"/>
    <m/>
    <m/>
    <x v="2"/>
    <n v="-1"/>
    <s v="HH20241011 T3810687553 No Limit Hold'em $1.84 + $0.16.txt"/>
  </r>
  <r>
    <n v="3113"/>
    <n v="63.960000000000008"/>
    <s v="11.10.2024"/>
    <n v="11"/>
    <x v="9"/>
    <x v="1"/>
    <x v="2"/>
    <n v="-2"/>
    <n v="6"/>
    <m/>
    <x v="1"/>
    <n v="2"/>
    <s v="HH20241011 T3810688163 No Limit Hold'em $1.84 + $0.16.txt"/>
  </r>
  <r>
    <n v="3114"/>
    <n v="67.960000000000008"/>
    <s v="11.10.2024"/>
    <n v="11"/>
    <x v="9"/>
    <x v="1"/>
    <x v="2"/>
    <n v="-2"/>
    <n v="6"/>
    <m/>
    <x v="1"/>
    <n v="2"/>
    <s v="HH20241011 T3810690344 No Limit Hold'em $1.84 + $0.16.txt"/>
  </r>
  <r>
    <n v="3115"/>
    <n v="65.960000000000008"/>
    <s v="11.10.2024"/>
    <n v="11"/>
    <x v="9"/>
    <x v="1"/>
    <x v="2"/>
    <n v="-2"/>
    <m/>
    <m/>
    <x v="2"/>
    <n v="-1"/>
    <s v="HH20241011 T3810805713 No Limit Hold'em $1.84 + $0.16.txt"/>
  </r>
  <r>
    <n v="3116"/>
    <n v="63.960000000000008"/>
    <s v="11.10.2024"/>
    <n v="11"/>
    <x v="9"/>
    <x v="1"/>
    <x v="2"/>
    <n v="-2"/>
    <m/>
    <m/>
    <x v="2"/>
    <n v="-1"/>
    <s v="HH20241011 T3810808434 No Limit Hold'em $1.84 + $0.16.txt"/>
  </r>
  <r>
    <n v="3117"/>
    <n v="65.960000000000008"/>
    <s v="11.10.2024"/>
    <n v="11"/>
    <x v="9"/>
    <x v="1"/>
    <x v="2"/>
    <n v="-2"/>
    <n v="4"/>
    <m/>
    <x v="1"/>
    <n v="1"/>
    <s v="HH20241011 T3810810347 No Limit Hold'em $1.84 + $0.16.txt"/>
  </r>
  <r>
    <n v="3118"/>
    <n v="63.960000000000008"/>
    <s v="11.10.2024"/>
    <n v="11"/>
    <x v="9"/>
    <x v="1"/>
    <x v="2"/>
    <n v="-2"/>
    <m/>
    <m/>
    <x v="2"/>
    <n v="-1"/>
    <s v="HH20241011 T3810813896 No Limit Hold'em $1.84 + $0.16.txt"/>
  </r>
  <r>
    <n v="3119"/>
    <n v="65.960000000000008"/>
    <s v="11.10.2024"/>
    <n v="11"/>
    <x v="9"/>
    <x v="1"/>
    <x v="2"/>
    <n v="-2"/>
    <n v="4"/>
    <m/>
    <x v="1"/>
    <n v="1"/>
    <s v="HH20241011 T3810817698 No Limit Hold'em $1.84 + $0.16.txt"/>
  </r>
  <r>
    <n v="3120"/>
    <n v="63.960000000000008"/>
    <s v="11.10.2024"/>
    <n v="11"/>
    <x v="9"/>
    <x v="1"/>
    <x v="2"/>
    <n v="-2"/>
    <m/>
    <m/>
    <x v="2"/>
    <n v="-1"/>
    <s v="HH20241011 T3810820732 No Limit Hold'em $1.84 + $0.16.txt"/>
  </r>
  <r>
    <n v="3121"/>
    <n v="61.960000000000008"/>
    <s v="11.10.2024"/>
    <n v="11"/>
    <x v="9"/>
    <x v="1"/>
    <x v="2"/>
    <n v="-2"/>
    <m/>
    <m/>
    <x v="2"/>
    <n v="-1"/>
    <s v="HH20241011 T3810822367 No Limit Hold'em $1.84 + $0.16.txt"/>
  </r>
  <r>
    <n v="3122"/>
    <n v="63.960000000000008"/>
    <s v="12.10.2024"/>
    <n v="12"/>
    <x v="9"/>
    <x v="1"/>
    <x v="2"/>
    <n v="-2"/>
    <n v="4"/>
    <m/>
    <x v="1"/>
    <n v="1"/>
    <s v="HH20241012 T3811154694 No Limit Hold'em $1.84 + $0.16.txt"/>
  </r>
  <r>
    <n v="3123"/>
    <n v="52.960000000000008"/>
    <s v="12.10.2024"/>
    <n v="12"/>
    <x v="9"/>
    <x v="1"/>
    <x v="15"/>
    <n v="-11"/>
    <m/>
    <m/>
    <x v="2"/>
    <n v="-1"/>
    <s v="HH20241012 T3808031819 No Limit Hold'em $9.80 + $1.20.txt"/>
  </r>
  <r>
    <n v="3124"/>
    <n v="52.960000000000008"/>
    <s v="12.10.2024"/>
    <n v="12"/>
    <x v="9"/>
    <x v="1"/>
    <x v="12"/>
    <m/>
    <m/>
    <m/>
    <x v="2"/>
    <n v="0"/>
    <s v="HH20241012 T3811163699 No Limit Hold'em $0.46 + $0.04.txt"/>
  </r>
  <r>
    <n v="3125"/>
    <n v="52.960000000000008"/>
    <s v="12.10.2024"/>
    <n v="12"/>
    <x v="9"/>
    <x v="1"/>
    <x v="13"/>
    <m/>
    <m/>
    <m/>
    <x v="2"/>
    <n v="0"/>
    <s v="HH20241012 T3808438046 No Limit Hold'em $1.40 + $0.10.txt"/>
  </r>
  <r>
    <n v="3126"/>
    <n v="50.960000000000008"/>
    <s v="12.10.2024"/>
    <n v="12"/>
    <x v="9"/>
    <x v="1"/>
    <x v="2"/>
    <n v="-2"/>
    <m/>
    <m/>
    <x v="2"/>
    <n v="-1"/>
    <s v="HH20241012 T3811169400 No Limit Hold'em $1.84 + $0.16.txt"/>
  </r>
  <r>
    <n v="3127"/>
    <n v="48.960000000000008"/>
    <s v="12.10.2024"/>
    <n v="12"/>
    <x v="9"/>
    <x v="1"/>
    <x v="2"/>
    <n v="-2"/>
    <m/>
    <m/>
    <x v="2"/>
    <n v="-1"/>
    <s v="HH20241012 T3811171111 No Limit Hold'em $1.84 + $0.16.txt"/>
  </r>
  <r>
    <n v="3128"/>
    <n v="46.960000000000008"/>
    <s v="12.10.2024"/>
    <n v="12"/>
    <x v="9"/>
    <x v="1"/>
    <x v="2"/>
    <n v="-2"/>
    <m/>
    <m/>
    <x v="2"/>
    <n v="-1"/>
    <s v="HH20241012 T3811172456 No Limit Hold'em $1.84 + $0.16.txt"/>
  </r>
  <r>
    <n v="3129"/>
    <n v="46.960000000000008"/>
    <s v="12.10.2024"/>
    <n v="12"/>
    <x v="9"/>
    <x v="1"/>
    <x v="14"/>
    <m/>
    <m/>
    <m/>
    <x v="2"/>
    <n v="0"/>
    <s v="HH20241012 T3808437921 No Limit Hold'em $10.27 + $0.73.txt"/>
  </r>
  <r>
    <n v="3130"/>
    <n v="44.960000000000008"/>
    <s v="12.10.2024"/>
    <n v="12"/>
    <x v="9"/>
    <x v="1"/>
    <x v="2"/>
    <n v="-2"/>
    <m/>
    <m/>
    <x v="2"/>
    <n v="-1"/>
    <s v="HH20241012 T3811178456 No Limit Hold'em $1.84 + $0.16.txt"/>
  </r>
  <r>
    <n v="3131"/>
    <n v="42.960000000000008"/>
    <s v="12.10.2024"/>
    <n v="12"/>
    <x v="9"/>
    <x v="1"/>
    <x v="2"/>
    <n v="-2"/>
    <m/>
    <m/>
    <x v="2"/>
    <n v="-1"/>
    <s v="HH20241012 T3811179137 No Limit Hold'em $1.84 + $0.16.txt"/>
  </r>
  <r>
    <n v="3132"/>
    <n v="40.960000000000008"/>
    <s v="12.10.2024"/>
    <n v="12"/>
    <x v="9"/>
    <x v="1"/>
    <x v="2"/>
    <n v="-2"/>
    <m/>
    <m/>
    <x v="2"/>
    <n v="-1"/>
    <s v="HH20241012 T3811181383 No Limit Hold'em $1.84 + $0.16.txt"/>
  </r>
  <r>
    <n v="3133"/>
    <n v="38.960000000000008"/>
    <s v="12.10.2024"/>
    <n v="12"/>
    <x v="9"/>
    <x v="1"/>
    <x v="2"/>
    <n v="-2"/>
    <m/>
    <m/>
    <x v="2"/>
    <n v="-1"/>
    <s v="HH20241012 T3811192282 No Limit Hold'em $1.84 + $0.16.txt"/>
  </r>
  <r>
    <n v="3134"/>
    <n v="36.960000000000008"/>
    <s v="12.10.2024"/>
    <n v="12"/>
    <x v="9"/>
    <x v="1"/>
    <x v="2"/>
    <n v="-2"/>
    <m/>
    <m/>
    <x v="2"/>
    <n v="-1"/>
    <s v="HH20241012 T3811194114 No Limit Hold'em $1.84 + $0.16.txt"/>
  </r>
  <r>
    <n v="3135"/>
    <n v="38.960000000000008"/>
    <s v="12.10.2024"/>
    <n v="12"/>
    <x v="9"/>
    <x v="1"/>
    <x v="2"/>
    <n v="-2"/>
    <n v="4"/>
    <m/>
    <x v="1"/>
    <n v="1"/>
    <s v="HH20241012 T3811195419 No Limit Hold'em $1.84 + $0.16.txt"/>
  </r>
  <r>
    <n v="3136"/>
    <n v="36.960000000000008"/>
    <s v="12.10.2024"/>
    <n v="12"/>
    <x v="9"/>
    <x v="1"/>
    <x v="2"/>
    <n v="-2"/>
    <m/>
    <m/>
    <x v="2"/>
    <n v="-1"/>
    <s v="HH20241012 T3811196131 No Limit Hold'em $1.84 + $0.16.txt"/>
  </r>
  <r>
    <n v="3137"/>
    <n v="34.960000000000008"/>
    <s v="12.10.2024"/>
    <n v="12"/>
    <x v="9"/>
    <x v="1"/>
    <x v="2"/>
    <n v="-2"/>
    <m/>
    <m/>
    <x v="2"/>
    <n v="-1"/>
    <s v="HH20241012 T3811245501 No Limit Hold'em $1.84 + $0.16.txt"/>
  </r>
  <r>
    <n v="3138"/>
    <n v="32.960000000000008"/>
    <s v="12.10.2024"/>
    <n v="12"/>
    <x v="9"/>
    <x v="1"/>
    <x v="2"/>
    <n v="-2"/>
    <m/>
    <m/>
    <x v="2"/>
    <n v="-1"/>
    <s v="HH20241012 T3811249067 No Limit Hold'em $1.84 + $0.16.txt"/>
  </r>
  <r>
    <n v="3139"/>
    <n v="30.960000000000008"/>
    <s v="12.10.2024"/>
    <n v="12"/>
    <x v="9"/>
    <x v="1"/>
    <x v="2"/>
    <n v="-2"/>
    <m/>
    <m/>
    <x v="2"/>
    <n v="-1"/>
    <s v="HH20241012 T3811254557 No Limit Hold'em $1.84 + $0.16.txt"/>
  </r>
  <r>
    <n v="3140"/>
    <n v="28.960000000000008"/>
    <s v="12.10.2024"/>
    <n v="12"/>
    <x v="9"/>
    <x v="1"/>
    <x v="2"/>
    <n v="-2"/>
    <m/>
    <m/>
    <x v="2"/>
    <n v="-1"/>
    <s v="HH20241012 T3811257045 No Limit Hold'em $1.84 + $0.16.txt"/>
  </r>
  <r>
    <n v="3141"/>
    <n v="30.960000000000008"/>
    <s v="12.10.2024"/>
    <n v="12"/>
    <x v="9"/>
    <x v="1"/>
    <x v="2"/>
    <n v="-2"/>
    <n v="4"/>
    <m/>
    <x v="1"/>
    <n v="1"/>
    <s v="HH20241012 T3811257945 No Limit Hold'em $1.84 + $0.16.txt"/>
  </r>
  <r>
    <n v="3142"/>
    <n v="36.960000000000008"/>
    <s v="12.10.2024"/>
    <n v="12"/>
    <x v="9"/>
    <x v="1"/>
    <x v="2"/>
    <n v="-2"/>
    <n v="8"/>
    <m/>
    <x v="1"/>
    <n v="3"/>
    <s v="HH20241012 T3811261611 No Limit Hold'em $1.84 + $0.16.txt"/>
  </r>
  <r>
    <n v="3143"/>
    <n v="34.960000000000008"/>
    <s v="12.10.2024"/>
    <n v="12"/>
    <x v="9"/>
    <x v="1"/>
    <x v="2"/>
    <n v="-2"/>
    <m/>
    <m/>
    <x v="2"/>
    <n v="-1"/>
    <s v="HH20241012 T3811263664 No Limit Hold'em $1.84 + $0.16.txt"/>
  </r>
  <r>
    <n v="3144"/>
    <n v="38.960000000000008"/>
    <s v="12.10.2024"/>
    <n v="12"/>
    <x v="9"/>
    <x v="1"/>
    <x v="2"/>
    <n v="-2"/>
    <n v="6"/>
    <m/>
    <x v="1"/>
    <n v="2"/>
    <s v="HH20241012 T3811266620 No Limit Hold'em $1.84 + $0.16.txt"/>
  </r>
  <r>
    <n v="3145"/>
    <n v="36.960000000000008"/>
    <s v="12.10.2024"/>
    <n v="12"/>
    <x v="9"/>
    <x v="1"/>
    <x v="2"/>
    <n v="-2"/>
    <m/>
    <m/>
    <x v="2"/>
    <n v="-1"/>
    <s v="HH20241012 T3811270642 No Limit Hold'em $1.84 + $0.16.txt"/>
  </r>
  <r>
    <n v="3146"/>
    <n v="34.960000000000008"/>
    <s v="12.10.2024"/>
    <n v="12"/>
    <x v="9"/>
    <x v="1"/>
    <x v="2"/>
    <n v="-2"/>
    <m/>
    <m/>
    <x v="2"/>
    <n v="-1"/>
    <s v="HH20241012 T3811273251 No Limit Hold'em $1.84 + $0.16.txt"/>
  </r>
  <r>
    <n v="3147"/>
    <n v="32.960000000000008"/>
    <s v="13.10.2024"/>
    <n v="13"/>
    <x v="9"/>
    <x v="1"/>
    <x v="2"/>
    <n v="-2"/>
    <m/>
    <m/>
    <x v="2"/>
    <n v="-1"/>
    <s v="HH20241013 T3811397332 No Limit Hold'em $1.84 + $0.16.txt"/>
  </r>
  <r>
    <n v="3148"/>
    <n v="32.960000000000008"/>
    <s v="13.10.2024"/>
    <n v="13"/>
    <x v="9"/>
    <x v="1"/>
    <x v="12"/>
    <m/>
    <m/>
    <m/>
    <x v="2"/>
    <n v="0"/>
    <s v="HH20241013 T3811432954 No Limit Hold'em $0.46 + $0.04.txt"/>
  </r>
  <r>
    <n v="3149"/>
    <n v="34.960000000000008"/>
    <s v="13.10.2024"/>
    <n v="13"/>
    <x v="9"/>
    <x v="1"/>
    <x v="2"/>
    <n v="-2"/>
    <n v="4"/>
    <m/>
    <x v="1"/>
    <n v="1"/>
    <s v="HH20241013 T3811435185 No Limit Hold'em $1.84 + $0.16.txt"/>
  </r>
  <r>
    <n v="3150"/>
    <n v="32.960000000000008"/>
    <s v="13.10.2024"/>
    <n v="13"/>
    <x v="9"/>
    <x v="1"/>
    <x v="2"/>
    <n v="-2"/>
    <m/>
    <m/>
    <x v="2"/>
    <n v="-1"/>
    <s v="HH20241013 T3811436656 No Limit Hold'em $1.84 + $0.16.txt"/>
  </r>
  <r>
    <n v="3151"/>
    <n v="30.960000000000008"/>
    <s v="13.10.2024"/>
    <n v="13"/>
    <x v="9"/>
    <x v="1"/>
    <x v="2"/>
    <n v="-2"/>
    <m/>
    <m/>
    <x v="2"/>
    <n v="-1"/>
    <s v="HH20241013 T3811438928 No Limit Hold'em $1.84 + $0.16.txt"/>
  </r>
  <r>
    <n v="3152"/>
    <n v="28.960000000000008"/>
    <s v="13.10.2024"/>
    <n v="13"/>
    <x v="9"/>
    <x v="1"/>
    <x v="2"/>
    <n v="-2"/>
    <m/>
    <m/>
    <x v="2"/>
    <n v="-1"/>
    <s v="HH20241013 T3811440360 No Limit Hold'em $1.84 + $0.16.txt"/>
  </r>
  <r>
    <n v="3153"/>
    <n v="26.960000000000008"/>
    <s v="13.10.2024"/>
    <n v="13"/>
    <x v="9"/>
    <x v="1"/>
    <x v="2"/>
    <n v="-2"/>
    <m/>
    <m/>
    <x v="2"/>
    <n v="-1"/>
    <s v="HH20241013 T3811441963 No Limit Hold'em $1.84 + $0.16.txt"/>
  </r>
  <r>
    <n v="3154"/>
    <n v="28.960000000000008"/>
    <s v="13.10.2024"/>
    <n v="13"/>
    <x v="9"/>
    <x v="1"/>
    <x v="2"/>
    <n v="-2"/>
    <n v="4"/>
    <m/>
    <x v="1"/>
    <n v="1"/>
    <s v="HH20241013 T3811445034 No Limit Hold'em $1.84 + $0.16.txt"/>
  </r>
  <r>
    <n v="3155"/>
    <n v="26.960000000000008"/>
    <s v="13.10.2024"/>
    <n v="13"/>
    <x v="9"/>
    <x v="1"/>
    <x v="2"/>
    <n v="-2"/>
    <m/>
    <m/>
    <x v="2"/>
    <n v="-1"/>
    <s v="HH20241013 T3811447019 No Limit Hold'em $1.84 + $0.16.txt"/>
  </r>
  <r>
    <n v="3156"/>
    <n v="30.960000000000008"/>
    <s v="13.10.2024"/>
    <n v="13"/>
    <x v="9"/>
    <x v="1"/>
    <x v="2"/>
    <n v="-2"/>
    <n v="6"/>
    <m/>
    <x v="1"/>
    <n v="2"/>
    <s v="HH20241013 T3811447943 No Limit Hold'em $1.84 + $0.16.txt"/>
  </r>
  <r>
    <n v="3157"/>
    <n v="32.960000000000008"/>
    <s v="13.10.2024"/>
    <n v="13"/>
    <x v="9"/>
    <x v="1"/>
    <x v="2"/>
    <n v="-2"/>
    <n v="4"/>
    <m/>
    <x v="1"/>
    <n v="1"/>
    <s v="HH20241013 T3811449406 No Limit Hold'em $1.84 + $0.16.txt"/>
  </r>
  <r>
    <n v="3158"/>
    <n v="30.960000000000008"/>
    <s v="13.10.2024"/>
    <n v="13"/>
    <x v="9"/>
    <x v="1"/>
    <x v="2"/>
    <n v="-2"/>
    <m/>
    <m/>
    <x v="2"/>
    <n v="-1"/>
    <s v="HH20241013 T3811476681 No Limit Hold'em $1.84 + $0.16.txt"/>
  </r>
  <r>
    <n v="3159"/>
    <n v="28.960000000000008"/>
    <s v="13.10.2024"/>
    <n v="13"/>
    <x v="9"/>
    <x v="1"/>
    <x v="2"/>
    <n v="-2"/>
    <m/>
    <m/>
    <x v="2"/>
    <n v="-1"/>
    <s v="HH20241013 T3811479551 No Limit Hold'em $1.84 + $0.16.txt"/>
  </r>
  <r>
    <n v="3160"/>
    <n v="32.960000000000008"/>
    <s v="13.10.2024"/>
    <n v="13"/>
    <x v="9"/>
    <x v="1"/>
    <x v="2"/>
    <n v="-2"/>
    <n v="6"/>
    <m/>
    <x v="1"/>
    <n v="2"/>
    <s v="HH20241013 T3811481288 No Limit Hold'em $1.84 + $0.16.txt"/>
  </r>
  <r>
    <n v="3161"/>
    <n v="38.960000000000008"/>
    <s v="13.10.2024"/>
    <n v="13"/>
    <x v="9"/>
    <x v="1"/>
    <x v="2"/>
    <n v="-2"/>
    <n v="8"/>
    <m/>
    <x v="1"/>
    <n v="3"/>
    <s v="HH20241013 T3811534971 No Limit Hold'em $1.84 + $0.16.txt"/>
  </r>
  <r>
    <n v="3162"/>
    <n v="36.960000000000008"/>
    <s v="13.10.2024"/>
    <n v="13"/>
    <x v="9"/>
    <x v="1"/>
    <x v="2"/>
    <n v="-2"/>
    <m/>
    <m/>
    <x v="2"/>
    <n v="-1"/>
    <s v="HH20241013 T3811552515 No Limit Hold'em $1.84 + $0.16.txt"/>
  </r>
  <r>
    <n v="3163"/>
    <n v="34.960000000000008"/>
    <s v="13.10.2024"/>
    <n v="13"/>
    <x v="9"/>
    <x v="1"/>
    <x v="2"/>
    <n v="-2"/>
    <m/>
    <m/>
    <x v="2"/>
    <n v="-1"/>
    <s v="HH20241013 T3811553232 No Limit Hold'em $1.84 + $0.16.txt"/>
  </r>
  <r>
    <n v="3164"/>
    <n v="36.960000000000008"/>
    <s v="13.10.2024"/>
    <n v="13"/>
    <x v="9"/>
    <x v="1"/>
    <x v="2"/>
    <n v="-2"/>
    <n v="4"/>
    <m/>
    <x v="1"/>
    <n v="1"/>
    <s v="HH20241013 T3811584377 No Limit Hold'em $1.84 + $0.16.txt"/>
  </r>
  <r>
    <n v="3165"/>
    <n v="40.960000000000008"/>
    <s v="13.10.2024"/>
    <n v="13"/>
    <x v="9"/>
    <x v="1"/>
    <x v="2"/>
    <n v="-2"/>
    <n v="6"/>
    <m/>
    <x v="1"/>
    <n v="2"/>
    <s v="HH20241013 T3811588270 No Limit Hold'em $1.84 + $0.16.txt"/>
  </r>
  <r>
    <n v="3166"/>
    <n v="42.960000000000008"/>
    <s v="13.10.2024"/>
    <n v="13"/>
    <x v="9"/>
    <x v="1"/>
    <x v="2"/>
    <n v="-2"/>
    <n v="4"/>
    <m/>
    <x v="1"/>
    <n v="1"/>
    <s v="HH20241013 T3811592319 No Limit Hold'em $1.84 + $0.16.txt"/>
  </r>
  <r>
    <n v="3167"/>
    <n v="40.960000000000008"/>
    <s v="14.10.2024"/>
    <n v="14"/>
    <x v="9"/>
    <x v="1"/>
    <x v="2"/>
    <n v="-2"/>
    <m/>
    <m/>
    <x v="2"/>
    <n v="-1"/>
    <s v="NA"/>
  </r>
  <r>
    <n v="3168"/>
    <n v="40.960000000000008"/>
    <s v="14.10.2024"/>
    <n v="14"/>
    <x v="9"/>
    <x v="1"/>
    <x v="12"/>
    <m/>
    <m/>
    <m/>
    <x v="2"/>
    <n v="0"/>
    <s v="HH20241014 T3811815322 No Limit Hold'em $0.46 + $0.04.txt"/>
  </r>
  <r>
    <n v="3169"/>
    <n v="38.960000000000008"/>
    <s v="14.10.2024"/>
    <n v="14"/>
    <x v="9"/>
    <x v="1"/>
    <x v="2"/>
    <n v="-2"/>
    <m/>
    <m/>
    <x v="2"/>
    <n v="-1"/>
    <s v="HH20241014 T3811840595 No Limit Hold'em $1.84 + $0.16.txt"/>
  </r>
  <r>
    <n v="3170"/>
    <n v="36.960000000000008"/>
    <s v="14.10.2024"/>
    <n v="14"/>
    <x v="9"/>
    <x v="1"/>
    <x v="2"/>
    <n v="-2"/>
    <m/>
    <m/>
    <x v="2"/>
    <n v="-1"/>
    <s v="HH20241014 T3811843769 No Limit Hold'em $1.84 + $0.16.txt"/>
  </r>
  <r>
    <n v="3171"/>
    <n v="34.960000000000008"/>
    <s v="14.10.2024"/>
    <n v="14"/>
    <x v="9"/>
    <x v="1"/>
    <x v="2"/>
    <n v="-2"/>
    <m/>
    <m/>
    <x v="2"/>
    <n v="-1"/>
    <s v="HH20241014 T3811846894 No Limit Hold'em $1.84 + $0.16.txt"/>
  </r>
  <r>
    <n v="3172"/>
    <n v="32.960000000000008"/>
    <s v="14.10.2024"/>
    <n v="14"/>
    <x v="9"/>
    <x v="1"/>
    <x v="2"/>
    <n v="-2"/>
    <m/>
    <m/>
    <x v="2"/>
    <n v="-1"/>
    <s v="HH20241014 T3811848623 No Limit Hold'em $1.84 + $0.16.txt"/>
  </r>
  <r>
    <n v="3173"/>
    <n v="30.960000000000008"/>
    <s v="14.10.2024"/>
    <n v="14"/>
    <x v="9"/>
    <x v="1"/>
    <x v="2"/>
    <n v="-2"/>
    <m/>
    <m/>
    <x v="2"/>
    <n v="-1"/>
    <s v="HH20241014 T3811851927 No Limit Hold'em $1.84 + $0.16.txt"/>
  </r>
  <r>
    <n v="3174"/>
    <n v="36.960000000000008"/>
    <s v="14.10.2024"/>
    <n v="14"/>
    <x v="9"/>
    <x v="1"/>
    <x v="2"/>
    <n v="-2"/>
    <n v="8"/>
    <m/>
    <x v="1"/>
    <n v="3"/>
    <s v="HH20241014 T3811852951 No Limit Hold'em $1.84 + $0.16.txt"/>
  </r>
  <r>
    <n v="3175"/>
    <n v="34.960000000000008"/>
    <s v="14.10.2024"/>
    <n v="14"/>
    <x v="9"/>
    <x v="1"/>
    <x v="2"/>
    <n v="-2"/>
    <m/>
    <m/>
    <x v="2"/>
    <n v="-1"/>
    <s v="HH20241014 T3811856947 No Limit Hold'em $1.84 + $0.16.txt"/>
  </r>
  <r>
    <n v="3176"/>
    <n v="36.960000000000008"/>
    <s v="14.10.2024"/>
    <n v="14"/>
    <x v="9"/>
    <x v="1"/>
    <x v="2"/>
    <n v="-2"/>
    <n v="4"/>
    <m/>
    <x v="1"/>
    <n v="1"/>
    <s v="HH20241014 T3811859708 No Limit Hold'em $1.84 + $0.16.txt"/>
  </r>
  <r>
    <n v="3177"/>
    <n v="34.960000000000008"/>
    <s v="14.10.2024"/>
    <n v="14"/>
    <x v="9"/>
    <x v="1"/>
    <x v="2"/>
    <n v="-2"/>
    <m/>
    <m/>
    <x v="2"/>
    <n v="-1"/>
    <s v="HH20241014 T3811862789 No Limit Hold'em $1.84 + $0.16.txt"/>
  </r>
  <r>
    <n v="3178"/>
    <n v="38.960000000000008"/>
    <s v="14.10.2024"/>
    <n v="14"/>
    <x v="9"/>
    <x v="1"/>
    <x v="2"/>
    <n v="-2"/>
    <n v="6"/>
    <m/>
    <x v="1"/>
    <n v="2"/>
    <s v="HH20241014 T3811894337 No Limit Hold'em $1.84 + $0.16.txt"/>
  </r>
  <r>
    <n v="3179"/>
    <n v="36.960000000000008"/>
    <s v="14.10.2024"/>
    <n v="14"/>
    <x v="9"/>
    <x v="1"/>
    <x v="2"/>
    <n v="-2"/>
    <m/>
    <m/>
    <x v="2"/>
    <n v="-1"/>
    <s v="HH20241014 T3811900028 No Limit Hold'em $1.84 + $0.16.txt"/>
  </r>
  <r>
    <n v="3180"/>
    <n v="34.960000000000008"/>
    <s v="14.10.2024"/>
    <n v="14"/>
    <x v="9"/>
    <x v="1"/>
    <x v="2"/>
    <n v="-2"/>
    <m/>
    <m/>
    <x v="2"/>
    <n v="-1"/>
    <s v="HH20241014 T3811971550 No Limit Hold'em $1.84 + $0.16.txt"/>
  </r>
  <r>
    <n v="3181"/>
    <n v="32.960000000000008"/>
    <s v="14.10.2024"/>
    <n v="14"/>
    <x v="9"/>
    <x v="1"/>
    <x v="2"/>
    <n v="-2"/>
    <m/>
    <m/>
    <x v="2"/>
    <n v="-1"/>
    <s v="HH20241014 T3811974345 No Limit Hold'em $1.84 + $0.16.txt"/>
  </r>
  <r>
    <n v="3182"/>
    <n v="34.960000000000008"/>
    <s v="14.10.2024"/>
    <n v="14"/>
    <x v="9"/>
    <x v="1"/>
    <x v="2"/>
    <n v="-2"/>
    <n v="4"/>
    <m/>
    <x v="1"/>
    <n v="1"/>
    <s v="HH20241014 T3811979383 No Limit Hold'em $1.84 + $0.16.txt"/>
  </r>
  <r>
    <n v="3183"/>
    <n v="32.960000000000008"/>
    <s v="14.10.2024"/>
    <n v="14"/>
    <x v="9"/>
    <x v="1"/>
    <x v="2"/>
    <n v="-2"/>
    <m/>
    <m/>
    <x v="2"/>
    <n v="-1"/>
    <s v="HH20241014 T3811982815 No Limit Hold'em $1.84 + $0.16.txt"/>
  </r>
  <r>
    <n v="3184"/>
    <n v="30.960000000000008"/>
    <s v="15.10.2024"/>
    <n v="15"/>
    <x v="9"/>
    <x v="1"/>
    <x v="2"/>
    <n v="-2"/>
    <m/>
    <m/>
    <x v="2"/>
    <n v="-1"/>
    <s v="HH20241015 T3812118418 No Limit Hold'em $1.84 + $0.16.txt"/>
  </r>
  <r>
    <n v="3185"/>
    <n v="30.960000000000008"/>
    <s v="15.10.2024"/>
    <n v="15"/>
    <x v="9"/>
    <x v="1"/>
    <x v="12"/>
    <m/>
    <m/>
    <m/>
    <x v="2"/>
    <n v="0"/>
    <s v="HH20241015 T3812119725 No Limit Hold'em $0.46 + $0.04.txt"/>
  </r>
  <r>
    <n v="3186"/>
    <n v="28.960000000000008"/>
    <s v="15.10.2024"/>
    <n v="15"/>
    <x v="9"/>
    <x v="1"/>
    <x v="2"/>
    <n v="-2"/>
    <m/>
    <m/>
    <x v="2"/>
    <n v="-1"/>
    <s v="HH20241015 T3812141639 No Limit Hold'em $1.84 + $0.16.txt"/>
  </r>
  <r>
    <n v="3187"/>
    <n v="36.960000000000008"/>
    <s v="15.10.2024"/>
    <n v="15"/>
    <x v="9"/>
    <x v="1"/>
    <x v="2"/>
    <n v="-2"/>
    <n v="10"/>
    <m/>
    <x v="1"/>
    <n v="4"/>
    <s v="HH20241015 T3812143048 No Limit Hold'em $1.84 + $0.16.txt"/>
  </r>
  <r>
    <n v="3188"/>
    <n v="34.960000000000008"/>
    <s v="15.10.2024"/>
    <n v="15"/>
    <x v="9"/>
    <x v="1"/>
    <x v="2"/>
    <n v="-2"/>
    <m/>
    <m/>
    <x v="2"/>
    <n v="-1"/>
    <s v="HH20241015 T3812156204 No Limit Hold'em $1.84 + $0.16.txt"/>
  </r>
  <r>
    <n v="3189"/>
    <n v="32.960000000000008"/>
    <s v="15.10.2024"/>
    <n v="15"/>
    <x v="9"/>
    <x v="1"/>
    <x v="2"/>
    <n v="-2"/>
    <m/>
    <m/>
    <x v="2"/>
    <n v="-1"/>
    <s v="HH20241015 T3812157395 No Limit Hold'em $1.84 + $0.16.txt"/>
  </r>
  <r>
    <n v="3190"/>
    <n v="34.960000000000008"/>
    <s v="15.10.2024"/>
    <n v="15"/>
    <x v="9"/>
    <x v="1"/>
    <x v="2"/>
    <n v="-2"/>
    <n v="4"/>
    <m/>
    <x v="1"/>
    <n v="1"/>
    <s v="HH20241015 T3812157862 No Limit Hold'em $1.84 + $0.16.txt"/>
  </r>
  <r>
    <n v="3191"/>
    <n v="32.960000000000008"/>
    <s v="15.10.2024"/>
    <n v="15"/>
    <x v="9"/>
    <x v="1"/>
    <x v="2"/>
    <n v="-2"/>
    <m/>
    <m/>
    <x v="2"/>
    <n v="-1"/>
    <s v="HH20241015 T3812158425 No Limit Hold'em $1.84 + $0.16.txt"/>
  </r>
  <r>
    <n v="3192"/>
    <n v="36.960000000000008"/>
    <s v="15.10.2024"/>
    <n v="15"/>
    <x v="9"/>
    <x v="1"/>
    <x v="2"/>
    <n v="-2"/>
    <n v="6"/>
    <m/>
    <x v="1"/>
    <n v="2"/>
    <s v="HH20241015 T3812178780 No Limit Hold'em $1.84 + $0.16.txt"/>
  </r>
  <r>
    <n v="3193"/>
    <n v="34.960000000000008"/>
    <s v="15.10.2024"/>
    <n v="15"/>
    <x v="9"/>
    <x v="1"/>
    <x v="2"/>
    <n v="-2"/>
    <m/>
    <m/>
    <x v="2"/>
    <n v="-1"/>
    <s v="HH20241015 T3812180155 No Limit Hold'em $1.84 + $0.16.txt"/>
  </r>
  <r>
    <n v="3194"/>
    <n v="32.960000000000008"/>
    <s v="15.10.2024"/>
    <n v="15"/>
    <x v="9"/>
    <x v="1"/>
    <x v="2"/>
    <n v="-2"/>
    <m/>
    <m/>
    <x v="2"/>
    <n v="-1"/>
    <s v="HH20241015 T3812181491 No Limit Hold'em $1.84 + $0.16.txt"/>
  </r>
  <r>
    <n v="3195"/>
    <n v="34.960000000000008"/>
    <s v="15.10.2024"/>
    <n v="15"/>
    <x v="9"/>
    <x v="1"/>
    <x v="2"/>
    <n v="-2"/>
    <n v="4"/>
    <m/>
    <x v="1"/>
    <n v="1"/>
    <s v="HH20241015 T3812182533 No Limit Hold'em $1.84 + $0.16.txt"/>
  </r>
  <r>
    <n v="3196"/>
    <n v="32.960000000000008"/>
    <s v="15.10.2024"/>
    <n v="15"/>
    <x v="9"/>
    <x v="1"/>
    <x v="2"/>
    <n v="-2"/>
    <m/>
    <m/>
    <x v="2"/>
    <n v="-1"/>
    <s v="HH20241015 T3812183671 No Limit Hold'em $1.84 + $0.16.txt"/>
  </r>
  <r>
    <n v="3197"/>
    <n v="30.960000000000008"/>
    <s v="15.10.2024"/>
    <n v="15"/>
    <x v="9"/>
    <x v="1"/>
    <x v="2"/>
    <n v="-2"/>
    <m/>
    <m/>
    <x v="2"/>
    <n v="-1"/>
    <s v="HH20241015 T3812185864 No Limit Hold'em $1.84 + $0.16.txt"/>
  </r>
  <r>
    <n v="3198"/>
    <n v="28.960000000000008"/>
    <s v="15.10.2024"/>
    <n v="15"/>
    <x v="9"/>
    <x v="1"/>
    <x v="2"/>
    <n v="-2"/>
    <m/>
    <m/>
    <x v="2"/>
    <n v="-1"/>
    <s v="HH20241015 T3812186612 No Limit Hold'em $1.84 + $0.16.txt"/>
  </r>
  <r>
    <n v="3199"/>
    <n v="26.960000000000008"/>
    <s v="15.10.2024"/>
    <n v="15"/>
    <x v="9"/>
    <x v="1"/>
    <x v="2"/>
    <n v="-2"/>
    <m/>
    <m/>
    <x v="2"/>
    <n v="-1"/>
    <s v="HH20241015 T3812188987 No Limit Hold'em $1.84 + $0.16.txt"/>
  </r>
  <r>
    <n v="3200"/>
    <n v="24.960000000000008"/>
    <s v="15.10.2024"/>
    <n v="15"/>
    <x v="9"/>
    <x v="1"/>
    <x v="2"/>
    <n v="-2"/>
    <m/>
    <m/>
    <x v="2"/>
    <n v="-1"/>
    <s v="HH20241015 T3812275112 No Limit Hold'em $1.84 + $0.16.txt"/>
  </r>
  <r>
    <n v="3201"/>
    <n v="22.960000000000008"/>
    <s v="15.10.2024"/>
    <n v="15"/>
    <x v="9"/>
    <x v="1"/>
    <x v="2"/>
    <n v="-2"/>
    <m/>
    <m/>
    <x v="2"/>
    <n v="-1"/>
    <s v="HH20241015 T3812275784 No Limit Hold'em $1.84 + $0.16.txt"/>
  </r>
  <r>
    <n v="3202"/>
    <n v="20.960000000000008"/>
    <s v="15.10.2024"/>
    <n v="15"/>
    <x v="9"/>
    <x v="1"/>
    <x v="2"/>
    <n v="-2"/>
    <m/>
    <m/>
    <x v="2"/>
    <n v="-1"/>
    <s v="HH20241015 T3812277868 No Limit Hold'em $1.84 + $0.16.txt"/>
  </r>
  <r>
    <n v="3203"/>
    <n v="18.960000000000008"/>
    <s v="15.10.2024"/>
    <n v="15"/>
    <x v="9"/>
    <x v="1"/>
    <x v="2"/>
    <n v="-2"/>
    <m/>
    <m/>
    <x v="2"/>
    <n v="-1"/>
    <s v="HH20241015 T3812281017 No Limit Hold'em $1.84 + $0.16.txt"/>
  </r>
  <r>
    <n v="3204"/>
    <n v="22.960000000000008"/>
    <s v="15.10.2024"/>
    <n v="15"/>
    <x v="9"/>
    <x v="1"/>
    <x v="2"/>
    <n v="-2"/>
    <n v="6"/>
    <m/>
    <x v="1"/>
    <n v="2"/>
    <s v="HH20241015 T3812329810 No Limit Hold'em $1.84 + $0.16.txt"/>
  </r>
  <r>
    <n v="3205"/>
    <n v="20.960000000000008"/>
    <s v="15.10.2024"/>
    <n v="15"/>
    <x v="9"/>
    <x v="1"/>
    <x v="2"/>
    <n v="-2"/>
    <m/>
    <m/>
    <x v="2"/>
    <n v="-1"/>
    <s v="HH20241015 T3812334198 No Limit Hold'em $1.84 + $0.16.txt"/>
  </r>
  <r>
    <n v="3206"/>
    <n v="24.960000000000008"/>
    <s v="16.10.2024"/>
    <n v="16"/>
    <x v="9"/>
    <x v="1"/>
    <x v="2"/>
    <n v="-2"/>
    <n v="6"/>
    <m/>
    <x v="1"/>
    <n v="2"/>
    <s v="HH20241016 T3812495833 No Limit Hold'em $1.84 + $0.16.txt"/>
  </r>
  <r>
    <n v="3207"/>
    <n v="24.960000000000008"/>
    <s v="16.10.2024"/>
    <n v="16"/>
    <x v="9"/>
    <x v="1"/>
    <x v="12"/>
    <m/>
    <m/>
    <m/>
    <x v="2"/>
    <n v="0"/>
    <s v="HH20241016 T3812497111 No Limit Hold'em $0.46 + $0.04.txt"/>
  </r>
  <r>
    <n v="3208"/>
    <n v="22.960000000000008"/>
    <s v="16.10.2024"/>
    <n v="16"/>
    <x v="9"/>
    <x v="1"/>
    <x v="2"/>
    <n v="-2"/>
    <m/>
    <m/>
    <x v="2"/>
    <n v="-1"/>
    <s v="HH20241016 T3812643260 No Limit Hold'em $1.84 + $0.16.txt"/>
  </r>
  <r>
    <n v="3209"/>
    <n v="20.960000000000008"/>
    <s v="16.10.2024"/>
    <n v="16"/>
    <x v="9"/>
    <x v="1"/>
    <x v="2"/>
    <n v="-2"/>
    <m/>
    <m/>
    <x v="2"/>
    <n v="-1"/>
    <s v="HH20241016 T3812669176 No Limit Hold'em $1.84 + $0.16.txt"/>
  </r>
  <r>
    <n v="3210"/>
    <n v="24.960000000000008"/>
    <s v="18.10.2024"/>
    <n v="18"/>
    <x v="9"/>
    <x v="1"/>
    <x v="2"/>
    <n v="-2"/>
    <n v="6"/>
    <m/>
    <x v="1"/>
    <n v="2"/>
    <s v="HH20241018 T3813231562 No Limit Hold'em $1.84 + $0.16.txt"/>
  </r>
  <r>
    <n v="3211"/>
    <n v="24.960000000000008"/>
    <s v="18.10.2024"/>
    <n v="18"/>
    <x v="9"/>
    <x v="1"/>
    <x v="12"/>
    <m/>
    <m/>
    <m/>
    <x v="2"/>
    <n v="0"/>
    <s v="HH20241018 T3813234174 No Limit Hold'em $0.46 + $0.04.txt"/>
  </r>
  <r>
    <n v="3212"/>
    <n v="22.960000000000008"/>
    <s v="18.10.2024"/>
    <n v="18"/>
    <x v="9"/>
    <x v="1"/>
    <x v="2"/>
    <n v="-2"/>
    <m/>
    <m/>
    <x v="2"/>
    <n v="-1"/>
    <s v="HH20241018 T3813297327 No Limit Hold'em $1.84 + $0.16.txt"/>
  </r>
  <r>
    <n v="3213"/>
    <n v="20.960000000000008"/>
    <s v="18.10.2024"/>
    <n v="18"/>
    <x v="9"/>
    <x v="1"/>
    <x v="2"/>
    <n v="-2"/>
    <m/>
    <m/>
    <x v="2"/>
    <n v="-1"/>
    <s v="HH20241018 T3813300054 No Limit Hold'em $1.84 + $0.16.txt"/>
  </r>
  <r>
    <n v="3214"/>
    <n v="22.960000000000008"/>
    <s v="18.10.2024"/>
    <n v="18"/>
    <x v="9"/>
    <x v="1"/>
    <x v="2"/>
    <n v="-2"/>
    <n v="4"/>
    <m/>
    <x v="1"/>
    <n v="1"/>
    <s v="HH20241018 T3813302768 No Limit Hold'em $1.84 + $0.16.txt"/>
  </r>
  <r>
    <n v="3215"/>
    <n v="24.960000000000008"/>
    <s v="18.10.2024"/>
    <n v="18"/>
    <x v="9"/>
    <x v="1"/>
    <x v="2"/>
    <n v="-2"/>
    <n v="4"/>
    <m/>
    <x v="1"/>
    <n v="1"/>
    <s v="HH20241018 T3813304373 No Limit Hold'em $1.84 + $0.16.txt"/>
  </r>
  <r>
    <n v="3216"/>
    <n v="22.960000000000008"/>
    <s v="18.10.2024"/>
    <n v="18"/>
    <x v="9"/>
    <x v="1"/>
    <x v="2"/>
    <n v="-2"/>
    <m/>
    <m/>
    <x v="2"/>
    <n v="-1"/>
    <s v="HH20241018 T3813306025 No Limit Hold'em $1.84 + $0.16.txt"/>
  </r>
  <r>
    <n v="3217"/>
    <n v="26.960000000000008"/>
    <s v="18.10.2024"/>
    <n v="18"/>
    <x v="9"/>
    <x v="1"/>
    <x v="2"/>
    <n v="-2"/>
    <n v="6"/>
    <m/>
    <x v="1"/>
    <n v="2"/>
    <s v="HH20241018 T3813307884 No Limit Hold'em $1.84 + $0.16.txt"/>
  </r>
  <r>
    <n v="3218"/>
    <n v="30.960000000000008"/>
    <s v="18.10.2024"/>
    <n v="18"/>
    <x v="9"/>
    <x v="1"/>
    <x v="2"/>
    <n v="-2"/>
    <n v="6"/>
    <m/>
    <x v="1"/>
    <n v="2"/>
    <s v="HH20241018 T3813309577 No Limit Hold'em $1.84 + $0.16.txt"/>
  </r>
  <r>
    <n v="3219"/>
    <n v="36.960000000000008"/>
    <s v="18.10.2024"/>
    <n v="18"/>
    <x v="9"/>
    <x v="1"/>
    <x v="2"/>
    <n v="-2"/>
    <n v="8"/>
    <m/>
    <x v="1"/>
    <n v="3"/>
    <s v="HH20241018 T3813405715 No Limit Hold'em $1.84 + $0.16.txt"/>
  </r>
  <r>
    <n v="3220"/>
    <n v="34.960000000000008"/>
    <s v="18.10.2024"/>
    <n v="18"/>
    <x v="9"/>
    <x v="1"/>
    <x v="2"/>
    <n v="-2"/>
    <m/>
    <m/>
    <x v="2"/>
    <n v="-1"/>
    <s v="HH20241018 T3813410729 No Limit Hold'em $1.84 + $0.16.txt"/>
  </r>
  <r>
    <n v="3221"/>
    <n v="32.960000000000008"/>
    <s v="18.10.2024"/>
    <n v="18"/>
    <x v="9"/>
    <x v="1"/>
    <x v="2"/>
    <n v="-2"/>
    <m/>
    <m/>
    <x v="2"/>
    <n v="-1"/>
    <s v="HH20241018 T3813411896 No Limit Hold'em $1.84 + $0.16.txt"/>
  </r>
  <r>
    <n v="3222"/>
    <n v="30.960000000000008"/>
    <s v="18.10.2024"/>
    <n v="18"/>
    <x v="9"/>
    <x v="1"/>
    <x v="2"/>
    <n v="-2"/>
    <m/>
    <m/>
    <x v="2"/>
    <n v="-1"/>
    <s v="HH20241018 T3813412997 No Limit Hold'em $1.84 + $0.16.txt"/>
  </r>
  <r>
    <n v="3223"/>
    <n v="36.960000000000008"/>
    <s v="18.10.2024"/>
    <n v="18"/>
    <x v="9"/>
    <x v="1"/>
    <x v="2"/>
    <n v="-2"/>
    <n v="8"/>
    <m/>
    <x v="1"/>
    <n v="3"/>
    <s v="HH20241018 T3813417530 No Limit Hold'em $1.84 + $0.16.txt"/>
  </r>
  <r>
    <n v="3224"/>
    <n v="34.960000000000008"/>
    <s v="18.10.2024"/>
    <n v="18"/>
    <x v="9"/>
    <x v="1"/>
    <x v="2"/>
    <n v="-2"/>
    <m/>
    <m/>
    <x v="2"/>
    <n v="-1"/>
    <s v="HH20241018 T3813419815 No Limit Hold'em $1.84 + $0.16.txt"/>
  </r>
  <r>
    <n v="3225"/>
    <n v="38.960000000000008"/>
    <s v="18.10.2024"/>
    <n v="18"/>
    <x v="9"/>
    <x v="1"/>
    <x v="2"/>
    <n v="-2"/>
    <n v="6"/>
    <m/>
    <x v="1"/>
    <n v="2"/>
    <s v="HH20241018 T3813423339 No Limit Hold'em $1.84 + $0.16.txt"/>
  </r>
  <r>
    <n v="3226"/>
    <n v="36.960000000000008"/>
    <s v="18.10.2024"/>
    <n v="18"/>
    <x v="9"/>
    <x v="1"/>
    <x v="2"/>
    <n v="-2"/>
    <m/>
    <m/>
    <x v="2"/>
    <n v="-1"/>
    <s v="HH20241018 T3813428899 No Limit Hold'em $1.84 + $0.16.txt"/>
  </r>
  <r>
    <n v="3227"/>
    <n v="34.960000000000008"/>
    <s v="19.10.2024"/>
    <n v="19"/>
    <x v="9"/>
    <x v="1"/>
    <x v="2"/>
    <n v="-2"/>
    <m/>
    <m/>
    <x v="2"/>
    <n v="-1"/>
    <s v="HH20241019 T3813619901 No Limit Hold'em $1.84 + $0.16.txt"/>
  </r>
  <r>
    <n v="3228"/>
    <n v="34.960000000000008"/>
    <s v="19.10.2024"/>
    <n v="19"/>
    <x v="9"/>
    <x v="1"/>
    <x v="12"/>
    <m/>
    <m/>
    <m/>
    <x v="1"/>
    <n v="0"/>
    <s v="HH20241019 T3813620359 No Limit Hold'em $0.46 + $0.04.txt"/>
  </r>
  <r>
    <n v="3229"/>
    <n v="32.960000000000008"/>
    <s v="19.10.2024"/>
    <n v="19"/>
    <x v="9"/>
    <x v="1"/>
    <x v="2"/>
    <n v="-2"/>
    <m/>
    <m/>
    <x v="2"/>
    <n v="-1"/>
    <s v="HH20241019 T3813660803 No Limit Hold'em $1.84 + $0.16.txt"/>
  </r>
  <r>
    <n v="3230"/>
    <n v="32.960000000000008"/>
    <s v="19.10.2024"/>
    <n v="19"/>
    <x v="9"/>
    <x v="1"/>
    <x v="13"/>
    <m/>
    <m/>
    <m/>
    <x v="1"/>
    <n v="0"/>
    <s v="HH20241019 T3813662659 No Limit Hold'em $0.96 + $0.04.txt"/>
  </r>
  <r>
    <n v="3231"/>
    <n v="32.960000000000008"/>
    <s v="19.10.2024"/>
    <n v="19"/>
    <x v="9"/>
    <x v="1"/>
    <x v="13"/>
    <m/>
    <m/>
    <m/>
    <x v="2"/>
    <n v="0"/>
    <s v="HH20241019 T3809579207 No Limit Hold'em $1.40 + $0.10.txt"/>
  </r>
  <r>
    <n v="3232"/>
    <n v="30.960000000000008"/>
    <s v="19.10.2024"/>
    <n v="19"/>
    <x v="9"/>
    <x v="1"/>
    <x v="2"/>
    <n v="-2"/>
    <m/>
    <m/>
    <x v="2"/>
    <n v="-1"/>
    <s v="HH20241019 T3813710699 No Limit Hold'em $1.84 + $0.16.txt"/>
  </r>
  <r>
    <n v="3233"/>
    <n v="32.960000000000008"/>
    <s v="19.10.2024"/>
    <n v="19"/>
    <x v="9"/>
    <x v="1"/>
    <x v="2"/>
    <n v="-2"/>
    <n v="4"/>
    <m/>
    <x v="1"/>
    <n v="1"/>
    <s v="HH20241019 T3813712499 No Limit Hold'em $1.84 + $0.16.txt"/>
  </r>
  <r>
    <n v="3234"/>
    <n v="30.960000000000008"/>
    <s v="19.10.2024"/>
    <n v="19"/>
    <x v="9"/>
    <x v="1"/>
    <x v="2"/>
    <n v="-2"/>
    <m/>
    <m/>
    <x v="2"/>
    <n v="-1"/>
    <s v="HH20241019 T3813720440 No Limit Hold'em $1.84 + $0.16.txt"/>
  </r>
  <r>
    <n v="3235"/>
    <n v="28.960000000000008"/>
    <s v="19.10.2024"/>
    <n v="19"/>
    <x v="9"/>
    <x v="1"/>
    <x v="2"/>
    <n v="-2"/>
    <m/>
    <m/>
    <x v="2"/>
    <n v="-1"/>
    <s v="HH20241019 T3813722870 No Limit Hold'em $1.84 + $0.16.txt"/>
  </r>
  <r>
    <n v="3236"/>
    <n v="26.960000000000008"/>
    <s v="19.10.2024"/>
    <n v="19"/>
    <x v="9"/>
    <x v="1"/>
    <x v="2"/>
    <n v="-2"/>
    <m/>
    <m/>
    <x v="2"/>
    <n v="-1"/>
    <s v="HH20241019 T3813725309 No Limit Hold'em $1.84 + $0.16.txt"/>
  </r>
  <r>
    <n v="3237"/>
    <n v="28.960000000000008"/>
    <s v="19.10.2024"/>
    <n v="19"/>
    <x v="9"/>
    <x v="1"/>
    <x v="2"/>
    <n v="-2"/>
    <n v="4"/>
    <m/>
    <x v="1"/>
    <n v="1"/>
    <s v="HH20241019 T3813727024 No Limit Hold'em $1.84 + $0.16.txt"/>
  </r>
  <r>
    <n v="3238"/>
    <n v="26.960000000000008"/>
    <s v="19.10.2024"/>
    <n v="19"/>
    <x v="9"/>
    <x v="1"/>
    <x v="2"/>
    <n v="-2"/>
    <m/>
    <m/>
    <x v="2"/>
    <n v="-1"/>
    <s v="HH20241019 T3813728357 No Limit Hold'em $1.84 + $0.16.txt"/>
  </r>
  <r>
    <n v="3239"/>
    <n v="30.960000000000008"/>
    <s v="19.10.2024"/>
    <n v="19"/>
    <x v="9"/>
    <x v="1"/>
    <x v="2"/>
    <n v="-2"/>
    <n v="6"/>
    <m/>
    <x v="1"/>
    <n v="2"/>
    <s v="HH20241019 T3813802694 No Limit Hold'em $1.84 + $0.16.txt"/>
  </r>
  <r>
    <n v="3240"/>
    <n v="36.960000000000008"/>
    <s v="19.10.2024"/>
    <n v="19"/>
    <x v="9"/>
    <x v="1"/>
    <x v="2"/>
    <n v="-2"/>
    <n v="8"/>
    <m/>
    <x v="1"/>
    <n v="3"/>
    <s v="HH20241019 T3813804591 No Limit Hold'em $1.84 + $0.16.txt"/>
  </r>
  <r>
    <n v="3241"/>
    <n v="34.960000000000008"/>
    <s v="20.10.2024"/>
    <n v="20"/>
    <x v="9"/>
    <x v="1"/>
    <x v="2"/>
    <n v="-2"/>
    <m/>
    <m/>
    <x v="2"/>
    <n v="-1"/>
    <s v="HH20241020 T3814001078 No Limit Hold'em $1.84 + $0.16.txt"/>
  </r>
  <r>
    <n v="3242"/>
    <n v="34.960000000000008"/>
    <s v="20.10.2024"/>
    <n v="20"/>
    <x v="9"/>
    <x v="1"/>
    <x v="12"/>
    <m/>
    <m/>
    <m/>
    <x v="2"/>
    <n v="0"/>
    <s v="HH20241020 T3814002276 No Limit Hold'em $0.46 + $0.04.txt"/>
  </r>
  <r>
    <n v="3243"/>
    <n v="48.960000000000008"/>
    <s v="20.10.2024"/>
    <n v="20"/>
    <x v="9"/>
    <x v="1"/>
    <x v="2"/>
    <n v="-2"/>
    <n v="16"/>
    <m/>
    <x v="1"/>
    <n v="7"/>
    <s v="HH20241020 T3814058941 No Limit Hold'em $1.84 + $0.16.txt"/>
  </r>
  <r>
    <n v="3244"/>
    <n v="46.960000000000008"/>
    <s v="20.10.2024"/>
    <n v="20"/>
    <x v="9"/>
    <x v="1"/>
    <x v="2"/>
    <n v="-2"/>
    <m/>
    <m/>
    <x v="2"/>
    <n v="-1"/>
    <s v="HH20241020 T3814172293 No Limit Hold'em $1.84 + $0.16.txt"/>
  </r>
  <r>
    <n v="3245"/>
    <n v="48.960000000000008"/>
    <s v="20.10.2024"/>
    <n v="20"/>
    <x v="9"/>
    <x v="1"/>
    <x v="2"/>
    <n v="-2"/>
    <n v="4"/>
    <m/>
    <x v="1"/>
    <n v="1"/>
    <s v="HH20241020 T3814174814 No Limit Hold'em $1.84 + $0.16.txt"/>
  </r>
  <r>
    <n v="3246"/>
    <n v="46.960000000000008"/>
    <s v="20.10.2024"/>
    <n v="20"/>
    <x v="9"/>
    <x v="1"/>
    <x v="2"/>
    <n v="-2"/>
    <m/>
    <m/>
    <x v="2"/>
    <n v="-1"/>
    <s v="HH20241020 T3814176269 No Limit Hold'em $1.84 + $0.16.txt"/>
  </r>
  <r>
    <n v="3247"/>
    <n v="44.960000000000008"/>
    <s v="21.10.2024"/>
    <n v="21"/>
    <x v="9"/>
    <x v="1"/>
    <x v="2"/>
    <n v="-2"/>
    <m/>
    <m/>
    <x v="2"/>
    <n v="-1"/>
    <s v="HH20241021 T3814886186 No Limit Hold'em $1.84 + $0.16.txt"/>
  </r>
  <r>
    <n v="3248"/>
    <n v="44.960000000000008"/>
    <s v="21.10.2024"/>
    <n v="21"/>
    <x v="9"/>
    <x v="1"/>
    <x v="12"/>
    <m/>
    <m/>
    <m/>
    <x v="2"/>
    <n v="0"/>
    <s v="HH20241021 T3814887278 No Limit Hold'em $0.46 + $0.04.txt"/>
  </r>
  <r>
    <n v="3249"/>
    <n v="42.960000000000008"/>
    <s v="21.10.2024"/>
    <n v="21"/>
    <x v="9"/>
    <x v="1"/>
    <x v="2"/>
    <n v="-2"/>
    <m/>
    <m/>
    <x v="2"/>
    <n v="-1"/>
    <s v="HH20241021 T3814890869 No Limit Hold'em $1.84 + $0.16.txt"/>
  </r>
  <r>
    <n v="3250"/>
    <n v="40.960000000000008"/>
    <s v="21.10.2024"/>
    <n v="21"/>
    <x v="9"/>
    <x v="1"/>
    <x v="2"/>
    <n v="-2"/>
    <m/>
    <m/>
    <x v="2"/>
    <n v="-1"/>
    <s v="HH20241021 T3814891880 No Limit Hold'em $1.84 + $0.16.txt"/>
  </r>
  <r>
    <n v="3251"/>
    <n v="44.960000000000008"/>
    <s v="21.10.2024"/>
    <n v="21"/>
    <x v="9"/>
    <x v="1"/>
    <x v="2"/>
    <n v="-2"/>
    <n v="6"/>
    <m/>
    <x v="1"/>
    <n v="2"/>
    <s v="HH20241021 T3814894019 No Limit Hold'em $1.84 + $0.16.txt"/>
  </r>
  <r>
    <n v="3252"/>
    <n v="42.960000000000008"/>
    <s v="21.10.2024"/>
    <n v="21"/>
    <x v="9"/>
    <x v="1"/>
    <x v="2"/>
    <n v="-2"/>
    <m/>
    <m/>
    <x v="2"/>
    <n v="-1"/>
    <s v="HH20241021 T3814945816 No Limit Hold'em $1.84 + $0.16.txt"/>
  </r>
  <r>
    <n v="3253"/>
    <n v="40.960000000000008"/>
    <s v="21.10.2024"/>
    <n v="21"/>
    <x v="9"/>
    <x v="1"/>
    <x v="2"/>
    <n v="-2"/>
    <m/>
    <m/>
    <x v="2"/>
    <n v="-1"/>
    <s v="HH20241021 T3814948439 No Limit Hold'em $1.84 + $0.16.txt"/>
  </r>
  <r>
    <n v="3254"/>
    <n v="44.960000000000008"/>
    <s v="21.10.2024"/>
    <n v="21"/>
    <x v="9"/>
    <x v="1"/>
    <x v="2"/>
    <n v="-2"/>
    <n v="6"/>
    <m/>
    <x v="1"/>
    <n v="2"/>
    <s v="HH20241021 T3814948939 No Limit Hold'em $1.84 + $0.16.txt"/>
  </r>
  <r>
    <n v="3255"/>
    <n v="46.960000000000008"/>
    <s v="21.10.2024"/>
    <n v="21"/>
    <x v="9"/>
    <x v="1"/>
    <x v="2"/>
    <n v="-2"/>
    <n v="4"/>
    <m/>
    <x v="1"/>
    <n v="1"/>
    <s v="HH20241021 T3814951508 No Limit Hold'em $1.84 + $0.16.txt"/>
  </r>
  <r>
    <n v="3256"/>
    <n v="48.960000000000008"/>
    <s v="21.10.2024"/>
    <n v="21"/>
    <x v="9"/>
    <x v="1"/>
    <x v="2"/>
    <n v="-2"/>
    <n v="4"/>
    <m/>
    <x v="1"/>
    <n v="1"/>
    <s v="HH20241021 T3814954897 No Limit Hold'em $1.84 + $0.16.txt"/>
  </r>
  <r>
    <n v="3257"/>
    <n v="46.960000000000008"/>
    <s v="21.10.2024"/>
    <n v="21"/>
    <x v="9"/>
    <x v="1"/>
    <x v="2"/>
    <n v="-2"/>
    <m/>
    <m/>
    <x v="2"/>
    <n v="-1"/>
    <s v="HH20241021 T3815012396 No Limit Hold'em $1.84 + $0.16.txt"/>
  </r>
  <r>
    <n v="3258"/>
    <n v="44.960000000000008"/>
    <s v="21.10.2024"/>
    <n v="21"/>
    <x v="9"/>
    <x v="1"/>
    <x v="2"/>
    <n v="-2"/>
    <m/>
    <m/>
    <x v="2"/>
    <n v="-1"/>
    <s v="HH20241021 T3815013995 No Limit Hold'em $1.84 + $0.16.txt"/>
  </r>
  <r>
    <n v="3259"/>
    <n v="48.960000000000008"/>
    <s v="21.10.2024"/>
    <n v="21"/>
    <x v="9"/>
    <x v="1"/>
    <x v="2"/>
    <n v="-2"/>
    <n v="6"/>
    <m/>
    <x v="1"/>
    <n v="2"/>
    <s v="HH20241021 T3815018139 No Limit Hold'em $1.84 + $0.16.txt"/>
  </r>
  <r>
    <n v="3260"/>
    <n v="50.960000000000008"/>
    <s v="22.10.2024"/>
    <n v="22"/>
    <x v="9"/>
    <x v="1"/>
    <x v="2"/>
    <n v="-2"/>
    <n v="4"/>
    <m/>
    <x v="1"/>
    <n v="1"/>
    <s v="HH20241022 T3815161318 No Limit Hold'em $1.84 + $0.16.txt"/>
  </r>
  <r>
    <n v="3261"/>
    <n v="50.960000000000008"/>
    <s v="22.10.2024"/>
    <n v="22"/>
    <x v="9"/>
    <x v="1"/>
    <x v="12"/>
    <m/>
    <m/>
    <m/>
    <x v="1"/>
    <n v="0"/>
    <s v="HH20241022 T3815163516 No Limit Hold'em $0.46 + $0.04.txt"/>
  </r>
  <r>
    <n v="3262"/>
    <n v="54.960000000000008"/>
    <s v="22.10.2024"/>
    <n v="22"/>
    <x v="9"/>
    <x v="1"/>
    <x v="2"/>
    <n v="-2"/>
    <n v="6"/>
    <m/>
    <x v="1"/>
    <n v="2"/>
    <s v="HH20241022 T3815213829 No Limit Hold'em $1.84 + $0.16.txt"/>
  </r>
  <r>
    <n v="3263"/>
    <n v="52.960000000000008"/>
    <s v="23.10.2024"/>
    <n v="23"/>
    <x v="9"/>
    <x v="1"/>
    <x v="2"/>
    <n v="-2"/>
    <m/>
    <m/>
    <x v="2"/>
    <n v="-1"/>
    <s v="HH20241023 T3815637168 No Limit Hold'em $1.84 + $0.16.txt"/>
  </r>
  <r>
    <n v="3264"/>
    <n v="52.960000000000008"/>
    <s v="23.10.2024"/>
    <n v="23"/>
    <x v="9"/>
    <x v="1"/>
    <x v="12"/>
    <m/>
    <m/>
    <m/>
    <x v="2"/>
    <n v="0"/>
    <s v="HH20241023 T3815639970 No Limit Hold'em $0.46 + $0.04.txt"/>
  </r>
  <r>
    <n v="3265"/>
    <n v="50.960000000000008"/>
    <s v="23.10.2024"/>
    <n v="23"/>
    <x v="9"/>
    <x v="1"/>
    <x v="2"/>
    <n v="-2"/>
    <m/>
    <m/>
    <x v="2"/>
    <n v="-1"/>
    <s v="HH20241023 T3815670499 No Limit Hold'em $1.84 + $0.16.txt"/>
  </r>
  <r>
    <n v="3266"/>
    <n v="51.080000000000013"/>
    <s v="23.10.2024"/>
    <n v="23"/>
    <x v="9"/>
    <x v="1"/>
    <x v="3"/>
    <n v="-4.4000000000000004"/>
    <n v="3.52"/>
    <n v="1"/>
    <x v="1"/>
    <n v="2.7272727272727115E-2"/>
    <s v="HH20241023 T3813271542 No Limit Hold'em $3.92 + $0.48.txt"/>
  </r>
  <r>
    <n v="3267"/>
    <n v="49.080000000000013"/>
    <s v="23.10.2024"/>
    <n v="23"/>
    <x v="9"/>
    <x v="1"/>
    <x v="2"/>
    <n v="-2"/>
    <m/>
    <m/>
    <x v="2"/>
    <n v="-1"/>
    <s v="HH20241023 T3815733387 No Limit Hold'em $1.84 + $0.16.txt"/>
  </r>
  <r>
    <n v="3268"/>
    <n v="47.080000000000013"/>
    <s v="23.10.2024"/>
    <n v="23"/>
    <x v="9"/>
    <x v="1"/>
    <x v="2"/>
    <n v="-2"/>
    <m/>
    <m/>
    <x v="2"/>
    <n v="-1"/>
    <s v="HH20241023 T3815734968 No Limit Hold'em $1.84 + $0.16.txt"/>
  </r>
  <r>
    <n v="3269"/>
    <n v="45.080000000000013"/>
    <s v="23.10.2024"/>
    <n v="23"/>
    <x v="9"/>
    <x v="1"/>
    <x v="2"/>
    <n v="-2"/>
    <m/>
    <m/>
    <x v="2"/>
    <n v="-1"/>
    <s v="HH20241023 T3815737510 No Limit Hold'em $1.84 + $0.16.txt"/>
  </r>
  <r>
    <n v="3270"/>
    <n v="43.080000000000013"/>
    <s v="24.10.2024"/>
    <n v="24"/>
    <x v="9"/>
    <x v="1"/>
    <x v="2"/>
    <n v="-2"/>
    <m/>
    <m/>
    <x v="2"/>
    <n v="-1"/>
    <s v="HH20241024 T3815854482 No Limit Hold'em $1.84 + $0.16.txt"/>
  </r>
  <r>
    <n v="3271"/>
    <n v="43.080000000000013"/>
    <s v="24.10.2024"/>
    <n v="24"/>
    <x v="9"/>
    <x v="1"/>
    <x v="12"/>
    <m/>
    <m/>
    <m/>
    <x v="1"/>
    <n v="0"/>
    <s v="HH20241024 T3815855093 No Limit Hold'em $0.46 + $0.04.txt"/>
  </r>
  <r>
    <n v="3272"/>
    <n v="41.080000000000013"/>
    <s v="24.10.2024"/>
    <n v="24"/>
    <x v="9"/>
    <x v="1"/>
    <x v="2"/>
    <n v="-2"/>
    <m/>
    <m/>
    <x v="2"/>
    <n v="-1"/>
    <s v="HH20241024 T3815855807 No Limit Hold'em $1.84 + $0.16.txt"/>
  </r>
  <r>
    <n v="3273"/>
    <n v="39.080000000000013"/>
    <s v="24.10.2024"/>
    <n v="24"/>
    <x v="9"/>
    <x v="1"/>
    <x v="2"/>
    <n v="-2"/>
    <m/>
    <m/>
    <x v="2"/>
    <n v="-1"/>
    <s v="HH20241024 T3815856554 No Limit Hold'em $1.84 + $0.16.txt"/>
  </r>
  <r>
    <n v="3274"/>
    <n v="37.080000000000013"/>
    <s v="24.10.2024"/>
    <n v="24"/>
    <x v="9"/>
    <x v="1"/>
    <x v="2"/>
    <n v="-2"/>
    <m/>
    <m/>
    <x v="2"/>
    <n v="-1"/>
    <s v="HH20241024 T3815857174 No Limit Hold'em $1.84 + $0.16.txt"/>
  </r>
  <r>
    <n v="3275"/>
    <n v="35.080000000000013"/>
    <s v="24.10.2024"/>
    <n v="24"/>
    <x v="9"/>
    <x v="1"/>
    <x v="2"/>
    <n v="-2"/>
    <m/>
    <m/>
    <x v="2"/>
    <n v="-1"/>
    <s v="HH20241024 T3815857486 No Limit Hold'em $1.84 + $0.16.txt"/>
  </r>
  <r>
    <n v="3276"/>
    <n v="37.080000000000013"/>
    <s v="24.10.2024"/>
    <n v="24"/>
    <x v="9"/>
    <x v="1"/>
    <x v="2"/>
    <n v="-2"/>
    <n v="4"/>
    <m/>
    <x v="1"/>
    <n v="1"/>
    <s v="HH20241024 T3816027982 No Limit Hold'em $1.84 + $0.16.txt"/>
  </r>
  <r>
    <n v="3277"/>
    <n v="37.080000000000013"/>
    <s v="24.10.2024"/>
    <n v="24"/>
    <x v="9"/>
    <x v="1"/>
    <x v="13"/>
    <m/>
    <m/>
    <m/>
    <x v="2"/>
    <n v="0"/>
    <s v="HH20241024 T3816032520 No Limit Hold'em $0.96 + $0.04.txt"/>
  </r>
  <r>
    <n v="3278"/>
    <n v="35.080000000000013"/>
    <s v="24.10.2024"/>
    <n v="24"/>
    <x v="9"/>
    <x v="1"/>
    <x v="2"/>
    <n v="-2"/>
    <m/>
    <m/>
    <x v="2"/>
    <n v="-1"/>
    <s v="HH20241024 T3816032644 No Limit Hold'em $1.84 + $0.16.txt"/>
  </r>
  <r>
    <n v="3279"/>
    <n v="33.080000000000013"/>
    <s v="24.10.2024"/>
    <n v="24"/>
    <x v="9"/>
    <x v="1"/>
    <x v="2"/>
    <n v="-2"/>
    <m/>
    <m/>
    <x v="2"/>
    <n v="-1"/>
    <s v="HH20241024 T3816034016 No Limit Hold'em $1.84 + $0.16.txt"/>
  </r>
  <r>
    <n v="3280"/>
    <n v="31.080000000000013"/>
    <s v="24.10.2024"/>
    <n v="24"/>
    <x v="9"/>
    <x v="1"/>
    <x v="2"/>
    <n v="-2"/>
    <m/>
    <m/>
    <x v="2"/>
    <n v="-1"/>
    <s v="HH20241024 T3816036204 No Limit Hold'em $1.84 + $0.16.txt"/>
  </r>
  <r>
    <n v="3281"/>
    <n v="29.080000000000013"/>
    <s v="24.10.2024"/>
    <n v="24"/>
    <x v="9"/>
    <x v="1"/>
    <x v="2"/>
    <n v="-2"/>
    <m/>
    <m/>
    <x v="2"/>
    <n v="-1"/>
    <s v="HH20241024 T3816037834 No Limit Hold'em $1.84 + $0.16.txt"/>
  </r>
  <r>
    <n v="3282"/>
    <n v="27.080000000000013"/>
    <s v="24.10.2024"/>
    <n v="24"/>
    <x v="9"/>
    <x v="1"/>
    <x v="2"/>
    <n v="-2"/>
    <m/>
    <m/>
    <x v="2"/>
    <n v="-1"/>
    <s v="HH20241024 T3816041437 No Limit Hold'em $1.84 + $0.16.txt"/>
  </r>
  <r>
    <n v="3283"/>
    <n v="29.080000000000013"/>
    <s v="24.10.2024"/>
    <n v="24"/>
    <x v="9"/>
    <x v="1"/>
    <x v="2"/>
    <n v="-2"/>
    <n v="4"/>
    <m/>
    <x v="1"/>
    <n v="1"/>
    <s v="HH20241024 T3816041883 No Limit Hold'em $1.84 + $0.16.txt"/>
  </r>
  <r>
    <n v="3284"/>
    <n v="27.080000000000013"/>
    <s v="25.10.2024"/>
    <n v="25"/>
    <x v="9"/>
    <x v="1"/>
    <x v="2"/>
    <n v="-2"/>
    <m/>
    <m/>
    <x v="2"/>
    <n v="-1"/>
    <s v="HH20241025 T3816202824 No Limit Hold'em $1.84 + $0.16.txt"/>
  </r>
  <r>
    <n v="3285"/>
    <n v="27.080000000000013"/>
    <s v="25.10.2024"/>
    <n v="25"/>
    <x v="9"/>
    <x v="1"/>
    <x v="12"/>
    <m/>
    <m/>
    <m/>
    <x v="2"/>
    <n v="0"/>
    <s v="HH20241025 T3816203779 No Limit Hold'em $0.46 + $0.04.txt"/>
  </r>
  <r>
    <n v="3286"/>
    <n v="29.080000000000013"/>
    <s v="25.10.2024"/>
    <n v="25"/>
    <x v="9"/>
    <x v="1"/>
    <x v="2"/>
    <n v="-2"/>
    <n v="4"/>
    <m/>
    <x v="1"/>
    <n v="1"/>
    <s v="HH20241025 T3816204066 No Limit Hold'em $1.84 + $0.16.txt"/>
  </r>
  <r>
    <n v="3287"/>
    <n v="33.080000000000013"/>
    <s v="25.10.2024"/>
    <n v="25"/>
    <x v="9"/>
    <x v="1"/>
    <x v="2"/>
    <n v="-2"/>
    <n v="6"/>
    <m/>
    <x v="1"/>
    <n v="2"/>
    <s v="HH20241025 T3816240922 No Limit Hold'em $1.84 + $0.16.txt"/>
  </r>
  <r>
    <n v="3288"/>
    <n v="31.080000000000013"/>
    <s v="25.10.2024"/>
    <n v="25"/>
    <x v="9"/>
    <x v="1"/>
    <x v="2"/>
    <n v="-2"/>
    <m/>
    <m/>
    <x v="2"/>
    <n v="-1"/>
    <s v="HH20241025 T3816242507 No Limit Hold'em $1.84 + $0.16.txt"/>
  </r>
  <r>
    <n v="3289"/>
    <n v="29.080000000000013"/>
    <s v="25.10.2024"/>
    <n v="25"/>
    <x v="9"/>
    <x v="1"/>
    <x v="2"/>
    <n v="-2"/>
    <m/>
    <m/>
    <x v="2"/>
    <n v="-1"/>
    <s v="HH20241025 T3816243960 No Limit Hold'em $1.84 + $0.16.txt"/>
  </r>
  <r>
    <n v="3290"/>
    <n v="27.080000000000013"/>
    <s v="25.10.2024"/>
    <n v="25"/>
    <x v="9"/>
    <x v="1"/>
    <x v="2"/>
    <n v="-2"/>
    <m/>
    <m/>
    <x v="2"/>
    <n v="-1"/>
    <s v="HH20241025 T3816247586 No Limit Hold'em $1.84 + $0.16.txt"/>
  </r>
  <r>
    <n v="3291"/>
    <n v="29.080000000000013"/>
    <s v="25.10.2024"/>
    <n v="25"/>
    <x v="9"/>
    <x v="1"/>
    <x v="2"/>
    <n v="-2"/>
    <n v="4"/>
    <m/>
    <x v="1"/>
    <n v="1"/>
    <s v="HH20241025 T3816271280 No Limit Hold'em $1.84 + $0.16.txt"/>
  </r>
  <r>
    <n v="3292"/>
    <n v="27.080000000000013"/>
    <s v="25.10.2024"/>
    <n v="25"/>
    <x v="9"/>
    <x v="1"/>
    <x v="2"/>
    <n v="-2"/>
    <m/>
    <m/>
    <x v="2"/>
    <n v="-1"/>
    <s v="HH20241025 T3816272424 No Limit Hold'em $1.84 + $0.16.txt"/>
  </r>
  <r>
    <n v="3293"/>
    <n v="29.080000000000013"/>
    <s v="25.10.2024"/>
    <n v="25"/>
    <x v="9"/>
    <x v="1"/>
    <x v="2"/>
    <n v="-2"/>
    <n v="4"/>
    <m/>
    <x v="1"/>
    <n v="1"/>
    <s v="HH20241025 T3816273575 No Limit Hold'em $1.84 + $0.16.txt"/>
  </r>
  <r>
    <n v="3294"/>
    <n v="27.080000000000013"/>
    <s v="25.10.2024"/>
    <n v="25"/>
    <x v="9"/>
    <x v="1"/>
    <x v="2"/>
    <n v="-2"/>
    <m/>
    <m/>
    <x v="2"/>
    <n v="-1"/>
    <s v="HH20241025 T3816277484 No Limit Hold'em $1.84 + $0.16.txt"/>
  </r>
  <r>
    <n v="3295"/>
    <n v="25.080000000000013"/>
    <s v="25.10.2024"/>
    <n v="25"/>
    <x v="9"/>
    <x v="1"/>
    <x v="2"/>
    <n v="-2"/>
    <m/>
    <m/>
    <x v="2"/>
    <n v="-1"/>
    <s v="HH20241025 T3816281125 No Limit Hold'em $1.84 + $0.16.txt"/>
  </r>
  <r>
    <n v="3296"/>
    <n v="23.080000000000013"/>
    <s v="25.10.2024"/>
    <n v="25"/>
    <x v="9"/>
    <x v="1"/>
    <x v="2"/>
    <n v="-2"/>
    <m/>
    <m/>
    <x v="2"/>
    <n v="-1"/>
    <s v="HH20241025 T3816283111 No Limit Hold'em $1.84 + $0.16.txt"/>
  </r>
  <r>
    <n v="3297"/>
    <n v="21.080000000000013"/>
    <s v="25.10.2024"/>
    <n v="25"/>
    <x v="9"/>
    <x v="1"/>
    <x v="2"/>
    <n v="-2"/>
    <m/>
    <m/>
    <x v="2"/>
    <n v="-1"/>
    <s v="HH20241025 T3816284409 No Limit Hold'em $1.84 + $0.16.txt"/>
  </r>
  <r>
    <n v="3298"/>
    <n v="19.080000000000013"/>
    <s v="25.10.2024"/>
    <n v="25"/>
    <x v="9"/>
    <x v="1"/>
    <x v="2"/>
    <n v="-2"/>
    <m/>
    <m/>
    <x v="2"/>
    <n v="-1"/>
    <s v="HH20241025 T3816285648 No Limit Hold'em $1.84 + $0.16.txt"/>
  </r>
  <r>
    <n v="3299"/>
    <n v="17.080000000000013"/>
    <s v="25.10.2024"/>
    <n v="25"/>
    <x v="9"/>
    <x v="1"/>
    <x v="2"/>
    <n v="-2"/>
    <m/>
    <m/>
    <x v="2"/>
    <n v="-1"/>
    <s v="HH20241025 T3816286012 No Limit Hold'em $1.84 + $0.16.txt"/>
  </r>
  <r>
    <n v="3300"/>
    <n v="15.080000000000013"/>
    <s v="25.10.2024"/>
    <n v="25"/>
    <x v="9"/>
    <x v="1"/>
    <x v="2"/>
    <n v="-2"/>
    <m/>
    <m/>
    <x v="2"/>
    <n v="-1"/>
    <s v="HH20241025 T3816286658 No Limit Hold'em $1.84 + $0.16.txt"/>
  </r>
  <r>
    <n v="3301"/>
    <n v="10.080000000000013"/>
    <s v="25.10.2024"/>
    <n v="25"/>
    <x v="9"/>
    <x v="1"/>
    <x v="2"/>
    <n v="-5"/>
    <m/>
    <m/>
    <x v="2"/>
    <n v="-1"/>
    <s v="HH20241025 T3816289586 No Limit Hold'em $4.60 + $0.40.txt"/>
  </r>
  <r>
    <n v="3302"/>
    <n v="8.0000000000012506E-2"/>
    <s v="25.10.2024"/>
    <n v="25"/>
    <x v="9"/>
    <x v="1"/>
    <x v="2"/>
    <n v="-10"/>
    <m/>
    <m/>
    <x v="2"/>
    <n v="-1"/>
    <s v="HH20241025 T3816289803 No Limit Hold'em $9.30 + $0.70.txt"/>
  </r>
  <r>
    <n v="3303"/>
    <n v="57.750000000000014"/>
    <s v="25.10.2024"/>
    <n v="25"/>
    <x v="9"/>
    <x v="1"/>
    <x v="1"/>
    <m/>
    <n v="57.67"/>
    <m/>
    <x v="0"/>
    <m/>
    <m/>
  </r>
  <r>
    <n v="3304"/>
    <n v="59.750000000000014"/>
    <s v="26.10.2024"/>
    <n v="26"/>
    <x v="9"/>
    <x v="1"/>
    <x v="2"/>
    <n v="-2"/>
    <n v="4"/>
    <m/>
    <x v="1"/>
    <n v="1"/>
    <s v="HH20241026 T3816627451 No Limit Hold'em $1.84 + $0.16.txt"/>
  </r>
  <r>
    <n v="3305"/>
    <n v="59.750000000000014"/>
    <s v="26.10.2024"/>
    <n v="26"/>
    <x v="9"/>
    <x v="1"/>
    <x v="12"/>
    <m/>
    <m/>
    <m/>
    <x v="2"/>
    <n v="0"/>
    <s v="HH20241026 T3816628433 No Limit Hold'em $0.46 + $0.04.txt"/>
  </r>
  <r>
    <n v="3306"/>
    <n v="57.750000000000014"/>
    <s v="26.10.2024"/>
    <n v="26"/>
    <x v="9"/>
    <x v="1"/>
    <x v="2"/>
    <n v="-2"/>
    <m/>
    <m/>
    <x v="2"/>
    <n v="-1"/>
    <s v="HH20241026 T3816685224 No Limit Hold'em $1.84 + $0.16.txt"/>
  </r>
  <r>
    <n v="3307"/>
    <n v="71.750000000000014"/>
    <s v="26.10.2024"/>
    <n v="26"/>
    <x v="9"/>
    <x v="1"/>
    <x v="2"/>
    <n v="-2"/>
    <n v="16"/>
    <m/>
    <x v="1"/>
    <n v="7"/>
    <s v="HH20241026 T3816687125 No Limit Hold'em $1.84 + $0.16.txt"/>
  </r>
  <r>
    <n v="3308"/>
    <n v="73.750000000000014"/>
    <s v="26.10.2024"/>
    <n v="26"/>
    <x v="9"/>
    <x v="1"/>
    <x v="2"/>
    <n v="-2"/>
    <n v="4"/>
    <m/>
    <x v="1"/>
    <n v="1"/>
    <s v="HH20241026 T3816687125 No Limit Hold'em $1.84 + $0.16.txt"/>
  </r>
  <r>
    <n v="3309"/>
    <n v="71.750000000000014"/>
    <s v="26.10.2024"/>
    <n v="26"/>
    <x v="9"/>
    <x v="1"/>
    <x v="2"/>
    <n v="-2"/>
    <m/>
    <m/>
    <x v="2"/>
    <n v="-1"/>
    <s v="HH20241026 T3816694502 No Limit Hold'em $1.84 + $0.16.txt"/>
  </r>
  <r>
    <n v="3310"/>
    <n v="69.750000000000014"/>
    <s v="26.10.2024"/>
    <n v="26"/>
    <x v="9"/>
    <x v="1"/>
    <x v="2"/>
    <n v="-2"/>
    <m/>
    <m/>
    <x v="2"/>
    <n v="-1"/>
    <s v="HH20241026 T3816802697 No Limit Hold'em $1.84 + $0.16.txt"/>
  </r>
  <r>
    <n v="3311"/>
    <n v="71.750000000000014"/>
    <s v="26.10.2024"/>
    <n v="26"/>
    <x v="9"/>
    <x v="1"/>
    <x v="2"/>
    <n v="-2"/>
    <n v="4"/>
    <m/>
    <x v="1"/>
    <n v="1"/>
    <s v="HH20241026 T3816804433 No Limit Hold'em $1.84 + $0.16.txt"/>
  </r>
  <r>
    <n v="3312"/>
    <n v="85.750000000000014"/>
    <s v="27.10.2024"/>
    <n v="27"/>
    <x v="9"/>
    <x v="1"/>
    <x v="2"/>
    <n v="-2"/>
    <n v="16"/>
    <m/>
    <x v="1"/>
    <n v="7"/>
    <s v="HH20241027 T3816967628 No Limit Hold'em $1.84 + $0.16.txt"/>
  </r>
  <r>
    <n v="3313"/>
    <n v="85.750000000000014"/>
    <s v="27.10.2024"/>
    <n v="27"/>
    <x v="9"/>
    <x v="1"/>
    <x v="12"/>
    <m/>
    <m/>
    <m/>
    <x v="1"/>
    <n v="0"/>
    <s v="HH20241027 T3817096151 No Limit Hold'em $0.46 + $0.04.txt"/>
  </r>
  <r>
    <n v="3314"/>
    <n v="85.750000000000014"/>
    <s v="27.10.2024"/>
    <n v="27"/>
    <x v="9"/>
    <x v="1"/>
    <x v="13"/>
    <m/>
    <m/>
    <m/>
    <x v="2"/>
    <n v="0"/>
    <s v="HH20241027 T3817098232 No Limit Hold'em $0.96 + $0.04.txt"/>
  </r>
  <r>
    <n v="3315"/>
    <n v="83.750000000000014"/>
    <s v="28.10.2024"/>
    <n v="28"/>
    <x v="9"/>
    <x v="1"/>
    <x v="2"/>
    <n v="-2"/>
    <m/>
    <m/>
    <x v="2"/>
    <n v="-1"/>
    <s v="HH20241028 T3817541013 No Limit Hold'em $1.84 + $0.16.txt"/>
  </r>
  <r>
    <n v="3316"/>
    <n v="81.750000000000014"/>
    <s v="28.10.2024"/>
    <n v="28"/>
    <x v="9"/>
    <x v="1"/>
    <x v="2"/>
    <n v="-2"/>
    <m/>
    <m/>
    <x v="2"/>
    <n v="-1"/>
    <s v="HH20241028 T3817542840 No Limit Hold'em $1.84 + $0.16.txt"/>
  </r>
  <r>
    <n v="3317"/>
    <n v="79.750000000000014"/>
    <s v="28.10.2024"/>
    <n v="28"/>
    <x v="9"/>
    <x v="1"/>
    <x v="2"/>
    <n v="-2"/>
    <m/>
    <m/>
    <x v="2"/>
    <n v="-1"/>
    <s v="HH20241028 T3817544358 No Limit Hold'em $1.84 + $0.16.txt"/>
  </r>
  <r>
    <n v="3318"/>
    <n v="77.750000000000014"/>
    <s v="28.10.2024"/>
    <n v="28"/>
    <x v="9"/>
    <x v="1"/>
    <x v="2"/>
    <n v="-2"/>
    <m/>
    <m/>
    <x v="2"/>
    <n v="-1"/>
    <s v="HH20241028 T3817546880 No Limit Hold'em $1.84 + $0.16.txt"/>
  </r>
  <r>
    <n v="3319"/>
    <n v="75.750000000000014"/>
    <s v="28.10.2024"/>
    <n v="28"/>
    <x v="9"/>
    <x v="1"/>
    <x v="2"/>
    <n v="-2"/>
    <m/>
    <m/>
    <x v="2"/>
    <n v="-1"/>
    <s v="HH20241028 T3817548773 No Limit Hold'em $1.84 + $0.16.txt"/>
  </r>
  <r>
    <n v="3320"/>
    <n v="77.750000000000014"/>
    <s v="28.10.2024"/>
    <n v="28"/>
    <x v="9"/>
    <x v="1"/>
    <x v="2"/>
    <n v="-2"/>
    <n v="4"/>
    <m/>
    <x v="1"/>
    <n v="1"/>
    <s v="HH20241028 T3817552773 No Limit Hold'em $1.84 + $0.16.txt"/>
  </r>
  <r>
    <n v="3321"/>
    <n v="79.750000000000014"/>
    <s v="29.10.2024"/>
    <n v="29"/>
    <x v="9"/>
    <x v="1"/>
    <x v="2"/>
    <n v="-2"/>
    <n v="4"/>
    <m/>
    <x v="1"/>
    <n v="1"/>
    <s v="HH20241029 T3817666234 No Limit Hold'em $1.84 + $0.16.txt"/>
  </r>
  <r>
    <n v="3322"/>
    <n v="79.750000000000014"/>
    <s v="29.10.2024"/>
    <n v="29"/>
    <x v="9"/>
    <x v="1"/>
    <x v="12"/>
    <m/>
    <m/>
    <m/>
    <x v="2"/>
    <n v="0"/>
    <s v="HH20241029 T3817697034 No Limit Hold'em $0.46 + $0.04.txt"/>
  </r>
  <r>
    <n v="3323"/>
    <n v="79.750000000000014"/>
    <s v="29.10.2024"/>
    <n v="29"/>
    <x v="9"/>
    <x v="1"/>
    <x v="12"/>
    <m/>
    <m/>
    <m/>
    <x v="1"/>
    <n v="0"/>
    <s v="HH20241029 T3817698016 No Limit Hold'em $0.46 + $0.04.txt"/>
  </r>
  <r>
    <n v="3324"/>
    <n v="83.750000000000014"/>
    <s v="29.10.2024"/>
    <n v="29"/>
    <x v="9"/>
    <x v="1"/>
    <x v="2"/>
    <n v="-2"/>
    <n v="6"/>
    <m/>
    <x v="1"/>
    <n v="2"/>
    <s v="HH20241029 T3817699211 No Limit Hold'em $1.84 + $0.16.txt"/>
  </r>
  <r>
    <n v="3325"/>
    <n v="81.750000000000014"/>
    <s v="29.10.2024"/>
    <n v="29"/>
    <x v="9"/>
    <x v="1"/>
    <x v="2"/>
    <n v="-2"/>
    <m/>
    <m/>
    <x v="2"/>
    <n v="-1"/>
    <s v="HH20241029 T3817810132 No Limit Hold'em $1.84 + $0.16.txt"/>
  </r>
  <r>
    <n v="3326"/>
    <n v="83.750000000000014"/>
    <s v="29.10.2024"/>
    <n v="29"/>
    <x v="9"/>
    <x v="1"/>
    <x v="2"/>
    <n v="-2"/>
    <n v="4"/>
    <m/>
    <x v="1"/>
    <n v="1"/>
    <s v="HH20241029 T3817811504 No Limit Hold'em $1.84 + $0.16.txt"/>
  </r>
  <r>
    <n v="3327"/>
    <n v="81.750000000000014"/>
    <s v="29.10.2024"/>
    <n v="29"/>
    <x v="9"/>
    <x v="1"/>
    <x v="2"/>
    <n v="-2"/>
    <m/>
    <m/>
    <x v="2"/>
    <n v="-1"/>
    <s v="HH20241029 T3817812827 No Limit Hold'em $1.84 + $0.16.txt"/>
  </r>
  <r>
    <n v="3328"/>
    <n v="79.750000000000014"/>
    <s v="30.10.2024"/>
    <n v="30"/>
    <x v="9"/>
    <x v="1"/>
    <x v="2"/>
    <n v="-2"/>
    <m/>
    <m/>
    <x v="2"/>
    <n v="-1"/>
    <s v="HH20241030 T3818186078 No Limit Hold'em $1.84 + $0.16.txt"/>
  </r>
  <r>
    <n v="3329"/>
    <n v="81.750000000000014"/>
    <s v="30.10.2024"/>
    <n v="30"/>
    <x v="9"/>
    <x v="1"/>
    <x v="2"/>
    <n v="-2"/>
    <n v="4"/>
    <m/>
    <x v="1"/>
    <n v="1"/>
    <s v="HH20241030 T3818204942 No Limit Hold'em $1.84 + $0.16.txt"/>
  </r>
  <r>
    <n v="3330"/>
    <n v="79.750000000000014"/>
    <s v="30.10.2024"/>
    <n v="30"/>
    <x v="9"/>
    <x v="1"/>
    <x v="2"/>
    <n v="-2"/>
    <m/>
    <m/>
    <x v="2"/>
    <n v="-1"/>
    <s v="HH20241030 T3818206376 No Limit Hold'em $1.84 + $0.16.txt"/>
  </r>
  <r>
    <n v="3331"/>
    <n v="77.750000000000014"/>
    <s v="30.10.2024"/>
    <n v="30"/>
    <x v="9"/>
    <x v="1"/>
    <x v="2"/>
    <n v="-2"/>
    <m/>
    <m/>
    <x v="2"/>
    <n v="-1"/>
    <s v="HH20241030 T3818211199 No Limit Hold'em $1.84 + $0.16.txt"/>
  </r>
  <r>
    <n v="3332"/>
    <n v="75.750000000000014"/>
    <s v="30.10.2024"/>
    <n v="30"/>
    <x v="9"/>
    <x v="1"/>
    <x v="2"/>
    <n v="-2"/>
    <m/>
    <m/>
    <x v="2"/>
    <n v="-1"/>
    <s v="HH20241030 T3818213882 No Limit Hold'em $1.84 + $0.16.txt"/>
  </r>
  <r>
    <n v="3333"/>
    <n v="75.750000000000014"/>
    <s v="30.10.2024"/>
    <n v="30"/>
    <x v="9"/>
    <x v="1"/>
    <x v="12"/>
    <m/>
    <m/>
    <m/>
    <x v="2"/>
    <n v="0"/>
    <s v="HH20241030 T3818216777 No Limit Hold'em $0.46 + $0.04.txt"/>
  </r>
  <r>
    <n v="3334"/>
    <n v="73.750000000000014"/>
    <s v="31.10.2024"/>
    <n v="31"/>
    <x v="9"/>
    <x v="1"/>
    <x v="2"/>
    <n v="-2"/>
    <m/>
    <m/>
    <x v="2"/>
    <n v="-1"/>
    <s v="HH20241031 T3818490996 No Limit Hold'em $1.84 + $0.16.txt"/>
  </r>
  <r>
    <n v="3335"/>
    <n v="77.750000000000014"/>
    <s v="31.10.2024"/>
    <n v="31"/>
    <x v="9"/>
    <x v="1"/>
    <x v="2"/>
    <n v="-2"/>
    <n v="6"/>
    <m/>
    <x v="1"/>
    <n v="2"/>
    <s v="HH20241031 T3818562636 No Limit Hold'em $1.84 + $0.16.txt"/>
  </r>
  <r>
    <n v="3336"/>
    <n v="81.750000000000014"/>
    <s v="31.10.2024"/>
    <n v="31"/>
    <x v="9"/>
    <x v="1"/>
    <x v="2"/>
    <n v="-2"/>
    <n v="6"/>
    <m/>
    <x v="1"/>
    <n v="2"/>
    <s v="HH20241031 T3818566240 No Limit Hold'em $1.84 + $0.16.txt"/>
  </r>
  <r>
    <n v="3337"/>
    <n v="81.750000000000014"/>
    <s v="31.10.2024"/>
    <n v="31"/>
    <x v="9"/>
    <x v="1"/>
    <x v="12"/>
    <m/>
    <m/>
    <m/>
    <x v="2"/>
    <n v="0"/>
    <s v="HH20241031 T3818568618 No Limit Hold'em $0.46 + $0.04.txt"/>
  </r>
  <r>
    <n v="3338"/>
    <n v="79.750000000000014"/>
    <s v="01.11.2024"/>
    <n v="1"/>
    <x v="10"/>
    <x v="1"/>
    <x v="2"/>
    <n v="-2"/>
    <m/>
    <m/>
    <x v="2"/>
    <n v="-1"/>
    <s v="HH20241101 T3818717043 No Limit Hold'em $1.84 + $0.16.txt"/>
  </r>
  <r>
    <n v="3339"/>
    <n v="79.750000000000014"/>
    <s v="01.11.2024"/>
    <n v="1"/>
    <x v="10"/>
    <x v="1"/>
    <x v="12"/>
    <m/>
    <m/>
    <m/>
    <x v="2"/>
    <n v="0"/>
    <s v="HH20241101 T3818719209 No Limit Hold'em $0.46 + $0.04.txt"/>
  </r>
  <r>
    <n v="3340"/>
    <n v="83.750000000000014"/>
    <s v="01.11.2024"/>
    <n v="1"/>
    <x v="10"/>
    <x v="1"/>
    <x v="2"/>
    <n v="-2"/>
    <n v="6"/>
    <m/>
    <x v="1"/>
    <n v="2"/>
    <s v="HH20241101 T3818746144 No Limit Hold'em $1.84 + $0.16.txt"/>
  </r>
  <r>
    <n v="3341"/>
    <n v="81.750000000000014"/>
    <s v="01.11.2024"/>
    <n v="1"/>
    <x v="10"/>
    <x v="1"/>
    <x v="2"/>
    <n v="-2"/>
    <m/>
    <m/>
    <x v="2"/>
    <n v="-1"/>
    <s v="HH20241101 T3818747958 No Limit Hold'em $1.84 + $0.16.txt"/>
  </r>
  <r>
    <n v="3342"/>
    <n v="83.750000000000014"/>
    <s v="01.11.2024"/>
    <n v="1"/>
    <x v="10"/>
    <x v="1"/>
    <x v="2"/>
    <n v="-2"/>
    <n v="4"/>
    <m/>
    <x v="1"/>
    <n v="1"/>
    <s v="HH20241101 T3818780480 No Limit Hold'em $1.84 + $0.16.txt"/>
  </r>
  <r>
    <n v="3343"/>
    <n v="85.750000000000014"/>
    <s v="01.11.2024"/>
    <n v="1"/>
    <x v="10"/>
    <x v="1"/>
    <x v="2"/>
    <n v="-2"/>
    <n v="4"/>
    <m/>
    <x v="1"/>
    <n v="1"/>
    <s v="HH20241101 T3818781412 No Limit Hold'em $1.84 + $0.16.txt"/>
  </r>
  <r>
    <n v="3344"/>
    <n v="89.750000000000014"/>
    <s v="01.11.2024"/>
    <n v="1"/>
    <x v="10"/>
    <x v="1"/>
    <x v="2"/>
    <n v="-2"/>
    <n v="6"/>
    <m/>
    <x v="1"/>
    <n v="2"/>
    <s v="HH20241101 T3818782640 No Limit Hold'em $1.84 + $0.16.txt"/>
  </r>
  <r>
    <n v="3345"/>
    <n v="87.750000000000014"/>
    <s v="01.11.2024"/>
    <n v="1"/>
    <x v="10"/>
    <x v="1"/>
    <x v="2"/>
    <n v="-2"/>
    <m/>
    <m/>
    <x v="2"/>
    <n v="-1"/>
    <s v="HH20241101 T3818807538 No Limit Hold'em $1.84 + $0.16.txt"/>
  </r>
  <r>
    <n v="3346"/>
    <n v="85.750000000000014"/>
    <s v="01.11.2024"/>
    <n v="1"/>
    <x v="10"/>
    <x v="1"/>
    <x v="2"/>
    <n v="-2"/>
    <m/>
    <m/>
    <x v="2"/>
    <n v="-1"/>
    <s v="HH20241101 T3818807892 No Limit Hold'em $1.84 + $0.16.txt"/>
  </r>
  <r>
    <n v="3347"/>
    <n v="83.750000000000014"/>
    <s v="01.11.2024"/>
    <n v="1"/>
    <x v="10"/>
    <x v="1"/>
    <x v="2"/>
    <n v="-2"/>
    <m/>
    <m/>
    <x v="2"/>
    <n v="-1"/>
    <s v="HH20241101 T3818809255 No Limit Hold'em $1.84 + $0.16.txt"/>
  </r>
  <r>
    <n v="3348"/>
    <n v="81.750000000000014"/>
    <s v="01.11.2024"/>
    <n v="1"/>
    <x v="10"/>
    <x v="1"/>
    <x v="2"/>
    <n v="-2"/>
    <m/>
    <m/>
    <x v="2"/>
    <n v="-1"/>
    <s v="HH20241101 T3818815632 No Limit Hold'em $1.84 + $0.16.txt"/>
  </r>
  <r>
    <n v="3349"/>
    <n v="79.750000000000014"/>
    <s v="01.11.2024"/>
    <n v="1"/>
    <x v="10"/>
    <x v="1"/>
    <x v="2"/>
    <n v="-2"/>
    <m/>
    <m/>
    <x v="2"/>
    <n v="-1"/>
    <s v="HH20241101 T3818818855 No Limit Hold'em $1.84 + $0.16.txt"/>
  </r>
  <r>
    <n v="3350"/>
    <n v="77.750000000000014"/>
    <s v="01.11.2024"/>
    <n v="1"/>
    <x v="10"/>
    <x v="1"/>
    <x v="2"/>
    <n v="-2"/>
    <m/>
    <m/>
    <x v="2"/>
    <n v="-1"/>
    <s v="HH20241101 T3818819646 No Limit Hold'em $1.84 + $0.16.txt"/>
  </r>
  <r>
    <n v="3351"/>
    <n v="79.750000000000014"/>
    <s v="01.11.2024"/>
    <n v="1"/>
    <x v="10"/>
    <x v="1"/>
    <x v="2"/>
    <n v="-2"/>
    <n v="4"/>
    <m/>
    <x v="1"/>
    <n v="1"/>
    <s v="HH20241101 T3818819881 No Limit Hold'em $1.84 + $0.16.txt"/>
  </r>
  <r>
    <n v="3352"/>
    <n v="77.750000000000014"/>
    <s v="01.11.2024"/>
    <n v="1"/>
    <x v="10"/>
    <x v="1"/>
    <x v="2"/>
    <n v="-2"/>
    <m/>
    <m/>
    <x v="2"/>
    <n v="-1"/>
    <s v="HH20241101 T3818823312 No Limit Hold'em $1.84 + $0.16.txt"/>
  </r>
  <r>
    <n v="3353"/>
    <n v="75.750000000000014"/>
    <s v="01.11.2024"/>
    <n v="1"/>
    <x v="10"/>
    <x v="1"/>
    <x v="2"/>
    <n v="-2"/>
    <m/>
    <m/>
    <x v="2"/>
    <n v="-1"/>
    <s v="HH20241101 T3818826775 No Limit Hold'em $1.84 + $0.16.txt"/>
  </r>
  <r>
    <n v="3354"/>
    <n v="73.750000000000014"/>
    <s v="01.11.2024"/>
    <n v="1"/>
    <x v="10"/>
    <x v="1"/>
    <x v="2"/>
    <n v="-2"/>
    <m/>
    <m/>
    <x v="2"/>
    <n v="-1"/>
    <s v="HH20241101 T3818863423 No Limit Hold'em $1.84 + $0.16.txt"/>
  </r>
  <r>
    <n v="3355"/>
    <n v="75.750000000000014"/>
    <s v="01.11.2024"/>
    <n v="1"/>
    <x v="10"/>
    <x v="1"/>
    <x v="2"/>
    <n v="-2"/>
    <n v="4"/>
    <m/>
    <x v="1"/>
    <n v="1"/>
    <s v="HH20241101 T3818867713 No Limit Hold'em $1.84 + $0.16.txt"/>
  </r>
  <r>
    <n v="3356"/>
    <n v="73.750000000000014"/>
    <s v="01.11.2024"/>
    <n v="1"/>
    <x v="10"/>
    <x v="1"/>
    <x v="2"/>
    <n v="-2"/>
    <m/>
    <m/>
    <x v="2"/>
    <n v="-1"/>
    <s v="HH20241101 T3818872225 No Limit Hold'em $1.84 + $0.16.txt"/>
  </r>
  <r>
    <n v="3357"/>
    <n v="77.750000000000014"/>
    <s v="01.11.2024"/>
    <n v="1"/>
    <x v="10"/>
    <x v="1"/>
    <x v="2"/>
    <n v="-2"/>
    <n v="6"/>
    <m/>
    <x v="1"/>
    <n v="2"/>
    <s v="HH20241101 T3818874489 No Limit Hold'em $1.84 + $0.16.txt"/>
  </r>
  <r>
    <n v="3358"/>
    <n v="75.750000000000014"/>
    <s v="01.11.2024"/>
    <n v="1"/>
    <x v="10"/>
    <x v="1"/>
    <x v="2"/>
    <n v="-2"/>
    <m/>
    <m/>
    <x v="2"/>
    <n v="-1"/>
    <s v="HH20241101 T3818877957 No Limit Hold'em $1.84 + $0.16.txt"/>
  </r>
  <r>
    <n v="3359"/>
    <n v="73.750000000000014"/>
    <s v="01.11.2024"/>
    <n v="1"/>
    <x v="10"/>
    <x v="1"/>
    <x v="2"/>
    <n v="-2"/>
    <m/>
    <m/>
    <x v="2"/>
    <n v="-1"/>
    <s v="HH20241101 T3818879923 No Limit Hold'em $1.84 + $0.16.txt"/>
  </r>
  <r>
    <n v="3360"/>
    <n v="79.750000000000014"/>
    <s v="01.11.2024"/>
    <n v="1"/>
    <x v="10"/>
    <x v="1"/>
    <x v="2"/>
    <n v="-2"/>
    <n v="8"/>
    <m/>
    <x v="1"/>
    <n v="3"/>
    <s v="HH20241101 T3818882055 No Limit Hold'em $1.84 + $0.16.txt"/>
  </r>
  <r>
    <n v="3361"/>
    <n v="77.750000000000014"/>
    <s v="01.11.2024"/>
    <n v="1"/>
    <x v="10"/>
    <x v="1"/>
    <x v="2"/>
    <n v="-2"/>
    <m/>
    <m/>
    <x v="2"/>
    <n v="-1"/>
    <s v="HH20241101 T3818918237 No Limit Hold'em $1.84 + $0.16.txt"/>
  </r>
  <r>
    <n v="3362"/>
    <n v="75.750000000000014"/>
    <s v="01.11.2024"/>
    <n v="1"/>
    <x v="10"/>
    <x v="1"/>
    <x v="2"/>
    <n v="-2"/>
    <m/>
    <m/>
    <x v="2"/>
    <n v="-1"/>
    <s v="HH20241101 T3818920697 No Limit Hold'em $1.84 + $0.16.txt"/>
  </r>
  <r>
    <n v="3363"/>
    <n v="73.750000000000014"/>
    <s v="01.11.2024"/>
    <n v="1"/>
    <x v="10"/>
    <x v="1"/>
    <x v="2"/>
    <n v="-2"/>
    <m/>
    <m/>
    <x v="2"/>
    <n v="-1"/>
    <s v="HH20241101 T3818922916 No Limit Hold'em $1.84 + $0.16.txt"/>
  </r>
  <r>
    <n v="3364"/>
    <n v="71.750000000000014"/>
    <s v="01.11.2024"/>
    <n v="1"/>
    <x v="10"/>
    <x v="1"/>
    <x v="2"/>
    <n v="-2"/>
    <m/>
    <m/>
    <x v="2"/>
    <n v="-1"/>
    <s v="HH20241101 T3818926286 No Limit Hold'em $1.84 + $0.16.txt"/>
  </r>
  <r>
    <n v="3365"/>
    <n v="69.750000000000014"/>
    <s v="01.11.2024"/>
    <n v="1"/>
    <x v="10"/>
    <x v="1"/>
    <x v="2"/>
    <n v="-2"/>
    <m/>
    <m/>
    <x v="2"/>
    <n v="-1"/>
    <s v="HH20241101 T3818931383 No Limit Hold'em $1.84 + $0.16.txt"/>
  </r>
  <r>
    <n v="3366"/>
    <n v="73.750000000000014"/>
    <s v="01.11.2024"/>
    <n v="1"/>
    <x v="10"/>
    <x v="1"/>
    <x v="2"/>
    <n v="-2"/>
    <n v="6"/>
    <m/>
    <x v="1"/>
    <n v="2"/>
    <s v="HH20241101 T3818933440 No Limit Hold'em $1.84 + $0.16.txt"/>
  </r>
  <r>
    <n v="3367"/>
    <n v="77.750000000000014"/>
    <s v="01.11.2024"/>
    <n v="1"/>
    <x v="10"/>
    <x v="1"/>
    <x v="2"/>
    <n v="-2"/>
    <n v="6"/>
    <m/>
    <x v="1"/>
    <n v="2"/>
    <s v="HH20241101 T3818936190 No Limit Hold'em $1.84 + $0.16.txt"/>
  </r>
  <r>
    <n v="3368"/>
    <n v="81.750000000000014"/>
    <s v="01.11.2024"/>
    <n v="1"/>
    <x v="10"/>
    <x v="1"/>
    <x v="2"/>
    <n v="-2"/>
    <n v="6"/>
    <m/>
    <x v="1"/>
    <n v="2"/>
    <s v="HH20241101 T3818938567 No Limit Hold'em $1.84 + $0.16.txt"/>
  </r>
  <r>
    <n v="3369"/>
    <n v="79.750000000000014"/>
    <s v="01.11.2024"/>
    <n v="1"/>
    <x v="10"/>
    <x v="1"/>
    <x v="2"/>
    <n v="-2"/>
    <m/>
    <m/>
    <x v="2"/>
    <n v="-1"/>
    <s v="HH20241101 T3818944007 No Limit Hold'em $1.84 + $0.16.txt"/>
  </r>
  <r>
    <n v="3370"/>
    <n v="77.750000000000014"/>
    <s v="01.11.2024"/>
    <n v="1"/>
    <x v="10"/>
    <x v="1"/>
    <x v="2"/>
    <n v="-2"/>
    <m/>
    <m/>
    <x v="2"/>
    <n v="-1"/>
    <s v="HH20241101 T3818947496 No Limit Hold'em $1.84 + $0.16.txt"/>
  </r>
  <r>
    <n v="3371"/>
    <n v="75.750000000000014"/>
    <s v="01.11.2024"/>
    <n v="1"/>
    <x v="10"/>
    <x v="1"/>
    <x v="2"/>
    <n v="-2"/>
    <m/>
    <m/>
    <x v="2"/>
    <n v="-1"/>
    <s v="HH20241101 T3818948985 No Limit Hold'em $1.84 + $0.16.txt"/>
  </r>
  <r>
    <n v="3372"/>
    <n v="77.750000000000014"/>
    <s v="01.11.2024"/>
    <n v="1"/>
    <x v="10"/>
    <x v="1"/>
    <x v="2"/>
    <n v="-2"/>
    <n v="4"/>
    <m/>
    <x v="1"/>
    <n v="1"/>
    <s v="HH20241101 T3818951459 No Limit Hold'em $1.84 + $0.16.txt"/>
  </r>
  <r>
    <n v="3373"/>
    <n v="75.750000000000014"/>
    <s v="01.11.2024"/>
    <n v="1"/>
    <x v="10"/>
    <x v="1"/>
    <x v="2"/>
    <n v="-2"/>
    <m/>
    <m/>
    <x v="2"/>
    <n v="-1"/>
    <s v="HH20241101 T3818954799 No Limit Hold'em $1.84 + $0.16.txt"/>
  </r>
  <r>
    <n v="3374"/>
    <n v="79.750000000000014"/>
    <s v="01.11.2024"/>
    <n v="1"/>
    <x v="10"/>
    <x v="1"/>
    <x v="2"/>
    <n v="-2"/>
    <n v="6"/>
    <m/>
    <x v="1"/>
    <n v="2"/>
    <s v="HH20241101 T3818958023 No Limit Hold'em $1.84 + $0.16.txt"/>
  </r>
  <r>
    <n v="3375"/>
    <n v="77.750000000000014"/>
    <s v="02.11.2024"/>
    <n v="2"/>
    <x v="10"/>
    <x v="1"/>
    <x v="2"/>
    <n v="-2"/>
    <m/>
    <m/>
    <x v="2"/>
    <n v="-1"/>
    <s v="HH20241102 T3819188216 No Limit Hold'em $1.84 + $0.16.txt"/>
  </r>
  <r>
    <n v="3376"/>
    <n v="81.750000000000014"/>
    <s v="02.11.2024"/>
    <n v="2"/>
    <x v="10"/>
    <x v="1"/>
    <x v="2"/>
    <n v="-2"/>
    <n v="6"/>
    <m/>
    <x v="1"/>
    <n v="2"/>
    <s v="HH20241102 T3819189403 No Limit Hold'em $1.84 + $0.16.txt"/>
  </r>
  <r>
    <n v="3377"/>
    <n v="81.750000000000014"/>
    <s v="02.11.2024"/>
    <n v="2"/>
    <x v="10"/>
    <x v="1"/>
    <x v="13"/>
    <m/>
    <m/>
    <m/>
    <x v="2"/>
    <n v="0"/>
    <s v="HH20241102 T3817774245 No Limit Hold'em $1.40 + $0.10.txt"/>
  </r>
  <r>
    <n v="3378"/>
    <n v="81.750000000000014"/>
    <s v="02.11.2024"/>
    <n v="2"/>
    <x v="10"/>
    <x v="1"/>
    <x v="12"/>
    <m/>
    <m/>
    <m/>
    <x v="1"/>
    <n v="0"/>
    <s v="HH20241102 T3819204066 No Limit Hold'em $0.46 + $0.04.txt"/>
  </r>
  <r>
    <n v="3379"/>
    <n v="81.750000000000014"/>
    <s v="02.11.2024"/>
    <n v="2"/>
    <x v="10"/>
    <x v="1"/>
    <x v="13"/>
    <m/>
    <m/>
    <m/>
    <x v="1"/>
    <n v="0"/>
    <s v="HH20241102 T3819206774 No Limit Hold'em $0.96 + $0.04.txt"/>
  </r>
  <r>
    <n v="3380"/>
    <n v="83.750000000000014"/>
    <s v="02.11.2024"/>
    <n v="2"/>
    <x v="10"/>
    <x v="1"/>
    <x v="2"/>
    <n v="-2"/>
    <n v="4"/>
    <m/>
    <x v="1"/>
    <n v="1"/>
    <s v="HH20241102 T3819342264 No Limit Hold'em $1.84 + $0.16.txt"/>
  </r>
  <r>
    <n v="3381"/>
    <n v="81.750000000000014"/>
    <s v="02.11.2024"/>
    <n v="2"/>
    <x v="10"/>
    <x v="1"/>
    <x v="2"/>
    <n v="-2"/>
    <m/>
    <m/>
    <x v="2"/>
    <n v="-1"/>
    <s v="HH20241102 T3819345722 No Limit Hold'em $1.84 + $0.16.txt"/>
  </r>
  <r>
    <n v="3382"/>
    <n v="79.750000000000014"/>
    <s v="02.11.2024"/>
    <n v="2"/>
    <x v="10"/>
    <x v="1"/>
    <x v="2"/>
    <n v="-2"/>
    <m/>
    <m/>
    <x v="2"/>
    <n v="-1"/>
    <s v="HH20241102 T3819349277 No Limit Hold'em $1.84 + $0.16.txt"/>
  </r>
  <r>
    <n v="3383"/>
    <n v="77.750000000000014"/>
    <s v="02.11.2024"/>
    <n v="2"/>
    <x v="10"/>
    <x v="1"/>
    <x v="2"/>
    <n v="-2"/>
    <m/>
    <m/>
    <x v="2"/>
    <n v="-1"/>
    <s v="HH20241102 T3819353438 No Limit Hold'em $1.84 + $0.16.txt"/>
  </r>
  <r>
    <n v="3384"/>
    <n v="75.750000000000014"/>
    <s v="02.11.2024"/>
    <n v="2"/>
    <x v="10"/>
    <x v="1"/>
    <x v="2"/>
    <n v="-2"/>
    <m/>
    <m/>
    <x v="2"/>
    <n v="-1"/>
    <s v="HH20241102 T3819356295 No Limit Hold'em $1.84 + $0.16.txt"/>
  </r>
  <r>
    <n v="3385"/>
    <n v="73.750000000000014"/>
    <s v="03.11.2024"/>
    <n v="3"/>
    <x v="10"/>
    <x v="1"/>
    <x v="2"/>
    <n v="-2"/>
    <m/>
    <m/>
    <x v="2"/>
    <n v="-1"/>
    <s v="HH20241103 T3819589076 No Limit Hold'em $1.84 + $0.16.txt"/>
  </r>
  <r>
    <n v="3386"/>
    <n v="71.750000000000014"/>
    <s v="03.11.2024"/>
    <n v="3"/>
    <x v="10"/>
    <x v="1"/>
    <x v="2"/>
    <n v="-2"/>
    <m/>
    <m/>
    <x v="2"/>
    <n v="-1"/>
    <s v="HH20241103 T3819590985 No Limit Hold'em $1.84 + $0.16.txt"/>
  </r>
  <r>
    <n v="3387"/>
    <n v="69.750000000000014"/>
    <s v="03.11.2024"/>
    <n v="3"/>
    <x v="10"/>
    <x v="1"/>
    <x v="2"/>
    <n v="-2"/>
    <m/>
    <m/>
    <x v="2"/>
    <n v="-1"/>
    <s v="HH20241103 T3819593394 No Limit Hold'em $1.84 + $0.16.txt"/>
  </r>
  <r>
    <n v="3388"/>
    <n v="73.750000000000014"/>
    <s v="03.11.2024"/>
    <n v="3"/>
    <x v="10"/>
    <x v="1"/>
    <x v="2"/>
    <n v="-2"/>
    <n v="6"/>
    <m/>
    <x v="1"/>
    <n v="2"/>
    <s v="HH20241103 T3819596528 No Limit Hold'em $1.84 + $0.16.txt"/>
  </r>
  <r>
    <n v="3389"/>
    <n v="71.750000000000014"/>
    <s v="03.11.2024"/>
    <n v="3"/>
    <x v="10"/>
    <x v="1"/>
    <x v="2"/>
    <n v="-2"/>
    <m/>
    <m/>
    <x v="2"/>
    <n v="-1"/>
    <s v="HH20241103 T3819597227 No Limit Hold'em $1.84 + $0.16.txt"/>
  </r>
  <r>
    <n v="3390"/>
    <n v="71.750000000000014"/>
    <s v="03.11.2024"/>
    <n v="3"/>
    <x v="10"/>
    <x v="1"/>
    <x v="12"/>
    <m/>
    <m/>
    <m/>
    <x v="1"/>
    <n v="0"/>
    <s v="HH20241103 T3819598638 No Limit Hold'em $0.46 + $0.04.txt"/>
  </r>
  <r>
    <n v="3391"/>
    <n v="75.750000000000014"/>
    <s v="03.11.2024"/>
    <n v="3"/>
    <x v="10"/>
    <x v="1"/>
    <x v="2"/>
    <n v="-2"/>
    <n v="6"/>
    <m/>
    <x v="1"/>
    <n v="2"/>
    <s v="HH20241103 T3819603366 No Limit Hold'em $1.84 + $0.16.txt"/>
  </r>
  <r>
    <n v="3392"/>
    <n v="79.750000000000014"/>
    <s v="03.11.2024"/>
    <n v="3"/>
    <x v="10"/>
    <x v="1"/>
    <x v="2"/>
    <n v="-2"/>
    <n v="6"/>
    <m/>
    <x v="1"/>
    <n v="2"/>
    <s v="HH20241103 T3819647167 No Limit Hold'em $1.84 + $0.16.txt"/>
  </r>
  <r>
    <n v="3393"/>
    <n v="77.750000000000014"/>
    <s v="03.11.2024"/>
    <n v="3"/>
    <x v="10"/>
    <x v="1"/>
    <x v="2"/>
    <n v="-2"/>
    <m/>
    <m/>
    <x v="2"/>
    <n v="-1"/>
    <s v="HH20241103 T3819649052 No Limit Hold'em $1.84 + $0.16.txt"/>
  </r>
  <r>
    <n v="3394"/>
    <n v="81.750000000000014"/>
    <s v="03.11.2024"/>
    <n v="3"/>
    <x v="10"/>
    <x v="1"/>
    <x v="2"/>
    <n v="-2"/>
    <n v="6"/>
    <m/>
    <x v="1"/>
    <n v="2"/>
    <s v="HH20241103 T3819650887 No Limit Hold'em $1.84 + $0.16.txt"/>
  </r>
  <r>
    <n v="3395"/>
    <n v="79.750000000000014"/>
    <s v="03.11.2024"/>
    <n v="3"/>
    <x v="10"/>
    <x v="1"/>
    <x v="2"/>
    <n v="-2"/>
    <m/>
    <m/>
    <x v="2"/>
    <n v="-1"/>
    <s v="HH20241103 T3819655969 No Limit Hold'em $1.84 + $0.16.txt"/>
  </r>
  <r>
    <n v="3396"/>
    <n v="68.750000000000014"/>
    <s v="03.11.2024"/>
    <n v="3"/>
    <x v="10"/>
    <x v="1"/>
    <x v="5"/>
    <n v="-11"/>
    <m/>
    <m/>
    <x v="2"/>
    <n v="-1"/>
    <s v="HH20241103 T3816258457 No Limit Hold'em $9.80 + $1.20.txt"/>
  </r>
  <r>
    <n v="3397"/>
    <n v="66.750000000000014"/>
    <s v="04.11.2024"/>
    <n v="4"/>
    <x v="10"/>
    <x v="1"/>
    <x v="2"/>
    <n v="-2"/>
    <m/>
    <m/>
    <x v="2"/>
    <n v="-1"/>
    <s v="HH20241104 T3820089748 No Limit Hold'em $1.84 + $0.16.txt"/>
  </r>
  <r>
    <n v="3398"/>
    <n v="68.750000000000014"/>
    <s v="05.11.2024"/>
    <n v="5"/>
    <x v="10"/>
    <x v="1"/>
    <x v="2"/>
    <n v="-2"/>
    <n v="4"/>
    <m/>
    <x v="1"/>
    <n v="1"/>
    <s v="HH20241105 T3820396960 No Limit Hold'em $1.84 + $0.16.txt"/>
  </r>
  <r>
    <n v="3399"/>
    <n v="68.750000000000014"/>
    <s v="05.11.2024"/>
    <n v="5"/>
    <x v="10"/>
    <x v="1"/>
    <x v="12"/>
    <m/>
    <m/>
    <m/>
    <x v="2"/>
    <n v="0"/>
    <s v="HH20241105 T3820401773 No Limit Hold'em $0.46 + $0.04.txt"/>
  </r>
  <r>
    <n v="3400"/>
    <n v="68.750000000000014"/>
    <s v="05.11.2024"/>
    <n v="5"/>
    <x v="10"/>
    <x v="1"/>
    <x v="12"/>
    <m/>
    <m/>
    <m/>
    <x v="2"/>
    <n v="0"/>
    <s v="HH20241105 T3820402648 No Limit Hold'em $0.46 + $0.04.txt"/>
  </r>
  <r>
    <n v="3401"/>
    <n v="66.750000000000014"/>
    <s v="05.11.2024"/>
    <n v="5"/>
    <x v="10"/>
    <x v="1"/>
    <x v="2"/>
    <n v="-2"/>
    <m/>
    <m/>
    <x v="2"/>
    <n v="-1"/>
    <s v="HH20241105 T3820404392 No Limit Hold'em $1.84 + $0.16.txt"/>
  </r>
  <r>
    <n v="3402"/>
    <n v="64.750000000000014"/>
    <s v="05.11.2024"/>
    <n v="5"/>
    <x v="10"/>
    <x v="1"/>
    <x v="2"/>
    <n v="-2"/>
    <m/>
    <m/>
    <x v="2"/>
    <n v="-1"/>
    <s v="HH20241105 T3820407763 No Limit Hold'em $1.84 + $0.16.txt"/>
  </r>
  <r>
    <n v="3403"/>
    <n v="62.750000000000014"/>
    <s v="05.11.2024"/>
    <n v="5"/>
    <x v="10"/>
    <x v="1"/>
    <x v="2"/>
    <n v="-2"/>
    <m/>
    <m/>
    <x v="2"/>
    <n v="-1"/>
    <s v="HH20241105 T3820408974 No Limit Hold'em $1.84 + $0.16.txt"/>
  </r>
  <r>
    <n v="3404"/>
    <n v="60.750000000000014"/>
    <s v="05.11.2024"/>
    <n v="5"/>
    <x v="10"/>
    <x v="1"/>
    <x v="2"/>
    <n v="-2"/>
    <m/>
    <m/>
    <x v="2"/>
    <n v="-1"/>
    <s v="HH20241105 T3820412992 No Limit Hold'em $1.84 + $0.16.txt"/>
  </r>
  <r>
    <n v="3405"/>
    <n v="62.750000000000014"/>
    <s v="06.11.2024"/>
    <n v="6"/>
    <x v="10"/>
    <x v="1"/>
    <x v="2"/>
    <n v="-2"/>
    <n v="4"/>
    <m/>
    <x v="1"/>
    <n v="1"/>
    <s v="HH20241106 T3820748227 No Limit Hold'em $1.84 + $0.16.txt"/>
  </r>
  <r>
    <n v="3406"/>
    <n v="62.750000000000014"/>
    <s v="06.11.2024"/>
    <n v="6"/>
    <x v="10"/>
    <x v="1"/>
    <x v="12"/>
    <m/>
    <m/>
    <m/>
    <x v="2"/>
    <n v="0"/>
    <s v="HH20241106 T3820751324 No Limit Hold'em $0.46 + $0.04.txt"/>
  </r>
  <r>
    <n v="3407"/>
    <n v="64.750000000000014"/>
    <s v="06.11.2024"/>
    <n v="6"/>
    <x v="10"/>
    <x v="1"/>
    <x v="2"/>
    <n v="-2"/>
    <n v="4"/>
    <m/>
    <x v="1"/>
    <n v="1"/>
    <s v="HH20241106 T3820751855 No Limit Hold'em $1.84 + $0.16.txt"/>
  </r>
  <r>
    <n v="3408"/>
    <n v="62.750000000000014"/>
    <s v="06.11.2024"/>
    <n v="6"/>
    <x v="10"/>
    <x v="1"/>
    <x v="2"/>
    <n v="-2"/>
    <m/>
    <m/>
    <x v="2"/>
    <n v="-1"/>
    <s v="HH20241106 T3820754154 No Limit Hold'em $1.84 + $0.16.txt"/>
  </r>
  <r>
    <n v="3409"/>
    <n v="60.750000000000014"/>
    <s v="06.11.2024"/>
    <n v="6"/>
    <x v="10"/>
    <x v="1"/>
    <x v="2"/>
    <n v="-2"/>
    <m/>
    <m/>
    <x v="2"/>
    <n v="-1"/>
    <s v="HH20241106 T3820756795 No Limit Hold'em $1.84 + $0.16.txt"/>
  </r>
  <r>
    <n v="3410"/>
    <n v="58.750000000000014"/>
    <s v="06.11.2024"/>
    <n v="6"/>
    <x v="10"/>
    <x v="1"/>
    <x v="2"/>
    <n v="-2"/>
    <m/>
    <m/>
    <x v="2"/>
    <n v="-1"/>
    <s v="HH20241106 T3820758188 No Limit Hold'em $1.84 + $0.16.txt"/>
  </r>
  <r>
    <n v="3411"/>
    <n v="56.750000000000014"/>
    <s v="06.11.2024"/>
    <n v="6"/>
    <x v="10"/>
    <x v="1"/>
    <x v="2"/>
    <n v="-2"/>
    <m/>
    <m/>
    <x v="2"/>
    <n v="-1"/>
    <s v="HH20241106 T3820760751 No Limit Hold'em $1.84 + $0.16.txt"/>
  </r>
  <r>
    <n v="3412"/>
    <n v="58.750000000000014"/>
    <s v="07.11.2024"/>
    <n v="7"/>
    <x v="10"/>
    <x v="1"/>
    <x v="2"/>
    <n v="-2"/>
    <n v="4"/>
    <m/>
    <x v="1"/>
    <n v="1"/>
    <s v="HH20241107 T3821058677 No Limit Hold'em $1.84 + $0.16.txt"/>
  </r>
  <r>
    <n v="3413"/>
    <n v="62.750000000000014"/>
    <s v="07.11.2024"/>
    <n v="7"/>
    <x v="10"/>
    <x v="1"/>
    <x v="2"/>
    <n v="-2"/>
    <n v="6"/>
    <m/>
    <x v="1"/>
    <n v="2"/>
    <s v="HH20241107 T3821059881 No Limit Hold'em $1.84 + $0.16.txt"/>
  </r>
  <r>
    <n v="3414"/>
    <n v="60.750000000000014"/>
    <s v="07.11.2024"/>
    <n v="7"/>
    <x v="10"/>
    <x v="1"/>
    <x v="2"/>
    <n v="-2"/>
    <m/>
    <m/>
    <x v="2"/>
    <n v="-1"/>
    <s v="HH20241107 T3821065206 No Limit Hold'em $1.84 + $0.16.txt"/>
  </r>
  <r>
    <n v="3415"/>
    <n v="58.750000000000014"/>
    <s v="07.11.2024"/>
    <n v="7"/>
    <x v="10"/>
    <x v="1"/>
    <x v="2"/>
    <n v="-2"/>
    <m/>
    <m/>
    <x v="2"/>
    <n v="-1"/>
    <s v="HH20241107 T3821066626 No Limit Hold'em $1.84 + $0.16.txt"/>
  </r>
  <r>
    <n v="3416"/>
    <n v="60.750000000000014"/>
    <s v="08.11.2024"/>
    <n v="8"/>
    <x v="10"/>
    <x v="1"/>
    <x v="2"/>
    <n v="-2"/>
    <n v="4"/>
    <m/>
    <x v="1"/>
    <n v="1"/>
    <s v="HH20241108 T3821356634 No Limit Hold'em $1.84 + $0.16.txt"/>
  </r>
  <r>
    <n v="3417"/>
    <n v="64.750000000000014"/>
    <s v="08.11.2024"/>
    <n v="8"/>
    <x v="10"/>
    <x v="1"/>
    <x v="2"/>
    <n v="-2"/>
    <n v="6"/>
    <m/>
    <x v="1"/>
    <n v="2"/>
    <s v="HH20241108 T3821358226 No Limit Hold'em $1.84 + $0.16.txt"/>
  </r>
  <r>
    <n v="3418"/>
    <n v="62.750000000000014"/>
    <s v="08.11.2024"/>
    <n v="8"/>
    <x v="10"/>
    <x v="1"/>
    <x v="2"/>
    <n v="-2"/>
    <m/>
    <m/>
    <x v="2"/>
    <n v="-1"/>
    <s v="HH20241108 T3821360360 No Limit Hold'em $1.84 + $0.16.txt"/>
  </r>
  <r>
    <n v="3419"/>
    <n v="66.750000000000014"/>
    <s v="08.11.2024"/>
    <n v="8"/>
    <x v="10"/>
    <x v="1"/>
    <x v="2"/>
    <n v="-2"/>
    <n v="6"/>
    <m/>
    <x v="1"/>
    <n v="2"/>
    <s v="HH20241108 T3821363376 No Limit Hold'em $1.84 + $0.16.txt"/>
  </r>
  <r>
    <n v="3420"/>
    <n v="64.750000000000014"/>
    <s v="08.11.2024"/>
    <n v="8"/>
    <x v="10"/>
    <x v="1"/>
    <x v="2"/>
    <n v="-2"/>
    <m/>
    <m/>
    <x v="2"/>
    <n v="-1"/>
    <s v="HH20241108 T3821370284 No Limit Hold'em $1.84 + $0.16.txt"/>
  </r>
  <r>
    <n v="3421"/>
    <n v="64.750000000000014"/>
    <s v="08.11.2024"/>
    <n v="8"/>
    <x v="10"/>
    <x v="1"/>
    <x v="12"/>
    <m/>
    <m/>
    <m/>
    <x v="1"/>
    <n v="0"/>
    <s v="HH20241108 T3821399571 No Limit Hold'em $0.46 + $0.04.txt"/>
  </r>
  <r>
    <n v="3422"/>
    <n v="64.750000000000014"/>
    <s v="08.11.2024"/>
    <n v="8"/>
    <x v="10"/>
    <x v="1"/>
    <x v="12"/>
    <m/>
    <m/>
    <m/>
    <x v="2"/>
    <n v="0"/>
    <s v="HH20241108 T3821401174 No Limit Hold'em $0.46 + $0.04.txt"/>
  </r>
  <r>
    <n v="3423"/>
    <n v="64.750000000000014"/>
    <s v="08.11.2024"/>
    <n v="8"/>
    <x v="10"/>
    <x v="1"/>
    <x v="13"/>
    <m/>
    <m/>
    <m/>
    <x v="1"/>
    <n v="0"/>
    <s v="HH20241108 T3821408591 No Limit Hold'em $0.96 + $0.04.txt"/>
  </r>
  <r>
    <n v="3424"/>
    <n v="64.750000000000014"/>
    <s v="08.11.2024"/>
    <n v="8"/>
    <x v="10"/>
    <x v="1"/>
    <x v="13"/>
    <m/>
    <m/>
    <m/>
    <x v="2"/>
    <n v="0"/>
    <s v="HH20241108 T3820262026 No Limit Hold'em $1.40 + $0.10.txt"/>
  </r>
  <r>
    <n v="3425"/>
    <n v="62.750000000000014"/>
    <s v="08.11.2024"/>
    <n v="8"/>
    <x v="10"/>
    <x v="1"/>
    <x v="2"/>
    <n v="-2"/>
    <m/>
    <m/>
    <x v="2"/>
    <n v="-1"/>
    <s v="HH20241108 T3821469877 No Limit Hold'em $1.84 + $0.16.txt"/>
  </r>
  <r>
    <n v="3426"/>
    <n v="60.750000000000014"/>
    <s v="08.11.2024"/>
    <n v="8"/>
    <x v="10"/>
    <x v="1"/>
    <x v="2"/>
    <n v="-2"/>
    <m/>
    <m/>
    <x v="2"/>
    <n v="-1"/>
    <s v="HH20241108 T3821470693 No Limit Hold'em $1.84 + $0.16.txt"/>
  </r>
  <r>
    <n v="3427"/>
    <n v="58.750000000000014"/>
    <s v="08.11.2024"/>
    <n v="8"/>
    <x v="10"/>
    <x v="1"/>
    <x v="2"/>
    <n v="-2"/>
    <m/>
    <m/>
    <x v="2"/>
    <n v="-1"/>
    <s v="HH20241108 T3821471470 No Limit Hold'em $1.84 + $0.16.txt"/>
  </r>
  <r>
    <n v="3428"/>
    <n v="58.750000000000014"/>
    <s v="08.11.2024"/>
    <n v="8"/>
    <x v="10"/>
    <x v="1"/>
    <x v="14"/>
    <m/>
    <m/>
    <m/>
    <x v="1"/>
    <n v="0"/>
    <s v="HH20241108 T3820262015 No Limit Hold'em $10.27 + $0.73.txt"/>
  </r>
  <r>
    <n v="3429"/>
    <n v="58.750000000000014"/>
    <s v="08.11.2024"/>
    <n v="8"/>
    <x v="10"/>
    <x v="1"/>
    <x v="13"/>
    <m/>
    <m/>
    <m/>
    <x v="2"/>
    <n v="0"/>
    <s v="HH20241108 T3820262027 No Limit Hold'em $1.40 + $0.10.txt"/>
  </r>
  <r>
    <n v="3430"/>
    <n v="60.750000000000014"/>
    <s v="09.11.2024"/>
    <n v="9"/>
    <x v="10"/>
    <x v="1"/>
    <x v="2"/>
    <n v="-2"/>
    <n v="4"/>
    <m/>
    <x v="1"/>
    <n v="1"/>
    <s v="HH20241109 T3821724541 No Limit Hold'em $1.84 + $0.16.txt"/>
  </r>
  <r>
    <n v="3431"/>
    <n v="62.750000000000014"/>
    <s v="09.11.2024"/>
    <n v="9"/>
    <x v="10"/>
    <x v="1"/>
    <x v="2"/>
    <n v="-2"/>
    <n v="4"/>
    <m/>
    <x v="1"/>
    <n v="1"/>
    <s v="HH20241109 T3821726940 No Limit Hold'em $1.84 + $0.16.txt"/>
  </r>
  <r>
    <n v="3432"/>
    <n v="62.750000000000014"/>
    <s v="09.11.2024"/>
    <n v="9"/>
    <x v="10"/>
    <x v="1"/>
    <x v="12"/>
    <m/>
    <m/>
    <m/>
    <x v="1"/>
    <n v="0"/>
    <s v="HH20241109 T3821728914 No Limit Hold'em $0.46 + $0.04.txt"/>
  </r>
  <r>
    <n v="3433"/>
    <n v="62.750000000000014"/>
    <s v="09.11.2024"/>
    <n v="9"/>
    <x v="10"/>
    <x v="1"/>
    <x v="13"/>
    <m/>
    <m/>
    <m/>
    <x v="2"/>
    <n v="0"/>
    <s v="HH20241109 T3821729387 No Limit Hold'em $0.96 + $0.04.txt"/>
  </r>
  <r>
    <n v="3434"/>
    <n v="64.750000000000014"/>
    <s v="09.11.2024"/>
    <n v="9"/>
    <x v="10"/>
    <x v="1"/>
    <x v="2"/>
    <n v="-2"/>
    <n v="4"/>
    <m/>
    <x v="1"/>
    <n v="1"/>
    <s v="HH20241109 T3821790664 No Limit Hold'em $1.84 + $0.16.txt"/>
  </r>
  <r>
    <n v="3435"/>
    <n v="62.750000000000014"/>
    <s v="09.11.2024"/>
    <n v="9"/>
    <x v="10"/>
    <x v="1"/>
    <x v="2"/>
    <n v="-2"/>
    <m/>
    <m/>
    <x v="2"/>
    <n v="-1"/>
    <s v="HH20241109 T3821793628 No Limit Hold'em $1.84 + $0.16.txt"/>
  </r>
  <r>
    <n v="3436"/>
    <n v="60.750000000000014"/>
    <s v="09.11.2024"/>
    <n v="9"/>
    <x v="10"/>
    <x v="1"/>
    <x v="2"/>
    <n v="-2"/>
    <m/>
    <m/>
    <x v="2"/>
    <n v="-1"/>
    <s v="HH20241109 T3821797769 No Limit Hold'em $1.84 + $0.16.txt"/>
  </r>
  <r>
    <n v="3437"/>
    <n v="58.750000000000014"/>
    <s v="10.11.2024"/>
    <n v="10"/>
    <x v="10"/>
    <x v="1"/>
    <x v="2"/>
    <n v="-2"/>
    <m/>
    <m/>
    <x v="2"/>
    <n v="-1"/>
    <s v="HH20241110 T3822033936 No Limit Hold'em $1.84 + $0.16.txt"/>
  </r>
  <r>
    <n v="3438"/>
    <n v="62.750000000000014"/>
    <s v="10.11.2024"/>
    <n v="10"/>
    <x v="10"/>
    <x v="1"/>
    <x v="2"/>
    <n v="-2"/>
    <n v="6"/>
    <m/>
    <x v="1"/>
    <n v="2"/>
    <s v="HH20241110 T3822035247 No Limit Hold'em $1.84 + $0.16.txt"/>
  </r>
  <r>
    <n v="3439"/>
    <n v="60.750000000000014"/>
    <s v="10.11.2024"/>
    <n v="10"/>
    <x v="10"/>
    <x v="1"/>
    <x v="2"/>
    <n v="-2"/>
    <m/>
    <m/>
    <x v="2"/>
    <n v="-1"/>
    <s v="HH20241110 T3822036517 No Limit Hold'em $1.84 + $0.16.txt"/>
  </r>
  <r>
    <n v="3440"/>
    <n v="58.750000000000014"/>
    <s v="10.11.2024"/>
    <n v="10"/>
    <x v="10"/>
    <x v="1"/>
    <x v="2"/>
    <n v="-2"/>
    <m/>
    <m/>
    <x v="2"/>
    <n v="-1"/>
    <s v="HH20241110 T3822037320 No Limit Hold'em $1.84 + $0.16.txt"/>
  </r>
  <r>
    <n v="3441"/>
    <n v="62.750000000000014"/>
    <s v="10.11.2024"/>
    <n v="10"/>
    <x v="10"/>
    <x v="1"/>
    <x v="2"/>
    <n v="-2"/>
    <n v="6"/>
    <m/>
    <x v="1"/>
    <n v="2"/>
    <s v="HH20241110 T3822037600 No Limit Hold'em $1.84 + $0.16.txt"/>
  </r>
  <r>
    <n v="3442"/>
    <n v="62.750000000000014"/>
    <s v="10.11.2024"/>
    <n v="10"/>
    <x v="10"/>
    <x v="1"/>
    <x v="12"/>
    <m/>
    <m/>
    <m/>
    <x v="2"/>
    <n v="0"/>
    <s v="HH20241110 T3822039099 No Limit Hold'em $0.46 + $0.04.txt"/>
  </r>
  <r>
    <n v="3443"/>
    <n v="51.750000000000014"/>
    <s v="10.11.2024"/>
    <n v="10"/>
    <x v="10"/>
    <x v="1"/>
    <x v="5"/>
    <n v="-11"/>
    <m/>
    <m/>
    <x v="2"/>
    <n v="-1"/>
    <s v="HH20241110 T3812945965 No Limit Hold'em $9.80 + $1.20.txt"/>
  </r>
  <r>
    <n v="3444"/>
    <n v="51.750000000000014"/>
    <s v="10.11.2024"/>
    <n v="10"/>
    <x v="10"/>
    <x v="1"/>
    <x v="17"/>
    <m/>
    <m/>
    <m/>
    <x v="2"/>
    <n v="0"/>
    <s v="HH20241110 T3821346766 No Limit Hold'em $55 Ticket.txt"/>
  </r>
  <r>
    <n v="3445"/>
    <n v="51.750000000000014"/>
    <s v="10.11.2024"/>
    <n v="10"/>
    <x v="10"/>
    <x v="1"/>
    <x v="14"/>
    <m/>
    <m/>
    <m/>
    <x v="2"/>
    <n v="0"/>
    <s v="HH20241110 T3821346783 No Limit Hold'em $10.27 + $0.73.txt"/>
  </r>
  <r>
    <n v="3446"/>
    <n v="65.750000000000014"/>
    <s v="10.11.2024"/>
    <n v="10"/>
    <x v="10"/>
    <x v="1"/>
    <x v="2"/>
    <n v="-2"/>
    <n v="16"/>
    <m/>
    <x v="1"/>
    <n v="7"/>
    <s v="HH20241110 T3822232469 No Limit Hold'em $1.84 + $0.16.txt"/>
  </r>
  <r>
    <n v="3447"/>
    <n v="67.750000000000014"/>
    <s v="10.11.2024"/>
    <n v="10"/>
    <x v="10"/>
    <x v="1"/>
    <x v="2"/>
    <n v="-2"/>
    <n v="4"/>
    <m/>
    <x v="1"/>
    <n v="1"/>
    <s v="HH20241110 T3822249820 No Limit Hold'em $1.84 + $0.16.txt"/>
  </r>
  <r>
    <n v="3448"/>
    <n v="71.750000000000014"/>
    <s v="11.11.2024"/>
    <n v="11"/>
    <x v="10"/>
    <x v="1"/>
    <x v="2"/>
    <n v="-2"/>
    <n v="6"/>
    <m/>
    <x v="1"/>
    <n v="2"/>
    <s v="HH20241111 T3822378790 No Limit Hold'em $1.84 + $0.16.txt"/>
  </r>
  <r>
    <n v="3449"/>
    <n v="77.750000000000014"/>
    <s v="11.11.2024"/>
    <n v="11"/>
    <x v="10"/>
    <x v="1"/>
    <x v="2"/>
    <n v="-2"/>
    <n v="8"/>
    <m/>
    <x v="1"/>
    <n v="3"/>
    <s v="HH20241111 T3822386650 No Limit Hold'em $1.84 + $0.16.txt"/>
  </r>
  <r>
    <n v="3450"/>
    <n v="75.750000000000014"/>
    <s v="11.11.2024"/>
    <n v="11"/>
    <x v="10"/>
    <x v="1"/>
    <x v="2"/>
    <n v="-2"/>
    <m/>
    <m/>
    <x v="2"/>
    <n v="-1"/>
    <s v="HH20241111 T3822387707 No Limit Hold'em $1.84 + $0.16.txt"/>
  </r>
  <r>
    <n v="3451"/>
    <n v="73.750000000000014"/>
    <s v="11.11.2024"/>
    <n v="11"/>
    <x v="10"/>
    <x v="1"/>
    <x v="2"/>
    <n v="-2"/>
    <m/>
    <m/>
    <x v="2"/>
    <n v="-1"/>
    <s v="HH20241111 T3822389087 No Limit Hold'em $1.84 + $0.16.txt"/>
  </r>
  <r>
    <n v="3452"/>
    <n v="71.750000000000014"/>
    <s v="11.11.2024"/>
    <n v="11"/>
    <x v="10"/>
    <x v="1"/>
    <x v="2"/>
    <n v="-2"/>
    <m/>
    <m/>
    <x v="2"/>
    <n v="-1"/>
    <s v="HH20241111 T3822390566 No Limit Hold'em $1.84 + $0.16.txt"/>
  </r>
  <r>
    <n v="3453"/>
    <n v="71.750000000000014"/>
    <s v="11.11.2024"/>
    <n v="11"/>
    <x v="10"/>
    <x v="1"/>
    <x v="12"/>
    <m/>
    <m/>
    <m/>
    <x v="2"/>
    <n v="0"/>
    <s v="HH20241111 T3822391495 No Limit Hold'em $0.46 + $0.04.txt"/>
  </r>
  <r>
    <n v="3454"/>
    <n v="69.750000000000014"/>
    <s v="11.11.2024"/>
    <n v="11"/>
    <x v="10"/>
    <x v="1"/>
    <x v="2"/>
    <n v="-2"/>
    <m/>
    <m/>
    <x v="2"/>
    <n v="-1"/>
    <s v="HH20241111 T3822401033 No Limit Hold'em $1.84 + $0.16.txt"/>
  </r>
  <r>
    <n v="3455"/>
    <n v="71.750000000000014"/>
    <s v="11.11.2024"/>
    <n v="11"/>
    <x v="10"/>
    <x v="1"/>
    <x v="2"/>
    <n v="-2"/>
    <n v="4"/>
    <m/>
    <x v="1"/>
    <n v="1"/>
    <s v="HH20241111 T3822401895 No Limit Hold'em $1.84 + $0.16.txt"/>
  </r>
  <r>
    <n v="3456"/>
    <n v="69.750000000000014"/>
    <s v="11.11.2024"/>
    <n v="11"/>
    <x v="10"/>
    <x v="1"/>
    <x v="2"/>
    <n v="-2"/>
    <m/>
    <m/>
    <x v="2"/>
    <n v="-1"/>
    <s v="HH20241111 T3822403963 No Limit Hold'em $1.84 + $0.16.txt"/>
  </r>
  <r>
    <n v="3457"/>
    <n v="73.750000000000014"/>
    <s v="11.11.2024"/>
    <n v="11"/>
    <x v="10"/>
    <x v="1"/>
    <x v="2"/>
    <n v="-2"/>
    <n v="6"/>
    <m/>
    <x v="1"/>
    <n v="2"/>
    <s v="HH20241111 T3822404291 No Limit Hold'em $1.84 + $0.16.txt"/>
  </r>
  <r>
    <n v="3458"/>
    <n v="71.750000000000014"/>
    <s v="11.11.2024"/>
    <n v="11"/>
    <x v="10"/>
    <x v="1"/>
    <x v="2"/>
    <n v="-2"/>
    <m/>
    <m/>
    <x v="2"/>
    <n v="-1"/>
    <s v="HH20241111 T3822405660 No Limit Hold'em $1.84 + $0.16.txt"/>
  </r>
  <r>
    <n v="3459"/>
    <n v="75.750000000000014"/>
    <s v="11.11.2024"/>
    <n v="11"/>
    <x v="10"/>
    <x v="1"/>
    <x v="2"/>
    <n v="-2"/>
    <n v="6"/>
    <m/>
    <x v="1"/>
    <n v="2"/>
    <s v="HH20241111 T3822410921 No Limit Hold'em $1.84 + $0.16.txt"/>
  </r>
  <r>
    <n v="3460"/>
    <n v="81.750000000000014"/>
    <s v="11.11.2024"/>
    <n v="11"/>
    <x v="10"/>
    <x v="1"/>
    <x v="2"/>
    <n v="-2"/>
    <n v="8"/>
    <m/>
    <x v="1"/>
    <n v="3"/>
    <s v="HH20241111 T3822412078 No Limit Hold'em $1.84 + $0.16.txt"/>
  </r>
  <r>
    <n v="3461"/>
    <n v="79.750000000000014"/>
    <s v="11.11.2024"/>
    <n v="11"/>
    <x v="10"/>
    <x v="1"/>
    <x v="2"/>
    <n v="-2"/>
    <m/>
    <m/>
    <x v="2"/>
    <n v="-1"/>
    <s v="HH20241111 T3822413273 No Limit Hold'em $1.84 + $0.16.txt"/>
  </r>
  <r>
    <n v="3462"/>
    <n v="81.750000000000014"/>
    <s v="11.11.2024"/>
    <n v="11"/>
    <x v="10"/>
    <x v="1"/>
    <x v="2"/>
    <n v="-2"/>
    <n v="4"/>
    <m/>
    <x v="1"/>
    <n v="1"/>
    <s v="HH20241111 T3822413990 No Limit Hold'em $1.84 + $0.16.txt"/>
  </r>
  <r>
    <n v="3463"/>
    <n v="79.750000000000014"/>
    <s v="11.11.2024"/>
    <n v="11"/>
    <x v="10"/>
    <x v="1"/>
    <x v="2"/>
    <n v="-2"/>
    <m/>
    <m/>
    <x v="2"/>
    <n v="-1"/>
    <s v="HH20241111 T3822414998 No Limit Hold'em $1.84 + $0.16.txt"/>
  </r>
  <r>
    <n v="3464"/>
    <n v="81.750000000000014"/>
    <s v="11.11.2024"/>
    <n v="11"/>
    <x v="10"/>
    <x v="1"/>
    <x v="2"/>
    <n v="-2"/>
    <n v="4"/>
    <m/>
    <x v="1"/>
    <n v="1"/>
    <s v="HH20241111 T3822415594 No Limit Hold'em $1.84 + $0.16.txt"/>
  </r>
  <r>
    <n v="3465"/>
    <n v="79.750000000000014"/>
    <s v="11.11.2024"/>
    <n v="11"/>
    <x v="10"/>
    <x v="1"/>
    <x v="2"/>
    <n v="-2"/>
    <m/>
    <m/>
    <x v="2"/>
    <n v="-1"/>
    <s v="HH20241111 T3822416661 No Limit Hold'em $1.84 + $0.16.txt"/>
  </r>
  <r>
    <n v="3466"/>
    <n v="77.750000000000014"/>
    <s v="11.11.2024"/>
    <n v="11"/>
    <x v="10"/>
    <x v="1"/>
    <x v="2"/>
    <n v="-2"/>
    <m/>
    <m/>
    <x v="2"/>
    <n v="-1"/>
    <s v="HH20241111 T3822419288 No Limit Hold'em $1.84 + $0.16.txt"/>
  </r>
  <r>
    <n v="3467"/>
    <n v="75.750000000000014"/>
    <s v="11.11.2024"/>
    <n v="11"/>
    <x v="10"/>
    <x v="1"/>
    <x v="2"/>
    <n v="-2"/>
    <m/>
    <m/>
    <x v="2"/>
    <n v="-1"/>
    <s v="HH20241111 T3822419631 No Limit Hold'em $1.84 + $0.16.txt"/>
  </r>
  <r>
    <n v="3468"/>
    <n v="73.750000000000014"/>
    <s v="11.11.2024"/>
    <n v="11"/>
    <x v="10"/>
    <x v="1"/>
    <x v="2"/>
    <n v="-2"/>
    <m/>
    <m/>
    <x v="2"/>
    <n v="-1"/>
    <s v="HH20241111 T3822422049 No Limit Hold'em $1.84 + $0.16.txt"/>
  </r>
  <r>
    <n v="3469"/>
    <n v="68.750000000000014"/>
    <s v="11.11.2024"/>
    <n v="11"/>
    <x v="10"/>
    <x v="1"/>
    <x v="2"/>
    <n v="-5"/>
    <m/>
    <m/>
    <x v="2"/>
    <n v="-1"/>
    <s v="HH20241111 T3822450107 No Limit Hold'em $4.60 + $0.40.txt"/>
  </r>
  <r>
    <n v="3470"/>
    <n v="63.750000000000014"/>
    <s v="11.11.2024"/>
    <n v="11"/>
    <x v="10"/>
    <x v="1"/>
    <x v="2"/>
    <n v="-5"/>
    <m/>
    <m/>
    <x v="2"/>
    <n v="-1"/>
    <s v="HH20241111 T3822450717 No Limit Hold'em $4.60 + $0.40.txt"/>
  </r>
  <r>
    <n v="3471"/>
    <n v="58.750000000000014"/>
    <s v="11.11.2024"/>
    <n v="11"/>
    <x v="10"/>
    <x v="1"/>
    <x v="2"/>
    <n v="-5"/>
    <m/>
    <m/>
    <x v="2"/>
    <n v="-1"/>
    <s v="HH20241111 T3822452826 No Limit Hold'em $4.60 + $0.40.txt"/>
  </r>
  <r>
    <n v="3472"/>
    <n v="53.750000000000014"/>
    <s v="11.11.2024"/>
    <n v="11"/>
    <x v="10"/>
    <x v="1"/>
    <x v="2"/>
    <n v="-5"/>
    <m/>
    <m/>
    <x v="2"/>
    <n v="-1"/>
    <s v="HH20241111 T3822454395 No Limit Hold'em $4.60 + $0.40.txt"/>
  </r>
  <r>
    <n v="3473"/>
    <n v="48.750000000000014"/>
    <s v="11.11.2024"/>
    <n v="11"/>
    <x v="10"/>
    <x v="1"/>
    <x v="2"/>
    <n v="-5"/>
    <m/>
    <m/>
    <x v="2"/>
    <n v="-1"/>
    <s v="HH20241111 T3822456497 No Limit Hold'em $4.60 + $0.40.txt"/>
  </r>
  <r>
    <n v="3474"/>
    <n v="43.750000000000014"/>
    <s v="11.11.2024"/>
    <n v="11"/>
    <x v="10"/>
    <x v="1"/>
    <x v="2"/>
    <n v="-5"/>
    <m/>
    <m/>
    <x v="2"/>
    <n v="-1"/>
    <s v="HH20241111 T3822461746 No Limit Hold'em $4.60 + $0.40.txt"/>
  </r>
  <r>
    <n v="3475"/>
    <n v="38.750000000000014"/>
    <s v="11.11.2024"/>
    <n v="11"/>
    <x v="10"/>
    <x v="1"/>
    <x v="2"/>
    <n v="-5"/>
    <m/>
    <m/>
    <x v="2"/>
    <n v="-1"/>
    <s v="HH20241111 T3822462976 No Limit Hold'em $4.60 + $0.40.txt"/>
  </r>
  <r>
    <n v="3476"/>
    <n v="33.750000000000014"/>
    <s v="11.11.2024"/>
    <n v="11"/>
    <x v="10"/>
    <x v="1"/>
    <x v="2"/>
    <n v="-5"/>
    <m/>
    <m/>
    <x v="2"/>
    <n v="-1"/>
    <s v="HH20241111 T3822464416 No Limit Hold'em $4.60 + $0.40.txt"/>
  </r>
  <r>
    <n v="3477"/>
    <n v="28.750000000000014"/>
    <s v="11.11.2024"/>
    <n v="11"/>
    <x v="10"/>
    <x v="1"/>
    <x v="2"/>
    <n v="-5"/>
    <m/>
    <m/>
    <x v="2"/>
    <n v="-1"/>
    <s v="HH20241111 T3822465394 No Limit Hold'em $4.60 + $0.40.txt"/>
  </r>
  <r>
    <n v="3478"/>
    <n v="33.750000000000014"/>
    <s v="11.11.2024"/>
    <n v="11"/>
    <x v="10"/>
    <x v="1"/>
    <x v="2"/>
    <n v="-5"/>
    <n v="10"/>
    <m/>
    <x v="1"/>
    <n v="1"/>
    <s v="HH20241111 T3822465848 No Limit Hold'em $4.60 + $0.40.txt"/>
  </r>
  <r>
    <n v="3479"/>
    <n v="28.750000000000014"/>
    <s v="11.11.2024"/>
    <n v="11"/>
    <x v="10"/>
    <x v="1"/>
    <x v="2"/>
    <n v="-5"/>
    <m/>
    <m/>
    <x v="2"/>
    <n v="-1"/>
    <s v="HH20241111 T3822467605 No Limit Hold'em $4.60 + $0.40.txt"/>
  </r>
  <r>
    <n v="3480"/>
    <n v="23.750000000000014"/>
    <s v="11.11.2024"/>
    <n v="11"/>
    <x v="10"/>
    <x v="1"/>
    <x v="2"/>
    <n v="-5"/>
    <m/>
    <m/>
    <x v="2"/>
    <n v="-1"/>
    <s v="HH20241111 T3822470739 No Limit Hold'em $4.60 + $0.40.txt"/>
  </r>
  <r>
    <n v="3481"/>
    <n v="18.750000000000014"/>
    <s v="11.11.2024"/>
    <n v="11"/>
    <x v="10"/>
    <x v="1"/>
    <x v="2"/>
    <n v="-5"/>
    <m/>
    <m/>
    <x v="2"/>
    <n v="-1"/>
    <s v="HH20241111 T3822471577 No Limit Hold'em $4.60 + $0.40.txt"/>
  </r>
  <r>
    <n v="3482"/>
    <n v="13.750000000000014"/>
    <s v="11.11.2024"/>
    <n v="11"/>
    <x v="10"/>
    <x v="1"/>
    <x v="2"/>
    <n v="-5"/>
    <m/>
    <m/>
    <x v="2"/>
    <n v="-1"/>
    <s v="HH20241111 T3822473338 No Limit Hold'em $4.60 + $0.40.txt"/>
  </r>
  <r>
    <n v="3483"/>
    <n v="8.7500000000000142"/>
    <s v="11.11.2024"/>
    <n v="11"/>
    <x v="10"/>
    <x v="1"/>
    <x v="2"/>
    <n v="-5"/>
    <m/>
    <m/>
    <x v="2"/>
    <n v="-1"/>
    <s v="HH20241111 T3822474249 No Limit Hold'em $4.60 + $0.40.txt"/>
  </r>
  <r>
    <n v="3484"/>
    <n v="3.7500000000000142"/>
    <s v="11.11.2024"/>
    <n v="11"/>
    <x v="10"/>
    <x v="1"/>
    <x v="2"/>
    <n v="-5"/>
    <m/>
    <m/>
    <x v="2"/>
    <n v="-1"/>
    <s v="HH20241111 T3822475162 No Limit Hold'em $4.60 + $0.40.txt"/>
  </r>
  <r>
    <n v="3485"/>
    <n v="117.37000000000002"/>
    <s v="11.11.2024"/>
    <n v="11"/>
    <x v="10"/>
    <x v="1"/>
    <x v="1"/>
    <m/>
    <n v="113.62"/>
    <m/>
    <x v="0"/>
    <m/>
    <m/>
  </r>
  <r>
    <n v="3486"/>
    <n v="112.37000000000002"/>
    <s v="11.11.2024"/>
    <n v="11"/>
    <x v="10"/>
    <x v="1"/>
    <x v="2"/>
    <n v="-5"/>
    <m/>
    <m/>
    <x v="2"/>
    <n v="-1"/>
    <s v="HH20241111 T3822477310 No Limit Hold'em $4.60 + $0.40.txt"/>
  </r>
  <r>
    <n v="3487"/>
    <n v="107.37000000000002"/>
    <s v="11.11.2024"/>
    <n v="11"/>
    <x v="10"/>
    <x v="1"/>
    <x v="2"/>
    <n v="-5"/>
    <m/>
    <m/>
    <x v="2"/>
    <n v="-1"/>
    <s v="HH20241111 T3822478872 No Limit Hold'em $4.60 + $0.40.txt"/>
  </r>
  <r>
    <n v="3488"/>
    <n v="102.37000000000002"/>
    <s v="11.11.2024"/>
    <n v="11"/>
    <x v="10"/>
    <x v="1"/>
    <x v="2"/>
    <n v="-5"/>
    <m/>
    <m/>
    <x v="2"/>
    <n v="-1"/>
    <s v="HH20241111 T3822479717 No Limit Hold'em $4.60 + $0.40.txt"/>
  </r>
  <r>
    <n v="3489"/>
    <n v="107.37000000000002"/>
    <s v="11.11.2024"/>
    <n v="11"/>
    <x v="10"/>
    <x v="1"/>
    <x v="2"/>
    <n v="-5"/>
    <n v="10"/>
    <m/>
    <x v="1"/>
    <n v="1"/>
    <s v="HH20241111 T3822480692 No Limit Hold'em $4.60 + $0.40.txt"/>
  </r>
  <r>
    <n v="3490"/>
    <n v="112.37000000000002"/>
    <s v="11.11.2024"/>
    <n v="11"/>
    <x v="10"/>
    <x v="1"/>
    <x v="2"/>
    <n v="-5"/>
    <n v="10"/>
    <m/>
    <x v="1"/>
    <n v="1"/>
    <s v="HH20241111 T3822483468 No Limit Hold'em $4.60 + $0.40.txt"/>
  </r>
  <r>
    <n v="3491"/>
    <n v="147.37"/>
    <s v="11.11.2024"/>
    <n v="11"/>
    <x v="10"/>
    <x v="1"/>
    <x v="2"/>
    <n v="-5"/>
    <n v="40"/>
    <m/>
    <x v="1"/>
    <n v="7"/>
    <s v="HH20241111 T3822485867 No Limit Hold'em $4.60 + $0.40.txt"/>
  </r>
  <r>
    <n v="3492"/>
    <n v="142.37"/>
    <s v="11.11.2024"/>
    <n v="11"/>
    <x v="10"/>
    <x v="1"/>
    <x v="2"/>
    <n v="-5"/>
    <m/>
    <m/>
    <x v="2"/>
    <n v="-1"/>
    <s v="HH20241111 T3822603542 No Limit Hold'em $4.60 + $0.40.txt"/>
  </r>
  <r>
    <n v="3493"/>
    <n v="137.37"/>
    <s v="11.11.2024"/>
    <n v="11"/>
    <x v="10"/>
    <x v="1"/>
    <x v="2"/>
    <n v="-5"/>
    <m/>
    <m/>
    <x v="2"/>
    <n v="-1"/>
    <s v="HH20241111 T3822606824 No Limit Hold'em $4.60 + $0.40.txt"/>
  </r>
  <r>
    <n v="3494"/>
    <n v="132.37"/>
    <s v="11.11.2024"/>
    <n v="11"/>
    <x v="10"/>
    <x v="1"/>
    <x v="2"/>
    <n v="-5"/>
    <m/>
    <m/>
    <x v="2"/>
    <n v="-1"/>
    <s v="HH20241111 T3822610053 No Limit Hold'em $4.60 + $0.40.txt"/>
  </r>
  <r>
    <n v="3495"/>
    <n v="127.37"/>
    <s v="11.11.2024"/>
    <n v="11"/>
    <x v="10"/>
    <x v="1"/>
    <x v="2"/>
    <n v="-5"/>
    <m/>
    <m/>
    <x v="2"/>
    <n v="-1"/>
    <s v="HH20241111 T3822611051 No Limit Hold'em $4.60 + $0.40.txt"/>
  </r>
  <r>
    <n v="3496"/>
    <n v="122.37"/>
    <s v="11.11.2024"/>
    <n v="11"/>
    <x v="10"/>
    <x v="1"/>
    <x v="2"/>
    <n v="-5"/>
    <m/>
    <m/>
    <x v="2"/>
    <n v="-1"/>
    <s v="HH20241111 T3822613694 No Limit Hold'em $4.60 + $0.40.txt"/>
  </r>
  <r>
    <n v="3497"/>
    <n v="120.37"/>
    <s v="11.11.2024"/>
    <n v="11"/>
    <x v="10"/>
    <x v="1"/>
    <x v="2"/>
    <n v="-2"/>
    <m/>
    <m/>
    <x v="2"/>
    <n v="-1"/>
    <s v="HH20241111 T3822615215 No Limit Hold'em $1.84 + $0.16.txt"/>
  </r>
  <r>
    <n v="3498"/>
    <n v="124.37"/>
    <s v="11.11.2024"/>
    <n v="11"/>
    <x v="10"/>
    <x v="1"/>
    <x v="2"/>
    <n v="-2"/>
    <n v="6"/>
    <m/>
    <x v="1"/>
    <n v="2"/>
    <s v="HH20241111 T3822615495 No Limit Hold'em $1.84 + $0.16.txt"/>
  </r>
  <r>
    <n v="3499"/>
    <n v="122.37"/>
    <s v="11.11.2024"/>
    <n v="11"/>
    <x v="10"/>
    <x v="1"/>
    <x v="2"/>
    <n v="-2"/>
    <m/>
    <m/>
    <x v="2"/>
    <n v="-1"/>
    <s v="HH20241111 T3822617621 No Limit Hold'em $1.84 + $0.16.txt"/>
  </r>
  <r>
    <n v="3500"/>
    <n v="124.37"/>
    <s v="11.11.2024"/>
    <n v="11"/>
    <x v="10"/>
    <x v="1"/>
    <x v="2"/>
    <n v="-2"/>
    <n v="4"/>
    <m/>
    <x v="1"/>
    <n v="1"/>
    <s v="HH20241111 T3822620537 No Limit Hold'em $1.84 + $0.16.txt"/>
  </r>
  <r>
    <n v="3501"/>
    <n v="122.37"/>
    <s v="11.11.2024"/>
    <n v="11"/>
    <x v="10"/>
    <x v="1"/>
    <x v="2"/>
    <n v="-2"/>
    <m/>
    <m/>
    <x v="2"/>
    <n v="-1"/>
    <s v="HH20241111 T3822622930 No Limit Hold'em $1.84 + $0.16.txt"/>
  </r>
  <r>
    <n v="3502"/>
    <n v="124.37"/>
    <s v="12.11.2024"/>
    <n v="12"/>
    <x v="10"/>
    <x v="1"/>
    <x v="2"/>
    <n v="-2"/>
    <n v="4"/>
    <m/>
    <x v="1"/>
    <n v="1"/>
    <s v="HH20241112 T3822864148 No Limit Hold'em $1.84 + $0.16.txt"/>
  </r>
  <r>
    <n v="3503"/>
    <n v="122.37"/>
    <s v="12.11.2024"/>
    <n v="12"/>
    <x v="10"/>
    <x v="1"/>
    <x v="2"/>
    <n v="-2"/>
    <m/>
    <m/>
    <x v="2"/>
    <n v="-1"/>
    <s v="HH20241112 T3822864798 No Limit Hold'em $1.84 + $0.16.txt"/>
  </r>
  <r>
    <n v="3504"/>
    <n v="120.37"/>
    <s v="12.11.2024"/>
    <n v="12"/>
    <x v="10"/>
    <x v="1"/>
    <x v="2"/>
    <n v="-2"/>
    <m/>
    <m/>
    <x v="2"/>
    <n v="-1"/>
    <s v="HH20241112 T3822868172 No Limit Hold'em $1.84 + $0.16.txt"/>
  </r>
  <r>
    <n v="3505"/>
    <n v="118.37"/>
    <s v="12.11.2024"/>
    <n v="12"/>
    <x v="10"/>
    <x v="1"/>
    <x v="2"/>
    <n v="-2"/>
    <m/>
    <m/>
    <x v="2"/>
    <n v="-1"/>
    <s v="HH20241112 T3822918917 No Limit Hold'em $1.84 + $0.16.txt"/>
  </r>
  <r>
    <n v="3506"/>
    <n v="116.37"/>
    <s v="12.11.2024"/>
    <n v="12"/>
    <x v="10"/>
    <x v="1"/>
    <x v="2"/>
    <n v="-2"/>
    <m/>
    <m/>
    <x v="2"/>
    <n v="-1"/>
    <s v="HH20241112 T3822921021 No Limit Hold'em $1.84 + $0.16.txt"/>
  </r>
  <r>
    <n v="3507"/>
    <n v="116.37"/>
    <s v="12.11.2024"/>
    <n v="12"/>
    <x v="10"/>
    <x v="1"/>
    <x v="12"/>
    <m/>
    <m/>
    <m/>
    <x v="2"/>
    <n v="0"/>
    <s v="HH20241112 T3822925555 No Limit Hold'em $0.46 + $0.04.txt"/>
  </r>
  <r>
    <n v="3508"/>
    <n v="114.37"/>
    <s v="12.11.2024"/>
    <n v="12"/>
    <x v="10"/>
    <x v="1"/>
    <x v="2"/>
    <n v="-2"/>
    <m/>
    <m/>
    <x v="2"/>
    <n v="-1"/>
    <s v="HH20241112 T3822926294 No Limit Hold'em $1.84 + $0.16.txt"/>
  </r>
  <r>
    <n v="3509"/>
    <n v="118.37"/>
    <s v="12.11.2024"/>
    <n v="12"/>
    <x v="10"/>
    <x v="1"/>
    <x v="2"/>
    <n v="-2"/>
    <n v="6"/>
    <m/>
    <x v="1"/>
    <n v="2"/>
    <s v="HH20241112 T3822928044 No Limit Hold'em $1.84 + $0.16.txt"/>
  </r>
  <r>
    <n v="3510"/>
    <n v="116.37"/>
    <s v="12.11.2024"/>
    <n v="12"/>
    <x v="10"/>
    <x v="1"/>
    <x v="2"/>
    <n v="-2"/>
    <m/>
    <m/>
    <x v="2"/>
    <n v="-1"/>
    <s v="HH20241112 T3822934229 No Limit Hold'em $1.84 + $0.16.txt"/>
  </r>
  <r>
    <n v="3511"/>
    <n v="114.37"/>
    <s v="12.11.2024"/>
    <n v="12"/>
    <x v="10"/>
    <x v="1"/>
    <x v="2"/>
    <n v="-2"/>
    <m/>
    <m/>
    <x v="2"/>
    <n v="-1"/>
    <s v="HH20241112 T3822937132 No Limit Hold'em $1.84 + $0.16.txt"/>
  </r>
  <r>
    <n v="3512"/>
    <n v="112.37"/>
    <s v="12.11.2024"/>
    <n v="12"/>
    <x v="10"/>
    <x v="1"/>
    <x v="2"/>
    <n v="-2"/>
    <m/>
    <m/>
    <x v="2"/>
    <n v="-1"/>
    <s v="HH20241112 T3822941253 No Limit Hold'em $1.84 + $0.16.txt"/>
  </r>
  <r>
    <n v="3513"/>
    <n v="110.37"/>
    <s v="13.11.2024"/>
    <n v="13"/>
    <x v="10"/>
    <x v="1"/>
    <x v="2"/>
    <n v="-2"/>
    <m/>
    <m/>
    <x v="2"/>
    <n v="-1"/>
    <s v="HH20241113 T3823159077 No Limit Hold'em $1.84 + $0.16.txt"/>
  </r>
  <r>
    <n v="3514"/>
    <n v="114.37"/>
    <s v="13.11.2024"/>
    <n v="13"/>
    <x v="10"/>
    <x v="1"/>
    <x v="2"/>
    <n v="-2"/>
    <n v="6"/>
    <m/>
    <x v="1"/>
    <n v="2"/>
    <s v="HH20241113 T3823162393 No Limit Hold'em $1.84 + $0.16.txt"/>
  </r>
  <r>
    <n v="3515"/>
    <n v="112.37"/>
    <s v="13.11.2024"/>
    <n v="13"/>
    <x v="10"/>
    <x v="1"/>
    <x v="2"/>
    <n v="-2"/>
    <m/>
    <m/>
    <x v="2"/>
    <n v="-1"/>
    <s v="HH20241113 T3823165639 No Limit Hold'em $1.84 + $0.16.txt"/>
  </r>
  <r>
    <n v="3516"/>
    <n v="110.37"/>
    <s v="13.11.2024"/>
    <n v="13"/>
    <x v="10"/>
    <x v="1"/>
    <x v="2"/>
    <n v="-2"/>
    <m/>
    <m/>
    <x v="2"/>
    <n v="-1"/>
    <s v="HH20241113 T3823168401 No Limit Hold'em $1.84 + $0.16.txt"/>
  </r>
  <r>
    <n v="3517"/>
    <n v="108.37"/>
    <s v="13.11.2024"/>
    <n v="13"/>
    <x v="10"/>
    <x v="1"/>
    <x v="2"/>
    <n v="-2"/>
    <m/>
    <m/>
    <x v="2"/>
    <n v="-1"/>
    <s v="HH20241113 T3823172474 No Limit Hold'em $1.84 + $0.16.txt"/>
  </r>
  <r>
    <n v="3518"/>
    <n v="110.37"/>
    <s v="14.11.2024"/>
    <n v="14"/>
    <x v="10"/>
    <x v="1"/>
    <x v="2"/>
    <n v="-2"/>
    <n v="4"/>
    <m/>
    <x v="1"/>
    <n v="1"/>
    <s v="HH20241114 T3823455102 No Limit Hold'em $1.84 + $0.16.txt"/>
  </r>
  <r>
    <n v="3519"/>
    <n v="114.37"/>
    <s v="14.11.2024"/>
    <n v="14"/>
    <x v="10"/>
    <x v="1"/>
    <x v="2"/>
    <n v="-2"/>
    <n v="6"/>
    <m/>
    <x v="1"/>
    <n v="2"/>
    <s v="HH20241114 T3823457469 No Limit Hold'em $1.84 + $0.16.txt"/>
  </r>
  <r>
    <n v="3520"/>
    <n v="116.37"/>
    <s v="14.11.2024"/>
    <n v="14"/>
    <x v="10"/>
    <x v="1"/>
    <x v="2"/>
    <n v="-2"/>
    <n v="4"/>
    <m/>
    <x v="1"/>
    <n v="1"/>
    <s v="HH20241114 T3823458546 No Limit Hold'em $1.84 + $0.16.txt"/>
  </r>
  <r>
    <n v="3521"/>
    <n v="120.37"/>
    <s v="14.11.2024"/>
    <n v="14"/>
    <x v="10"/>
    <x v="1"/>
    <x v="2"/>
    <n v="-2"/>
    <n v="6"/>
    <m/>
    <x v="1"/>
    <n v="2"/>
    <s v="HH20241114 T3823461256 No Limit Hold'em $1.84 + $0.16.txt"/>
  </r>
  <r>
    <n v="3522"/>
    <n v="118.37"/>
    <s v="14.11.2024"/>
    <n v="14"/>
    <x v="10"/>
    <x v="1"/>
    <x v="2"/>
    <n v="-2"/>
    <m/>
    <m/>
    <x v="2"/>
    <n v="-1"/>
    <s v="HH20241114 T3823463924 No Limit Hold'em $1.84 + $0.16.txt"/>
  </r>
  <r>
    <n v="3523"/>
    <n v="118.37"/>
    <s v="14.11.2024"/>
    <n v="14"/>
    <x v="10"/>
    <x v="1"/>
    <x v="12"/>
    <m/>
    <m/>
    <m/>
    <x v="1"/>
    <n v="0"/>
    <s v="HH20241114 T3823466863 No Limit Hold'em $0.46 + $0.04.txt"/>
  </r>
  <r>
    <n v="3524"/>
    <n v="118.37"/>
    <s v="14.11.2024"/>
    <n v="14"/>
    <x v="10"/>
    <x v="1"/>
    <x v="12"/>
    <m/>
    <m/>
    <m/>
    <x v="1"/>
    <n v="0"/>
    <s v="HH20241114 T3823469377 No Limit Hold'em $0.46 + $0.04.txt"/>
  </r>
  <r>
    <n v="3525"/>
    <n v="118.37"/>
    <s v="14.11.2024"/>
    <n v="14"/>
    <x v="10"/>
    <x v="1"/>
    <x v="13"/>
    <m/>
    <m/>
    <m/>
    <x v="2"/>
    <n v="0"/>
    <s v="HH20241114 T3823472161 No Limit Hold'em $0.96 + $0.04.txt"/>
  </r>
  <r>
    <n v="3526"/>
    <n v="116.37"/>
    <s v="15.11.2024"/>
    <n v="15"/>
    <x v="10"/>
    <x v="1"/>
    <x v="2"/>
    <n v="-2"/>
    <m/>
    <m/>
    <x v="2"/>
    <n v="-1"/>
    <s v="HH20241115 T3823715435 No Limit Hold'em $1.84 + $0.16.txt"/>
  </r>
  <r>
    <n v="3527"/>
    <n v="120.37"/>
    <s v="15.11.2024"/>
    <n v="15"/>
    <x v="10"/>
    <x v="1"/>
    <x v="2"/>
    <n v="-2"/>
    <n v="6"/>
    <m/>
    <x v="1"/>
    <n v="2"/>
    <s v="HH20241115 T3823716890 No Limit Hold'em $1.84 + $0.16.txt"/>
  </r>
  <r>
    <n v="3528"/>
    <n v="118.37"/>
    <s v="15.11.2024"/>
    <n v="15"/>
    <x v="10"/>
    <x v="1"/>
    <x v="2"/>
    <n v="-2"/>
    <m/>
    <m/>
    <x v="2"/>
    <n v="-1"/>
    <s v="HH20241115 T3823718813 No Limit Hold'em $1.84 + $0.16.txt"/>
  </r>
  <r>
    <n v="3529"/>
    <n v="120.37"/>
    <s v="15.11.2024"/>
    <n v="15"/>
    <x v="10"/>
    <x v="1"/>
    <x v="2"/>
    <n v="-2"/>
    <n v="4"/>
    <m/>
    <x v="1"/>
    <n v="1"/>
    <s v="HH20241115 T3823720343 No Limit Hold'em $1.84 + $0.16.txt"/>
  </r>
  <r>
    <n v="3530"/>
    <n v="118.37"/>
    <s v="15.11.2024"/>
    <n v="15"/>
    <x v="10"/>
    <x v="1"/>
    <x v="2"/>
    <n v="-2"/>
    <m/>
    <m/>
    <x v="2"/>
    <n v="-1"/>
    <s v="HH20241115 T3823722896 No Limit Hold'em $1.84 + $0.16.txt"/>
  </r>
  <r>
    <n v="3531"/>
    <n v="120.37"/>
    <s v="15.11.2024"/>
    <n v="15"/>
    <x v="10"/>
    <x v="1"/>
    <x v="2"/>
    <n v="-2"/>
    <n v="4"/>
    <m/>
    <x v="1"/>
    <n v="1"/>
    <s v="HH20241115 T3823794321 No Limit Hold'em $1.84 + $0.16.txt"/>
  </r>
  <r>
    <n v="3532"/>
    <n v="122.37"/>
    <s v="15.11.2024"/>
    <n v="15"/>
    <x v="10"/>
    <x v="1"/>
    <x v="2"/>
    <n v="-2"/>
    <n v="4"/>
    <m/>
    <x v="1"/>
    <n v="1"/>
    <s v="HH20241115 T3823796704 No Limit Hold'em $1.84 + $0.16.txt"/>
  </r>
  <r>
    <n v="3533"/>
    <n v="120.37"/>
    <s v="15.11.2024"/>
    <n v="15"/>
    <x v="10"/>
    <x v="1"/>
    <x v="2"/>
    <n v="-2"/>
    <m/>
    <m/>
    <x v="2"/>
    <n v="-1"/>
    <s v="HH20241115 T3823800754 No Limit Hold'em $1.84 + $0.16.txt"/>
  </r>
  <r>
    <n v="3534"/>
    <n v="116.97"/>
    <s v="15.11.2024"/>
    <n v="15"/>
    <x v="10"/>
    <x v="1"/>
    <x v="3"/>
    <n v="-4.4000000000000004"/>
    <m/>
    <n v="1"/>
    <x v="2"/>
    <n v="-0.77272727272727271"/>
    <s v="HH20241115 T3823136828 No Limit Hold'em $3.92 + $0.48.txt"/>
  </r>
  <r>
    <n v="3535"/>
    <n v="118.97"/>
    <s v="15.11.2024"/>
    <n v="15"/>
    <x v="10"/>
    <x v="1"/>
    <x v="2"/>
    <n v="-2"/>
    <n v="4"/>
    <m/>
    <x v="1"/>
    <n v="1"/>
    <s v="HH20241115 T3823856654 No Limit Hold'em $1.84 + $0.16.txt"/>
  </r>
  <r>
    <n v="3536"/>
    <n v="120.97"/>
    <s v="15.11.2024"/>
    <n v="15"/>
    <x v="10"/>
    <x v="1"/>
    <x v="2"/>
    <n v="-2"/>
    <n v="4"/>
    <m/>
    <x v="1"/>
    <n v="1"/>
    <s v="HH20241115 T3823860209 No Limit Hold'em $1.84 + $0.16.txt"/>
  </r>
  <r>
    <n v="3537"/>
    <n v="120.97"/>
    <s v="15.11.2024"/>
    <n v="15"/>
    <x v="10"/>
    <x v="1"/>
    <x v="12"/>
    <m/>
    <m/>
    <m/>
    <x v="1"/>
    <n v="0"/>
    <s v="HH20241115 T3823863380 No Limit Hold'em $0.46 + $0.04.txt"/>
  </r>
  <r>
    <n v="3538"/>
    <n v="122.97"/>
    <s v="16.11.2024"/>
    <n v="16"/>
    <x v="10"/>
    <x v="1"/>
    <x v="2"/>
    <n v="-2"/>
    <n v="4"/>
    <m/>
    <x v="1"/>
    <n v="1"/>
    <s v="HH20241116 T3824136776 No Limit Hold'em $1.84 + $0.16.txt"/>
  </r>
  <r>
    <n v="3539"/>
    <n v="120.97"/>
    <s v="16.11.2024"/>
    <n v="16"/>
    <x v="10"/>
    <x v="1"/>
    <x v="2"/>
    <n v="-2"/>
    <m/>
    <m/>
    <x v="2"/>
    <n v="-1"/>
    <s v="HH20241116 T3824162798 No Limit Hold'em $1.84 + $0.16.txt"/>
  </r>
  <r>
    <n v="3540"/>
    <n v="118.97"/>
    <s v="16.11.2024"/>
    <n v="16"/>
    <x v="10"/>
    <x v="1"/>
    <x v="2"/>
    <n v="-2"/>
    <m/>
    <m/>
    <x v="2"/>
    <n v="-1"/>
    <s v="HH20241116 T3824165028 No Limit Hold'em $1.84 + $0.16.txt"/>
  </r>
  <r>
    <n v="3541"/>
    <n v="116.97"/>
    <s v="16.11.2024"/>
    <n v="16"/>
    <x v="10"/>
    <x v="1"/>
    <x v="2"/>
    <n v="-2"/>
    <m/>
    <m/>
    <x v="2"/>
    <n v="-1"/>
    <s v="HH20241116 T3824167786 No Limit Hold'em $1.84 + $0.16.txt"/>
  </r>
  <r>
    <n v="3542"/>
    <n v="114.97"/>
    <s v="16.11.2024"/>
    <n v="16"/>
    <x v="10"/>
    <x v="1"/>
    <x v="2"/>
    <n v="-2"/>
    <m/>
    <m/>
    <x v="2"/>
    <n v="-1"/>
    <s v="HH20241116 T3824168757 No Limit Hold'em $1.84 + $0.16.txt"/>
  </r>
  <r>
    <n v="3543"/>
    <n v="116.97"/>
    <s v="16.11.2024"/>
    <n v="16"/>
    <x v="10"/>
    <x v="1"/>
    <x v="2"/>
    <n v="-2"/>
    <n v="4"/>
    <m/>
    <x v="1"/>
    <n v="1"/>
    <s v="HH20241116 T3824170284 No Limit Hold'em $1.84 + $0.16.txt"/>
  </r>
  <r>
    <n v="3544"/>
    <n v="118.97"/>
    <s v="16.11.2024"/>
    <n v="16"/>
    <x v="10"/>
    <x v="1"/>
    <x v="2"/>
    <n v="-2"/>
    <n v="4"/>
    <m/>
    <x v="1"/>
    <n v="1"/>
    <s v="HH20241116 T3824174953 No Limit Hold'em $1.84 + $0.16.txt"/>
  </r>
  <r>
    <n v="3545"/>
    <n v="116.97"/>
    <s v="16.11.2024"/>
    <n v="16"/>
    <x v="10"/>
    <x v="1"/>
    <x v="2"/>
    <n v="-2"/>
    <m/>
    <m/>
    <x v="2"/>
    <n v="-1"/>
    <s v="HH20241116 T3824178309 No Limit Hold'em $1.84 + $0.16.txt"/>
  </r>
  <r>
    <n v="3546"/>
    <n v="114.97"/>
    <s v="16.11.2024"/>
    <n v="16"/>
    <x v="10"/>
    <x v="1"/>
    <x v="2"/>
    <n v="-2"/>
    <m/>
    <m/>
    <x v="2"/>
    <n v="-1"/>
    <s v="HH20241116 T3824181780 No Limit Hold'em $1.84 + $0.16.txt"/>
  </r>
  <r>
    <n v="3547"/>
    <n v="112.97"/>
    <s v="16.11.2024"/>
    <n v="16"/>
    <x v="10"/>
    <x v="1"/>
    <x v="2"/>
    <n v="-2"/>
    <m/>
    <m/>
    <x v="2"/>
    <n v="-1"/>
    <s v="HH20241116 T3824184300 No Limit Hold'em $1.84 + $0.16.txt"/>
  </r>
  <r>
    <n v="3548"/>
    <n v="110.97"/>
    <s v="16.11.2024"/>
    <n v="16"/>
    <x v="10"/>
    <x v="1"/>
    <x v="2"/>
    <n v="-2"/>
    <m/>
    <m/>
    <x v="2"/>
    <n v="-1"/>
    <s v="HH20241116 T3824185729 No Limit Hold'em $1.84 + $0.16.txt"/>
  </r>
  <r>
    <n v="3549"/>
    <n v="108.97"/>
    <s v="16.11.2024"/>
    <n v="16"/>
    <x v="10"/>
    <x v="1"/>
    <x v="2"/>
    <n v="-2"/>
    <m/>
    <m/>
    <x v="2"/>
    <n v="-1"/>
    <s v="HH20241116 T3824188489 No Limit Hold'em $1.84 + $0.16.txt"/>
  </r>
  <r>
    <n v="3550"/>
    <n v="106.97"/>
    <s v="16.11.2024"/>
    <n v="16"/>
    <x v="10"/>
    <x v="1"/>
    <x v="2"/>
    <n v="-2"/>
    <m/>
    <m/>
    <x v="2"/>
    <n v="-1"/>
    <s v="HH20241116 T3824190211 No Limit Hold'em $1.84 + $0.16.txt"/>
  </r>
  <r>
    <n v="3551"/>
    <n v="110.97"/>
    <s v="16.11.2024"/>
    <n v="16"/>
    <x v="10"/>
    <x v="1"/>
    <x v="2"/>
    <n v="-2"/>
    <n v="6"/>
    <m/>
    <x v="1"/>
    <n v="2"/>
    <s v="HH20241116 T3824232446 No Limit Hold'em $1.84 + $0.16.txt"/>
  </r>
  <r>
    <n v="3552"/>
    <n v="110.97"/>
    <s v="16.11.2024"/>
    <n v="16"/>
    <x v="10"/>
    <x v="1"/>
    <x v="12"/>
    <m/>
    <m/>
    <m/>
    <x v="2"/>
    <n v="0"/>
    <s v="HH20241116 T3824235054 No Limit Hold'em $0.46 + $0.04.txt"/>
  </r>
  <r>
    <n v="3553"/>
    <n v="110.97"/>
    <s v="16.11.2024"/>
    <n v="16"/>
    <x v="10"/>
    <x v="1"/>
    <x v="13"/>
    <m/>
    <m/>
    <m/>
    <x v="2"/>
    <n v="0"/>
    <s v="HH20241116 T3822795273 No Limit Hold'em $1.40 + $0.10.txt"/>
  </r>
  <r>
    <n v="3554"/>
    <n v="108.97"/>
    <s v="16.11.2024"/>
    <n v="16"/>
    <x v="10"/>
    <x v="1"/>
    <x v="2"/>
    <n v="-2"/>
    <m/>
    <m/>
    <x v="2"/>
    <n v="-1"/>
    <s v="HH20241116 T3824250371 No Limit Hold'em $1.84 + $0.16.txt"/>
  </r>
  <r>
    <n v="3555"/>
    <n v="110.97"/>
    <s v="16.11.2024"/>
    <n v="16"/>
    <x v="10"/>
    <x v="1"/>
    <x v="2"/>
    <n v="-2"/>
    <n v="4"/>
    <m/>
    <x v="1"/>
    <n v="1"/>
    <s v="HH20241116 T3824252152 No Limit Hold'em $1.84 + $0.16.txt"/>
  </r>
  <r>
    <n v="3556"/>
    <n v="112.97"/>
    <s v="16.11.2024"/>
    <n v="16"/>
    <x v="10"/>
    <x v="1"/>
    <x v="2"/>
    <n v="-2"/>
    <n v="4"/>
    <m/>
    <x v="1"/>
    <n v="1"/>
    <s v="HH20241116 T3824253325 No Limit Hold'em $1.84 + $0.16.txt"/>
  </r>
  <r>
    <n v="3557"/>
    <n v="110.97"/>
    <s v="16.11.2024"/>
    <n v="16"/>
    <x v="10"/>
    <x v="1"/>
    <x v="2"/>
    <n v="-2"/>
    <m/>
    <m/>
    <x v="2"/>
    <n v="-1"/>
    <s v="HH20241116 T3824256504 No Limit Hold'em $1.84 + $0.16.txt"/>
  </r>
  <r>
    <n v="3558"/>
    <n v="110.97"/>
    <s v="16.11.2024"/>
    <n v="16"/>
    <x v="10"/>
    <x v="1"/>
    <x v="13"/>
    <m/>
    <m/>
    <m/>
    <x v="1"/>
    <n v="0"/>
    <s v="HH20241116 T3822795274 No Limit Hold'em $1.40 + $0.10.txt"/>
  </r>
  <r>
    <n v="3559"/>
    <n v="108.97"/>
    <s v="16.11.2024"/>
    <n v="16"/>
    <x v="10"/>
    <x v="1"/>
    <x v="2"/>
    <n v="-2"/>
    <m/>
    <m/>
    <x v="2"/>
    <n v="-1"/>
    <s v="HH20241116 T3824260470 No Limit Hold'em $1.84 + $0.16.txt"/>
  </r>
  <r>
    <n v="3560"/>
    <n v="110.97"/>
    <s v="16.11.2024"/>
    <n v="16"/>
    <x v="10"/>
    <x v="1"/>
    <x v="2"/>
    <n v="-2"/>
    <n v="4"/>
    <m/>
    <x v="1"/>
    <n v="1"/>
    <s v="HH20241116 T3824261299 No Limit Hold'em $1.84 + $0.16.txt"/>
  </r>
  <r>
    <n v="3561"/>
    <n v="110.97"/>
    <s v="17.11.2024"/>
    <n v="17"/>
    <x v="10"/>
    <x v="1"/>
    <x v="2"/>
    <m/>
    <m/>
    <m/>
    <x v="2"/>
    <n v="0"/>
    <s v="HH20241117 T3824420917 No Limit Hold'em $3.68 + $0.32.txt"/>
  </r>
  <r>
    <n v="3562"/>
    <n v="108.97"/>
    <s v="17.11.2024"/>
    <n v="17"/>
    <x v="10"/>
    <x v="1"/>
    <x v="2"/>
    <n v="-2"/>
    <m/>
    <m/>
    <x v="2"/>
    <n v="-1"/>
    <s v="HH20241117 T3824426706 No Limit Hold'em $1.84 + $0.16.txt"/>
  </r>
  <r>
    <n v="3563"/>
    <n v="106.97"/>
    <s v="17.11.2024"/>
    <n v="17"/>
    <x v="10"/>
    <x v="1"/>
    <x v="2"/>
    <n v="-2"/>
    <m/>
    <m/>
    <x v="2"/>
    <n v="-1"/>
    <s v="HH20241117 T3824428035 No Limit Hold'em $1.84 + $0.16.txt"/>
  </r>
  <r>
    <n v="3564"/>
    <n v="104.97"/>
    <s v="17.11.2024"/>
    <n v="17"/>
    <x v="10"/>
    <x v="1"/>
    <x v="2"/>
    <n v="-2"/>
    <m/>
    <m/>
    <x v="2"/>
    <n v="-1"/>
    <s v="HH20241117 T3824429751 No Limit Hold'em $1.84 + $0.16.txt"/>
  </r>
  <r>
    <n v="3565"/>
    <n v="106.97"/>
    <s v="17.11.2024"/>
    <n v="17"/>
    <x v="10"/>
    <x v="1"/>
    <x v="2"/>
    <n v="-2"/>
    <n v="4"/>
    <m/>
    <x v="1"/>
    <n v="1"/>
    <s v="HH20241117 T3824429898 No Limit Hold'em $1.84 + $0.16.txt"/>
  </r>
  <r>
    <n v="3566"/>
    <n v="110.97"/>
    <s v="17.11.2024"/>
    <n v="17"/>
    <x v="10"/>
    <x v="1"/>
    <x v="2"/>
    <n v="-2"/>
    <n v="6"/>
    <m/>
    <x v="1"/>
    <n v="2"/>
    <s v="HH20241117 T3824431453 No Limit Hold'em $1.84 + $0.16.txt"/>
  </r>
  <r>
    <n v="3567"/>
    <n v="112.97"/>
    <s v="17.11.2024"/>
    <n v="17"/>
    <x v="10"/>
    <x v="1"/>
    <x v="2"/>
    <n v="-2"/>
    <n v="4"/>
    <m/>
    <x v="1"/>
    <n v="1"/>
    <s v="HH20241117 T3824449652 No Limit Hold'em $1.84 + $0.16.txt"/>
  </r>
  <r>
    <n v="3568"/>
    <n v="114.97"/>
    <s v="17.11.2024"/>
    <n v="17"/>
    <x v="10"/>
    <x v="1"/>
    <x v="2"/>
    <n v="-2"/>
    <n v="4"/>
    <m/>
    <x v="1"/>
    <n v="1"/>
    <s v="HH20241117 T3824451302 No Limit Hold'em $1.84 + $0.16.txt"/>
  </r>
  <r>
    <n v="3569"/>
    <n v="116.97"/>
    <s v="17.11.2024"/>
    <n v="17"/>
    <x v="10"/>
    <x v="1"/>
    <x v="2"/>
    <n v="-2"/>
    <n v="4"/>
    <m/>
    <x v="1"/>
    <n v="1"/>
    <s v="HH20241117 T3824452878 No Limit Hold'em $1.84 + $0.16.txt"/>
  </r>
  <r>
    <n v="3570"/>
    <n v="114.97"/>
    <s v="17.11.2024"/>
    <n v="17"/>
    <x v="10"/>
    <x v="1"/>
    <x v="2"/>
    <n v="-2"/>
    <m/>
    <m/>
    <x v="2"/>
    <n v="-1"/>
    <s v="HH20241117 T3824455186 No Limit Hold'em $1.84 + $0.16.txt"/>
  </r>
  <r>
    <n v="3571"/>
    <n v="112.97"/>
    <s v="17.11.2024"/>
    <n v="17"/>
    <x v="10"/>
    <x v="1"/>
    <x v="2"/>
    <n v="-2"/>
    <m/>
    <m/>
    <x v="2"/>
    <n v="-1"/>
    <s v="HH20241117 T3824456831 No Limit Hold'em $1.84 + $0.16.txt"/>
  </r>
  <r>
    <n v="3572"/>
    <n v="110.97"/>
    <s v="17.11.2024"/>
    <n v="17"/>
    <x v="10"/>
    <x v="1"/>
    <x v="2"/>
    <n v="-2"/>
    <m/>
    <m/>
    <x v="2"/>
    <n v="-1"/>
    <s v="HH20241117 T3824520088 No Limit Hold'em $1.84 + $0.16.txt"/>
  </r>
  <r>
    <n v="3573"/>
    <n v="108.97"/>
    <s v="17.11.2024"/>
    <n v="17"/>
    <x v="10"/>
    <x v="1"/>
    <x v="2"/>
    <n v="-2"/>
    <m/>
    <m/>
    <x v="2"/>
    <n v="-1"/>
    <s v="HH20241117 T3824522500 No Limit Hold'em $1.84 + $0.16.txt"/>
  </r>
  <r>
    <n v="3574"/>
    <n v="106.97"/>
    <s v="17.11.2024"/>
    <n v="17"/>
    <x v="10"/>
    <x v="1"/>
    <x v="2"/>
    <n v="-2"/>
    <m/>
    <m/>
    <x v="2"/>
    <n v="-1"/>
    <s v="HH20241117 T3824523275 No Limit Hold'em $1.84 + $0.16.txt"/>
  </r>
  <r>
    <n v="3575"/>
    <n v="104.97"/>
    <s v="17.11.2024"/>
    <n v="17"/>
    <x v="10"/>
    <x v="1"/>
    <x v="2"/>
    <n v="-2"/>
    <m/>
    <m/>
    <x v="2"/>
    <n v="-1"/>
    <s v="HH20241117 T3824527040 No Limit Hold'em $1.84 + $0.16.txt"/>
  </r>
  <r>
    <n v="3576"/>
    <n v="102.97"/>
    <s v="17.11.2024"/>
    <n v="17"/>
    <x v="10"/>
    <x v="1"/>
    <x v="2"/>
    <n v="-2"/>
    <m/>
    <m/>
    <x v="2"/>
    <n v="-1"/>
    <s v="HH20241117 T3824528627 No Limit Hold'em $1.84 + $0.16.txt"/>
  </r>
  <r>
    <n v="3577"/>
    <n v="100.97"/>
    <s v="17.11.2024"/>
    <n v="17"/>
    <x v="10"/>
    <x v="1"/>
    <x v="2"/>
    <n v="-2"/>
    <m/>
    <m/>
    <x v="2"/>
    <n v="-1"/>
    <s v="HH20241117 T3824531094 No Limit Hold'em $1.84 + $0.16.txt"/>
  </r>
  <r>
    <n v="3578"/>
    <n v="102.97"/>
    <s v="17.11.2024"/>
    <n v="17"/>
    <x v="10"/>
    <x v="1"/>
    <x v="2"/>
    <n v="-2"/>
    <n v="4"/>
    <m/>
    <x v="1"/>
    <n v="1"/>
    <s v="HH20241117 T3824533666 No Limit Hold'em $1.84 + $0.16.txt"/>
  </r>
  <r>
    <n v="3579"/>
    <n v="100.97"/>
    <s v="17.11.2024"/>
    <n v="17"/>
    <x v="10"/>
    <x v="1"/>
    <x v="2"/>
    <n v="-2"/>
    <m/>
    <m/>
    <x v="2"/>
    <n v="-1"/>
    <s v="HH20241117 T3824536385 No Limit Hold'em $1.84 + $0.16.txt"/>
  </r>
  <r>
    <n v="3580"/>
    <n v="98.97"/>
    <s v="17.11.2024"/>
    <n v="17"/>
    <x v="10"/>
    <x v="1"/>
    <x v="2"/>
    <n v="-2"/>
    <m/>
    <m/>
    <x v="2"/>
    <n v="-1"/>
    <s v="HH20241117 T3824538531 No Limit Hold'em $1.84 + $0.16.txt"/>
  </r>
  <r>
    <n v="3581"/>
    <n v="96.97"/>
    <s v="17.11.2024"/>
    <n v="17"/>
    <x v="10"/>
    <x v="1"/>
    <x v="2"/>
    <n v="-2"/>
    <m/>
    <m/>
    <x v="2"/>
    <n v="-1"/>
    <s v="HH20241117 T3824541610 No Limit Hold'em $1.84 + $0.16.txt"/>
  </r>
  <r>
    <n v="3582"/>
    <n v="94.97"/>
    <s v="17.11.2024"/>
    <n v="17"/>
    <x v="10"/>
    <x v="1"/>
    <x v="2"/>
    <n v="-2"/>
    <m/>
    <m/>
    <x v="2"/>
    <n v="-1"/>
    <s v="HH20241117 T3824542623 No Limit Hold'em $1.84 + $0.16.txt"/>
  </r>
  <r>
    <n v="3583"/>
    <n v="92.97"/>
    <s v="17.11.2024"/>
    <n v="17"/>
    <x v="10"/>
    <x v="1"/>
    <x v="2"/>
    <n v="-2"/>
    <m/>
    <m/>
    <x v="2"/>
    <n v="-1"/>
    <s v="HH20241117 T3824543853 No Limit Hold'em $1.84 + $0.16.txt"/>
  </r>
  <r>
    <n v="3584"/>
    <n v="90.97"/>
    <s v="17.11.2024"/>
    <n v="17"/>
    <x v="10"/>
    <x v="1"/>
    <x v="2"/>
    <n v="-2"/>
    <m/>
    <m/>
    <x v="2"/>
    <n v="-1"/>
    <s v="HH20241117 T3824545930 No Limit Hold'em $1.84 + $0.16.txt"/>
  </r>
  <r>
    <n v="3585"/>
    <n v="88.97"/>
    <s v="17.11.2024"/>
    <n v="17"/>
    <x v="10"/>
    <x v="1"/>
    <x v="2"/>
    <n v="-2"/>
    <m/>
    <m/>
    <x v="2"/>
    <n v="-1"/>
    <s v="HH20241117 T3824549039 No Limit Hold'em $1.84 + $0.16.txt"/>
  </r>
  <r>
    <n v="3586"/>
    <n v="90.97"/>
    <s v="17.11.2024"/>
    <n v="17"/>
    <x v="10"/>
    <x v="1"/>
    <x v="2"/>
    <n v="-2"/>
    <n v="4"/>
    <m/>
    <x v="2"/>
    <n v="1"/>
    <s v="HH20241117 T3824550181 No Limit Hold'em $1.84 + $0.16.txt"/>
  </r>
  <r>
    <n v="3587"/>
    <n v="88.97"/>
    <s v="17.11.2024"/>
    <n v="17"/>
    <x v="10"/>
    <x v="1"/>
    <x v="2"/>
    <n v="-2"/>
    <m/>
    <m/>
    <x v="2"/>
    <n v="-1"/>
    <s v="HH20241117 T3824585391 No Limit Hold'em $1.84 + $0.16.txt"/>
  </r>
  <r>
    <n v="3588"/>
    <n v="92.97"/>
    <s v="17.11.2024"/>
    <n v="17"/>
    <x v="10"/>
    <x v="1"/>
    <x v="2"/>
    <n v="-2"/>
    <n v="6"/>
    <m/>
    <x v="1"/>
    <n v="2"/>
    <s v="HH20241117 T3824586619 No Limit Hold'em $1.84 + $0.16.txt"/>
  </r>
  <r>
    <n v="3589"/>
    <n v="90.97"/>
    <s v="17.11.2024"/>
    <n v="17"/>
    <x v="10"/>
    <x v="1"/>
    <x v="2"/>
    <n v="-2"/>
    <m/>
    <m/>
    <x v="2"/>
    <n v="-1"/>
    <s v="HH20241117 T3824588064 No Limit Hold'em $1.84 + $0.16.txt"/>
  </r>
  <r>
    <n v="3590"/>
    <n v="88.97"/>
    <s v="17.11.2024"/>
    <n v="17"/>
    <x v="10"/>
    <x v="1"/>
    <x v="2"/>
    <n v="-2"/>
    <m/>
    <m/>
    <x v="2"/>
    <n v="-1"/>
    <s v="HH20241117 T3824592132 No Limit Hold'em $1.84 + $0.16.txt"/>
  </r>
  <r>
    <n v="3591"/>
    <n v="94.97"/>
    <s v="17.11.2024"/>
    <n v="17"/>
    <x v="10"/>
    <x v="1"/>
    <x v="2"/>
    <n v="-2"/>
    <n v="8"/>
    <m/>
    <x v="1"/>
    <n v="3"/>
    <s v="HH20241117 T3824593779 No Limit Hold'em $1.84 + $0.16.txt"/>
  </r>
  <r>
    <n v="3592"/>
    <n v="92.97"/>
    <s v="17.11.2024"/>
    <n v="17"/>
    <x v="10"/>
    <x v="1"/>
    <x v="2"/>
    <n v="-2"/>
    <m/>
    <m/>
    <x v="2"/>
    <n v="-1"/>
    <s v="HH20241117 T3824598579 No Limit Hold'em $1.84 + $0.16.txt"/>
  </r>
  <r>
    <n v="3593"/>
    <n v="90.97"/>
    <s v="17.11.2024"/>
    <n v="17"/>
    <x v="10"/>
    <x v="1"/>
    <x v="2"/>
    <n v="-2"/>
    <m/>
    <m/>
    <x v="2"/>
    <n v="-1"/>
    <s v="HH20241117 T3824599913 No Limit Hold'em $1.84 + $0.16.txt"/>
  </r>
  <r>
    <n v="3594"/>
    <n v="88.97"/>
    <s v="17.11.2024"/>
    <n v="17"/>
    <x v="10"/>
    <x v="1"/>
    <x v="2"/>
    <n v="-2"/>
    <m/>
    <m/>
    <x v="2"/>
    <n v="-1"/>
    <s v="HH20241117 T3824603854 No Limit Hold'em $1.84 + $0.16.txt"/>
  </r>
  <r>
    <n v="3595"/>
    <n v="86.97"/>
    <s v="17.11.2024"/>
    <n v="17"/>
    <x v="10"/>
    <x v="1"/>
    <x v="2"/>
    <n v="-2"/>
    <m/>
    <m/>
    <x v="2"/>
    <n v="-1"/>
    <s v="HH20241117 T3824608873 No Limit Hold'em $1.84 + $0.16.txt"/>
  </r>
  <r>
    <n v="3596"/>
    <n v="84.97"/>
    <s v="17.11.2024"/>
    <n v="17"/>
    <x v="10"/>
    <x v="1"/>
    <x v="2"/>
    <n v="-2"/>
    <m/>
    <m/>
    <x v="2"/>
    <n v="-1"/>
    <s v="HH20241117 T3824610213 No Limit Hold'em $1.84 + $0.16.txt"/>
  </r>
  <r>
    <n v="3597"/>
    <n v="82.97"/>
    <s v="18.11.2024"/>
    <n v="18"/>
    <x v="10"/>
    <x v="1"/>
    <x v="2"/>
    <n v="-2"/>
    <m/>
    <m/>
    <x v="2"/>
    <n v="-1"/>
    <s v="HH20241118 T3824871930 No Limit Hold'em $1.84 + $0.16.txt"/>
  </r>
  <r>
    <n v="3598"/>
    <n v="80.97"/>
    <s v="18.11.2024"/>
    <n v="18"/>
    <x v="10"/>
    <x v="1"/>
    <x v="2"/>
    <n v="-2"/>
    <m/>
    <m/>
    <x v="2"/>
    <n v="-1"/>
    <s v="HH20241118 T3824872660 No Limit Hold'em $1.84 + $0.16.txt"/>
  </r>
  <r>
    <n v="3599"/>
    <n v="82.97"/>
    <s v="18.11.2024"/>
    <n v="18"/>
    <x v="10"/>
    <x v="1"/>
    <x v="2"/>
    <n v="-2"/>
    <n v="4"/>
    <m/>
    <x v="1"/>
    <n v="1"/>
    <s v="HH20241118 T3824875034 No Limit Hold'em $1.84 + $0.16.txt"/>
  </r>
  <r>
    <n v="3600"/>
    <n v="80.97"/>
    <s v="18.11.2024"/>
    <n v="18"/>
    <x v="10"/>
    <x v="1"/>
    <x v="2"/>
    <n v="-2"/>
    <m/>
    <m/>
    <x v="2"/>
    <n v="-1"/>
    <s v="HH20241118 T3824877385 No Limit Hold'em $1.84 + $0.16.txt"/>
  </r>
  <r>
    <n v="3601"/>
    <n v="78.97"/>
    <s v="18.11.2024"/>
    <n v="18"/>
    <x v="10"/>
    <x v="1"/>
    <x v="2"/>
    <n v="-2"/>
    <m/>
    <m/>
    <x v="2"/>
    <n v="-1"/>
    <s v="HH20241118 T3824879019 No Limit Hold'em $1.84 + $0.16.txt"/>
  </r>
  <r>
    <n v="3602"/>
    <n v="80.97"/>
    <s v="19.11.2024"/>
    <n v="19"/>
    <x v="10"/>
    <x v="1"/>
    <x v="2"/>
    <n v="-2"/>
    <n v="4"/>
    <m/>
    <x v="1"/>
    <n v="1"/>
    <s v="HH20241119 T3825103968 No Limit Hold'em $1.84 + $0.16.txt"/>
  </r>
  <r>
    <n v="3603"/>
    <n v="78.97"/>
    <s v="19.11.2024"/>
    <n v="19"/>
    <x v="10"/>
    <x v="1"/>
    <x v="2"/>
    <n v="-2"/>
    <m/>
    <m/>
    <x v="2"/>
    <n v="-1"/>
    <s v="HH20241119 T3825104277 No Limit Hold'em $1.84 + $0.16.txt"/>
  </r>
  <r>
    <n v="3604"/>
    <n v="76.97"/>
    <s v="19.11.2024"/>
    <n v="19"/>
    <x v="10"/>
    <x v="1"/>
    <x v="2"/>
    <n v="-2"/>
    <m/>
    <m/>
    <x v="2"/>
    <n v="-1"/>
    <s v="HH20241119 T3825105269 No Limit Hold'em $1.84 + $0.16.txt"/>
  </r>
  <r>
    <n v="3605"/>
    <n v="74.97"/>
    <s v="19.11.2024"/>
    <n v="19"/>
    <x v="10"/>
    <x v="1"/>
    <x v="2"/>
    <n v="-2"/>
    <m/>
    <m/>
    <x v="2"/>
    <n v="-1"/>
    <s v="HH20241119 T3825105853 No Limit Hold'em $1.84 + $0.16.txt"/>
  </r>
  <r>
    <n v="3606"/>
    <n v="72.97"/>
    <s v="19.11.2024"/>
    <n v="19"/>
    <x v="10"/>
    <x v="1"/>
    <x v="2"/>
    <n v="-2"/>
    <m/>
    <m/>
    <x v="2"/>
    <n v="-1"/>
    <s v="HH20241119 T3825106660 No Limit Hold'em $1.84 + $0.16.txt"/>
  </r>
  <r>
    <n v="3607"/>
    <n v="80.97"/>
    <s v="19.11.2024"/>
    <n v="19"/>
    <x v="10"/>
    <x v="1"/>
    <x v="2"/>
    <n v="-2"/>
    <n v="10"/>
    <m/>
    <x v="1"/>
    <n v="4"/>
    <s v="HH20241119 T3825116533 No Limit Hold'em $1.84 + $0.16.txt"/>
  </r>
  <r>
    <n v="3608"/>
    <n v="82.97"/>
    <s v="19.11.2024"/>
    <n v="19"/>
    <x v="10"/>
    <x v="1"/>
    <x v="2"/>
    <n v="-2"/>
    <n v="4"/>
    <m/>
    <x v="1"/>
    <n v="1"/>
    <s v="HH20241119 T3825118135 No Limit Hold'em $1.84 + $0.16.txt"/>
  </r>
  <r>
    <n v="3609"/>
    <n v="80.97"/>
    <s v="19.11.2024"/>
    <n v="19"/>
    <x v="10"/>
    <x v="1"/>
    <x v="2"/>
    <n v="-2"/>
    <m/>
    <m/>
    <x v="2"/>
    <n v="-1"/>
    <s v="HH20241119 T3825119937 No Limit Hold'em $1.84 + $0.16.txt"/>
  </r>
  <r>
    <n v="3610"/>
    <n v="84.97"/>
    <s v="19.11.2024"/>
    <n v="19"/>
    <x v="10"/>
    <x v="1"/>
    <x v="2"/>
    <n v="-2"/>
    <n v="6"/>
    <m/>
    <x v="1"/>
    <n v="2"/>
    <s v="HH20241119 T3825121224 No Limit Hold'em $1.84 + $0.16.txt"/>
  </r>
  <r>
    <n v="3611"/>
    <n v="82.97"/>
    <s v="19.11.2024"/>
    <n v="19"/>
    <x v="10"/>
    <x v="1"/>
    <x v="2"/>
    <n v="-2"/>
    <m/>
    <m/>
    <x v="2"/>
    <n v="-1"/>
    <s v="HH20241119 T3825122459 No Limit Hold'em $1.84 + $0.16.txt"/>
  </r>
  <r>
    <n v="3612"/>
    <n v="82.97"/>
    <s v="19.11.2024"/>
    <n v="19"/>
    <x v="10"/>
    <x v="1"/>
    <x v="12"/>
    <m/>
    <m/>
    <m/>
    <x v="2"/>
    <n v="0"/>
    <s v="HH20241119 T3825143216 No Limit Hold'em $0.46 + $0.04.txt"/>
  </r>
  <r>
    <n v="3613"/>
    <n v="82.97"/>
    <s v="19.11.2024"/>
    <n v="19"/>
    <x v="10"/>
    <x v="1"/>
    <x v="12"/>
    <m/>
    <m/>
    <m/>
    <x v="2"/>
    <n v="0"/>
    <s v="HH20241119 T3825143611 No Limit Hold'em $0.46 + $0.04.txt"/>
  </r>
  <r>
    <n v="3614"/>
    <n v="82.97"/>
    <s v="19.11.2024"/>
    <n v="19"/>
    <x v="10"/>
    <x v="1"/>
    <x v="12"/>
    <m/>
    <m/>
    <m/>
    <x v="1"/>
    <n v="0"/>
    <s v="HH20241119 T3825144364 No Limit Hold'em $0.46 + $0.04.txt"/>
  </r>
  <r>
    <n v="3615"/>
    <n v="82.97"/>
    <s v="19.11.2024"/>
    <n v="19"/>
    <x v="10"/>
    <x v="1"/>
    <x v="13"/>
    <m/>
    <m/>
    <m/>
    <x v="2"/>
    <n v="0"/>
    <s v="HH20241119 T3825144783 No Limit Hold'em $0.96 + $0.04.txt"/>
  </r>
  <r>
    <n v="3616"/>
    <n v="80.97"/>
    <s v="19.11.2024"/>
    <n v="19"/>
    <x v="10"/>
    <x v="1"/>
    <x v="2"/>
    <n v="-2"/>
    <m/>
    <m/>
    <x v="2"/>
    <n v="-1"/>
    <s v="HH20241119 T3825175025 No Limit Hold'em $1.84 + $0.16.txt"/>
  </r>
  <r>
    <n v="3617"/>
    <n v="78.97"/>
    <s v="19.11.2024"/>
    <n v="19"/>
    <x v="10"/>
    <x v="1"/>
    <x v="2"/>
    <n v="-2"/>
    <m/>
    <m/>
    <x v="2"/>
    <n v="-1"/>
    <s v="HH20241119 T3825176961 No Limit Hold'em $1.84 + $0.16.txt"/>
  </r>
  <r>
    <n v="3618"/>
    <n v="76.97"/>
    <s v="19.11.2024"/>
    <n v="19"/>
    <x v="10"/>
    <x v="1"/>
    <x v="2"/>
    <n v="-2"/>
    <m/>
    <m/>
    <x v="2"/>
    <n v="-1"/>
    <s v="HH20241119 T3825178034 No Limit Hold'em $1.84 + $0.16.txt"/>
  </r>
  <r>
    <n v="3619"/>
    <n v="80.97"/>
    <s v="19.11.2024"/>
    <n v="19"/>
    <x v="10"/>
    <x v="1"/>
    <x v="2"/>
    <n v="-2"/>
    <n v="6"/>
    <m/>
    <x v="1"/>
    <n v="2"/>
    <s v="HH20241119 T3825178807 No Limit Hold'em $1.84 + $0.16.txt"/>
  </r>
  <r>
    <n v="3620"/>
    <n v="84.97"/>
    <s v="19.11.2024"/>
    <n v="19"/>
    <x v="10"/>
    <x v="1"/>
    <x v="2"/>
    <n v="-2"/>
    <n v="6"/>
    <m/>
    <x v="1"/>
    <n v="2"/>
    <s v="HH20241119 T3825180843 No Limit Hold'em $1.84 + $0.16.txt"/>
  </r>
  <r>
    <n v="3621"/>
    <n v="82.97"/>
    <s v="19.11.2024"/>
    <n v="19"/>
    <x v="10"/>
    <x v="1"/>
    <x v="2"/>
    <n v="-2"/>
    <m/>
    <m/>
    <x v="2"/>
    <n v="-1"/>
    <s v="HH20241119 T3825228724 No Limit Hold'em $1.84 + $0.16.txt"/>
  </r>
  <r>
    <n v="3622"/>
    <n v="88.97"/>
    <s v="19.11.2024"/>
    <n v="19"/>
    <x v="10"/>
    <x v="1"/>
    <x v="2"/>
    <n v="-2"/>
    <n v="8"/>
    <m/>
    <x v="1"/>
    <n v="3"/>
    <s v="HH20241119 T3825231204 No Limit Hold'em $1.84 + $0.16.txt"/>
  </r>
  <r>
    <n v="3623"/>
    <n v="86.97"/>
    <s v="19.11.2024"/>
    <n v="19"/>
    <x v="10"/>
    <x v="1"/>
    <x v="2"/>
    <n v="-2"/>
    <m/>
    <m/>
    <x v="2"/>
    <n v="-1"/>
    <s v="HH20241119 T3825233881 No Limit Hold'em $1.84 + $0.16.txt"/>
  </r>
  <r>
    <n v="3624"/>
    <n v="84.97"/>
    <s v="19.11.2024"/>
    <n v="19"/>
    <x v="10"/>
    <x v="1"/>
    <x v="2"/>
    <n v="-2"/>
    <m/>
    <m/>
    <x v="2"/>
    <n v="-1"/>
    <s v="HH20241119 T3825235583 No Limit Hold'em $1.84 + $0.16.txt"/>
  </r>
  <r>
    <n v="3625"/>
    <n v="82.97"/>
    <s v="19.11.2024"/>
    <n v="19"/>
    <x v="10"/>
    <x v="1"/>
    <x v="2"/>
    <n v="-2"/>
    <m/>
    <m/>
    <x v="2"/>
    <n v="-1"/>
    <s v="HH20241119 T3825239881 No Limit Hold'em $1.84 + $0.16.txt"/>
  </r>
  <r>
    <n v="3626"/>
    <n v="86.97"/>
    <s v="19.11.2024"/>
    <n v="19"/>
    <x v="10"/>
    <x v="1"/>
    <x v="2"/>
    <n v="-2"/>
    <n v="6"/>
    <m/>
    <x v="1"/>
    <n v="2"/>
    <s v="HH20241119 T3825280295 No Limit Hold'em $1.84 + $0.16.txt"/>
  </r>
  <r>
    <n v="3627"/>
    <n v="84.97"/>
    <s v="19.11.2024"/>
    <n v="19"/>
    <x v="10"/>
    <x v="1"/>
    <x v="2"/>
    <n v="-2"/>
    <m/>
    <m/>
    <x v="2"/>
    <n v="-1"/>
    <s v="HH20241119 T3825284032 No Limit Hold'em $1.84 + $0.16.txt"/>
  </r>
  <r>
    <n v="3628"/>
    <n v="82.97"/>
    <s v="19.11.2024"/>
    <n v="19"/>
    <x v="10"/>
    <x v="1"/>
    <x v="2"/>
    <n v="-2"/>
    <m/>
    <m/>
    <x v="2"/>
    <n v="-1"/>
    <s v="HH20241119 T3825287720 No Limit Hold'em $1.84 + $0.16.txt"/>
  </r>
  <r>
    <n v="3629"/>
    <n v="80.97"/>
    <s v="19.11.2024"/>
    <n v="19"/>
    <x v="10"/>
    <x v="1"/>
    <x v="2"/>
    <n v="-2"/>
    <m/>
    <m/>
    <x v="2"/>
    <n v="-1"/>
    <s v="HH20241119 T3825289461 No Limit Hold'em $1.84 + $0.16.txt"/>
  </r>
  <r>
    <n v="3630"/>
    <n v="82.97"/>
    <s v="19.11.2024"/>
    <n v="19"/>
    <x v="10"/>
    <x v="1"/>
    <x v="2"/>
    <n v="-2"/>
    <n v="4"/>
    <m/>
    <x v="1"/>
    <n v="1"/>
    <s v="HH20241119 T3825292162 No Limit Hold'em $1.84 + $0.16.txt"/>
  </r>
  <r>
    <n v="3631"/>
    <n v="80.97"/>
    <s v="20.11.2024"/>
    <n v="20"/>
    <x v="10"/>
    <x v="1"/>
    <x v="2"/>
    <n v="-2"/>
    <m/>
    <m/>
    <x v="2"/>
    <n v="-1"/>
    <s v="HH20241120 T3825446451 No Limit Hold'em $1.84 + $0.16.txt"/>
  </r>
  <r>
    <n v="3632"/>
    <n v="80.97"/>
    <s v="20.11.2024"/>
    <n v="20"/>
    <x v="10"/>
    <x v="1"/>
    <x v="12"/>
    <m/>
    <m/>
    <m/>
    <x v="1"/>
    <n v="0"/>
    <s v="HH20241120 T3825447345 No Limit Hold'em $0.46 + $0.04.txt"/>
  </r>
  <r>
    <n v="3633"/>
    <n v="80.97"/>
    <s v="20.11.2024"/>
    <n v="20"/>
    <x v="10"/>
    <x v="1"/>
    <x v="13"/>
    <m/>
    <m/>
    <m/>
    <x v="2"/>
    <n v="0"/>
    <s v="HH20241120 T3825447319 No Limit Hold'em $0.96 + $0.04.txt"/>
  </r>
  <r>
    <n v="3634"/>
    <n v="78.97"/>
    <s v="20.11.2024"/>
    <n v="20"/>
    <x v="10"/>
    <x v="1"/>
    <x v="2"/>
    <n v="-2"/>
    <m/>
    <m/>
    <x v="2"/>
    <n v="-1"/>
    <s v="HH20241120 T3825471323 No Limit Hold'em $1.84 + $0.16.txt"/>
  </r>
  <r>
    <n v="3635"/>
    <n v="76.97"/>
    <s v="20.11.2024"/>
    <n v="20"/>
    <x v="10"/>
    <x v="1"/>
    <x v="2"/>
    <n v="-2"/>
    <m/>
    <m/>
    <x v="2"/>
    <n v="-1"/>
    <s v="HH20241120 T3825472434 No Limit Hold'em $1.84 + $0.16.txt"/>
  </r>
  <r>
    <n v="3636"/>
    <n v="80.97"/>
    <s v="20.11.2024"/>
    <n v="20"/>
    <x v="10"/>
    <x v="1"/>
    <x v="2"/>
    <n v="-2"/>
    <n v="6"/>
    <m/>
    <x v="1"/>
    <n v="2"/>
    <s v="HH20241120 T3825473815 No Limit Hold'em $1.84 + $0.16.txt"/>
  </r>
  <r>
    <n v="3637"/>
    <n v="78.97"/>
    <s v="20.11.2024"/>
    <n v="20"/>
    <x v="10"/>
    <x v="1"/>
    <x v="2"/>
    <n v="-2"/>
    <m/>
    <m/>
    <x v="2"/>
    <n v="-1"/>
    <s v="HH20241120 T3825477191 No Limit Hold'em $1.84 + $0.16.txt"/>
  </r>
  <r>
    <n v="3638"/>
    <n v="76.97"/>
    <s v="20.11.2024"/>
    <n v="20"/>
    <x v="10"/>
    <x v="1"/>
    <x v="2"/>
    <n v="-2"/>
    <m/>
    <m/>
    <x v="2"/>
    <n v="-1"/>
    <s v="HH20241120 T3825485412 No Limit Hold'em $1.84 + $0.16.txt"/>
  </r>
  <r>
    <n v="3639"/>
    <n v="74.97"/>
    <s v="20.11.2024"/>
    <n v="20"/>
    <x v="10"/>
    <x v="1"/>
    <x v="2"/>
    <n v="-2"/>
    <m/>
    <m/>
    <x v="2"/>
    <n v="-1"/>
    <s v="HH20241120 T3825487118 No Limit Hold'em $1.84 + $0.16.txt"/>
  </r>
  <r>
    <n v="3640"/>
    <n v="76.97"/>
    <s v="20.11.2024"/>
    <n v="20"/>
    <x v="10"/>
    <x v="1"/>
    <x v="2"/>
    <n v="-2"/>
    <n v="4"/>
    <m/>
    <x v="1"/>
    <n v="1"/>
    <s v="HH20241120 T3825488609 No Limit Hold'em $1.84 + $0.16.txt"/>
  </r>
  <r>
    <n v="3641"/>
    <n v="74.97"/>
    <s v="20.11.2024"/>
    <n v="20"/>
    <x v="10"/>
    <x v="1"/>
    <x v="2"/>
    <n v="-2"/>
    <m/>
    <m/>
    <x v="2"/>
    <n v="-1"/>
    <s v="HH20241120 T3825489314 No Limit Hold'em $1.84 + $0.16.txt"/>
  </r>
  <r>
    <n v="3642"/>
    <n v="72.97"/>
    <s v="20.11.2024"/>
    <n v="20"/>
    <x v="10"/>
    <x v="1"/>
    <x v="2"/>
    <n v="-2"/>
    <m/>
    <m/>
    <x v="2"/>
    <n v="-1"/>
    <s v="HH20241120 T3825490301 No Limit Hold'em $1.84 + $0.16.txt"/>
  </r>
  <r>
    <n v="3643"/>
    <n v="70.97"/>
    <s v="20.11.2024"/>
    <n v="20"/>
    <x v="10"/>
    <x v="1"/>
    <x v="2"/>
    <n v="-2"/>
    <m/>
    <m/>
    <x v="2"/>
    <n v="-1"/>
    <s v="HH20241120 T3825530838 No Limit Hold'em $1.84 + $0.16.txt"/>
  </r>
  <r>
    <n v="3644"/>
    <n v="68.97"/>
    <s v="20.11.2024"/>
    <n v="20"/>
    <x v="10"/>
    <x v="1"/>
    <x v="2"/>
    <n v="-2"/>
    <m/>
    <m/>
    <x v="2"/>
    <n v="-1"/>
    <s v="HH20241120 T3825533437 No Limit Hold'em $1.84 + $0.16.txt"/>
  </r>
  <r>
    <n v="3645"/>
    <n v="66.97"/>
    <s v="20.11.2024"/>
    <n v="20"/>
    <x v="10"/>
    <x v="1"/>
    <x v="2"/>
    <n v="-2"/>
    <m/>
    <m/>
    <x v="2"/>
    <n v="-1"/>
    <s v="HH20241120 T3825535594 No Limit Hold'em $1.84 + $0.16.txt"/>
  </r>
  <r>
    <n v="3646"/>
    <n v="70.97"/>
    <s v="20.11.2024"/>
    <n v="20"/>
    <x v="10"/>
    <x v="1"/>
    <x v="2"/>
    <n v="-2"/>
    <n v="6"/>
    <m/>
    <x v="1"/>
    <n v="2"/>
    <s v="HH20241120 T3825536473 No Limit Hold'em $1.84 + $0.16.txt"/>
  </r>
  <r>
    <n v="3647"/>
    <n v="74.97"/>
    <s v="20.11.2024"/>
    <n v="20"/>
    <x v="10"/>
    <x v="1"/>
    <x v="2"/>
    <n v="-2"/>
    <n v="6"/>
    <m/>
    <x v="1"/>
    <n v="2"/>
    <s v="HH20241120 T3825537298 No Limit Hold'em $1.84 + $0.16.txt"/>
  </r>
  <r>
    <n v="3648"/>
    <n v="72.97"/>
    <s v="21.11.2024"/>
    <n v="21"/>
    <x v="10"/>
    <x v="1"/>
    <x v="2"/>
    <n v="-2"/>
    <m/>
    <m/>
    <x v="2"/>
    <n v="-1"/>
    <s v="HH20241121 T3825841243 No Limit Hold'em $1.84 + $0.16.txt"/>
  </r>
  <r>
    <n v="3649"/>
    <n v="70.97"/>
    <s v="21.11.2024"/>
    <n v="21"/>
    <x v="10"/>
    <x v="1"/>
    <x v="2"/>
    <n v="-2"/>
    <m/>
    <m/>
    <x v="2"/>
    <n v="-1"/>
    <s v="HH20241121 T3825865016 No Limit Hold'em $1.84 + $0.16.txt"/>
  </r>
  <r>
    <n v="3650"/>
    <n v="68.97"/>
    <s v="21.11.2024"/>
    <n v="21"/>
    <x v="10"/>
    <x v="1"/>
    <x v="2"/>
    <n v="-2"/>
    <m/>
    <m/>
    <x v="2"/>
    <n v="-1"/>
    <s v="HH20241121 T3825875844 No Limit Hold'em $1.84 + $0.16.txt"/>
  </r>
  <r>
    <n v="3651"/>
    <n v="70.97"/>
    <s v="21.11.2024"/>
    <n v="21"/>
    <x v="10"/>
    <x v="1"/>
    <x v="2"/>
    <n v="-2"/>
    <n v="4"/>
    <m/>
    <x v="1"/>
    <n v="1"/>
    <s v="HH20241121 T3825877268 No Limit Hold'em $1.84 + $0.16.txt"/>
  </r>
  <r>
    <n v="3652"/>
    <n v="68.97"/>
    <s v="21.11.2024"/>
    <n v="21"/>
    <x v="10"/>
    <x v="1"/>
    <x v="2"/>
    <n v="-2"/>
    <m/>
    <m/>
    <x v="2"/>
    <n v="-1"/>
    <s v="HH20241121 T3825948747 No Limit Hold'em $1.84 + $0.16.txt"/>
  </r>
  <r>
    <n v="3653"/>
    <n v="68.97"/>
    <s v="21.11.2024"/>
    <n v="21"/>
    <x v="10"/>
    <x v="1"/>
    <x v="12"/>
    <m/>
    <m/>
    <m/>
    <x v="1"/>
    <n v="0"/>
    <s v="HH20241121 T3825949963 No Limit Hold'em $0.46 + $0.04.txt"/>
  </r>
  <r>
    <n v="3654"/>
    <n v="66.97"/>
    <s v="21.11.2024"/>
    <n v="21"/>
    <x v="10"/>
    <x v="1"/>
    <x v="2"/>
    <n v="-2"/>
    <m/>
    <m/>
    <x v="2"/>
    <n v="-1"/>
    <s v="HH20241121 T3825951974 No Limit Hold'em $1.84 + $0.16.txt"/>
  </r>
  <r>
    <n v="3655"/>
    <n v="64.97"/>
    <s v="21.11.2024"/>
    <n v="21"/>
    <x v="10"/>
    <x v="1"/>
    <x v="2"/>
    <n v="-2"/>
    <m/>
    <m/>
    <x v="2"/>
    <n v="-1"/>
    <s v="HH20241121 T3825955170 No Limit Hold'em $1.84 + $0.16.txt"/>
  </r>
  <r>
    <n v="3656"/>
    <n v="62.97"/>
    <s v="21.11.2024"/>
    <n v="21"/>
    <x v="10"/>
    <x v="1"/>
    <x v="2"/>
    <n v="-2"/>
    <m/>
    <m/>
    <x v="2"/>
    <n v="-1"/>
    <s v="HH20241121 T3825957123 No Limit Hold'em $1.84 + $0.16.txt"/>
  </r>
  <r>
    <n v="3657"/>
    <n v="60.97"/>
    <s v="21.11.2024"/>
    <n v="21"/>
    <x v="10"/>
    <x v="1"/>
    <x v="2"/>
    <n v="-2"/>
    <m/>
    <m/>
    <x v="2"/>
    <n v="-1"/>
    <s v="HH20241121 T3825959106 No Limit Hold'em $1.84 + $0.16.txt"/>
  </r>
  <r>
    <n v="3658"/>
    <n v="61.239999999999995"/>
    <s v="21.11.2024"/>
    <n v="21"/>
    <x v="10"/>
    <x v="1"/>
    <x v="10"/>
    <n v="-10"/>
    <n v="10.27"/>
    <m/>
    <x v="1"/>
    <n v="2.6999999999999913E-2"/>
    <s v="HH20241121 Aludra - $0.05-$0.10 - USD No Limit Hold'em.txt"/>
  </r>
  <r>
    <n v="3659"/>
    <n v="62.589999999999996"/>
    <s v="21.11.2024"/>
    <n v="21"/>
    <x v="10"/>
    <x v="1"/>
    <x v="10"/>
    <n v="-2"/>
    <n v="3.35"/>
    <m/>
    <x v="1"/>
    <n v="0.67500000000000004"/>
    <s v="HH20241121 Halley - $0.01-$0.02 - USD No Limit Hold'em.txt"/>
  </r>
  <r>
    <n v="3660"/>
    <n v="64.59"/>
    <s v="22.11.2024"/>
    <n v="22"/>
    <x v="10"/>
    <x v="1"/>
    <x v="2"/>
    <n v="-2"/>
    <n v="4"/>
    <m/>
    <x v="1"/>
    <n v="1"/>
    <s v="HH20241122 T3826098255 No Limit Hold'em $1.84 + $0.16.txt"/>
  </r>
  <r>
    <n v="3661"/>
    <n v="64.59"/>
    <s v="22.11.2024"/>
    <n v="22"/>
    <x v="10"/>
    <x v="1"/>
    <x v="12"/>
    <m/>
    <m/>
    <m/>
    <x v="2"/>
    <n v="0"/>
    <s v="HH20241122 T3826099639 No Limit Hold'em $0.46 + $0.04.txt"/>
  </r>
  <r>
    <n v="3662"/>
    <n v="62.59"/>
    <s v="22.11.2024"/>
    <n v="22"/>
    <x v="10"/>
    <x v="1"/>
    <x v="2"/>
    <n v="-2"/>
    <m/>
    <m/>
    <x v="2"/>
    <n v="-1"/>
    <s v="HH20241122 T3826119233 No Limit Hold'em $1.84 + $0.16.txt"/>
  </r>
  <r>
    <n v="3663"/>
    <n v="60.59"/>
    <s v="22.11.2024"/>
    <n v="22"/>
    <x v="10"/>
    <x v="1"/>
    <x v="2"/>
    <n v="-2"/>
    <m/>
    <m/>
    <x v="2"/>
    <n v="-1"/>
    <s v="HH20241122 T3826121423 No Limit Hold'em $1.84 + $0.16.txt"/>
  </r>
  <r>
    <n v="3664"/>
    <n v="58.59"/>
    <s v="22.11.2024"/>
    <n v="22"/>
    <x v="10"/>
    <x v="1"/>
    <x v="2"/>
    <n v="-2"/>
    <m/>
    <m/>
    <x v="2"/>
    <n v="-1"/>
    <s v="HH20241122 T3826121595 No Limit Hold'em $1.84 + $0.16.txt"/>
  </r>
  <r>
    <n v="3665"/>
    <n v="56.59"/>
    <s v="22.11.2024"/>
    <n v="22"/>
    <x v="10"/>
    <x v="1"/>
    <x v="2"/>
    <n v="-2"/>
    <m/>
    <m/>
    <x v="2"/>
    <n v="-1"/>
    <s v="HH20241122 T3826122533 No Limit Hold'em $1.84 + $0.16.txt"/>
  </r>
  <r>
    <n v="3666"/>
    <n v="56.360000000000007"/>
    <s v="22.11.2024"/>
    <n v="22"/>
    <x v="10"/>
    <x v="1"/>
    <x v="10"/>
    <n v="-2"/>
    <n v="1.77"/>
    <m/>
    <x v="2"/>
    <n v="-0.11499999999999999"/>
    <s v="HH20241122 Halley - $0.01-$0.02 - USD No Limit Hold'em.txt"/>
  </r>
  <r>
    <n v="3667"/>
    <n v="53.160000000000004"/>
    <s v="22.11.2024"/>
    <n v="22"/>
    <x v="10"/>
    <x v="1"/>
    <x v="10"/>
    <n v="-10"/>
    <n v="6.8"/>
    <m/>
    <x v="2"/>
    <n v="-0.32000000000000006"/>
    <s v="HH20241122 Donati - $0.02-$0.05 - USD No Limit Hold'em.txt"/>
  </r>
  <r>
    <n v="3668"/>
    <n v="8.1200000000000045"/>
    <s v="22.11.2024"/>
    <n v="22"/>
    <x v="10"/>
    <x v="1"/>
    <x v="10"/>
    <n v="-45.04"/>
    <m/>
    <m/>
    <x v="2"/>
    <n v="-1"/>
    <s v="HH20241122 Hydra - $0.10-$0.25 - USD No Limit Hold'em.txt"/>
  </r>
  <r>
    <n v="3669"/>
    <n v="120.62"/>
    <s v="22.11.2024"/>
    <n v="22"/>
    <x v="10"/>
    <x v="1"/>
    <x v="1"/>
    <m/>
    <n v="112.5"/>
    <m/>
    <x v="0"/>
    <m/>
    <m/>
  </r>
  <r>
    <n v="3670"/>
    <n v="111.66"/>
    <s v="22.11.2024"/>
    <n v="22"/>
    <x v="10"/>
    <x v="1"/>
    <x v="10"/>
    <n v="-8.9600000000000009"/>
    <m/>
    <m/>
    <x v="2"/>
    <n v="-1"/>
    <s v="HH20241122 Donati - $0.02-$0.05 - USD No Limit Hold'em2.txt"/>
  </r>
  <r>
    <n v="3671"/>
    <n v="120.53999999999999"/>
    <s v="22.11.2024"/>
    <n v="22"/>
    <x v="10"/>
    <x v="1"/>
    <x v="10"/>
    <n v="-10"/>
    <n v="18.88"/>
    <m/>
    <x v="1"/>
    <n v="0.8879999999999999"/>
    <s v="HH20241122 Aludra - $0.05-$0.10 - USD No Limit Hold'em.txt"/>
  </r>
  <r>
    <n v="3672"/>
    <n v="111.07"/>
    <s v="22.11.2024"/>
    <n v="22"/>
    <x v="10"/>
    <x v="1"/>
    <x v="10"/>
    <n v="-10"/>
    <n v="0.53"/>
    <m/>
    <x v="2"/>
    <n v="-0.94699999999999995"/>
    <s v="HH20241122 Aludra #2 - $0.05-$0.10 - USD No Limit Hold'em.txt"/>
  </r>
  <r>
    <n v="3673"/>
    <n v="112.94999999999999"/>
    <s v="22.11.2024"/>
    <n v="22"/>
    <x v="10"/>
    <x v="1"/>
    <x v="10"/>
    <n v="-10"/>
    <n v="11.88"/>
    <m/>
    <x v="1"/>
    <n v="0.18800000000000017"/>
    <s v="HH20241122 Aludra #3 - $0.05-$0.10 - USD No Limit Hold'em.txt"/>
  </r>
  <r>
    <n v="3674"/>
    <n v="92.949999999999989"/>
    <s v="22.11.2024"/>
    <n v="22"/>
    <x v="10"/>
    <x v="1"/>
    <x v="10"/>
    <n v="-20"/>
    <m/>
    <m/>
    <x v="2"/>
    <n v="-1"/>
    <s v="HH20241122 Aludra #4 - $0.05-$0.10 - USD No Limit Hold'em.txt"/>
  </r>
  <r>
    <n v="3675"/>
    <n v="77.839999999999989"/>
    <s v="22.11.2024"/>
    <n v="22"/>
    <x v="10"/>
    <x v="1"/>
    <x v="10"/>
    <n v="-24.16"/>
    <n v="9.0500000000000007"/>
    <m/>
    <x v="2"/>
    <n v="-0.6254139072847682"/>
    <s v="HH20241122 Aludra - $0.05-$0.10 - USD No Limit Hold'em3.txt"/>
  </r>
  <r>
    <n v="3676"/>
    <n v="76.959999999999994"/>
    <s v="22.11.2024"/>
    <n v="22"/>
    <x v="10"/>
    <x v="1"/>
    <x v="10"/>
    <n v="-10"/>
    <n v="9.1199999999999992"/>
    <m/>
    <x v="2"/>
    <n v="-8.8000000000000078E-2"/>
    <s v="HH20241122 Aludra - $0.05-$0.10 - USD No Limit Hold'em4.txt"/>
  </r>
  <r>
    <n v="3677"/>
    <n v="68.779999999999987"/>
    <s v="22.11.2024"/>
    <n v="22"/>
    <x v="10"/>
    <x v="1"/>
    <x v="10"/>
    <n v="-10"/>
    <n v="1.82"/>
    <m/>
    <x v="2"/>
    <n v="-0.81800000000000006"/>
    <s v="HH20241122 Aludra - $0.05-$0.10 - USD No Limit Hold'em.txt"/>
  </r>
  <r>
    <n v="3678"/>
    <n v="58.779999999999987"/>
    <s v="22.11.2024"/>
    <n v="22"/>
    <x v="10"/>
    <x v="1"/>
    <x v="10"/>
    <n v="-10"/>
    <m/>
    <m/>
    <x v="2"/>
    <n v="-1"/>
    <s v="HH20241122 Aludra #2 - $0.05-$0.10 - USD No Limit Hold'em2.txt"/>
  </r>
  <r>
    <n v="3679"/>
    <n v="50.849999999999987"/>
    <s v="22.11.2024"/>
    <n v="22"/>
    <x v="10"/>
    <x v="1"/>
    <x v="10"/>
    <n v="-10"/>
    <n v="2.0699999999999998"/>
    <m/>
    <x v="2"/>
    <n v="-0.79300000000000004"/>
    <s v="HH20241122 Aludra #2 - $0.05-$0.10 - USD No Limit Hold'em3.txt"/>
  </r>
  <r>
    <n v="3680"/>
    <n v="53.179999999999986"/>
    <s v="22.11.2024"/>
    <n v="22"/>
    <x v="10"/>
    <x v="1"/>
    <x v="10"/>
    <n v="-17.03"/>
    <n v="19.36"/>
    <m/>
    <x v="1"/>
    <n v="0.13681738109219022"/>
    <s v="HH20241122 Aludra #3 - $0.05-$0.10 - USD No Limit Hold'em2.txt"/>
  </r>
  <r>
    <n v="3681"/>
    <n v="58.269999999999982"/>
    <s v="22.11.2024"/>
    <n v="22"/>
    <x v="10"/>
    <x v="1"/>
    <x v="10"/>
    <n v="-10"/>
    <n v="15.09"/>
    <m/>
    <x v="1"/>
    <n v="0.5089999999999999"/>
    <s v="HH20241122 Aludra #4 - $0.05-$0.10 - USD No Limit Hold'em4.txt"/>
  </r>
  <r>
    <n v="3682"/>
    <n v="56.269999999999982"/>
    <s v="23.11.2024"/>
    <n v="23"/>
    <x v="10"/>
    <x v="1"/>
    <x v="2"/>
    <n v="-2"/>
    <m/>
    <m/>
    <x v="2"/>
    <n v="-1"/>
    <s v="HH20241123 T3826555720 No Limit Hold'em $1.84 + $0.16.txt"/>
  </r>
  <r>
    <n v="3683"/>
    <n v="56.269999999999982"/>
    <s v="23.11.2024"/>
    <n v="23"/>
    <x v="10"/>
    <x v="1"/>
    <x v="12"/>
    <m/>
    <m/>
    <m/>
    <x v="1"/>
    <n v="0"/>
    <s v="HH20241123 T3826557416 No Limit Hold'em $0.46 + $0.04.txt"/>
  </r>
  <r>
    <n v="3684"/>
    <n v="56.269999999999982"/>
    <s v="23.11.2024"/>
    <n v="23"/>
    <x v="10"/>
    <x v="1"/>
    <x v="13"/>
    <m/>
    <m/>
    <m/>
    <x v="2"/>
    <n v="0"/>
    <s v="HH20241123 T3826558545 No Limit Hold'em $0.96 + $0.04.txt"/>
  </r>
  <r>
    <n v="3685"/>
    <n v="59.979999999999983"/>
    <s v="23.11.2024"/>
    <n v="23"/>
    <x v="10"/>
    <x v="1"/>
    <x v="10"/>
    <n v="-10"/>
    <n v="13.71"/>
    <m/>
    <x v="1"/>
    <n v="0.371"/>
    <s v="HH20241123 Aludra - $0.05-$0.10 - USD No Limit Hold'em.txt"/>
  </r>
  <r>
    <n v="3686"/>
    <n v="61.91999999999998"/>
    <s v="23.11.2024"/>
    <n v="23"/>
    <x v="10"/>
    <x v="1"/>
    <x v="10"/>
    <n v="-10"/>
    <n v="11.94"/>
    <m/>
    <x v="1"/>
    <n v="0.19399999999999995"/>
    <s v="HH20241123 Aludra - $0.05-$0.10 - USD No Limit Hold'em2.txt"/>
  </r>
  <r>
    <n v="3687"/>
    <n v="69.429999999999978"/>
    <s v="23.11.2024"/>
    <n v="23"/>
    <x v="10"/>
    <x v="1"/>
    <x v="10"/>
    <n v="-10"/>
    <n v="17.510000000000002"/>
    <m/>
    <x v="1"/>
    <n v="0.75100000000000011"/>
    <s v="HH20241123 Aludra - $0.05-$0.10 - USD No Limit Hold'em3.txt"/>
  </r>
  <r>
    <n v="3688"/>
    <n v="67.429999999999978"/>
    <s v="24.11.2024"/>
    <n v="24"/>
    <x v="10"/>
    <x v="1"/>
    <x v="2"/>
    <n v="-2"/>
    <m/>
    <m/>
    <x v="2"/>
    <n v="-1"/>
    <s v="HH20241124 T3826821146 No Limit Hold'em $1.84 + $0.16.txt"/>
  </r>
  <r>
    <n v="3689"/>
    <n v="67.429999999999978"/>
    <s v="24.11.2024"/>
    <n v="24"/>
    <x v="10"/>
    <x v="1"/>
    <x v="12"/>
    <m/>
    <m/>
    <m/>
    <x v="2"/>
    <n v="0"/>
    <s v="HH20241124 T3826822517 No Limit Hold'em $0.46 + $0.04.txt"/>
  </r>
  <r>
    <n v="3690"/>
    <n v="69.71999999999997"/>
    <s v="24.11.2024"/>
    <n v="24"/>
    <x v="10"/>
    <x v="1"/>
    <x v="10"/>
    <n v="-10"/>
    <n v="12.29"/>
    <m/>
    <x v="1"/>
    <n v="0.22899999999999987"/>
    <s v="HH20241124 Aludra - $0.05-$0.10 - USD No Limit Hold'em.txt"/>
  </r>
  <r>
    <n v="3691"/>
    <n v="72.949999999999974"/>
    <s v="24.11.2024"/>
    <n v="24"/>
    <x v="10"/>
    <x v="1"/>
    <x v="10"/>
    <n v="-10"/>
    <n v="13.23"/>
    <m/>
    <x v="1"/>
    <n v="0.32299999999999995"/>
    <s v="HH20241124 Aludra - $0.05-$0.10 - USD No Limit Hold'em2.txt"/>
  </r>
  <r>
    <n v="3692"/>
    <n v="57.949999999999974"/>
    <s v="24.11.2024"/>
    <n v="24"/>
    <x v="10"/>
    <x v="1"/>
    <x v="10"/>
    <n v="-15"/>
    <m/>
    <m/>
    <x v="2"/>
    <n v="-1"/>
    <s v="HH20241124 Aludra #2 - $0.05-$0.10 - USD No Limit Hold'em.txt"/>
  </r>
  <r>
    <n v="3693"/>
    <n v="55.949999999999974"/>
    <s v="25.11.2024"/>
    <n v="25"/>
    <x v="10"/>
    <x v="1"/>
    <x v="2"/>
    <n v="-2"/>
    <m/>
    <m/>
    <x v="2"/>
    <n v="-1"/>
    <s v="HH20241125 T3827286586 No Limit Hold'em $1.84 + $0.16.txt"/>
  </r>
  <r>
    <n v="3694"/>
    <n v="55.949999999999974"/>
    <s v="25.11.2024"/>
    <n v="25"/>
    <x v="10"/>
    <x v="1"/>
    <x v="12"/>
    <m/>
    <m/>
    <m/>
    <x v="1"/>
    <n v="0"/>
    <s v="HH20241125 T3827288388 No Limit Hold'em $0.46 + $0.04.txt"/>
  </r>
  <r>
    <n v="3695"/>
    <n v="57.379999999999974"/>
    <s v="25.11.2024"/>
    <n v="25"/>
    <x v="10"/>
    <x v="1"/>
    <x v="13"/>
    <m/>
    <n v="1.43"/>
    <m/>
    <x v="1"/>
    <n v="0"/>
    <s v="HH20241125 T3827288511 No Limit Hold'em $0.96 + $0.04.txt"/>
  </r>
  <r>
    <n v="3696"/>
    <n v="50.859999999999971"/>
    <s v="25.11.2024"/>
    <n v="25"/>
    <x v="10"/>
    <x v="1"/>
    <x v="10"/>
    <n v="-10"/>
    <n v="3.48"/>
    <m/>
    <x v="2"/>
    <n v="-0.65200000000000002"/>
    <s v="HH20241125 Aludra - $0.05-$0.10 - USD No Limit Hold'em.txt"/>
  </r>
  <r>
    <n v="3697"/>
    <n v="48.859999999999971"/>
    <s v="26.11.2024"/>
    <n v="26"/>
    <x v="10"/>
    <x v="1"/>
    <x v="2"/>
    <n v="-2"/>
    <m/>
    <m/>
    <x v="2"/>
    <n v="-1"/>
    <s v="HH20241126 T3827598001 No Limit Hold'em $1.84 + $0.16.txt"/>
  </r>
  <r>
    <n v="3698"/>
    <n v="48.859999999999971"/>
    <s v="26.11.2024"/>
    <n v="26"/>
    <x v="10"/>
    <x v="1"/>
    <x v="12"/>
    <m/>
    <m/>
    <m/>
    <x v="2"/>
    <n v="0"/>
    <s v="HH20241126 T3827599590 No Limit Hold'em $0.46 + $0.04.txt"/>
  </r>
  <r>
    <n v="3699"/>
    <n v="51.799999999999969"/>
    <s v="26.11.2024"/>
    <n v="26"/>
    <x v="10"/>
    <x v="1"/>
    <x v="10"/>
    <n v="-10"/>
    <n v="12.94"/>
    <m/>
    <x v="1"/>
    <n v="0.29400000000000004"/>
    <s v="HH20241126 Aludra - $0.05-$0.10 - USD No Limit Hold'em.txt"/>
  </r>
  <r>
    <n v="3700"/>
    <n v="49.799999999999969"/>
    <s v="27.11.2024"/>
    <n v="27"/>
    <x v="10"/>
    <x v="1"/>
    <x v="2"/>
    <n v="-2"/>
    <m/>
    <m/>
    <x v="2"/>
    <n v="-1"/>
    <s v="HH20241127 T3827961008 No Limit Hold'em $1.84 + $0.16.txt"/>
  </r>
  <r>
    <n v="3701"/>
    <n v="49.799999999999969"/>
    <s v="27.11.2024"/>
    <n v="27"/>
    <x v="10"/>
    <x v="1"/>
    <x v="12"/>
    <m/>
    <m/>
    <m/>
    <x v="1"/>
    <n v="0"/>
    <s v="HH20241127 T3827974522 No Limit Hold'em $0.46 + $0.04.txt"/>
  </r>
  <r>
    <n v="3702"/>
    <n v="51.109999999999971"/>
    <s v="27.11.2024"/>
    <n v="27"/>
    <x v="10"/>
    <x v="1"/>
    <x v="10"/>
    <n v="-10"/>
    <n v="11.31"/>
    <m/>
    <x v="1"/>
    <n v="0.13100000000000001"/>
    <s v="HH20241127 Aludra - $0.05-$0.10 - USD No Limit Hold'em.txt"/>
  </r>
  <r>
    <n v="3703"/>
    <n v="49.109999999999971"/>
    <s v="28.11.2024"/>
    <n v="28"/>
    <x v="10"/>
    <x v="1"/>
    <x v="2"/>
    <n v="-2"/>
    <m/>
    <m/>
    <x v="2"/>
    <n v="-1"/>
    <s v="HH20241128 T3828335646 No Limit Hold'em $1.84 + $0.16.txt"/>
  </r>
  <r>
    <n v="3704"/>
    <n v="49.109999999999971"/>
    <s v="28.11.2024"/>
    <n v="28"/>
    <x v="10"/>
    <x v="1"/>
    <x v="12"/>
    <m/>
    <m/>
    <m/>
    <x v="2"/>
    <n v="0"/>
    <s v="HH20241128 T3828337080 No Limit Hold'em $0.46 + $0.04.txt"/>
  </r>
  <r>
    <n v="3705"/>
    <n v="51.269999999999968"/>
    <s v="28.11.2024"/>
    <n v="28"/>
    <x v="10"/>
    <x v="1"/>
    <x v="10"/>
    <n v="-10"/>
    <n v="12.16"/>
    <m/>
    <x v="1"/>
    <n v="0.21599999999999997"/>
    <s v="HH20241128 Aludra - $0.05-$0.10 - USD No Limit Hold'em.txt"/>
  </r>
  <r>
    <n v="3706"/>
    <n v="51.269999999999968"/>
    <s v="28.11.2024"/>
    <n v="28"/>
    <x v="10"/>
    <x v="1"/>
    <x v="13"/>
    <m/>
    <m/>
    <m/>
    <x v="1"/>
    <n v="0"/>
    <s v="HH20241128 T3827888478 No Limit Hold'em $1.40 + $0.10.txt"/>
  </r>
  <r>
    <n v="3707"/>
    <n v="53.269999999999968"/>
    <s v="29.11.2024"/>
    <n v="29"/>
    <x v="10"/>
    <x v="1"/>
    <x v="2"/>
    <n v="-2"/>
    <n v="4"/>
    <m/>
    <x v="1"/>
    <n v="1"/>
    <s v="HH20241129 T3828491930 No Limit Hold'em $1.84 + $0.16.txt"/>
  </r>
  <r>
    <n v="3708"/>
    <n v="53.269999999999968"/>
    <s v="29.11.2024"/>
    <n v="29"/>
    <x v="10"/>
    <x v="1"/>
    <x v="12"/>
    <m/>
    <m/>
    <m/>
    <x v="2"/>
    <n v="0"/>
    <s v="HH20241129 T3828492533 No Limit Hold'em $0.46 + $0.04.txt"/>
  </r>
  <r>
    <n v="3709"/>
    <n v="62.069999999999965"/>
    <s v="29.11.2024"/>
    <n v="29"/>
    <x v="10"/>
    <x v="1"/>
    <x v="10"/>
    <n v="-10"/>
    <n v="18.8"/>
    <m/>
    <x v="1"/>
    <n v="0.88000000000000012"/>
    <s v="HH20241129 Aludra - $0.05-$0.10 - USD No Limit Hold'em.txt"/>
  </r>
  <r>
    <n v="3710"/>
    <n v="64.889999999999958"/>
    <s v="29.11.2024"/>
    <n v="29"/>
    <x v="10"/>
    <x v="1"/>
    <x v="10"/>
    <n v="-10"/>
    <n v="12.82"/>
    <m/>
    <x v="1"/>
    <n v="0.28200000000000003"/>
    <s v="HH20241129 Aludra - $0.05-$0.10 - USD No Limit Hold'em2.txt"/>
  </r>
  <r>
    <n v="3711"/>
    <n v="63.839999999999961"/>
    <s v="29.11.2024"/>
    <n v="29"/>
    <x v="10"/>
    <x v="1"/>
    <x v="3"/>
    <n v="-3.3"/>
    <n v="2.25"/>
    <m/>
    <x v="2"/>
    <n v="-0.31818181818181812"/>
    <s v="HH20241129 T3827892083 No Limit Hold'em $2.94 + $0.36.txt"/>
  </r>
  <r>
    <n v="3712"/>
    <n v="63.839999999999961"/>
    <s v="29.11.2024"/>
    <n v="29"/>
    <x v="10"/>
    <x v="1"/>
    <x v="13"/>
    <m/>
    <m/>
    <m/>
    <x v="2"/>
    <n v="0"/>
    <s v="HH20241129 T3827888497 No Limit Hold'em $1.40 + $0.10.txt"/>
  </r>
  <r>
    <n v="3713"/>
    <n v="63.839999999999961"/>
    <s v="29.11.2024"/>
    <n v="29"/>
    <x v="10"/>
    <x v="1"/>
    <x v="14"/>
    <m/>
    <m/>
    <m/>
    <x v="2"/>
    <n v="0"/>
    <s v="HH20241129 T3827888431 No Limit Hold'em $10.27 + $0.73.txt"/>
  </r>
  <r>
    <n v="3714"/>
    <n v="68.129999999999967"/>
    <s v="29.11.2024"/>
    <n v="29"/>
    <x v="10"/>
    <x v="1"/>
    <x v="10"/>
    <n v="-10"/>
    <n v="14.29"/>
    <m/>
    <x v="1"/>
    <n v="0.42899999999999983"/>
    <s v="HH20241129 Aludra - $0.05-$0.10 - USD No Limit Hold'em3.txt"/>
  </r>
  <r>
    <n v="3715"/>
    <n v="66.129999999999967"/>
    <s v="30.11.2024"/>
    <n v="30"/>
    <x v="10"/>
    <x v="1"/>
    <x v="2"/>
    <n v="-2"/>
    <m/>
    <m/>
    <x v="2"/>
    <n v="-1"/>
    <s v="HH20241130 T3828939640 No Limit Hold'em $1.84 + $0.16.txt"/>
  </r>
  <r>
    <n v="3716"/>
    <n v="66.129999999999967"/>
    <s v="30.11.2024"/>
    <n v="30"/>
    <x v="10"/>
    <x v="1"/>
    <x v="12"/>
    <m/>
    <m/>
    <m/>
    <x v="2"/>
    <n v="0"/>
    <s v="HH20241130 T3828940872 No Limit Hold'em $0.46 + $0.04.txt"/>
  </r>
  <r>
    <n v="3717"/>
    <n v="64.129999999999967"/>
    <s v="01.12.2024"/>
    <n v="1"/>
    <x v="11"/>
    <x v="1"/>
    <x v="2"/>
    <n v="-2"/>
    <m/>
    <m/>
    <x v="2"/>
    <n v="-1"/>
    <s v="HH20241201 T3829230463 No Limit Hold'em $1.84 + $0.16.txt"/>
  </r>
  <r>
    <n v="3718"/>
    <n v="64.129999999999967"/>
    <s v="01.12.2024"/>
    <n v="1"/>
    <x v="11"/>
    <x v="1"/>
    <x v="12"/>
    <m/>
    <m/>
    <m/>
    <x v="1"/>
    <n v="0"/>
    <s v="HH20241201 T3829232353 No Limit Hold'em $0.46 + $0.04.txt"/>
  </r>
  <r>
    <n v="3719"/>
    <n v="64.129999999999967"/>
    <s v="01.12.2024"/>
    <n v="1"/>
    <x v="11"/>
    <x v="1"/>
    <x v="13"/>
    <m/>
    <m/>
    <m/>
    <x v="2"/>
    <n v="0"/>
    <s v="HH20241201 T3829233299 No Limit Hold'em $0.96 + $0.04.txt"/>
  </r>
  <r>
    <n v="3720"/>
    <n v="66.779999999999973"/>
    <s v="01.12.2024"/>
    <n v="1"/>
    <x v="11"/>
    <x v="1"/>
    <x v="10"/>
    <n v="-10"/>
    <n v="12.65"/>
    <m/>
    <x v="1"/>
    <n v="0.26500000000000012"/>
    <s v="HH20241201 Aludra - $0.05-$0.10 - USD No Limit Hold'em.txt"/>
  </r>
  <r>
    <n v="3721"/>
    <n v="61.379999999999974"/>
    <s v="01.12.2024"/>
    <n v="1"/>
    <x v="11"/>
    <x v="1"/>
    <x v="10"/>
    <n v="-10"/>
    <n v="4.5999999999999996"/>
    <m/>
    <x v="2"/>
    <n v="-0.54"/>
    <s v="HH20241201 Aludra #2 - $0.05-$0.10 - USD No Limit Hold'em.txt"/>
  </r>
  <r>
    <n v="3722"/>
    <n v="64.109999999999971"/>
    <s v="01.12.2024"/>
    <n v="1"/>
    <x v="11"/>
    <x v="1"/>
    <x v="10"/>
    <n v="-10"/>
    <n v="12.73"/>
    <m/>
    <x v="1"/>
    <n v="0.27300000000000013"/>
    <s v="HH20241201 Aludra #3 - $0.05-$0.10 - USD No Limit Hold'em.txt"/>
  </r>
  <r>
    <n v="3723"/>
    <n v="66.349999999999966"/>
    <s v="01.12.2024"/>
    <n v="1"/>
    <x v="11"/>
    <x v="1"/>
    <x v="10"/>
    <n v="-10"/>
    <n v="12.24"/>
    <m/>
    <x v="1"/>
    <n v="0.22399999999999998"/>
    <s v="HH20241201 Aludra #4 - $0.05-$0.10 - USD No Limit Hold'em.txt"/>
  </r>
  <r>
    <n v="3724"/>
    <n v="64.349999999999966"/>
    <s v="02.12.2024"/>
    <n v="2"/>
    <x v="11"/>
    <x v="1"/>
    <x v="2"/>
    <n v="-2"/>
    <m/>
    <m/>
    <x v="2"/>
    <n v="-1"/>
    <s v="HH20241202 T3829662075 No Limit Hold'em $1.84 + $0.16.txt"/>
  </r>
  <r>
    <n v="3725"/>
    <n v="64.349999999999966"/>
    <s v="02.12.2024"/>
    <n v="2"/>
    <x v="11"/>
    <x v="1"/>
    <x v="12"/>
    <m/>
    <m/>
    <m/>
    <x v="2"/>
    <n v="0"/>
    <s v="HH20241202 T3829663988 No Limit Hold'em $0.46 + $0.04.txt"/>
  </r>
  <r>
    <n v="3726"/>
    <n v="68.349999999999966"/>
    <s v="03.12.2024"/>
    <n v="3"/>
    <x v="11"/>
    <x v="1"/>
    <x v="2"/>
    <n v="-2"/>
    <n v="6"/>
    <m/>
    <x v="1"/>
    <n v="2"/>
    <s v="HH20241203 T3829913798 No Limit Hold'em $1.84 + $0.16.txt"/>
  </r>
  <r>
    <n v="3727"/>
    <n v="68.349999999999966"/>
    <s v="03.12.2024"/>
    <n v="3"/>
    <x v="11"/>
    <x v="1"/>
    <x v="12"/>
    <m/>
    <m/>
    <m/>
    <x v="2"/>
    <n v="0"/>
    <s v="HH20241203 T3829915151 No Limit Hold'em $0.46 + $0.04.txt"/>
  </r>
  <r>
    <n v="3728"/>
    <n v="60.369999999999969"/>
    <s v="03.12.2024"/>
    <n v="3"/>
    <x v="11"/>
    <x v="1"/>
    <x v="10"/>
    <n v="-22.72"/>
    <n v="14.74"/>
    <m/>
    <x v="2"/>
    <n v="-0.35123239436619713"/>
    <s v="HH20241203 Aludra - $0.05-$0.10 - USD No Limit Hold'em.txt"/>
  </r>
  <r>
    <n v="3729"/>
    <n v="50.369999999999969"/>
    <s v="03.12.2024"/>
    <n v="3"/>
    <x v="11"/>
    <x v="1"/>
    <x v="10"/>
    <n v="-10"/>
    <m/>
    <m/>
    <x v="2"/>
    <n v="-1"/>
    <s v="HH20241203 Aludra #2 - $0.05-$0.10 - USD No Limit Hold'em.txt"/>
  </r>
  <r>
    <n v="3730"/>
    <n v="48.369999999999969"/>
    <s v="04.12.2024"/>
    <n v="4"/>
    <x v="11"/>
    <x v="1"/>
    <x v="2"/>
    <n v="-2"/>
    <m/>
    <m/>
    <x v="2"/>
    <n v="-1"/>
    <s v="HH20241204 T3830408623 No Limit Hold'em $1.84 + $0.16.txt"/>
  </r>
  <r>
    <n v="3731"/>
    <n v="48.369999999999969"/>
    <s v="04.12.2024"/>
    <n v="4"/>
    <x v="11"/>
    <x v="1"/>
    <x v="12"/>
    <m/>
    <m/>
    <m/>
    <x v="1"/>
    <n v="0"/>
    <s v="HH20241204 T3830412050 No Limit Hold'em $0.46 + $0.04.txt"/>
  </r>
  <r>
    <n v="3732"/>
    <n v="49.799999999999969"/>
    <s v="04.12.2024"/>
    <n v="4"/>
    <x v="11"/>
    <x v="1"/>
    <x v="13"/>
    <m/>
    <n v="1.43"/>
    <m/>
    <x v="1"/>
    <n v="0"/>
    <s v="HH20241204 T3830413852 No Limit Hold'em $0.96 + $0.04.txt"/>
  </r>
  <r>
    <n v="3733"/>
    <n v="47.919999999999966"/>
    <s v="04.12.2024"/>
    <n v="4"/>
    <x v="11"/>
    <x v="1"/>
    <x v="10"/>
    <n v="-10"/>
    <n v="8.1199999999999992"/>
    <m/>
    <x v="2"/>
    <n v="-0.18800000000000006"/>
    <s v="HH20241204 Aludra - $0.05-$0.10 - USD No Limit Hold'em.txt"/>
  </r>
  <r>
    <n v="3734"/>
    <n v="45.919999999999966"/>
    <s v="05.12.2024"/>
    <n v="5"/>
    <x v="11"/>
    <x v="1"/>
    <x v="2"/>
    <n v="-2"/>
    <m/>
    <m/>
    <x v="2"/>
    <n v="-1"/>
    <s v="HH20241205 T3830648390 No Limit Hold'em $1.84 + $0.16.txt"/>
  </r>
  <r>
    <n v="3735"/>
    <n v="45.919999999999966"/>
    <s v="05.12.2024"/>
    <n v="5"/>
    <x v="11"/>
    <x v="1"/>
    <x v="12"/>
    <m/>
    <m/>
    <m/>
    <x v="1"/>
    <n v="0"/>
    <s v="HH20241205 T3830650300 No Limit Hold'em $0.46 + $0.04.txt"/>
  </r>
  <r>
    <n v="3736"/>
    <n v="45.919999999999966"/>
    <s v="05.12.2024"/>
    <n v="5"/>
    <x v="11"/>
    <x v="1"/>
    <x v="13"/>
    <m/>
    <m/>
    <m/>
    <x v="1"/>
    <n v="0"/>
    <s v="HH20241205 T3830670654 No Limit Hold'em $0.96 + $0.04.txt"/>
  </r>
  <r>
    <n v="3737"/>
    <n v="45.919999999999966"/>
    <s v="05.12.2024"/>
    <n v="5"/>
    <x v="11"/>
    <x v="1"/>
    <x v="13"/>
    <m/>
    <m/>
    <m/>
    <x v="2"/>
    <n v="0"/>
    <s v="HH20241205 T3830611107 No Limit Hold'em $1.40 + $0.10.txt"/>
  </r>
  <r>
    <n v="3738"/>
    <n v="49.239999999999966"/>
    <s v="05.12.2024"/>
    <n v="5"/>
    <x v="11"/>
    <x v="1"/>
    <x v="10"/>
    <n v="-10"/>
    <n v="13.32"/>
    <m/>
    <x v="1"/>
    <n v="0.33200000000000007"/>
    <s v="HH20241205 Aludra - $0.05-$0.10 - USD No Limit Hold'em.txt"/>
  </r>
  <r>
    <n v="3739"/>
    <n v="39.239999999999966"/>
    <s v="05.12.2024"/>
    <n v="5"/>
    <x v="11"/>
    <x v="1"/>
    <x v="10"/>
    <n v="-10"/>
    <m/>
    <m/>
    <x v="2"/>
    <n v="-1"/>
    <s v="HH20241205 Aludra #2 - $0.05-$0.10 - USD No Limit Hold'em.txt"/>
  </r>
  <r>
    <n v="3740"/>
    <n v="37.239999999999966"/>
    <s v="06.12.2024"/>
    <n v="6"/>
    <x v="11"/>
    <x v="1"/>
    <x v="2"/>
    <n v="-2"/>
    <m/>
    <m/>
    <x v="2"/>
    <n v="-1"/>
    <s v="HH20241206 T3830947558 No Limit Hold'em $1.84 + $0.16.txt"/>
  </r>
  <r>
    <n v="3741"/>
    <n v="37.239999999999966"/>
    <s v="06.12.2024"/>
    <n v="6"/>
    <x v="11"/>
    <x v="1"/>
    <x v="12"/>
    <m/>
    <m/>
    <m/>
    <x v="1"/>
    <n v="0"/>
    <s v="HH20241206 T3830948731 No Limit Hold'em $0.46 + $0.04.txt"/>
  </r>
  <r>
    <n v="3742"/>
    <n v="41.659999999999968"/>
    <s v="06.12.2024"/>
    <n v="6"/>
    <x v="11"/>
    <x v="1"/>
    <x v="10"/>
    <n v="-10"/>
    <n v="14.42"/>
    <m/>
    <x v="1"/>
    <n v="0.44199999999999995"/>
    <s v="HH20241206 Aludra - $0.05-$0.10 - USD No Limit Hold'em.txt"/>
  </r>
  <r>
    <n v="3743"/>
    <n v="31.659999999999968"/>
    <s v="06.12.2024"/>
    <n v="6"/>
    <x v="11"/>
    <x v="1"/>
    <x v="10"/>
    <n v="-10"/>
    <m/>
    <m/>
    <x v="2"/>
    <n v="-1"/>
    <s v="HH20241206 Aludra - $0.05-$0.10 - USD No Limit Hold'em2.txt"/>
  </r>
  <r>
    <n v="3744"/>
    <n v="36.879999999999967"/>
    <s v="06.12.2024"/>
    <n v="6"/>
    <x v="11"/>
    <x v="1"/>
    <x v="10"/>
    <n v="-10"/>
    <n v="15.22"/>
    <m/>
    <x v="1"/>
    <n v="0.52200000000000002"/>
    <s v="HH20241206 Aludra - $0.05-$0.10 - USD No Limit Hold'em3.txt"/>
  </r>
  <r>
    <n v="3745"/>
    <n v="26.879999999999967"/>
    <s v="06.12.2024"/>
    <n v="6"/>
    <x v="11"/>
    <x v="1"/>
    <x v="10"/>
    <n v="-10"/>
    <m/>
    <m/>
    <x v="2"/>
    <n v="-1"/>
    <s v="HH20241206 Aludra - $0.05-$0.10 - USD No Limit Hold'em4.txt"/>
  </r>
  <r>
    <n v="3746"/>
    <n v="34.909999999999968"/>
    <s v="06.12.2024"/>
    <n v="6"/>
    <x v="11"/>
    <x v="1"/>
    <x v="10"/>
    <n v="-10"/>
    <n v="18.03"/>
    <m/>
    <x v="1"/>
    <n v="0.80300000000000016"/>
    <s v="HH20241206 Aludra #2 - $0.05-$0.10 - USD No Limit Hold'em5.txt"/>
  </r>
  <r>
    <n v="3747"/>
    <n v="42.909999999999968"/>
    <s v="07.12.2024"/>
    <n v="7"/>
    <x v="11"/>
    <x v="1"/>
    <x v="2"/>
    <n v="-2"/>
    <n v="10"/>
    <m/>
    <x v="1"/>
    <n v="4"/>
    <s v="HH20241207 T3831476218 No Limit Hold'em $1.84 + $0.16.txt"/>
  </r>
  <r>
    <n v="3748"/>
    <n v="42.909999999999968"/>
    <s v="07.12.2024"/>
    <n v="7"/>
    <x v="11"/>
    <x v="1"/>
    <x v="12"/>
    <m/>
    <m/>
    <m/>
    <x v="2"/>
    <n v="0"/>
    <s v="HH20241207 T3831478701 No Limit Hold'em $0.46 + $0.04.txt"/>
  </r>
  <r>
    <n v="3749"/>
    <n v="40.909999999999968"/>
    <s v="08.12.2024"/>
    <n v="8"/>
    <x v="11"/>
    <x v="1"/>
    <x v="2"/>
    <n v="-2"/>
    <m/>
    <m/>
    <x v="2"/>
    <n v="-1"/>
    <s v="HH20241208 T3831884151 No Limit Hold'em $1.84 + $0.16.txt"/>
  </r>
  <r>
    <n v="3750"/>
    <n v="40.909999999999968"/>
    <s v="08.12.2024"/>
    <n v="8"/>
    <x v="11"/>
    <x v="1"/>
    <x v="12"/>
    <m/>
    <m/>
    <m/>
    <x v="2"/>
    <n v="0"/>
    <s v="HH20241208 T3831887820 No Limit Hold'em $0.46 + $0.04.txt"/>
  </r>
  <r>
    <n v="3751"/>
    <n v="42.909999999999968"/>
    <s v="09.12.2024"/>
    <n v="9"/>
    <x v="11"/>
    <x v="1"/>
    <x v="2"/>
    <n v="-2"/>
    <n v="4"/>
    <m/>
    <x v="1"/>
    <n v="1"/>
    <s v="HH20241209 T3832039121 No Limit Hold'em $1.84 + $0.16.txt"/>
  </r>
  <r>
    <n v="3752"/>
    <n v="42.909999999999968"/>
    <s v="09.12.2024"/>
    <n v="9"/>
    <x v="11"/>
    <x v="1"/>
    <x v="12"/>
    <m/>
    <m/>
    <m/>
    <x v="2"/>
    <n v="0"/>
    <s v="HH20241209 T3832039961 No Limit Hold'em $0.46 + $0.04.txt"/>
  </r>
  <r>
    <n v="3753"/>
    <n v="32.909999999999968"/>
    <s v="09.12.2024"/>
    <n v="9"/>
    <x v="11"/>
    <x v="1"/>
    <x v="10"/>
    <n v="-10"/>
    <m/>
    <m/>
    <x v="2"/>
    <n v="-1"/>
    <s v="HH20241209 Aludra - $0.05-$0.10 - USD No Limit Hold'em.txt"/>
  </r>
  <r>
    <n v="3754"/>
    <n v="34.929999999999964"/>
    <s v="09.12.2024"/>
    <n v="9"/>
    <x v="11"/>
    <x v="1"/>
    <x v="10"/>
    <n v="-10"/>
    <n v="12.02"/>
    <m/>
    <x v="1"/>
    <n v="0.20199999999999996"/>
    <s v="HH20241209 Aludra #2 - $0.05-$0.10 - USD No Limit Hold'em.txt"/>
  </r>
  <r>
    <n v="3755"/>
    <n v="24.929999999999964"/>
    <s v="09.12.2024"/>
    <n v="9"/>
    <x v="11"/>
    <x v="1"/>
    <x v="10"/>
    <n v="-10"/>
    <m/>
    <m/>
    <x v="2"/>
    <n v="-1"/>
    <s v="HH20241209 Aludra - $0.05-$0.10 - USD No Limit Hold'em.txt"/>
  </r>
  <r>
    <n v="3756"/>
    <n v="30.939999999999966"/>
    <s v="09.12.2024"/>
    <n v="9"/>
    <x v="11"/>
    <x v="1"/>
    <x v="10"/>
    <n v="-24.93"/>
    <n v="30.94"/>
    <m/>
    <x v="1"/>
    <n v="0.24107501002807874"/>
    <s v="HH20241209 Hydra - $0.10-$0.25 - USD No Limit Hold'em.txt"/>
  </r>
  <r>
    <n v="3757"/>
    <n v="34.939999999999969"/>
    <s v="10.12.2024"/>
    <n v="10"/>
    <x v="11"/>
    <x v="1"/>
    <x v="2"/>
    <n v="-2"/>
    <n v="6"/>
    <m/>
    <x v="1"/>
    <n v="2"/>
    <s v="HH20241210 T3832404260 No Limit Hold'em $1.84 + $0.16.txt"/>
  </r>
  <r>
    <n v="3758"/>
    <n v="34.939999999999969"/>
    <s v="10.12.2024"/>
    <n v="10"/>
    <x v="11"/>
    <x v="1"/>
    <x v="12"/>
    <m/>
    <m/>
    <m/>
    <x v="2"/>
    <n v="0"/>
    <s v="HH20241210 T3832405536 No Limit Hold'em $0.46 + $0.04.txt"/>
  </r>
  <r>
    <n v="3759"/>
    <n v="38.699999999999967"/>
    <s v="10.12.2024"/>
    <n v="10"/>
    <x v="11"/>
    <x v="1"/>
    <x v="10"/>
    <n v="-10"/>
    <n v="13.76"/>
    <m/>
    <x v="1"/>
    <n v="0.37599999999999989"/>
    <s v="HH20241210 Aludra - $0.05-$0.10 - USD No Limit Hold'em.txt"/>
  </r>
  <r>
    <n v="3760"/>
    <n v="44.369999999999969"/>
    <s v="10.12.2024"/>
    <n v="10"/>
    <x v="11"/>
    <x v="1"/>
    <x v="10"/>
    <n v="-10"/>
    <n v="15.67"/>
    <m/>
    <x v="1"/>
    <n v="0.56699999999999995"/>
    <s v="HH20241210 Aludra #2 - $0.05-$0.10 - USD No Limit Hold'em.txt"/>
  </r>
  <r>
    <n v="3761"/>
    <n v="42.369999999999969"/>
    <s v="11.12.2024"/>
    <n v="11"/>
    <x v="11"/>
    <x v="1"/>
    <x v="2"/>
    <n v="-2"/>
    <m/>
    <m/>
    <x v="2"/>
    <n v="-1"/>
    <s v="HH20241211 T3832830756 No Limit Hold'em $1.84 + $0.16.txt"/>
  </r>
  <r>
    <n v="3762"/>
    <n v="42.369999999999969"/>
    <s v="11.12.2024"/>
    <n v="11"/>
    <x v="11"/>
    <x v="1"/>
    <x v="12"/>
    <m/>
    <m/>
    <m/>
    <x v="2"/>
    <n v="0"/>
    <s v="HH20241211 T3832833353 No Limit Hold'em $0.46 + $0.04.txt"/>
  </r>
  <r>
    <n v="3763"/>
    <n v="40.369999999999969"/>
    <s v="12.12.2024"/>
    <n v="12"/>
    <x v="11"/>
    <x v="1"/>
    <x v="2"/>
    <n v="-2"/>
    <m/>
    <m/>
    <x v="2"/>
    <n v="-1"/>
    <s v="HH20241212 T3833115421 No Limit Hold'em $1.84 + $0.16.txt"/>
  </r>
  <r>
    <n v="3764"/>
    <n v="39.869999999999969"/>
    <s v="12.12.2024"/>
    <n v="12"/>
    <x v="11"/>
    <x v="1"/>
    <x v="12"/>
    <n v="-0.5"/>
    <m/>
    <m/>
    <x v="2"/>
    <n v="-1"/>
    <s v="HH20241212 T3833116404 No Limit Hold'em $0.46 + $0.04.txt"/>
  </r>
  <r>
    <n v="3765"/>
    <n v="39.869999999999969"/>
    <s v="12.12.2024"/>
    <n v="12"/>
    <x v="11"/>
    <x v="1"/>
    <x v="12"/>
    <m/>
    <m/>
    <m/>
    <x v="1"/>
    <n v="0"/>
    <s v="HH20241212 T3833116798 No Limit Hold'em $0.46 + $0.04.txt"/>
  </r>
  <r>
    <n v="3766"/>
    <n v="39.869999999999969"/>
    <s v="12.12.2024"/>
    <n v="12"/>
    <x v="11"/>
    <x v="1"/>
    <x v="13"/>
    <m/>
    <m/>
    <m/>
    <x v="2"/>
    <n v="0"/>
    <s v="HH20241212 T3833117353 No Limit Hold'em $0.96 + $0.04.txt"/>
  </r>
  <r>
    <n v="3767"/>
    <n v="41.869999999999969"/>
    <s v="13.12.2024"/>
    <n v="13"/>
    <x v="11"/>
    <x v="1"/>
    <x v="2"/>
    <n v="-2"/>
    <n v="4"/>
    <m/>
    <x v="1"/>
    <n v="1"/>
    <s v="HH20241213 T3833560026 No Limit Hold'em $1.84 + $0.16.txt"/>
  </r>
  <r>
    <n v="3768"/>
    <n v="41.869999999999969"/>
    <s v="13.12.2024"/>
    <n v="13"/>
    <x v="11"/>
    <x v="1"/>
    <x v="12"/>
    <m/>
    <m/>
    <m/>
    <x v="2"/>
    <n v="0"/>
    <s v="HH20241213 T3833562791 No Limit Hold'em $0.46 + $0.04.txt"/>
  </r>
  <r>
    <n v="3769"/>
    <n v="34.319999999999972"/>
    <s v="13.12.2024"/>
    <n v="13"/>
    <x v="11"/>
    <x v="1"/>
    <x v="10"/>
    <n v="-10"/>
    <n v="2.4500000000000002"/>
    <m/>
    <x v="2"/>
    <n v="-0.755"/>
    <s v="HH20241213 Aludra - $0.05-$0.10 - USD No Limit Hold'em.txt"/>
  </r>
  <r>
    <n v="3770"/>
    <n v="38.159999999999968"/>
    <s v="13.12.2024"/>
    <n v="13"/>
    <x v="11"/>
    <x v="1"/>
    <x v="10"/>
    <n v="-10"/>
    <n v="13.84"/>
    <m/>
    <x v="1"/>
    <n v="0.3839999999999999"/>
    <s v="HH20241213 Aludra #2 - $0.05-$0.10 - USD No Limit Hold'em.txt"/>
  </r>
  <r>
    <n v="3771"/>
    <n v="44.449999999999967"/>
    <s v="13.12.2024"/>
    <n v="13"/>
    <x v="11"/>
    <x v="1"/>
    <x v="10"/>
    <n v="-10"/>
    <n v="16.29"/>
    <m/>
    <x v="1"/>
    <n v="0.629"/>
    <s v="HH20241213 Aludra - $0.05-$0.10 - USD No Limit Hold'em2.txt"/>
  </r>
  <r>
    <n v="3772"/>
    <n v="42.449999999999967"/>
    <s v="14.12.2024"/>
    <n v="14"/>
    <x v="11"/>
    <x v="1"/>
    <x v="2"/>
    <n v="-2"/>
    <m/>
    <m/>
    <x v="2"/>
    <n v="-1"/>
    <s v="HH20241214 T3833862138 No Limit Hold'em $1.84 + $0.16.txt"/>
  </r>
  <r>
    <n v="3773"/>
    <n v="42.449999999999967"/>
    <s v="14.12.2024"/>
    <n v="14"/>
    <x v="11"/>
    <x v="1"/>
    <x v="12"/>
    <m/>
    <m/>
    <m/>
    <x v="1"/>
    <n v="0"/>
    <s v="HH20241214 T3833863144 No Limit Hold'em $0.46 + $0.04.txt"/>
  </r>
  <r>
    <n v="3774"/>
    <n v="42.449999999999967"/>
    <s v="14.12.2024"/>
    <n v="14"/>
    <x v="11"/>
    <x v="1"/>
    <x v="13"/>
    <m/>
    <m/>
    <m/>
    <x v="2"/>
    <n v="0"/>
    <s v="HH20241214 T3833864055 No Limit Hold'em $0.96 + $0.04.txt"/>
  </r>
  <r>
    <n v="3775"/>
    <n v="32.449999999999967"/>
    <s v="14.12.2024"/>
    <n v="14"/>
    <x v="11"/>
    <x v="1"/>
    <x v="10"/>
    <n v="-10"/>
    <m/>
    <m/>
    <x v="2"/>
    <n v="-1"/>
    <s v="HH20241214 Aludra - $0.05-$0.10 - USD No Limit Hold'em.txt"/>
  </r>
  <r>
    <n v="3776"/>
    <n v="34.449999999999967"/>
    <s v="14.12.2024"/>
    <n v="14"/>
    <x v="11"/>
    <x v="1"/>
    <x v="2"/>
    <n v="-2"/>
    <n v="4"/>
    <m/>
    <x v="1"/>
    <n v="1"/>
    <s v="HH20241214 T3833979524 No Limit Hold'em $1.84 + $0.16.txt"/>
  </r>
  <r>
    <n v="3777"/>
    <n v="36.449999999999967"/>
    <s v="14.12.2024"/>
    <n v="14"/>
    <x v="11"/>
    <x v="1"/>
    <x v="2"/>
    <n v="-2"/>
    <n v="4"/>
    <m/>
    <x v="1"/>
    <n v="1"/>
    <s v="HH20241214 T3833988011 No Limit Hold'em $1.84 + $0.16.txt"/>
  </r>
  <r>
    <n v="3778"/>
    <n v="36.519999999999968"/>
    <s v="14.12.2024"/>
    <n v="14"/>
    <x v="11"/>
    <x v="1"/>
    <x v="10"/>
    <n v="-10"/>
    <n v="10.07"/>
    <m/>
    <x v="1"/>
    <n v="7.0000000000001172E-3"/>
    <s v="HH20241214 Aludra - $0.05-$0.10 - USD No Limit Hold'em2.txt"/>
  </r>
  <r>
    <n v="3779"/>
    <n v="34.519999999999968"/>
    <s v="14.12.2024"/>
    <n v="14"/>
    <x v="11"/>
    <x v="1"/>
    <x v="2"/>
    <n v="-2"/>
    <m/>
    <m/>
    <x v="2"/>
    <n v="-1"/>
    <s v="HH20241214 T3834049908 No Limit Hold'em $1.84 + $0.16.txt"/>
  </r>
  <r>
    <n v="3780"/>
    <n v="38.389999999999965"/>
    <s v="14.12.2024"/>
    <n v="14"/>
    <x v="11"/>
    <x v="1"/>
    <x v="10"/>
    <n v="-10"/>
    <n v="13.87"/>
    <m/>
    <x v="1"/>
    <n v="0.38700000000000001"/>
    <s v="HH20241214 Aludra - $0.05-$0.10 - USD No Limit Hold'em3.txt"/>
  </r>
  <r>
    <n v="3781"/>
    <n v="36.389999999999965"/>
    <s v="15.12.2024"/>
    <n v="15"/>
    <x v="11"/>
    <x v="1"/>
    <x v="2"/>
    <n v="-2"/>
    <m/>
    <m/>
    <x v="2"/>
    <n v="-1"/>
    <s v="HH20241215 T3834389390 No Limit Hold'em $1.84 + $0.16.txt"/>
  </r>
  <r>
    <n v="3782"/>
    <n v="36.389999999999965"/>
    <s v="15.12.2024"/>
    <n v="15"/>
    <x v="11"/>
    <x v="1"/>
    <x v="12"/>
    <m/>
    <m/>
    <m/>
    <x v="2"/>
    <n v="0"/>
    <s v="HH20241215 T3834417643 No Limit Hold'em $0.46 + $0.04.txt"/>
  </r>
  <r>
    <n v="3783"/>
    <n v="36.389999999999965"/>
    <s v="15.12.2024"/>
    <n v="15"/>
    <x v="11"/>
    <x v="1"/>
    <x v="13"/>
    <m/>
    <m/>
    <m/>
    <x v="1"/>
    <n v="0"/>
    <s v="HH20241215 T3833129524 No Limit Hold'em $1.40 + $0.10.txt"/>
  </r>
  <r>
    <n v="3784"/>
    <n v="36.389999999999965"/>
    <s v="15.12.2024"/>
    <n v="15"/>
    <x v="11"/>
    <x v="1"/>
    <x v="14"/>
    <m/>
    <m/>
    <m/>
    <x v="2"/>
    <n v="0"/>
    <s v="HH20241215 T3833129460 No Limit Hold'em $10.27 + $0.73.txt"/>
  </r>
  <r>
    <n v="3785"/>
    <n v="37.779999999999966"/>
    <s v="15.12.2024"/>
    <n v="15"/>
    <x v="11"/>
    <x v="1"/>
    <x v="10"/>
    <n v="-10"/>
    <n v="11.39"/>
    <m/>
    <x v="1"/>
    <n v="0.13900000000000001"/>
    <s v="HH20241215 Aludra - $0.05-$0.10 - USD No Limit Hold'em.txt"/>
  </r>
  <r>
    <n v="3786"/>
    <n v="43.779999999999966"/>
    <s v="16.12.2024"/>
    <n v="16"/>
    <x v="11"/>
    <x v="1"/>
    <x v="2"/>
    <n v="-2"/>
    <n v="8"/>
    <m/>
    <x v="1"/>
    <n v="3"/>
    <s v="HH20241216 T3834695009 No Limit Hold'em $1.84 + $0.16.txt"/>
  </r>
  <r>
    <n v="3787"/>
    <n v="43.779999999999966"/>
    <s v="16.12.2024"/>
    <n v="16"/>
    <x v="11"/>
    <x v="1"/>
    <x v="12"/>
    <m/>
    <m/>
    <m/>
    <x v="2"/>
    <n v="0"/>
    <s v="HH20241216 T3834697011 No Limit Hold'em $0.46 + $0.04.txt"/>
  </r>
  <r>
    <n v="3788"/>
    <n v="41.779999999999966"/>
    <s v="17.12.2024"/>
    <n v="17"/>
    <x v="11"/>
    <x v="1"/>
    <x v="2"/>
    <n v="-2"/>
    <m/>
    <m/>
    <x v="2"/>
    <n v="-1"/>
    <s v="HH20241217 T3834944688 No Limit Hold'em $1.84 + $0.16.txt"/>
  </r>
  <r>
    <n v="3789"/>
    <n v="41.779999999999966"/>
    <s v="17.12.2024"/>
    <n v="17"/>
    <x v="11"/>
    <x v="1"/>
    <x v="12"/>
    <m/>
    <m/>
    <m/>
    <x v="1"/>
    <n v="0"/>
    <s v="HH20241217 T3834946176 No Limit Hold'em $0.46 + $0.04.txt"/>
  </r>
  <r>
    <n v="3790"/>
    <n v="41.779999999999966"/>
    <s v="17.12.2024"/>
    <n v="17"/>
    <x v="11"/>
    <x v="1"/>
    <x v="13"/>
    <m/>
    <m/>
    <m/>
    <x v="2"/>
    <n v="0"/>
    <s v="HH20241217 T3834947094 No Limit Hold'em $0.96 + $0.04.txt"/>
  </r>
  <r>
    <n v="3791"/>
    <n v="39.779999999999966"/>
    <s v="18.12.2024"/>
    <n v="18"/>
    <x v="11"/>
    <x v="1"/>
    <x v="2"/>
    <n v="-2"/>
    <m/>
    <m/>
    <x v="2"/>
    <n v="-1"/>
    <s v="HH20241218 T3835239130 No Limit Hold'em $1.84 + $0.16.txt"/>
  </r>
  <r>
    <n v="3792"/>
    <n v="39.779999999999966"/>
    <s v="18.12.2024"/>
    <n v="18"/>
    <x v="11"/>
    <x v="1"/>
    <x v="12"/>
    <m/>
    <m/>
    <m/>
    <x v="1"/>
    <n v="0"/>
    <s v="HH20241218 T3835239939 No Limit Hold'em $0.46 + $0.04.txt"/>
  </r>
  <r>
    <n v="3793"/>
    <n v="39.779999999999966"/>
    <s v="18.12.2024"/>
    <n v="18"/>
    <x v="11"/>
    <x v="1"/>
    <x v="13"/>
    <m/>
    <m/>
    <m/>
    <x v="2"/>
    <n v="0"/>
    <s v="HH20241218 T3835240522 No Limit Hold'em $0.96 + $0.04.txt"/>
  </r>
  <r>
    <n v="3794"/>
    <n v="42.429999999999964"/>
    <s v="18.12.2024"/>
    <n v="18"/>
    <x v="11"/>
    <x v="1"/>
    <x v="10"/>
    <n v="-10"/>
    <n v="12.65"/>
    <m/>
    <x v="1"/>
    <n v="0.26500000000000012"/>
    <s v="HH20241218 Aludra - $0.05-$0.10 - USD No Limit Hold'em.txt"/>
  </r>
  <r>
    <n v="3795"/>
    <n v="37.189999999999962"/>
    <s v="18.12.2024"/>
    <n v="18"/>
    <x v="11"/>
    <x v="1"/>
    <x v="10"/>
    <n v="-10"/>
    <n v="4.76"/>
    <m/>
    <x v="2"/>
    <n v="-0.52400000000000002"/>
    <s v="HH20241218 Aludra - $0.05-$0.10 - USD No Limit Hold'em2.txt"/>
  </r>
  <r>
    <n v="3796"/>
    <n v="43.369999999999962"/>
    <s v="18.12.2024"/>
    <n v="18"/>
    <x v="11"/>
    <x v="1"/>
    <x v="10"/>
    <n v="-10"/>
    <n v="16.18"/>
    <m/>
    <x v="1"/>
    <n v="0.61799999999999988"/>
    <s v="HH20241218 Aludra #2 - $0.05-$0.10 - USD No Limit Hold'em.txt"/>
  </r>
  <r>
    <n v="3797"/>
    <n v="38.05999999999996"/>
    <s v="18.12.2024"/>
    <n v="18"/>
    <x v="11"/>
    <x v="1"/>
    <x v="10"/>
    <n v="-10"/>
    <n v="4.6900000000000004"/>
    <m/>
    <x v="2"/>
    <n v="-0.53099999999999992"/>
    <s v="HH20241218 Aludra #3 - $0.05-$0.10 - USD No Limit Hold'em.txt"/>
  </r>
  <r>
    <n v="3798"/>
    <n v="41.649999999999963"/>
    <s v="18.12.2024"/>
    <n v="18"/>
    <x v="11"/>
    <x v="1"/>
    <x v="10"/>
    <n v="-10"/>
    <n v="13.59"/>
    <m/>
    <x v="1"/>
    <n v="0.35899999999999999"/>
    <s v="HH20241218 Aludra #4 - $0.05-$0.10 - USD No Limit Hold'em.txt"/>
  </r>
  <r>
    <n v="3799"/>
    <n v="43.649999999999963"/>
    <s v="20.12.2024"/>
    <n v="20"/>
    <x v="11"/>
    <x v="1"/>
    <x v="2"/>
    <n v="-2"/>
    <n v="4"/>
    <m/>
    <x v="1"/>
    <n v="1"/>
    <s v="HH20241220 T3836028420 No Limit Hold'em $1.84 + $0.16.txt"/>
  </r>
  <r>
    <n v="3800"/>
    <n v="43.649999999999963"/>
    <s v="20.12.2024"/>
    <n v="20"/>
    <x v="11"/>
    <x v="1"/>
    <x v="12"/>
    <m/>
    <m/>
    <m/>
    <x v="1"/>
    <n v="0"/>
    <s v="HH20241220 T3836029620 No Limit Hold'em $0.46 + $0.04.txt"/>
  </r>
  <r>
    <n v="3801"/>
    <n v="43.649999999999963"/>
    <s v="20.12.2024"/>
    <n v="20"/>
    <x v="11"/>
    <x v="1"/>
    <x v="13"/>
    <m/>
    <m/>
    <m/>
    <x v="2"/>
    <n v="0"/>
    <s v="HH20241220 T3836030857 No Limit Hold'em $0.96 + $0.04.txt"/>
  </r>
  <r>
    <n v="3802"/>
    <n v="36.989999999999966"/>
    <s v="20.12.2024"/>
    <n v="20"/>
    <x v="11"/>
    <x v="1"/>
    <x v="10"/>
    <n v="-10"/>
    <n v="3.34"/>
    <m/>
    <x v="2"/>
    <n v="-0.66600000000000004"/>
    <s v="HH20241220 Aludra - $0.05-$0.10 - USD No Limit Hold'em.txt"/>
  </r>
  <r>
    <n v="3803"/>
    <n v="37.989999999999966"/>
    <s v="20.12.2024"/>
    <n v="20"/>
    <x v="11"/>
    <x v="1"/>
    <x v="18"/>
    <m/>
    <n v="1"/>
    <m/>
    <x v="1"/>
    <m/>
    <m/>
  </r>
  <r>
    <n v="3804"/>
    <n v="30.669999999999966"/>
    <s v="20.12.2024"/>
    <n v="20"/>
    <x v="11"/>
    <x v="1"/>
    <x v="10"/>
    <n v="-10"/>
    <n v="2.68"/>
    <m/>
    <x v="2"/>
    <n v="-0.73199999999999998"/>
    <s v="HH20241220 Aludra #2 - $0.05-$0.10 - USD No Limit Hold'em.txt"/>
  </r>
  <r>
    <n v="3805"/>
    <n v="32.669999999999966"/>
    <s v="20.12.2024"/>
    <n v="20"/>
    <x v="11"/>
    <x v="1"/>
    <x v="2"/>
    <n v="-2"/>
    <n v="4"/>
    <m/>
    <x v="1"/>
    <n v="1"/>
    <s v="HH20241220 T3836050204 No Limit Hold'em $1.84 + $0.16.txt"/>
  </r>
  <r>
    <n v="3806"/>
    <n v="30.669999999999966"/>
    <s v="20.12.2024"/>
    <n v="20"/>
    <x v="11"/>
    <x v="1"/>
    <x v="2"/>
    <n v="-2"/>
    <m/>
    <m/>
    <x v="2"/>
    <n v="-1"/>
    <s v="HH20241220 T3836051808 No Limit Hold'em $1.84 + $0.16.txt"/>
  </r>
  <r>
    <n v="3807"/>
    <n v="34.669999999999966"/>
    <s v="20.12.2024"/>
    <n v="20"/>
    <x v="11"/>
    <x v="1"/>
    <x v="2"/>
    <n v="-2"/>
    <n v="6"/>
    <m/>
    <x v="1"/>
    <n v="2"/>
    <s v="HH20241220 T3836054389 No Limit Hold'em $1.84 + $0.16.txt"/>
  </r>
  <r>
    <n v="3808"/>
    <n v="30.499999999999964"/>
    <s v="20.12.2024"/>
    <n v="20"/>
    <x v="11"/>
    <x v="1"/>
    <x v="10"/>
    <n v="-20"/>
    <n v="15.83"/>
    <m/>
    <x v="2"/>
    <n v="-0.20850000000000002"/>
    <s v="HH20241220 Aludra - $0.05-$0.10 - USD No Limit Hold'em2.txt"/>
  </r>
  <r>
    <n v="3809"/>
    <n v="28.499999999999964"/>
    <s v="20.12.2024"/>
    <n v="20"/>
    <x v="11"/>
    <x v="1"/>
    <x v="2"/>
    <n v="-2"/>
    <m/>
    <m/>
    <x v="2"/>
    <n v="-1"/>
    <s v="HH20241220 T3836096648 No Limit Hold'em $1.84 + $0.16.txt"/>
  </r>
  <r>
    <n v="3810"/>
    <n v="29.439999999999962"/>
    <s v="20.12.2024"/>
    <n v="20"/>
    <x v="11"/>
    <x v="1"/>
    <x v="10"/>
    <n v="-10"/>
    <n v="10.94"/>
    <m/>
    <x v="1"/>
    <n v="9.3999999999999861E-2"/>
    <s v="HH20241220 Aludra - $0.05-$0.10 - USD No Limit Hold'em3.txt"/>
  </r>
  <r>
    <n v="3811"/>
    <n v="27.439999999999962"/>
    <s v="22.12.2024"/>
    <n v="22"/>
    <x v="11"/>
    <x v="1"/>
    <x v="2"/>
    <n v="-2"/>
    <m/>
    <m/>
    <x v="2"/>
    <n v="-1"/>
    <s v="HH20241222 T3836809566 No Limit Hold'em $1.84 + $0.16.txt"/>
  </r>
  <r>
    <n v="3812"/>
    <n v="27.439999999999962"/>
    <s v="22.12.2024"/>
    <n v="22"/>
    <x v="11"/>
    <x v="1"/>
    <x v="12"/>
    <m/>
    <m/>
    <m/>
    <x v="2"/>
    <n v="0"/>
    <s v="HH20241222 T3836811005 No Limit Hold'em $0.46 + $0.04.txt"/>
  </r>
  <r>
    <n v="3813"/>
    <n v="27.439999999999962"/>
    <s v="22.12.2024"/>
    <n v="22"/>
    <x v="11"/>
    <x v="1"/>
    <x v="13"/>
    <m/>
    <m/>
    <m/>
    <x v="2"/>
    <n v="0"/>
    <s v="HH20241222 T3836812532 No Limit Hold'em $0.96 + $0.04.txt"/>
  </r>
  <r>
    <n v="3814"/>
    <n v="29.439999999999962"/>
    <s v="23.12.2024"/>
    <n v="23"/>
    <x v="11"/>
    <x v="1"/>
    <x v="2"/>
    <n v="-2"/>
    <n v="4"/>
    <m/>
    <x v="1"/>
    <n v="1"/>
    <s v="HH20241223 T3837192834 No Limit Hold'em $1.84 + $0.16.txt"/>
  </r>
  <r>
    <n v="3815"/>
    <n v="29.439999999999962"/>
    <s v="23.12.2024"/>
    <n v="23"/>
    <x v="11"/>
    <x v="1"/>
    <x v="12"/>
    <m/>
    <m/>
    <m/>
    <x v="2"/>
    <n v="0"/>
    <s v="HH20241223 T3837193765 No Limit Hold'em $0.46 + $0.04.txt"/>
  </r>
  <r>
    <n v="3816"/>
    <n v="21.029999999999962"/>
    <s v="23.12.2024"/>
    <n v="23"/>
    <x v="11"/>
    <x v="1"/>
    <x v="10"/>
    <n v="-20"/>
    <n v="11.59"/>
    <m/>
    <x v="2"/>
    <n v="-0.42049999999999998"/>
    <s v="HH20241223 Aludra - $0.05-$0.10 - USD No Limit Hold'em.txt"/>
  </r>
  <r>
    <n v="3817"/>
    <n v="22.029999999999962"/>
    <s v="23.12.2024"/>
    <n v="23"/>
    <x v="11"/>
    <x v="1"/>
    <x v="18"/>
    <m/>
    <n v="1"/>
    <m/>
    <x v="1"/>
    <m/>
    <m/>
  </r>
  <r>
    <n v="3818"/>
    <n v="20.029999999999962"/>
    <s v="24.12.2024"/>
    <n v="24"/>
    <x v="11"/>
    <x v="1"/>
    <x v="2"/>
    <n v="-2"/>
    <m/>
    <m/>
    <x v="2"/>
    <n v="-1"/>
    <s v="HH20241224 T3837596464 No Limit Hold'em $1.84 + $0.16.txt"/>
  </r>
  <r>
    <n v="3819"/>
    <n v="20.029999999999962"/>
    <s v="24.12.2024"/>
    <n v="24"/>
    <x v="11"/>
    <x v="1"/>
    <x v="12"/>
    <m/>
    <m/>
    <m/>
    <x v="2"/>
    <n v="0"/>
    <s v="HH20241224 T3837597409 No Limit Hold'em $0.46 + $0.04.txt"/>
  </r>
  <r>
    <n v="3820"/>
    <n v="22.029999999999962"/>
    <s v="25.12.2024"/>
    <n v="25"/>
    <x v="11"/>
    <x v="1"/>
    <x v="2"/>
    <n v="-2"/>
    <n v="4"/>
    <m/>
    <x v="1"/>
    <n v="1"/>
    <s v="HH20241225 T3837965942 No Limit Hold'em $1.84 + $0.16.txt"/>
  </r>
  <r>
    <n v="3821"/>
    <n v="22.029999999999962"/>
    <s v="25.12.2024"/>
    <n v="25"/>
    <x v="11"/>
    <x v="1"/>
    <x v="12"/>
    <m/>
    <m/>
    <m/>
    <x v="1"/>
    <n v="0"/>
    <s v="HH20241225 T3837967628 No Limit Hold'em $0.46 + $0.04.txt"/>
  </r>
  <r>
    <n v="3822"/>
    <n v="23.389999999999961"/>
    <s v="25.12.2024"/>
    <n v="25"/>
    <x v="11"/>
    <x v="1"/>
    <x v="13"/>
    <m/>
    <n v="1.36"/>
    <m/>
    <x v="1"/>
    <n v="0"/>
    <s v="HH20241225 T3837967962 No Limit Hold'em $0.96 + $0.04.txt"/>
  </r>
  <r>
    <n v="3823"/>
    <n v="21.389999999999961"/>
    <s v="26.12.2024"/>
    <n v="26"/>
    <x v="11"/>
    <x v="1"/>
    <x v="2"/>
    <n v="-2"/>
    <m/>
    <m/>
    <x v="2"/>
    <n v="-1"/>
    <s v="HH20241226 T3838386833 No Limit Hold'em $1.84 + $0.16.txt"/>
  </r>
  <r>
    <n v="3824"/>
    <n v="21.389999999999961"/>
    <s v="26.12.2024"/>
    <n v="26"/>
    <x v="11"/>
    <x v="1"/>
    <x v="12"/>
    <m/>
    <m/>
    <m/>
    <x v="1"/>
    <n v="0"/>
    <s v="HH20241226 T3838388962 No Limit Hold'em $0.46 + $0.04.txt"/>
  </r>
  <r>
    <n v="3825"/>
    <n v="21.389999999999961"/>
    <s v="26.12.2024"/>
    <n v="26"/>
    <x v="11"/>
    <x v="1"/>
    <x v="13"/>
    <m/>
    <m/>
    <m/>
    <x v="2"/>
    <n v="0"/>
    <s v="HH20241226 T3838391280 No Limit Hold'em $0.96 + $0.04.txt"/>
  </r>
  <r>
    <n v="3826"/>
    <n v="24.829999999999963"/>
    <s v="26.12.2024"/>
    <n v="26"/>
    <x v="11"/>
    <x v="1"/>
    <x v="10"/>
    <n v="-10"/>
    <n v="13.44"/>
    <m/>
    <x v="1"/>
    <n v="0.34399999999999986"/>
    <s v="HH20241226 Aludra - $0.05-$0.10 - USD No Limit Hold'em.txt"/>
  </r>
  <r>
    <n v="3827"/>
    <n v="27.809999999999963"/>
    <s v="26.12.2024"/>
    <n v="26"/>
    <x v="11"/>
    <x v="1"/>
    <x v="10"/>
    <n v="-10"/>
    <n v="12.98"/>
    <m/>
    <x v="1"/>
    <n v="0.29800000000000004"/>
    <s v="HH20241226 Aludra #2 - $0.05-$0.10 - USD No Limit Hold'em.txt"/>
  </r>
  <r>
    <n v="3828"/>
    <n v="27.319999999999965"/>
    <s v="26.12.2024"/>
    <n v="26"/>
    <x v="11"/>
    <x v="1"/>
    <x v="10"/>
    <n v="-10"/>
    <n v="9.51"/>
    <m/>
    <x v="2"/>
    <n v="-4.9000000000000044E-2"/>
    <s v="HH20241226 Aludra #3 - $0.05-$0.10 - USD No Limit Hold'em.txt"/>
  </r>
  <r>
    <n v="3829"/>
    <n v="28.319999999999965"/>
    <s v="26.12.2024"/>
    <n v="26"/>
    <x v="11"/>
    <x v="1"/>
    <x v="18"/>
    <m/>
    <n v="1"/>
    <m/>
    <x v="1"/>
    <m/>
    <m/>
  </r>
  <r>
    <n v="3830"/>
    <n v="20.749999999999964"/>
    <s v="26.12.2024"/>
    <n v="26"/>
    <x v="11"/>
    <x v="1"/>
    <x v="10"/>
    <n v="-10"/>
    <n v="2.4300000000000002"/>
    <m/>
    <x v="2"/>
    <n v="-0.75700000000000001"/>
    <s v="HH20241226 Aludra - $0.05-$0.10 - USD No Limit Hold'em2.txt"/>
  </r>
  <r>
    <n v="3831"/>
    <n v="8.5099999999999643"/>
    <s v="26.12.2024"/>
    <n v="26"/>
    <x v="11"/>
    <x v="1"/>
    <x v="10"/>
    <n v="-15"/>
    <n v="2.76"/>
    <m/>
    <x v="2"/>
    <n v="-0.81600000000000006"/>
    <s v="HH20241226 Aludra - $0.05-$0.10 - USD No Limit Hold'em3.txt"/>
  </r>
  <r>
    <n v="3832"/>
    <n v="119.77"/>
    <s v="26.12.2024"/>
    <n v="26"/>
    <x v="11"/>
    <x v="1"/>
    <x v="1"/>
    <m/>
    <n v="111.26000000000003"/>
    <m/>
    <x v="0"/>
    <m/>
    <m/>
  </r>
  <r>
    <n v="3833"/>
    <n v="117.77"/>
    <s v="27.12.2024"/>
    <n v="27"/>
    <x v="11"/>
    <x v="1"/>
    <x v="2"/>
    <n v="-2"/>
    <m/>
    <m/>
    <x v="2"/>
    <n v="-1"/>
    <s v="HH20241227 T3838733263 No Limit Hold'em $1.84 + $0.16.txt"/>
  </r>
  <r>
    <n v="3834"/>
    <n v="117.77"/>
    <s v="27.12.2024"/>
    <n v="27"/>
    <x v="11"/>
    <x v="1"/>
    <x v="12"/>
    <m/>
    <m/>
    <m/>
    <x v="1"/>
    <n v="0"/>
    <s v="HH20241227 T3838734221 No Limit Hold'em $0.46 + $0.04.txt"/>
  </r>
  <r>
    <n v="3835"/>
    <n v="121.63"/>
    <s v="27.12.2024"/>
    <n v="27"/>
    <x v="11"/>
    <x v="1"/>
    <x v="10"/>
    <n v="-10"/>
    <n v="13.86"/>
    <m/>
    <x v="1"/>
    <n v="0.3859999999999999"/>
    <s v="HH20241227 Aludra - $0.05-$0.10 - USD No Limit Hold'em.txt"/>
  </r>
  <r>
    <n v="3836"/>
    <n v="121.63"/>
    <s v="27.12.2024"/>
    <n v="27"/>
    <x v="11"/>
    <x v="1"/>
    <x v="13"/>
    <m/>
    <m/>
    <m/>
    <x v="2"/>
    <n v="0"/>
    <s v="HH20241227 T3836147770 No Limit Hold'em $1.40 + $0.10.txt"/>
  </r>
  <r>
    <n v="3837"/>
    <n v="121.63"/>
    <s v="27.12.2024"/>
    <n v="27"/>
    <x v="11"/>
    <x v="1"/>
    <x v="14"/>
    <m/>
    <m/>
    <m/>
    <x v="2"/>
    <n v="0"/>
    <s v="HH20241227 T3836147654 No Limit Hold'em $10.27 + $0.73.txt"/>
  </r>
  <r>
    <n v="3838"/>
    <n v="103.78999999999999"/>
    <s v="27.12.2024"/>
    <n v="27"/>
    <x v="11"/>
    <x v="1"/>
    <x v="10"/>
    <n v="-30"/>
    <n v="12.16"/>
    <m/>
    <x v="2"/>
    <n v="-0.59466666666666668"/>
    <s v="HH20241227 Aludra - $0.05-$0.10 - USD No Limit Hold'em2.txt"/>
  </r>
  <r>
    <n v="3839"/>
    <n v="104.78999999999999"/>
    <s v="27.12.2024"/>
    <n v="27"/>
    <x v="11"/>
    <x v="1"/>
    <x v="18"/>
    <m/>
    <n v="1"/>
    <m/>
    <x v="1"/>
    <m/>
    <m/>
  </r>
  <r>
    <n v="3840"/>
    <n v="102.78999999999999"/>
    <s v="28.12.2024"/>
    <n v="28"/>
    <x v="11"/>
    <x v="1"/>
    <x v="2"/>
    <n v="-2"/>
    <m/>
    <m/>
    <x v="2"/>
    <n v="-1"/>
    <s v="HH20241228 T3839210837 No Limit Hold'em $1.84 + $0.16.txt"/>
  </r>
  <r>
    <n v="3841"/>
    <n v="102.78999999999999"/>
    <s v="28.12.2024"/>
    <n v="28"/>
    <x v="11"/>
    <x v="1"/>
    <x v="12"/>
    <m/>
    <m/>
    <m/>
    <x v="2"/>
    <n v="0"/>
    <s v="HH20241228 T3839212827 No Limit Hold'em $0.46 + $0.04.txt"/>
  </r>
  <r>
    <n v="3842"/>
    <n v="102.92999999999999"/>
    <s v="28.12.2024"/>
    <n v="28"/>
    <x v="11"/>
    <x v="1"/>
    <x v="10"/>
    <n v="-10"/>
    <n v="10.14"/>
    <m/>
    <x v="1"/>
    <n v="1.4000000000000012E-2"/>
    <s v="HH20241228 Aludra - $0.05-$0.10 - USD No Limit Hold'em.txt"/>
  </r>
  <r>
    <n v="3843"/>
    <n v="105.14999999999999"/>
    <s v="28.12.2024"/>
    <n v="28"/>
    <x v="11"/>
    <x v="1"/>
    <x v="10"/>
    <n v="-15"/>
    <n v="17.22"/>
    <m/>
    <x v="1"/>
    <n v="0.14799999999999991"/>
    <s v="HH20241228 Aludra - $0.05-$0.10 - USD No Limit Hold'em2.txt"/>
  </r>
  <r>
    <n v="3844"/>
    <n v="108.14999999999999"/>
    <s v="28.12.2024"/>
    <n v="28"/>
    <x v="11"/>
    <x v="1"/>
    <x v="18"/>
    <m/>
    <n v="3"/>
    <m/>
    <x v="1"/>
    <m/>
    <m/>
  </r>
  <r>
    <n v="3845"/>
    <n v="93.149999999999991"/>
    <s v="28.12.2024"/>
    <n v="28"/>
    <x v="11"/>
    <x v="1"/>
    <x v="10"/>
    <n v="-15"/>
    <m/>
    <m/>
    <x v="2"/>
    <n v="-1"/>
    <s v="HH20241228 Aludra #2 - $0.05-$0.10 - USD No Limit Hold'em.txt"/>
  </r>
  <r>
    <n v="3846"/>
    <n v="85.69"/>
    <s v="28.12.2024"/>
    <n v="28"/>
    <x v="11"/>
    <x v="1"/>
    <x v="10"/>
    <n v="-10"/>
    <n v="2.54"/>
    <m/>
    <x v="2"/>
    <n v="-0.746"/>
    <s v="HH20241228 Aludra - $0.05-$0.10 - USD No Limit Hold'em3.txt"/>
  </r>
  <r>
    <n v="3847"/>
    <n v="86.78"/>
    <s v="28.12.2024"/>
    <n v="28"/>
    <x v="11"/>
    <x v="1"/>
    <x v="10"/>
    <n v="-15"/>
    <n v="16.09"/>
    <m/>
    <x v="1"/>
    <n v="7.2666666666666657E-2"/>
    <s v="HH20241228 Aludra #2 - $0.05-$0.10 - USD No Limit Hold'em2.txt"/>
  </r>
  <r>
    <n v="3848"/>
    <n v="71.78"/>
    <s v="28.12.2024"/>
    <n v="28"/>
    <x v="11"/>
    <x v="1"/>
    <x v="10"/>
    <n v="-15"/>
    <m/>
    <m/>
    <x v="2"/>
    <n v="-1"/>
    <s v="HH20241228 Aludra #3 - $0.05-$0.10 - USD No Limit Hold'em.txt"/>
  </r>
  <r>
    <n v="3849"/>
    <n v="74.06"/>
    <s v="28.12.2024"/>
    <n v="28"/>
    <x v="11"/>
    <x v="1"/>
    <x v="10"/>
    <n v="-10"/>
    <n v="12.28"/>
    <m/>
    <x v="1"/>
    <n v="0.22799999999999998"/>
    <s v="HH20241228 Aludra #3 - $0.05-$0.10 - USD No Limit Hold'em2.txt"/>
  </r>
  <r>
    <n v="3850"/>
    <n v="79"/>
    <s v="28.12.2024"/>
    <n v="28"/>
    <x v="11"/>
    <x v="1"/>
    <x v="10"/>
    <n v="-10"/>
    <n v="14.94"/>
    <m/>
    <x v="1"/>
    <n v="0.49399999999999999"/>
    <s v="HH20241228 Aludra - $0.05-$0.10 - USD No Limit Hold'em4.txt"/>
  </r>
  <r>
    <n v="3851"/>
    <n v="78.37"/>
    <s v="28.12.2024"/>
    <n v="28"/>
    <x v="11"/>
    <x v="1"/>
    <x v="10"/>
    <n v="-10"/>
    <n v="9.3699999999999992"/>
    <m/>
    <x v="2"/>
    <n v="-6.3000000000000056E-2"/>
    <s v="HH20241228 Aludra #2 - $0.05-$0.10 - USD No Limit Hold'em3.txt"/>
  </r>
  <r>
    <n v="3852"/>
    <n v="80.37"/>
    <s v="29.12.2024"/>
    <n v="29"/>
    <x v="11"/>
    <x v="1"/>
    <x v="2"/>
    <n v="-2"/>
    <n v="4"/>
    <m/>
    <x v="1"/>
    <n v="1"/>
    <s v="HH20241229 T3839676093 No Limit Hold'em $1.84 + $0.16.txt"/>
  </r>
  <r>
    <n v="3853"/>
    <n v="80.37"/>
    <s v="29.12.2024"/>
    <n v="29"/>
    <x v="11"/>
    <x v="1"/>
    <x v="12"/>
    <m/>
    <m/>
    <m/>
    <x v="2"/>
    <n v="0"/>
    <s v="HH20241229 T3839678244 No Limit Hold'em $0.46 + $0.04.txt"/>
  </r>
  <r>
    <n v="3854"/>
    <n v="84.2"/>
    <s v="29.12.2024"/>
    <n v="29"/>
    <x v="11"/>
    <x v="1"/>
    <x v="10"/>
    <n v="-10"/>
    <n v="13.83"/>
    <m/>
    <x v="1"/>
    <n v="0.38300000000000001"/>
    <s v="HH20241229 Aludra - $0.05-$0.10 - USD No Limit Hold'em.txt"/>
  </r>
  <r>
    <n v="3855"/>
    <n v="87.2"/>
    <s v="29.12.2024"/>
    <n v="29"/>
    <x v="11"/>
    <x v="1"/>
    <x v="18"/>
    <m/>
    <n v="3"/>
    <m/>
    <x v="1"/>
    <m/>
    <m/>
  </r>
  <r>
    <n v="3856"/>
    <n v="78.66"/>
    <s v="29.12.2024"/>
    <n v="29"/>
    <x v="11"/>
    <x v="1"/>
    <x v="10"/>
    <n v="-20"/>
    <n v="11.46"/>
    <m/>
    <x v="2"/>
    <n v="-0.42699999999999994"/>
    <s v="HH20241229 Aludra - $0.05-$0.10 - USD No Limit Hold'em2.txt"/>
  </r>
  <r>
    <n v="3857"/>
    <n v="87.899999999999991"/>
    <s v="29.12.2024"/>
    <n v="29"/>
    <x v="11"/>
    <x v="1"/>
    <x v="10"/>
    <n v="-10"/>
    <n v="19.239999999999998"/>
    <m/>
    <x v="1"/>
    <n v="0.92399999999999993"/>
    <s v="HH20241229 Aludra - $0.05-$0.10 - USD No Limit Hold'em3.txt"/>
  </r>
  <r>
    <n v="3858"/>
    <n v="96.949999999999989"/>
    <s v="29.12.2024"/>
    <n v="29"/>
    <x v="11"/>
    <x v="1"/>
    <x v="10"/>
    <n v="-10"/>
    <n v="19.05"/>
    <m/>
    <x v="1"/>
    <n v="0.90500000000000003"/>
    <s v="HH20241229 Aludra #2 - $0.05-$0.10 - USD No Limit Hold'em.txt"/>
  </r>
  <r>
    <n v="3859"/>
    <n v="103.07"/>
    <s v="29.12.2024"/>
    <n v="29"/>
    <x v="11"/>
    <x v="1"/>
    <x v="10"/>
    <n v="-15"/>
    <n v="21.12"/>
    <m/>
    <x v="1"/>
    <n v="0.40800000000000014"/>
    <s v="HH20241229 Aludra - $0.05-$0.10 - USD No Limit Hold'em4.txt"/>
  </r>
  <r>
    <n v="3860"/>
    <n v="101.07"/>
    <s v="30.12.2024"/>
    <n v="30"/>
    <x v="11"/>
    <x v="1"/>
    <x v="2"/>
    <n v="-2"/>
    <m/>
    <m/>
    <x v="2"/>
    <n v="-1"/>
    <s v="HH20241230 T3840041260 No Limit Hold'em $1.84 + $0.16.txt"/>
  </r>
  <r>
    <n v="3861"/>
    <n v="101.07"/>
    <s v="30.12.2024"/>
    <n v="30"/>
    <x v="11"/>
    <x v="1"/>
    <x v="12"/>
    <m/>
    <m/>
    <m/>
    <x v="2"/>
    <n v="0"/>
    <s v="HH20241230 T3840042574 No Limit Hold'em $0.46 + $0.04.txt"/>
  </r>
  <r>
    <n v="3862"/>
    <n v="104.08999999999999"/>
    <s v="30.12.2024"/>
    <n v="30"/>
    <x v="11"/>
    <x v="1"/>
    <x v="10"/>
    <n v="-10"/>
    <n v="13.02"/>
    <m/>
    <x v="1"/>
    <n v="0.30200000000000005"/>
    <s v="HH20241230 Aludra - $0.05-$0.10 - USD No Limit Hold'em.txt"/>
  </r>
  <r>
    <n v="3863"/>
    <n v="96.97999999999999"/>
    <s v="30.12.2024"/>
    <n v="30"/>
    <x v="11"/>
    <x v="1"/>
    <x v="10"/>
    <n v="-10"/>
    <n v="2.89"/>
    <m/>
    <x v="2"/>
    <n v="-0.71099999999999997"/>
    <s v="HH20241230 Aludra - $0.05-$0.10 - USD No Limit Hold'em2.txt"/>
  </r>
  <r>
    <n v="3864"/>
    <n v="97.97999999999999"/>
    <s v="30.12.2024"/>
    <n v="30"/>
    <x v="11"/>
    <x v="1"/>
    <x v="18"/>
    <m/>
    <n v="1"/>
    <m/>
    <x v="1"/>
    <m/>
    <m/>
  </r>
  <r>
    <n v="3865"/>
    <n v="93.059999999999988"/>
    <s v="30.12.2024"/>
    <n v="30"/>
    <x v="11"/>
    <x v="1"/>
    <x v="10"/>
    <n v="-10"/>
    <n v="5.08"/>
    <m/>
    <x v="2"/>
    <n v="-0.49199999999999999"/>
    <s v="HH20241230 Aludra #2 - $0.05-$0.10 - USD No Limit Hold'em.txt"/>
  </r>
  <r>
    <n v="3866"/>
    <n v="91.059999999999988"/>
    <s v="31.12.2024"/>
    <n v="31"/>
    <x v="11"/>
    <x v="1"/>
    <x v="2"/>
    <n v="-2"/>
    <m/>
    <m/>
    <x v="2"/>
    <n v="-1"/>
    <s v="HH20241231 T3840445396 No Limit Hold'em $1.84 + $0.16.txt"/>
  </r>
  <r>
    <n v="3867"/>
    <n v="91.059999999999988"/>
    <s v="31.12.2024"/>
    <n v="31"/>
    <x v="11"/>
    <x v="1"/>
    <x v="12"/>
    <m/>
    <m/>
    <m/>
    <x v="1"/>
    <n v="0"/>
    <s v="HH20241231 T3840446575 No Limit Hold'em $0.46 + $0.04.txt"/>
  </r>
  <r>
    <n v="3868"/>
    <n v="91.059999999999988"/>
    <s v="31.12.2024"/>
    <n v="31"/>
    <x v="11"/>
    <x v="1"/>
    <x v="13"/>
    <m/>
    <m/>
    <m/>
    <x v="2"/>
    <n v="0"/>
    <s v="HH20241231 T3840447316 No Limit Hold'em $0.96 + $0.04.txt"/>
  </r>
  <r>
    <n v="3869"/>
    <n v="93.059999999999988"/>
    <s v="01.01.2025"/>
    <n v="1"/>
    <x v="0"/>
    <x v="2"/>
    <x v="2"/>
    <n v="-2"/>
    <n v="4"/>
    <m/>
    <x v="1"/>
    <n v="1"/>
    <s v="HH20241231 T3840699521 No Limit Hold'em $1.84 + $0.16.txt"/>
  </r>
  <r>
    <n v="3870"/>
    <n v="91.059999999999988"/>
    <s v="01.01.2025"/>
    <n v="1"/>
    <x v="0"/>
    <x v="2"/>
    <x v="2"/>
    <n v="-2"/>
    <m/>
    <m/>
    <x v="2"/>
    <n v="-1"/>
    <s v="HH20250101 T3840822138 No Limit Hold'em $1.84 + $0.16.txt"/>
  </r>
  <r>
    <n v="3871"/>
    <n v="91.059999999999988"/>
    <s v="01.01.2025"/>
    <n v="1"/>
    <x v="0"/>
    <x v="2"/>
    <x v="12"/>
    <m/>
    <m/>
    <m/>
    <x v="2"/>
    <n v="0"/>
    <s v="HH20250101 T3840823865 No Limit Hold'em $0.46 + $0.04.txt"/>
  </r>
  <r>
    <n v="3872"/>
    <n v="92.1"/>
    <s v="01.01.2025"/>
    <n v="1"/>
    <x v="0"/>
    <x v="2"/>
    <x v="10"/>
    <n v="-15"/>
    <n v="16.04"/>
    <m/>
    <x v="1"/>
    <n v="6.9333333333333247E-2"/>
    <s v="HH20250101 Aludra - $0.05-$0.10 - USD No Limit Hold'em.txt"/>
  </r>
  <r>
    <n v="3873"/>
    <n v="96.1"/>
    <s v="01.01.2025"/>
    <n v="1"/>
    <x v="0"/>
    <x v="2"/>
    <x v="18"/>
    <m/>
    <n v="4"/>
    <m/>
    <x v="1"/>
    <m/>
    <m/>
  </r>
  <r>
    <n v="3874"/>
    <n v="99.38"/>
    <s v="01.01.2025"/>
    <n v="1"/>
    <x v="0"/>
    <x v="2"/>
    <x v="10"/>
    <n v="-10"/>
    <n v="13.28"/>
    <m/>
    <x v="1"/>
    <n v="0.32799999999999985"/>
    <s v="HH20250101 Aludra #2 - $0.05-$0.10 - USD No Limit Hold'em.txt"/>
  </r>
  <r>
    <n v="3875"/>
    <n v="108.07"/>
    <s v="01.01.2025"/>
    <n v="1"/>
    <x v="0"/>
    <x v="2"/>
    <x v="10"/>
    <n v="-10"/>
    <n v="18.690000000000001"/>
    <m/>
    <x v="1"/>
    <n v="0.86900000000000022"/>
    <s v="HH20250101 Aludra #3 - $0.05-$0.10 - USD No Limit Hold'em.txt"/>
  </r>
  <r>
    <n v="3876"/>
    <n v="106.07"/>
    <s v="02.01.2025"/>
    <n v="2"/>
    <x v="0"/>
    <x v="2"/>
    <x v="2"/>
    <n v="-2"/>
    <m/>
    <m/>
    <x v="2"/>
    <n v="-1"/>
    <s v="HH20250102 T3841186834 No Limit Hold'em $1.84 + $0.16.txt"/>
  </r>
  <r>
    <n v="3877"/>
    <n v="106.07"/>
    <s v="02.01.2025"/>
    <n v="2"/>
    <x v="0"/>
    <x v="2"/>
    <x v="12"/>
    <m/>
    <m/>
    <m/>
    <x v="1"/>
    <n v="0"/>
    <s v="HH20250102 T3841188201 No Limit Hold'em $0.46 + $0.04.txt"/>
  </r>
  <r>
    <n v="3878"/>
    <n v="106.07"/>
    <s v="02.01.2025"/>
    <n v="2"/>
    <x v="0"/>
    <x v="2"/>
    <x v="13"/>
    <m/>
    <m/>
    <m/>
    <x v="1"/>
    <n v="0"/>
    <s v="HH20250102 T3841189838 No Limit Hold'em $0.96 + $0.04.txt"/>
  </r>
  <r>
    <n v="3879"/>
    <n v="108.69999999999999"/>
    <s v="02.01.2025"/>
    <n v="2"/>
    <x v="0"/>
    <x v="2"/>
    <x v="10"/>
    <n v="-10"/>
    <n v="12.63"/>
    <m/>
    <x v="1"/>
    <n v="0.26300000000000012"/>
    <s v="HH20250102 Aludra - $0.05-$0.10 - USD No Limit Hold'em.txt"/>
  </r>
  <r>
    <n v="3880"/>
    <n v="119.58999999999999"/>
    <s v="02.01.2025"/>
    <n v="2"/>
    <x v="0"/>
    <x v="2"/>
    <x v="10"/>
    <n v="-10"/>
    <n v="20.89"/>
    <m/>
    <x v="1"/>
    <n v="1.089"/>
    <s v="HH20250102 Aludra - $0.05-$0.10 - USD No Limit Hold'em2.txt"/>
  </r>
  <r>
    <n v="3881"/>
    <n v="120.66"/>
    <s v="02.01.2025"/>
    <n v="2"/>
    <x v="0"/>
    <x v="2"/>
    <x v="10"/>
    <n v="-10"/>
    <n v="11.07"/>
    <m/>
    <x v="1"/>
    <n v="0.10699999999999998"/>
    <s v="HH20250102 Aludra - $0.05-$0.10 - USD No Limit Hold'em3.txt"/>
  </r>
  <r>
    <n v="3882"/>
    <n v="120.66"/>
    <s v="02.01.2025"/>
    <n v="2"/>
    <x v="0"/>
    <x v="2"/>
    <x v="14"/>
    <m/>
    <m/>
    <m/>
    <x v="2"/>
    <n v="0"/>
    <s v="HH20250102 T3838773460 No Limit Hold'em $10.27 + $0.73.txt"/>
  </r>
  <r>
    <n v="3883"/>
    <n v="118.66"/>
    <s v="03.01.2025"/>
    <n v="3"/>
    <x v="0"/>
    <x v="2"/>
    <x v="2"/>
    <n v="-2"/>
    <m/>
    <m/>
    <x v="2"/>
    <n v="-1"/>
    <s v="HH20250103 T3841595340 No Limit Hold'em $1.84 + $0.16.txt"/>
  </r>
  <r>
    <n v="3884"/>
    <n v="118.66"/>
    <s v="03.01.2025"/>
    <n v="3"/>
    <x v="0"/>
    <x v="2"/>
    <x v="12"/>
    <m/>
    <m/>
    <m/>
    <x v="2"/>
    <n v="0"/>
    <s v="HH20250103 T3841596359 No Limit Hold'em $0.46 + $0.04.txt"/>
  </r>
  <r>
    <n v="3885"/>
    <n v="108.66"/>
    <s v="03.01.2025"/>
    <n v="3"/>
    <x v="0"/>
    <x v="2"/>
    <x v="10"/>
    <n v="-10"/>
    <m/>
    <m/>
    <x v="2"/>
    <n v="-1"/>
    <s v="HH20250103 Aludra - $0.05-$0.10 - USD No Limit Hold'em.txt"/>
  </r>
  <r>
    <n v="3886"/>
    <n v="113.75999999999999"/>
    <s v="03.01.2025"/>
    <n v="3"/>
    <x v="0"/>
    <x v="2"/>
    <x v="10"/>
    <n v="-10"/>
    <n v="15.1"/>
    <m/>
    <x v="1"/>
    <n v="0.51"/>
    <s v="HH20250103 Aludra #2 - $0.05-$0.10 - USD No Limit Hold'em.txt"/>
  </r>
  <r>
    <n v="3887"/>
    <n v="107.07999999999998"/>
    <s v="03.01.2025"/>
    <n v="3"/>
    <x v="0"/>
    <x v="2"/>
    <x v="10"/>
    <n v="-10"/>
    <n v="3.32"/>
    <m/>
    <x v="2"/>
    <n v="-0.66800000000000004"/>
    <s v="HH20250103 Aludra #3 - $0.05-$0.10 - USD No Limit Hold'em.txt"/>
  </r>
  <r>
    <n v="3888"/>
    <n v="102.35999999999999"/>
    <s v="03.01.2025"/>
    <n v="3"/>
    <x v="0"/>
    <x v="2"/>
    <x v="10"/>
    <n v="-10"/>
    <n v="5.28"/>
    <m/>
    <x v="2"/>
    <n v="-0.47199999999999998"/>
    <s v="HH20250103 Aludra - $0.05-$0.10 - USD No Limit Hold'em2.txt"/>
  </r>
  <r>
    <n v="3889"/>
    <n v="107.28999999999999"/>
    <s v="03.01.2025"/>
    <n v="3"/>
    <x v="0"/>
    <x v="2"/>
    <x v="10"/>
    <n v="-10"/>
    <n v="14.93"/>
    <m/>
    <x v="1"/>
    <n v="0.49299999999999988"/>
    <s v="HH20250103 Aludra #2 - $0.05-$0.10 - USD No Limit Hold'em2.txt"/>
  </r>
  <r>
    <n v="3890"/>
    <n v="112.47999999999999"/>
    <s v="03.01.2025"/>
    <n v="3"/>
    <x v="0"/>
    <x v="2"/>
    <x v="10"/>
    <n v="-10"/>
    <n v="15.19"/>
    <m/>
    <x v="1"/>
    <n v="0.51899999999999991"/>
    <s v="HH20250103 Aludra #3 - $0.05-$0.10 - USD No Limit Hold'em2.txt"/>
  </r>
  <r>
    <n v="3891"/>
    <n v="97.47999999999999"/>
    <s v="03.01.2025"/>
    <n v="3"/>
    <x v="0"/>
    <x v="2"/>
    <x v="10"/>
    <n v="-15"/>
    <m/>
    <m/>
    <x v="2"/>
    <n v="-1"/>
    <s v="HH20250103 Aludra #4 - $0.05-$0.10 - USD No Limit Hold'em.txt"/>
  </r>
  <r>
    <n v="3892"/>
    <n v="77.549999999999983"/>
    <s v="03.01.2025"/>
    <n v="3"/>
    <x v="0"/>
    <x v="2"/>
    <x v="10"/>
    <n v="-19.93"/>
    <m/>
    <m/>
    <x v="2"/>
    <n v="-1"/>
    <s v="HH20250103 Aludra - $0.05-$0.10 - USD No Limit Hold'em3.txt"/>
  </r>
  <r>
    <n v="3893"/>
    <n v="81.799999999999983"/>
    <s v="03.01.2025"/>
    <n v="3"/>
    <x v="0"/>
    <x v="2"/>
    <x v="10"/>
    <n v="-10"/>
    <n v="14.25"/>
    <m/>
    <x v="1"/>
    <n v="0.42500000000000004"/>
    <s v="HH20250103 Aludra - $0.05-$0.10 - USD No Limit Hold'em4.txt"/>
  </r>
  <r>
    <n v="3894"/>
    <n v="83.799999999999983"/>
    <s v="03.01.2025"/>
    <n v="3"/>
    <x v="0"/>
    <x v="2"/>
    <x v="18"/>
    <m/>
    <n v="2"/>
    <m/>
    <x v="1"/>
    <m/>
    <m/>
  </r>
  <r>
    <n v="3895"/>
    <n v="97.779999999999987"/>
    <s v="03.01.2025"/>
    <n v="3"/>
    <x v="0"/>
    <x v="2"/>
    <x v="10"/>
    <n v="-83.8"/>
    <n v="97.78"/>
    <m/>
    <x v="1"/>
    <n v="0.16682577565632473"/>
    <s v="HH20250103 Triangulum - $0.50-$1 - USD No Limit Hold'em.txt"/>
  </r>
  <r>
    <n v="3896"/>
    <n v="101.77999999999999"/>
    <s v="04.01.2025"/>
    <n v="4"/>
    <x v="0"/>
    <x v="2"/>
    <x v="2"/>
    <n v="-2"/>
    <n v="6"/>
    <m/>
    <x v="1"/>
    <n v="2"/>
    <s v="HH20250104 T3842547081 No Limit Hold'em $1.84 + $0.16.txt"/>
  </r>
  <r>
    <n v="3897"/>
    <n v="101.77999999999999"/>
    <s v="04.01.2025"/>
    <n v="4"/>
    <x v="0"/>
    <x v="2"/>
    <x v="12"/>
    <m/>
    <m/>
    <m/>
    <x v="2"/>
    <n v="0"/>
    <s v="HH20250104 T3842549521 No Limit Hold'em $0.46 + $0.04.txt"/>
  </r>
  <r>
    <n v="3898"/>
    <n v="93.659999999999982"/>
    <s v="04.01.2025"/>
    <n v="4"/>
    <x v="0"/>
    <x v="2"/>
    <x v="10"/>
    <n v="-10"/>
    <n v="1.88"/>
    <m/>
    <x v="2"/>
    <n v="-0.81200000000000006"/>
    <s v="HH20250104 Aludra - $0.05-$0.10 - USD No Limit Hold'em.txt"/>
  </r>
  <r>
    <n v="3899"/>
    <n v="89.569999999999979"/>
    <s v="04.01.2025"/>
    <n v="4"/>
    <x v="0"/>
    <x v="2"/>
    <x v="10"/>
    <n v="-10"/>
    <n v="5.91"/>
    <m/>
    <x v="2"/>
    <n v="-0.40900000000000003"/>
    <s v="HH20250104 Aludra #2 - $0.05-$0.10 - USD No Limit Hold'em.txt"/>
  </r>
  <r>
    <n v="3900"/>
    <n v="-1.4210854715202004E-14"/>
    <s v="04.01.2025"/>
    <n v="4"/>
    <x v="0"/>
    <x v="2"/>
    <x v="10"/>
    <n v="-89.57"/>
    <m/>
    <m/>
    <x v="2"/>
    <n v="-1"/>
    <s v="HH20250104 Triangulum - $0.50-$1 - USD No Limit Hold'em.txt"/>
  </r>
  <r>
    <n v="3901"/>
    <n v="110.06999999999998"/>
    <s v="04.01.2025"/>
    <n v="4"/>
    <x v="0"/>
    <x v="2"/>
    <x v="1"/>
    <m/>
    <n v="110.07"/>
    <m/>
    <x v="0"/>
    <m/>
    <m/>
  </r>
  <r>
    <n v="3902"/>
    <n v="108.06999999999998"/>
    <s v="04.01.2025"/>
    <n v="4"/>
    <x v="0"/>
    <x v="2"/>
    <x v="2"/>
    <n v="-2"/>
    <m/>
    <m/>
    <x v="2"/>
    <n v="-1"/>
    <s v="HH20250104 T3842636521 No Limit Hold'em $1.84 + $0.16.txt"/>
  </r>
  <r>
    <n v="3903"/>
    <n v="110.06999999999998"/>
    <s v="04.01.2025"/>
    <n v="4"/>
    <x v="0"/>
    <x v="2"/>
    <x v="2"/>
    <n v="-2"/>
    <n v="4"/>
    <m/>
    <x v="1"/>
    <n v="1"/>
    <s v="HH20250104 T3842637210 No Limit Hold'em $1.84 + $0.16.txt"/>
  </r>
  <r>
    <n v="3904"/>
    <n v="120.06999999999998"/>
    <s v="04.01.2025"/>
    <n v="4"/>
    <x v="0"/>
    <x v="2"/>
    <x v="2"/>
    <n v="-5"/>
    <n v="15"/>
    <m/>
    <x v="1"/>
    <n v="2"/>
    <s v="HH20250104 T3842640938 No Limit Hold'em $4.60 + $0.40.txt"/>
  </r>
  <r>
    <n v="3905"/>
    <n v="130.07"/>
    <s v="04.01.2025"/>
    <n v="4"/>
    <x v="0"/>
    <x v="2"/>
    <x v="2"/>
    <n v="-5"/>
    <n v="15"/>
    <m/>
    <x v="1"/>
    <n v="2"/>
    <s v="HH20250104 T3842656184 No Limit Hold'em $4.60 + $0.40.txt"/>
  </r>
  <r>
    <n v="3906"/>
    <n v="135.07999999999998"/>
    <s v="04.01.2025"/>
    <n v="4"/>
    <x v="0"/>
    <x v="2"/>
    <x v="10"/>
    <n v="-10"/>
    <n v="15.01"/>
    <m/>
    <x v="1"/>
    <n v="0.50099999999999989"/>
    <s v="HH20250104 Aludra - $0.05-$0.10 - USD No Limit Hold'em2.txt"/>
  </r>
  <r>
    <n v="3907"/>
    <n v="130.07999999999998"/>
    <s v="05.01.2025"/>
    <n v="5"/>
    <x v="0"/>
    <x v="2"/>
    <x v="2"/>
    <n v="-5"/>
    <m/>
    <m/>
    <x v="2"/>
    <n v="-1"/>
    <s v="HH20250105 T3842990099 No Limit Hold'em $4.60 + $0.40.txt"/>
  </r>
  <r>
    <n v="3908"/>
    <n v="130.07999999999998"/>
    <s v="05.01.2025"/>
    <n v="5"/>
    <x v="0"/>
    <x v="2"/>
    <x v="12"/>
    <m/>
    <m/>
    <m/>
    <x v="2"/>
    <n v="0"/>
    <s v="HH20250105 T3842992607 No Limit Hold'em $0.46 + $0.04.txt"/>
  </r>
  <r>
    <n v="3909"/>
    <n v="124.33999999999999"/>
    <s v="05.01.2025"/>
    <n v="5"/>
    <x v="0"/>
    <x v="2"/>
    <x v="10"/>
    <n v="-10"/>
    <n v="4.26"/>
    <m/>
    <x v="2"/>
    <n v="-0.57400000000000007"/>
    <s v="HH20250105 Aludra - $0.05-$0.10 - USD No Limit Hold'em.txt"/>
  </r>
  <r>
    <n v="3910"/>
    <n v="126.33999999999999"/>
    <s v="05.01.2025"/>
    <n v="5"/>
    <x v="0"/>
    <x v="2"/>
    <x v="18"/>
    <m/>
    <n v="2"/>
    <m/>
    <x v="1"/>
    <m/>
    <m/>
  </r>
  <r>
    <n v="3911"/>
    <n v="128.97999999999999"/>
    <s v="05.01.2025"/>
    <n v="5"/>
    <x v="0"/>
    <x v="2"/>
    <x v="10"/>
    <n v="-10"/>
    <n v="12.64"/>
    <m/>
    <x v="1"/>
    <n v="0.26400000000000001"/>
    <s v="HH20250105 Aludra - $0.05-$0.10 - USD No Limit Hold'em2.txt"/>
  </r>
  <r>
    <n v="3912"/>
    <n v="122.52999999999999"/>
    <s v="05.01.2025"/>
    <n v="5"/>
    <x v="0"/>
    <x v="2"/>
    <x v="10"/>
    <n v="-10"/>
    <n v="3.55"/>
    <m/>
    <x v="2"/>
    <n v="-0.64500000000000002"/>
    <s v="HH20250105 Aludra - $0.05-$0.10 - USD No Limit Hold'em3.txt"/>
  </r>
  <r>
    <n v="3913"/>
    <n v="116.76999999999998"/>
    <s v="05.01.2025"/>
    <n v="5"/>
    <x v="0"/>
    <x v="2"/>
    <x v="10"/>
    <n v="-10"/>
    <n v="4.24"/>
    <m/>
    <x v="2"/>
    <n v="-0.57599999999999996"/>
    <s v="HH20250105 Aludra #2 - $0.05-$0.10 - USD No Limit Hold'em.txt"/>
  </r>
  <r>
    <n v="3914"/>
    <n v="106.76999999999998"/>
    <s v="05.01.2025"/>
    <n v="5"/>
    <x v="0"/>
    <x v="2"/>
    <x v="10"/>
    <n v="-10"/>
    <m/>
    <m/>
    <x v="2"/>
    <n v="-1"/>
    <s v="HH20250105 Aludra #3 - $0.05-$0.10 - USD No Limit Hold'em.txt"/>
  </r>
  <r>
    <n v="3915"/>
    <n v="101.76999999999998"/>
    <s v="11.01.2025"/>
    <n v="11"/>
    <x v="0"/>
    <x v="2"/>
    <x v="2"/>
    <n v="-5"/>
    <m/>
    <m/>
    <x v="2"/>
    <n v="-1"/>
    <s v="HH20250111 T3845533382 No Limit Hold'em $4.60 + $0.40.txt"/>
  </r>
  <r>
    <n v="3916"/>
    <n v="96.769999999999982"/>
    <s v="12.01.2025"/>
    <n v="12"/>
    <x v="0"/>
    <x v="2"/>
    <x v="2"/>
    <n v="-5"/>
    <m/>
    <m/>
    <x v="2"/>
    <n v="-1"/>
    <s v="HH20250112 T3845922485 No Limit Hold'em $4.60 + $0.40.txt"/>
  </r>
  <r>
    <n v="3917"/>
    <n v="96.769999999999982"/>
    <s v="12.01.2025"/>
    <n v="12"/>
    <x v="0"/>
    <x v="2"/>
    <x v="12"/>
    <m/>
    <m/>
    <m/>
    <x v="2"/>
    <n v="0"/>
    <s v="HH20250112 T3845924223 No Limit Hold'em $0.46 + $0.04.txt"/>
  </r>
  <r>
    <n v="3918"/>
    <n v="96.769999999999982"/>
    <s v="12.01.2025"/>
    <n v="12"/>
    <x v="0"/>
    <x v="2"/>
    <x v="12"/>
    <m/>
    <m/>
    <m/>
    <x v="2"/>
    <n v="0"/>
    <s v="HH20250112 T3845926563 No Limit Hold'em $0.46 + $0.04.txt"/>
  </r>
  <r>
    <n v="3919"/>
    <n v="106.76999999999998"/>
    <s v="14.01.2025"/>
    <n v="14"/>
    <x v="0"/>
    <x v="2"/>
    <x v="2"/>
    <n v="-5"/>
    <n v="15"/>
    <m/>
    <x v="1"/>
    <n v="2"/>
    <s v="HH20250114 T3846680104 No Limit Hold'em $4.60 + $0.40.txt"/>
  </r>
  <r>
    <n v="3920"/>
    <n v="106.76999999999998"/>
    <s v="14.01.2025"/>
    <n v="14"/>
    <x v="0"/>
    <x v="2"/>
    <x v="12"/>
    <m/>
    <m/>
    <m/>
    <x v="1"/>
    <n v="0"/>
    <s v="HH20250114 T3846682082 No Limit Hold'em $0.46 + $0.04.txt"/>
  </r>
  <r>
    <n v="3921"/>
    <n v="106.76999999999998"/>
    <s v="14.01.2025"/>
    <n v="14"/>
    <x v="0"/>
    <x v="2"/>
    <x v="13"/>
    <m/>
    <m/>
    <m/>
    <x v="1"/>
    <n v="0"/>
    <s v="HH20250114 T3846682357 No Limit Hold'em $0.96 + $0.04.txt"/>
  </r>
  <r>
    <n v="3922"/>
    <n v="108.55999999999997"/>
    <s v="14.01.2025"/>
    <n v="14"/>
    <x v="0"/>
    <x v="2"/>
    <x v="10"/>
    <n v="-10"/>
    <n v="11.79"/>
    <m/>
    <x v="1"/>
    <n v="0.17899999999999983"/>
    <s v="HH20250114 Aludra - $0.05-$0.10 - USD No Limit Hold'em.txt"/>
  </r>
  <r>
    <n v="3923"/>
    <n v="108.84999999999997"/>
    <s v="14.01.2025"/>
    <n v="14"/>
    <x v="0"/>
    <x v="2"/>
    <x v="10"/>
    <n v="-10"/>
    <n v="10.29"/>
    <m/>
    <x v="1"/>
    <n v="2.8999999999999915E-2"/>
    <s v="HH20250114 Aludra - $0.05-$0.10 - USD No Limit Hold'em2.txt"/>
  </r>
  <r>
    <n v="3924"/>
    <n v="110.06999999999996"/>
    <s v="14.01.2025"/>
    <n v="14"/>
    <x v="0"/>
    <x v="2"/>
    <x v="10"/>
    <n v="-10"/>
    <n v="11.22"/>
    <m/>
    <x v="1"/>
    <n v="0.12200000000000011"/>
    <s v="HH20250114 Aludra - $0.05-$0.10 - USD No Limit Hold'em3.txt"/>
  </r>
  <r>
    <n v="3925"/>
    <n v="101.57999999999997"/>
    <s v="14.01.2025"/>
    <n v="14"/>
    <x v="0"/>
    <x v="2"/>
    <x v="10"/>
    <n v="-10"/>
    <n v="1.51"/>
    <m/>
    <x v="2"/>
    <n v="-0.84899999999999998"/>
    <s v="HH20250114 Aludra #2 - $0.05-$0.10 - USD No Limit Hold'em.txt"/>
  </r>
  <r>
    <n v="3926"/>
    <n v="103.62999999999997"/>
    <s v="14.01.2025"/>
    <n v="14"/>
    <x v="0"/>
    <x v="2"/>
    <x v="10"/>
    <n v="-10"/>
    <n v="12.05"/>
    <m/>
    <x v="1"/>
    <n v="0.20500000000000007"/>
    <s v="HH20250114 Aludra #3 - $0.05-$0.10 - USD No Limit Hold'em.txt"/>
  </r>
  <r>
    <n v="3927"/>
    <n v="106.90999999999997"/>
    <s v="14.01.2025"/>
    <n v="14"/>
    <x v="0"/>
    <x v="2"/>
    <x v="10"/>
    <n v="-10"/>
    <n v="13.28"/>
    <m/>
    <x v="1"/>
    <n v="0.32799999999999985"/>
    <s v="HH20250114 Aludra #4 - $0.05-$0.10 - USD No Limit Hold'em.txt"/>
  </r>
  <r>
    <n v="3928"/>
    <n v="115.80999999999997"/>
    <s v="14.01.2025"/>
    <n v="14"/>
    <x v="0"/>
    <x v="2"/>
    <x v="10"/>
    <n v="-10"/>
    <n v="18.899999999999999"/>
    <m/>
    <x v="1"/>
    <n v="0.8899999999999999"/>
    <s v="HH20250114 Aludra #5 - $0.05-$0.10 - USD No Limit Hold'em.txt"/>
  </r>
  <r>
    <n v="3929"/>
    <n v="105.80999999999997"/>
    <s v="14.01.2025"/>
    <n v="14"/>
    <x v="0"/>
    <x v="2"/>
    <x v="10"/>
    <n v="-10"/>
    <m/>
    <m/>
    <x v="2"/>
    <n v="-1"/>
    <s v="HH20250114 Aludra - $0.05-$0.10 - USD No Limit Hold'em4.txt"/>
  </r>
  <r>
    <n v="3930"/>
    <n v="108.42999999999998"/>
    <s v="14.01.2025"/>
    <n v="14"/>
    <x v="0"/>
    <x v="2"/>
    <x v="10"/>
    <n v="-10"/>
    <n v="12.62"/>
    <m/>
    <x v="1"/>
    <n v="0.26200000000000001"/>
    <s v="HH20250114 Aludra - $0.05-$0.10 - USD No Limit Hold'em5.txt"/>
  </r>
  <r>
    <n v="3931"/>
    <n v="111.31999999999998"/>
    <s v="14.01.2025"/>
    <n v="14"/>
    <x v="0"/>
    <x v="2"/>
    <x v="10"/>
    <n v="-10"/>
    <n v="12.89"/>
    <m/>
    <x v="1"/>
    <n v="0.28900000000000015"/>
    <s v="HH20250114 Aludra #2 - $0.05-$0.10 - USD No Limit Hold'em2.txt"/>
  </r>
  <r>
    <n v="3932"/>
    <n v="114.57999999999998"/>
    <s v="14.01.2025"/>
    <n v="14"/>
    <x v="0"/>
    <x v="2"/>
    <x v="10"/>
    <n v="-10"/>
    <n v="13.26"/>
    <m/>
    <x v="1"/>
    <n v="0.32600000000000007"/>
    <s v="HH20250114 Aludra #3 - $0.05-$0.10 - USD No Limit Hold'em 3.txt"/>
  </r>
  <r>
    <n v="3933"/>
    <n v="104.57999999999998"/>
    <s v="14.01.2025"/>
    <n v="14"/>
    <x v="0"/>
    <x v="2"/>
    <x v="10"/>
    <n v="-10"/>
    <m/>
    <m/>
    <x v="2"/>
    <n v="-1"/>
    <s v="HH20250114 Aludra - $0.05-$0.10 - USD No Limit Hold'em6.txt"/>
  </r>
  <r>
    <n v="3934"/>
    <n v="114.57999999999998"/>
    <s v="15.01.2025"/>
    <n v="15"/>
    <x v="0"/>
    <x v="2"/>
    <x v="10"/>
    <n v="-5"/>
    <n v="15"/>
    <m/>
    <x v="1"/>
    <n v="2"/>
    <s v="HH20250115 T3847046280 No Limit Hold'em $4.60 + $0.40.txt"/>
  </r>
  <r>
    <n v="3935"/>
    <n v="114.57999999999998"/>
    <s v="15.01.2025"/>
    <n v="15"/>
    <x v="0"/>
    <x v="2"/>
    <x v="12"/>
    <m/>
    <m/>
    <m/>
    <x v="1"/>
    <n v="0"/>
    <s v="HH20250115 T3847047326 No Limit Hold'em $0.46 + $0.04.txt"/>
  </r>
  <r>
    <n v="3936"/>
    <n v="114.57999999999998"/>
    <s v="15.01.2025"/>
    <n v="15"/>
    <x v="0"/>
    <x v="2"/>
    <x v="13"/>
    <m/>
    <m/>
    <m/>
    <x v="2"/>
    <n v="0"/>
    <s v="HH20250115 T3847047690 No Limit Hold'em $0.96 + $0.04.txt"/>
  </r>
  <r>
    <n v="3937"/>
    <n v="105.42999999999998"/>
    <s v="15.01.2025"/>
    <n v="15"/>
    <x v="0"/>
    <x v="2"/>
    <x v="10"/>
    <n v="-10"/>
    <n v="0.85"/>
    <m/>
    <x v="2"/>
    <n v="-0.91500000000000004"/>
    <s v="HH20250115 Aludra - $0.05-$0.10 - USD No Limit Hold'em.txt"/>
  </r>
  <r>
    <n v="3938"/>
    <n v="108.33999999999997"/>
    <s v="15.01.2025"/>
    <n v="15"/>
    <x v="0"/>
    <x v="2"/>
    <x v="10"/>
    <n v="-10"/>
    <n v="12.91"/>
    <m/>
    <x v="1"/>
    <n v="0.29099999999999993"/>
    <s v="HH20250115 Aludra #2 - $0.05-$0.10 - USD No Limit Hold'em.txt"/>
  </r>
  <r>
    <n v="3939"/>
    <n v="111.80999999999997"/>
    <s v="15.01.2025"/>
    <n v="15"/>
    <x v="0"/>
    <x v="2"/>
    <x v="10"/>
    <n v="-10"/>
    <n v="13.47"/>
    <m/>
    <x v="1"/>
    <n v="0.34699999999999998"/>
    <s v="HH20250115 Aludra #3 - $0.05-$0.10 - USD No Limit Hold'em.txt"/>
  </r>
  <r>
    <n v="3940"/>
    <n v="103.53999999999998"/>
    <s v="15.01.2025"/>
    <n v="15"/>
    <x v="0"/>
    <x v="2"/>
    <x v="10"/>
    <n v="-20"/>
    <n v="11.73"/>
    <m/>
    <x v="2"/>
    <n v="-0.41349999999999998"/>
    <s v="HH20250115 Aludra #4 - $0.05-$0.10 - USD No Limit Hold'em.txt"/>
  </r>
  <r>
    <n v="3941"/>
    <n v="105.53999999999998"/>
    <s v="15.01.2025"/>
    <n v="15"/>
    <x v="0"/>
    <x v="2"/>
    <x v="18"/>
    <m/>
    <n v="2"/>
    <m/>
    <x v="1"/>
    <m/>
    <m/>
  </r>
  <r>
    <n v="3942"/>
    <n v="100.53999999999998"/>
    <s v="16.01.2025"/>
    <n v="16"/>
    <x v="0"/>
    <x v="2"/>
    <x v="2"/>
    <n v="-5"/>
    <m/>
    <m/>
    <x v="2"/>
    <n v="-1"/>
    <s v="HH20250116 T3847464408 No Limit Hold'em $4.60 + $0.40.txt"/>
  </r>
  <r>
    <n v="3943"/>
    <n v="100.53999999999998"/>
    <s v="16.01.2025"/>
    <n v="16"/>
    <x v="0"/>
    <x v="2"/>
    <x v="12"/>
    <m/>
    <m/>
    <m/>
    <x v="2"/>
    <n v="0"/>
    <s v="HH20250116 T3847465943 No Limit Hold'em $0.46 + $0.04.txt"/>
  </r>
  <r>
    <n v="3944"/>
    <n v="102.68999999999998"/>
    <s v="16.01.2025"/>
    <n v="16"/>
    <x v="0"/>
    <x v="2"/>
    <x v="10"/>
    <n v="-10"/>
    <n v="12.15"/>
    <m/>
    <x v="1"/>
    <n v="0.21500000000000008"/>
    <s v="HH20250116 Aludra - $0.05-$0.10 - USD No Limit Hold'em.txt"/>
  </r>
  <r>
    <n v="3945"/>
    <n v="92.689999999999984"/>
    <s v="16.01.2025"/>
    <n v="16"/>
    <x v="0"/>
    <x v="2"/>
    <x v="10"/>
    <n v="-10"/>
    <m/>
    <m/>
    <x v="2"/>
    <n v="-1"/>
    <s v="HH20250116 Aludra - $0.05-$0.10 - USD No Limit Hold'em2.txt"/>
  </r>
  <r>
    <n v="3946"/>
    <n v="93.689999999999984"/>
    <s v="16.01.2025"/>
    <n v="16"/>
    <x v="0"/>
    <x v="2"/>
    <x v="18"/>
    <m/>
    <n v="1"/>
    <m/>
    <x v="1"/>
    <m/>
    <m/>
  </r>
  <r>
    <n v="3947"/>
    <n v="96.259999999999991"/>
    <s v="16.01.2025"/>
    <n v="16"/>
    <x v="0"/>
    <x v="2"/>
    <x v="10"/>
    <n v="-10"/>
    <n v="12.57"/>
    <m/>
    <x v="1"/>
    <n v="0.25700000000000012"/>
    <s v="HH20250116 Aludra #2 - $0.05-$0.10 - USD No Limit Hold'em.txt"/>
  </r>
  <r>
    <n v="3948"/>
    <n v="98.889999999999986"/>
    <s v="16.01.2025"/>
    <n v="16"/>
    <x v="0"/>
    <x v="2"/>
    <x v="10"/>
    <n v="-10"/>
    <n v="12.63"/>
    <m/>
    <x v="1"/>
    <n v="0.26300000000000012"/>
    <s v="HH20250116 Aludra #3 - $0.05-$0.10 - USD No Limit Hold'em.txt"/>
  </r>
  <r>
    <n v="3949"/>
    <n v="92.34999999999998"/>
    <s v="16.01.2025"/>
    <n v="16"/>
    <x v="0"/>
    <x v="2"/>
    <x v="10"/>
    <n v="-10"/>
    <n v="3.46"/>
    <m/>
    <x v="2"/>
    <n v="-0.65400000000000003"/>
    <s v="HH20250116 Aludra #4 - $0.05-$0.10 - USD No Limit Hold'em.txt"/>
  </r>
  <r>
    <n v="3950"/>
    <n v="96.70999999999998"/>
    <s v="16.01.2025"/>
    <n v="16"/>
    <x v="0"/>
    <x v="2"/>
    <x v="10"/>
    <n v="-10"/>
    <n v="14.36"/>
    <m/>
    <x v="1"/>
    <n v="0.43599999999999994"/>
    <s v="HH20250116 Aludra #5 - $0.05-$0.10 - USD No Limit Hold'em.txt"/>
  </r>
  <r>
    <n v="3951"/>
    <n v="99.249999999999972"/>
    <s v="16.01.2025"/>
    <n v="16"/>
    <x v="0"/>
    <x v="2"/>
    <x v="10"/>
    <n v="-10"/>
    <n v="12.54"/>
    <m/>
    <x v="1"/>
    <n v="0.254"/>
    <s v="HH20250116 Aludra #6 - $0.05-$0.10 - USD No Limit Hold'em.txt"/>
  </r>
  <r>
    <n v="3952"/>
    <n v="91.249999999999972"/>
    <s v="16.01.2025"/>
    <n v="16"/>
    <x v="0"/>
    <x v="2"/>
    <x v="10"/>
    <n v="-10"/>
    <n v="2"/>
    <m/>
    <x v="2"/>
    <n v="-0.8"/>
    <s v="HH20250116 Aludra #7 - $0.05-$0.10 - USD No Limit Hold'em.txt"/>
  </r>
  <r>
    <n v="3953"/>
    <n v="97.669999999999973"/>
    <s v="16.01.2025"/>
    <n v="16"/>
    <x v="0"/>
    <x v="2"/>
    <x v="10"/>
    <n v="-10"/>
    <n v="16.420000000000002"/>
    <m/>
    <x v="1"/>
    <n v="0.64200000000000013"/>
    <s v="HH20250116 Aludra #8 - $0.05-$0.10 - USD No Limit Hold'em.txt"/>
  </r>
  <r>
    <n v="3954"/>
    <n v="103.96999999999997"/>
    <s v="16.01.2025"/>
    <n v="16"/>
    <x v="0"/>
    <x v="2"/>
    <x v="10"/>
    <n v="-10"/>
    <n v="16.3"/>
    <m/>
    <x v="1"/>
    <n v="0.63000000000000012"/>
    <s v="HH20250116 Aludra #9 - $0.05-$0.10 - USD No Limit Hold'em.txt"/>
  </r>
  <r>
    <n v="3955"/>
    <n v="98.96999999999997"/>
    <s v="17.01.2025"/>
    <n v="17"/>
    <x v="0"/>
    <x v="2"/>
    <x v="2"/>
    <n v="-5"/>
    <m/>
    <m/>
    <x v="2"/>
    <n v="-1"/>
    <s v="HH20250117 T3848342788 No Limit Hold'em $4.60 + $0.40.txt"/>
  </r>
  <r>
    <n v="3956"/>
    <n v="98.96999999999997"/>
    <s v="17.01.2025"/>
    <n v="17"/>
    <x v="0"/>
    <x v="2"/>
    <x v="12"/>
    <m/>
    <m/>
    <m/>
    <x v="2"/>
    <n v="0"/>
    <s v="HH20250117 T3848343178 No Limit Hold'em $0.46 + $0.04.txt"/>
  </r>
  <r>
    <n v="3957"/>
    <n v="93.96999999999997"/>
    <s v="17.01.2025"/>
    <n v="17"/>
    <x v="0"/>
    <x v="2"/>
    <x v="2"/>
    <n v="-5"/>
    <m/>
    <m/>
    <x v="2"/>
    <n v="-1"/>
    <s v="HH20250117 T3848343908 No Limit Hold'em $4.60 + $0.40.txt"/>
  </r>
  <r>
    <n v="3958"/>
    <n v="94.479999999999976"/>
    <s v="17.01.2025"/>
    <n v="17"/>
    <x v="0"/>
    <x v="2"/>
    <x v="10"/>
    <n v="-10"/>
    <n v="10.51"/>
    <m/>
    <x v="1"/>
    <n v="5.0999999999999934E-2"/>
    <s v="HH20250117 Aludra - $0.05-$0.10 - USD No Limit Hold'em.txt"/>
  </r>
  <r>
    <n v="3959"/>
    <n v="96.479999999999976"/>
    <s v="17.01.2025"/>
    <n v="17"/>
    <x v="0"/>
    <x v="2"/>
    <x v="18"/>
    <m/>
    <n v="2"/>
    <m/>
    <x v="1"/>
    <m/>
    <m/>
  </r>
  <r>
    <n v="3960"/>
    <n v="106.47999999999998"/>
    <s v="18.01.2025"/>
    <n v="18"/>
    <x v="0"/>
    <x v="2"/>
    <x v="2"/>
    <n v="-5"/>
    <n v="15"/>
    <m/>
    <x v="1"/>
    <n v="2"/>
    <s v="HH20250118 T3848905195 No Limit Hold'em $4.60 + $0.40.txt"/>
  </r>
  <r>
    <n v="3961"/>
    <n v="106.47999999999998"/>
    <s v="18.01.2025"/>
    <n v="18"/>
    <x v="0"/>
    <x v="2"/>
    <x v="12"/>
    <m/>
    <m/>
    <m/>
    <x v="1"/>
    <n v="0"/>
    <s v="HH20250118 T3848908501 No Limit Hold'em $0.46 + $0.04.txt"/>
  </r>
  <r>
    <n v="3962"/>
    <n v="107.83999999999997"/>
    <s v="18.01.2025"/>
    <n v="18"/>
    <x v="0"/>
    <x v="2"/>
    <x v="13"/>
    <m/>
    <n v="1.36"/>
    <m/>
    <x v="1"/>
    <n v="0"/>
    <s v="HH20250118 T3848908736 No Limit Hold'em $0.96 + $0.04.txt"/>
  </r>
  <r>
    <n v="3963"/>
    <n v="110.61999999999998"/>
    <s v="18.01.2025"/>
    <n v="18"/>
    <x v="0"/>
    <x v="2"/>
    <x v="10"/>
    <n v="-10"/>
    <n v="12.78"/>
    <m/>
    <x v="1"/>
    <n v="0.27800000000000002"/>
    <s v="HH20250118 Aludra - $0.05-$0.10 - USD No Limit Hold'em.txt"/>
  </r>
  <r>
    <n v="3964"/>
    <n v="110.61999999999998"/>
    <s v="18.01.2025"/>
    <n v="18"/>
    <x v="0"/>
    <x v="2"/>
    <x v="13"/>
    <m/>
    <m/>
    <m/>
    <x v="2"/>
    <n v="0"/>
    <s v="HH20250118 T3845484130 No Limit Hold'em $1.40 + $0.10.txt"/>
  </r>
  <r>
    <n v="3965"/>
    <n v="113.40999999999997"/>
    <s v="18.01.2025"/>
    <n v="18"/>
    <x v="0"/>
    <x v="2"/>
    <x v="10"/>
    <n v="-10"/>
    <n v="12.79"/>
    <m/>
    <x v="1"/>
    <n v="0.27899999999999991"/>
    <s v="HH20250118 Aludra #2 - $0.05-$0.10 - USD No Limit Hold'em.txt"/>
  </r>
  <r>
    <n v="3966"/>
    <n v="108.53999999999996"/>
    <s v="18.01.2025"/>
    <n v="18"/>
    <x v="0"/>
    <x v="2"/>
    <x v="10"/>
    <n v="-10"/>
    <n v="5.13"/>
    <m/>
    <x v="2"/>
    <n v="-0.48699999999999999"/>
    <s v="HH20250118 Aludra #3 - $0.05-$0.10 - USD No Limit Hold'em.txt"/>
  </r>
  <r>
    <n v="3967"/>
    <n v="109.53999999999996"/>
    <s v="18.01.2025"/>
    <n v="18"/>
    <x v="0"/>
    <x v="2"/>
    <x v="18"/>
    <m/>
    <n v="1"/>
    <m/>
    <x v="1"/>
    <m/>
    <m/>
  </r>
  <r>
    <n v="3968"/>
    <n v="103.95999999999997"/>
    <s v="18.01.2025"/>
    <n v="18"/>
    <x v="0"/>
    <x v="2"/>
    <x v="10"/>
    <n v="-10"/>
    <n v="4.42"/>
    <m/>
    <x v="2"/>
    <n v="-0.55800000000000005"/>
    <s v="HH20250118 Aludra #4 - $0.05-$0.10 - USD No Limit Hold'em.txt"/>
  </r>
  <r>
    <n v="3969"/>
    <n v="98.959999999999965"/>
    <s v="19.01.2025"/>
    <n v="19"/>
    <x v="0"/>
    <x v="2"/>
    <x v="2"/>
    <n v="-5"/>
    <m/>
    <m/>
    <x v="2"/>
    <n v="-1"/>
    <s v="HH20250119 T3849154937 No Limit Hold'em $4.60 + $0.40.txt"/>
  </r>
  <r>
    <n v="3970"/>
    <n v="98.959999999999965"/>
    <s v="19.01.2025"/>
    <n v="19"/>
    <x v="0"/>
    <x v="2"/>
    <x v="12"/>
    <m/>
    <m/>
    <m/>
    <x v="2"/>
    <n v="0"/>
    <s v="HH20250119 T3849157815 No Limit Hold'em $0.46 + $0.04.txt"/>
  </r>
  <r>
    <n v="3971"/>
    <n v="94.499999999999972"/>
    <s v="19.01.2025"/>
    <n v="19"/>
    <x v="0"/>
    <x v="2"/>
    <x v="10"/>
    <n v="-10"/>
    <n v="5.54"/>
    <m/>
    <x v="2"/>
    <n v="-0.44599999999999995"/>
    <s v="HH20250119 Aludra - $0.05-$0.10 - USD No Limit Hold'em.txt"/>
  </r>
  <r>
    <n v="3972"/>
    <n v="95.499999999999972"/>
    <s v="19.01.2025"/>
    <n v="19"/>
    <x v="0"/>
    <x v="2"/>
    <x v="18"/>
    <m/>
    <n v="1"/>
    <m/>
    <x v="1"/>
    <m/>
    <m/>
  </r>
  <r>
    <n v="3973"/>
    <n v="87.639999999999972"/>
    <s v="19.01.2025"/>
    <n v="19"/>
    <x v="0"/>
    <x v="2"/>
    <x v="10"/>
    <n v="-10"/>
    <n v="2.14"/>
    <m/>
    <x v="2"/>
    <n v="-0.78600000000000003"/>
    <s v="HH20250119 Aludra #2 - $0.05-$0.10 - USD No Limit Hold'em.txt"/>
  </r>
  <r>
    <n v="3974"/>
    <n v="91.379999999999967"/>
    <s v="19.01.2025"/>
    <n v="19"/>
    <x v="0"/>
    <x v="2"/>
    <x v="10"/>
    <n v="-10"/>
    <n v="13.74"/>
    <m/>
    <x v="1"/>
    <n v="0.37400000000000011"/>
    <s v="HH20250119 Aludra #3 - $0.05-$0.10 - USD No Limit Hold'em.txt"/>
  </r>
  <r>
    <n v="3975"/>
    <n v="96.07999999999997"/>
    <s v="19.01.2025"/>
    <n v="19"/>
    <x v="0"/>
    <x v="2"/>
    <x v="10"/>
    <n v="-10"/>
    <n v="14.7"/>
    <m/>
    <x v="1"/>
    <n v="0.47"/>
    <s v="HH20250119 Aludra #4 - $0.05-$0.10 - USD No Limit Hold'em.txt"/>
  </r>
  <r>
    <n v="3976"/>
    <n v="91.069999999999965"/>
    <s v="19.01.2025"/>
    <n v="19"/>
    <x v="0"/>
    <x v="2"/>
    <x v="10"/>
    <n v="-10"/>
    <n v="4.99"/>
    <m/>
    <x v="2"/>
    <n v="-0.501"/>
    <s v="HH20250119 Aludra #5 - $0.05-$0.10 - USD No Limit Hold'em.txt"/>
  </r>
  <r>
    <n v="3977"/>
    <n v="81.069999999999965"/>
    <s v="19.01.2025"/>
    <n v="19"/>
    <x v="0"/>
    <x v="2"/>
    <x v="10"/>
    <n v="-10"/>
    <m/>
    <m/>
    <x v="2"/>
    <n v="-1"/>
    <s v="HH20250119 Aludra #6 - $0.05-$0.10 - USD No Limit Hold'em.txt"/>
  </r>
  <r>
    <n v="3978"/>
    <n v="71.069999999999965"/>
    <s v="19.01.2025"/>
    <n v="19"/>
    <x v="0"/>
    <x v="2"/>
    <x v="10"/>
    <n v="-10"/>
    <m/>
    <m/>
    <x v="2"/>
    <n v="-1"/>
    <s v="HH20250119 Aludra #7 - $0.05-$0.10 - USD No Limit Hold'em.txt"/>
  </r>
  <r>
    <n v="3979"/>
    <n v="28.419999999999973"/>
    <s v="19.01.2025"/>
    <n v="19"/>
    <x v="0"/>
    <x v="2"/>
    <x v="10"/>
    <n v="-71.069999999999993"/>
    <n v="28.42"/>
    <m/>
    <x v="2"/>
    <n v="-0.60011256507668498"/>
    <s v="HH20250119 Triangulum - $0.50-$1 - USD No Limit Hold'em.txt"/>
  </r>
  <r>
    <n v="3980"/>
    <n v="18.179999999999971"/>
    <s v="19.01.2025"/>
    <n v="19"/>
    <x v="0"/>
    <x v="2"/>
    <x v="10"/>
    <n v="-28.42"/>
    <n v="18.18"/>
    <m/>
    <x v="2"/>
    <n v="-0.36030964109781849"/>
    <s v="HH20250119 Baade - $0.25-$0.50 - USD No Limit Hold'em.txt"/>
  </r>
  <r>
    <n v="3981"/>
    <n v="24.73999999999997"/>
    <s v="19.01.2025"/>
    <n v="19"/>
    <x v="0"/>
    <x v="2"/>
    <x v="10"/>
    <n v="-18.18"/>
    <n v="24.74"/>
    <m/>
    <x v="1"/>
    <n v="0.36083608360836084"/>
    <s v="HH20250119 Hydra - $0.10-$0.25 - USD No Limit Hold'em.txt"/>
  </r>
  <r>
    <n v="3982"/>
    <n v="7.6999999999999718"/>
    <s v="19.01.2025"/>
    <n v="19"/>
    <x v="0"/>
    <x v="2"/>
    <x v="10"/>
    <n v="-24.74"/>
    <n v="7.7"/>
    <m/>
    <x v="2"/>
    <n v="-0.68876313662085686"/>
    <s v="HH20250119 Hydra #2 - $0.10-$0.25 - USD No Limit Hold'em.txt"/>
  </r>
  <r>
    <n v="3983"/>
    <n v="116.96"/>
    <s v="19.01.2025"/>
    <n v="19"/>
    <x v="0"/>
    <x v="2"/>
    <x v="1"/>
    <m/>
    <n v="109.26000000000002"/>
    <m/>
    <x v="0"/>
    <m/>
    <m/>
  </r>
  <r>
    <n v="3984"/>
    <n v="16.959999999999994"/>
    <s v="19.01.2025"/>
    <n v="19"/>
    <x v="0"/>
    <x v="2"/>
    <x v="10"/>
    <n v="-100"/>
    <m/>
    <m/>
    <x v="2"/>
    <n v="-1"/>
    <s v="HH20250119 Triangulum #2 - $0.50-$1 - USD No Limit Hold'em.txt"/>
  </r>
  <r>
    <n v="3985"/>
    <n v="-7.1054273576010019E-15"/>
    <s v="19.01.2025"/>
    <n v="19"/>
    <x v="0"/>
    <x v="2"/>
    <x v="10"/>
    <n v="-16.96"/>
    <m/>
    <m/>
    <x v="2"/>
    <n v="-1"/>
    <s v="HH20250119 Hydra #3 - $0.10-$0.25 - USD No Limit Hold'em.txt"/>
  </r>
  <r>
    <n v="3986"/>
    <n v="109.26000000000002"/>
    <s v="19.01.2025"/>
    <n v="19"/>
    <x v="0"/>
    <x v="2"/>
    <x v="1"/>
    <m/>
    <n v="109.26000000000002"/>
    <m/>
    <x v="0"/>
    <m/>
    <m/>
  </r>
  <r>
    <n v="3987"/>
    <n v="117.16000000000003"/>
    <s v="19.01.2025"/>
    <n v="19"/>
    <x v="0"/>
    <x v="2"/>
    <x v="10"/>
    <n v="-100"/>
    <n v="107.9"/>
    <m/>
    <x v="1"/>
    <n v="7.8999999999999959E-2"/>
    <s v="HH20250119 Triangulum #3 - $0.50-$1 - USD No Limit Hold'em.txt"/>
  </r>
  <r>
    <n v="3988"/>
    <n v="140.44000000000003"/>
    <s v="19.01.2025"/>
    <n v="19"/>
    <x v="0"/>
    <x v="2"/>
    <x v="10"/>
    <n v="-100"/>
    <n v="123.28"/>
    <m/>
    <x v="1"/>
    <n v="0.23280000000000012"/>
    <s v="HH20250119 Triangulum #4 - $0.50-$1 - USD No Limit Hold'em.txt"/>
  </r>
  <r>
    <n v="3989"/>
    <n v="151.09000000000003"/>
    <s v="19.01.2025"/>
    <n v="19"/>
    <x v="0"/>
    <x v="2"/>
    <x v="10"/>
    <n v="-100"/>
    <n v="110.65"/>
    <m/>
    <x v="1"/>
    <n v="0.10650000000000004"/>
    <s v="HH20250119 Triangulum #5 - $0.50-$1 - USD No Limit Hold'em.txt"/>
  </r>
  <r>
    <n v="3990"/>
    <n v="96.450000000000031"/>
    <s v="19.01.2025"/>
    <n v="19"/>
    <x v="0"/>
    <x v="2"/>
    <x v="7"/>
    <n v="-54.64"/>
    <m/>
    <m/>
    <x v="0"/>
    <m/>
    <m/>
  </r>
  <r>
    <n v="3991"/>
    <n v="45.830000000000027"/>
    <s v="19.01.2025"/>
    <n v="19"/>
    <x v="0"/>
    <x v="2"/>
    <x v="10"/>
    <n v="-96.45"/>
    <n v="45.83"/>
    <m/>
    <x v="2"/>
    <n v="-0.5248315189217212"/>
    <s v="HH20250119 Triangulum - $0.50-$1 - USD No Limit Hold'em2.txt"/>
  </r>
  <r>
    <n v="3992"/>
    <n v="70.570000000000022"/>
    <s v="19.01.2025"/>
    <n v="19"/>
    <x v="0"/>
    <x v="2"/>
    <x v="10"/>
    <n v="-45.83"/>
    <n v="70.569999999999993"/>
    <m/>
    <x v="1"/>
    <n v="0.53982107789657419"/>
    <s v="HH20250119 Baade - $0.25-$0.50 - USD No Limit Hold'em2.txt"/>
  </r>
  <r>
    <n v="3993"/>
    <n v="59.570000000000022"/>
    <s v="19.01.2025"/>
    <n v="19"/>
    <x v="0"/>
    <x v="2"/>
    <x v="5"/>
    <n v="-11"/>
    <m/>
    <m/>
    <x v="2"/>
    <n v="-1"/>
    <s v="HH20250119 T3845104441 No Limit Hold'em $9.80 + $1.20.txt"/>
  </r>
  <r>
    <n v="3994"/>
    <n v="9.5700000000000216"/>
    <s v="19.01.2025"/>
    <n v="19"/>
    <x v="0"/>
    <x v="2"/>
    <x v="10"/>
    <n v="-50"/>
    <m/>
    <m/>
    <x v="2"/>
    <n v="-1"/>
    <s v="HH20250119 Baade - $0.25-$0.50 - USD No Limit Hold'em3.txt"/>
  </r>
  <r>
    <n v="3995"/>
    <n v="4.5700000000000216"/>
    <s v="19.01.2025"/>
    <n v="19"/>
    <x v="0"/>
    <x v="2"/>
    <x v="2"/>
    <n v="-5"/>
    <m/>
    <m/>
    <x v="2"/>
    <n v="-1"/>
    <s v="HH20250119 T3849366011 No Limit Hold'em $4.60 + $0.40.txt"/>
  </r>
  <r>
    <n v="3996"/>
    <n v="114.55000000000003"/>
    <s v="20.01.2025"/>
    <n v="20"/>
    <x v="0"/>
    <x v="2"/>
    <x v="1"/>
    <m/>
    <n v="109.98"/>
    <m/>
    <x v="0"/>
    <m/>
    <m/>
  </r>
  <r>
    <n v="3997"/>
    <n v="124.55000000000003"/>
    <s v="20.01.2025"/>
    <n v="20"/>
    <x v="0"/>
    <x v="2"/>
    <x v="2"/>
    <n v="-5"/>
    <n v="15"/>
    <m/>
    <x v="1"/>
    <n v="2"/>
    <s v="HH20250120 T3849583429 No Limit Hold'em $4.60 + $0.40.txt"/>
  </r>
  <r>
    <n v="3998"/>
    <n v="119.55000000000003"/>
    <s v="21.01.2025"/>
    <n v="21"/>
    <x v="0"/>
    <x v="2"/>
    <x v="2"/>
    <n v="-5"/>
    <m/>
    <m/>
    <x v="2"/>
    <n v="-1"/>
    <s v="HH20250121 T3849889449 No Limit Hold'em $4.60 + $0.40.txt"/>
  </r>
  <r>
    <n v="3999"/>
    <n v="119.55000000000003"/>
    <s v="21.01.2025"/>
    <n v="21"/>
    <x v="0"/>
    <x v="2"/>
    <x v="12"/>
    <m/>
    <m/>
    <m/>
    <x v="1"/>
    <n v="0"/>
    <s v="HH20250121 T3849890468 No Limit Hold'em $0.46 + $0.04.txt"/>
  </r>
  <r>
    <n v="4000"/>
    <n v="119.55000000000003"/>
    <s v="21.01.2025"/>
    <n v="21"/>
    <x v="0"/>
    <x v="2"/>
    <x v="13"/>
    <m/>
    <m/>
    <m/>
    <x v="2"/>
    <n v="0"/>
    <s v="HH20250121 T3849890936 No Limit Hold'em $0.96 + $0.04.txt"/>
  </r>
  <r>
    <n v="4001"/>
    <n v="114.55000000000003"/>
    <s v="22.01.2025"/>
    <n v="22"/>
    <x v="0"/>
    <x v="2"/>
    <x v="2"/>
    <n v="-5"/>
    <m/>
    <m/>
    <x v="2"/>
    <n v="-1"/>
    <s v="HH20250122 T3850283352 No Limit Hold'em $4.60 + $0.40.txt"/>
  </r>
  <r>
    <n v="4002"/>
    <n v="114.55000000000003"/>
    <s v="22.01.2025"/>
    <n v="22"/>
    <x v="0"/>
    <x v="2"/>
    <x v="12"/>
    <m/>
    <m/>
    <m/>
    <x v="2"/>
    <n v="0"/>
    <s v="HH20250122 T3850283774 No Limit Hold'em $0.46 + $0.04.txt"/>
  </r>
  <r>
    <n v="4003"/>
    <n v="109.55000000000003"/>
    <s v="22.01.2025"/>
    <n v="22"/>
    <x v="0"/>
    <x v="2"/>
    <x v="2"/>
    <n v="-5"/>
    <m/>
    <m/>
    <x v="2"/>
    <n v="-1"/>
    <s v="HH20250122 T3850284812 No Limit Hold'em $4.60 + $0.40.txt"/>
  </r>
  <r>
    <n v="4004"/>
    <n v="104.55000000000003"/>
    <s v="22.01.2025"/>
    <n v="22"/>
    <x v="0"/>
    <x v="2"/>
    <x v="2"/>
    <n v="-5"/>
    <m/>
    <m/>
    <x v="2"/>
    <n v="-1"/>
    <s v="HH20250122 T3850285956 No Limit Hold'em $4.60 + $0.40.txt"/>
  </r>
  <r>
    <n v="4005"/>
    <n v="97.380000000000024"/>
    <s v="22.01.2025"/>
    <n v="22"/>
    <x v="0"/>
    <x v="2"/>
    <x v="10"/>
    <n v="-10"/>
    <n v="2.83"/>
    <m/>
    <x v="2"/>
    <n v="-0.71699999999999997"/>
    <s v="HH20250122 Aludra - $0.05-$0.10 - USD No Limit Hold'em.txt"/>
  </r>
  <r>
    <n v="4006"/>
    <n v="98.380000000000024"/>
    <s v="22.01.2025"/>
    <n v="22"/>
    <x v="0"/>
    <x v="2"/>
    <x v="18"/>
    <m/>
    <n v="1"/>
    <m/>
    <x v="1"/>
    <m/>
    <m/>
  </r>
  <r>
    <n v="4007"/>
    <n v="93.660000000000025"/>
    <s v="22.01.2025"/>
    <n v="22"/>
    <x v="0"/>
    <x v="2"/>
    <x v="10"/>
    <n v="-10"/>
    <n v="5.28"/>
    <m/>
    <x v="2"/>
    <n v="-0.47199999999999998"/>
    <s v="HH20250122 Aludra #2 - $0.05-$0.10 - USD No Limit Hold'em.txt"/>
  </r>
  <r>
    <n v="4008"/>
    <n v="103.66000000000003"/>
    <s v="22.01.2025"/>
    <n v="22"/>
    <x v="0"/>
    <x v="2"/>
    <x v="2"/>
    <n v="-5"/>
    <n v="15"/>
    <m/>
    <x v="1"/>
    <n v="2"/>
    <s v="HH20250122 T3850342841 No Limit Hold'em $4.60 + $0.40.txt"/>
  </r>
  <r>
    <n v="4009"/>
    <n v="95.820000000000022"/>
    <s v="22.01.2025"/>
    <n v="22"/>
    <x v="0"/>
    <x v="2"/>
    <x v="10"/>
    <n v="-10"/>
    <n v="2.16"/>
    <m/>
    <x v="2"/>
    <n v="-0.78400000000000003"/>
    <s v="HH20250122 Aludra #3 - $0.05-$0.10 - USD No Limit Hold'em.txt"/>
  </r>
  <r>
    <n v="4010"/>
    <n v="90.820000000000022"/>
    <s v="22.01.2025"/>
    <n v="22"/>
    <x v="0"/>
    <x v="2"/>
    <x v="2"/>
    <n v="-5"/>
    <m/>
    <m/>
    <x v="2"/>
    <n v="-1"/>
    <s v="HH20250122 T3850346244 No Limit Hold'em $4.60 + $0.40.txt"/>
  </r>
  <r>
    <n v="4011"/>
    <n v="85.510000000000019"/>
    <s v="22.01.2025"/>
    <n v="22"/>
    <x v="0"/>
    <x v="2"/>
    <x v="10"/>
    <n v="-10"/>
    <n v="4.6900000000000004"/>
    <m/>
    <x v="2"/>
    <n v="-0.53099999999999992"/>
    <s v="HH20250122 Aludra #4 - $0.05-$0.10 - USD No Limit Hold'em.txt"/>
  </r>
  <r>
    <n v="4012"/>
    <n v="75.510000000000019"/>
    <s v="22.01.2025"/>
    <n v="22"/>
    <x v="0"/>
    <x v="2"/>
    <x v="10"/>
    <n v="-10"/>
    <m/>
    <m/>
    <x v="2"/>
    <n v="-1"/>
    <s v="HH20250122 Aludra #5 - $0.05-$0.10 - USD No Limit Hold'em.txt"/>
  </r>
  <r>
    <n v="4013"/>
    <n v="70.510000000000019"/>
    <s v="22.01.2025"/>
    <n v="22"/>
    <x v="0"/>
    <x v="2"/>
    <x v="2"/>
    <n v="-5"/>
    <m/>
    <m/>
    <x v="2"/>
    <n v="-1"/>
    <s v="HH20250122 T3850358422 No Limit Hold'em $4.60 + $0.40.txt"/>
  </r>
  <r>
    <n v="4014"/>
    <n v="65.510000000000019"/>
    <s v="22.01.2025"/>
    <n v="22"/>
    <x v="0"/>
    <x v="2"/>
    <x v="2"/>
    <n v="-5"/>
    <m/>
    <m/>
    <x v="2"/>
    <n v="-1"/>
    <s v="HH20250122 T3850360909 No Limit Hold'em $4.60 + $0.40.txt"/>
  </r>
  <r>
    <n v="4015"/>
    <n v="60.510000000000019"/>
    <s v="22.01.2025"/>
    <n v="22"/>
    <x v="0"/>
    <x v="2"/>
    <x v="2"/>
    <n v="-5"/>
    <m/>
    <m/>
    <x v="2"/>
    <n v="-1"/>
    <s v="HH20250122 T3850361459 No Limit Hold'em $4.60 + $0.40.txt"/>
  </r>
  <r>
    <n v="4016"/>
    <n v="65.510000000000019"/>
    <s v="22.01.2025"/>
    <n v="22"/>
    <x v="0"/>
    <x v="2"/>
    <x v="2"/>
    <n v="-5"/>
    <n v="10"/>
    <m/>
    <x v="1"/>
    <n v="1"/>
    <s v="HH20250122 T3850373230 No Limit Hold'em $4.60 + $0.40.txt"/>
  </r>
  <r>
    <n v="4017"/>
    <n v="75.510000000000019"/>
    <s v="22.01.2025"/>
    <n v="22"/>
    <x v="0"/>
    <x v="2"/>
    <x v="2"/>
    <n v="-5"/>
    <n v="15"/>
    <m/>
    <x v="1"/>
    <n v="2"/>
    <s v="HH20250122 T3850376427 No Limit Hold'em $4.60 + $0.40.txt"/>
  </r>
  <r>
    <n v="4018"/>
    <n v="70.510000000000019"/>
    <s v="22.01.2025"/>
    <n v="22"/>
    <x v="0"/>
    <x v="2"/>
    <x v="2"/>
    <n v="-5"/>
    <m/>
    <m/>
    <x v="2"/>
    <n v="-1"/>
    <s v="HH20250122 T3850379412 No Limit Hold'em $4.60 + $0.40.txt"/>
  </r>
  <r>
    <n v="4019"/>
    <n v="65.510000000000019"/>
    <s v="22.01.2025"/>
    <n v="22"/>
    <x v="0"/>
    <x v="2"/>
    <x v="2"/>
    <n v="-5"/>
    <m/>
    <m/>
    <x v="2"/>
    <n v="-1"/>
    <s v="HH20250122 T3850380476 No Limit Hold'em $4.60 + $0.40.txt"/>
  </r>
  <r>
    <n v="4020"/>
    <n v="60.510000000000019"/>
    <s v="23.01.2025"/>
    <n v="23"/>
    <x v="0"/>
    <x v="2"/>
    <x v="2"/>
    <n v="-5"/>
    <m/>
    <m/>
    <x v="2"/>
    <n v="-1"/>
    <s v="HH20250123 T3850679520 No Limit Hold'em $4.60 + $0.40.txt"/>
  </r>
  <r>
    <n v="4021"/>
    <n v="60.510000000000019"/>
    <s v="23.01.2025"/>
    <n v="23"/>
    <x v="0"/>
    <x v="2"/>
    <x v="12"/>
    <m/>
    <m/>
    <m/>
    <x v="2"/>
    <n v="0"/>
    <s v="HH20250123 T3850680878 No Limit Hold'em $0.46 + $0.04.txt"/>
  </r>
  <r>
    <n v="4022"/>
    <n v="63.760000000000019"/>
    <s v="23.01.2025"/>
    <n v="23"/>
    <x v="0"/>
    <x v="2"/>
    <x v="10"/>
    <n v="-10"/>
    <n v="13.25"/>
    <m/>
    <x v="1"/>
    <n v="0.32499999999999996"/>
    <s v="HH20250123 Aludra - $0.05-$0.10 - USD No Limit Hold'em.txt"/>
  </r>
  <r>
    <n v="4023"/>
    <n v="64.580000000000013"/>
    <s v="23.01.2025"/>
    <n v="23"/>
    <x v="0"/>
    <x v="2"/>
    <x v="10"/>
    <n v="-10"/>
    <n v="10.82"/>
    <m/>
    <x v="1"/>
    <n v="8.2000000000000073E-2"/>
    <s v="HH20250123 Aludra #2 - $0.05-$0.10 - USD No Limit Hold'em.txt"/>
  </r>
  <r>
    <n v="4024"/>
    <n v="59.580000000000013"/>
    <s v="24.01.2025"/>
    <n v="24"/>
    <x v="0"/>
    <x v="2"/>
    <x v="2"/>
    <n v="-5"/>
    <m/>
    <m/>
    <x v="2"/>
    <n v="-1"/>
    <s v="HH20250124 T3851028627 No Limit Hold'em $4.60 + $0.40.txt"/>
  </r>
  <r>
    <n v="4025"/>
    <n v="59.580000000000013"/>
    <s v="24.01.2025"/>
    <n v="24"/>
    <x v="0"/>
    <x v="2"/>
    <x v="12"/>
    <m/>
    <m/>
    <m/>
    <x v="2"/>
    <n v="0"/>
    <s v="HH20250124 T3851029997 No Limit Hold'em $0.46 + $0.04.txt"/>
  </r>
  <r>
    <n v="4026"/>
    <n v="61.760000000000012"/>
    <s v="24.01.2025"/>
    <n v="24"/>
    <x v="0"/>
    <x v="2"/>
    <x v="10"/>
    <n v="-10"/>
    <n v="12.18"/>
    <m/>
    <x v="1"/>
    <n v="0.21799999999999997"/>
    <s v="HH20250124 Aludra - $0.05-$0.10 - USD No Limit Hold'em.txt"/>
  </r>
  <r>
    <n v="4027"/>
    <n v="63.850000000000009"/>
    <s v="24.01.2025"/>
    <n v="24"/>
    <x v="0"/>
    <x v="2"/>
    <x v="10"/>
    <n v="-10"/>
    <n v="12.09"/>
    <m/>
    <x v="1"/>
    <n v="0.20900000000000007"/>
    <s v="HH20250124 Aludra #2 - $0.05-$0.10 - USD No Limit Hold'em.txt"/>
  </r>
  <r>
    <n v="4028"/>
    <n v="66.59"/>
    <s v="24.01.2025"/>
    <n v="24"/>
    <x v="0"/>
    <x v="2"/>
    <x v="10"/>
    <n v="-10"/>
    <n v="12.74"/>
    <m/>
    <x v="1"/>
    <n v="0.27400000000000002"/>
    <s v="HH20250124 Aludra #3 - $0.05-$0.10 - USD No Limit Hold'em.txt"/>
  </r>
  <r>
    <n v="4029"/>
    <n v="68.67"/>
    <s v="24.01.2025"/>
    <n v="24"/>
    <x v="0"/>
    <x v="2"/>
    <x v="10"/>
    <n v="-10"/>
    <n v="12.08"/>
    <m/>
    <x v="1"/>
    <n v="0.20799999999999996"/>
    <s v="HH20250124 Aludra - $0.05-$0.10 - USD No Limit Hold'em2.txt"/>
  </r>
  <r>
    <n v="4030"/>
    <n v="53.67"/>
    <s v="24.01.2025"/>
    <n v="24"/>
    <x v="0"/>
    <x v="2"/>
    <x v="10"/>
    <n v="-15"/>
    <m/>
    <m/>
    <x v="2"/>
    <n v="-1"/>
    <s v="HH20250124 Aludra #2 - $0.05-$0.10 - USD No Limit Hold'em2.txt"/>
  </r>
  <r>
    <n v="4031"/>
    <n v="48.67"/>
    <s v="24.01.2025"/>
    <n v="24"/>
    <x v="0"/>
    <x v="2"/>
    <x v="2"/>
    <n v="-5"/>
    <m/>
    <m/>
    <x v="2"/>
    <n v="-1"/>
    <s v="HH20250124 T3851151395 No Limit Hold'em $4.60 + $0.40.txt"/>
  </r>
  <r>
    <n v="4032"/>
    <n v="53.67"/>
    <s v="24.01.2025"/>
    <n v="24"/>
    <x v="0"/>
    <x v="2"/>
    <x v="2"/>
    <n v="-5"/>
    <n v="10"/>
    <m/>
    <x v="1"/>
    <n v="1"/>
    <s v="HH20250124 T3851152871 No Limit Hold'em $4.60 + $0.40.txt"/>
  </r>
  <r>
    <n v="4033"/>
    <n v="48.67"/>
    <s v="24.01.2025"/>
    <n v="24"/>
    <x v="0"/>
    <x v="2"/>
    <x v="2"/>
    <n v="-5"/>
    <m/>
    <m/>
    <x v="2"/>
    <n v="-1"/>
    <s v="HH20250124 T3851159326 No Limit Hold'em $4.60 + $0.40.txt"/>
  </r>
  <r>
    <n v="4034"/>
    <n v="53.67"/>
    <s v="24.01.2025"/>
    <n v="24"/>
    <x v="0"/>
    <x v="2"/>
    <x v="2"/>
    <n v="-5"/>
    <n v="10"/>
    <m/>
    <x v="1"/>
    <n v="1"/>
    <s v="HH20250124 T3851160951 No Limit Hold'em $4.60 + $0.40.txt"/>
  </r>
  <r>
    <n v="4035"/>
    <n v="48.67"/>
    <s v="24.01.2025"/>
    <n v="24"/>
    <x v="0"/>
    <x v="2"/>
    <x v="2"/>
    <n v="-5"/>
    <m/>
    <m/>
    <x v="2"/>
    <n v="-1"/>
    <s v="HH20250124 T3851163194 No Limit Hold'em $4.60 + $0.40.txt"/>
  </r>
  <r>
    <n v="4036"/>
    <n v="43.67"/>
    <s v="24.01.2025"/>
    <n v="24"/>
    <x v="0"/>
    <x v="2"/>
    <x v="2"/>
    <n v="-5"/>
    <m/>
    <m/>
    <x v="2"/>
    <n v="-1"/>
    <s v="HH20250124 T3851169207 No Limit Hold'em $4.60 + $0.40.txt"/>
  </r>
  <r>
    <n v="4037"/>
    <n v="38.67"/>
    <s v="24.01.2025"/>
    <n v="24"/>
    <x v="0"/>
    <x v="2"/>
    <x v="2"/>
    <n v="-5"/>
    <m/>
    <m/>
    <x v="2"/>
    <n v="-1"/>
    <s v="HH20250124 T3851171005 No Limit Hold'em $4.60 + $0.40.txt"/>
  </r>
  <r>
    <n v="4038"/>
    <n v="33.67"/>
    <s v="24.01.2025"/>
    <n v="24"/>
    <x v="0"/>
    <x v="2"/>
    <x v="2"/>
    <n v="-5"/>
    <m/>
    <m/>
    <x v="2"/>
    <n v="-1"/>
    <s v="HH20250124 T3851173077 No Limit Hold'em $4.60 + $0.40.txt"/>
  </r>
  <r>
    <n v="4039"/>
    <n v="48.67"/>
    <s v="24.01.2025"/>
    <n v="24"/>
    <x v="0"/>
    <x v="2"/>
    <x v="2"/>
    <n v="-5"/>
    <n v="20"/>
    <m/>
    <x v="1"/>
    <n v="3"/>
    <s v="HH20250124 T3851208821 No Limit Hold'em $4.60 + $0.40.txt"/>
  </r>
  <r>
    <n v="4040"/>
    <n v="43.67"/>
    <s v="24.01.2025"/>
    <n v="24"/>
    <x v="0"/>
    <x v="2"/>
    <x v="2"/>
    <n v="-5"/>
    <m/>
    <m/>
    <x v="2"/>
    <n v="-1"/>
    <s v="HH20250124 T3851211584 No Limit Hold'em $4.60 + $0.40.txt"/>
  </r>
  <r>
    <n v="4041"/>
    <n v="53.67"/>
    <s v="24.01.2025"/>
    <n v="24"/>
    <x v="0"/>
    <x v="2"/>
    <x v="2"/>
    <n v="-5"/>
    <n v="15"/>
    <m/>
    <x v="1"/>
    <n v="2"/>
    <s v="HH20250124 T3851213803 No Limit Hold'em $4.60 + $0.40.txt"/>
  </r>
  <r>
    <n v="4042"/>
    <n v="48.67"/>
    <s v="24.01.2025"/>
    <n v="24"/>
    <x v="0"/>
    <x v="2"/>
    <x v="2"/>
    <n v="-5"/>
    <m/>
    <m/>
    <x v="2"/>
    <n v="-1"/>
    <s v="HH20250124 T3851220244 No Limit Hold'em $4.60 + $0.40.txt"/>
  </r>
  <r>
    <n v="4043"/>
    <n v="43.67"/>
    <s v="24.01.2025"/>
    <n v="24"/>
    <x v="0"/>
    <x v="2"/>
    <x v="2"/>
    <n v="-5"/>
    <m/>
    <m/>
    <x v="2"/>
    <n v="-1"/>
    <s v="HH20250124 T3851221956 No Limit Hold'em $4.60 + $0.40.txt"/>
  </r>
  <r>
    <n v="4044"/>
    <n v="38.67"/>
    <s v="24.01.2025"/>
    <n v="24"/>
    <x v="0"/>
    <x v="2"/>
    <x v="2"/>
    <n v="-5"/>
    <m/>
    <m/>
    <x v="2"/>
    <n v="-1"/>
    <s v="HH20250124 T3851224073 No Limit Hold'em $4.60 + $0.40.txt"/>
  </r>
  <r>
    <n v="4045"/>
    <n v="43.67"/>
    <s v="24.01.2025"/>
    <n v="24"/>
    <x v="0"/>
    <x v="2"/>
    <x v="2"/>
    <n v="-5"/>
    <n v="10"/>
    <m/>
    <x v="1"/>
    <n v="1"/>
    <s v="HH20250124 T3851227483 No Limit Hold'em $4.60 + $0.40.txt"/>
  </r>
  <r>
    <n v="4046"/>
    <n v="38.67"/>
    <s v="24.01.2025"/>
    <n v="24"/>
    <x v="0"/>
    <x v="2"/>
    <x v="2"/>
    <n v="-5"/>
    <m/>
    <m/>
    <x v="2"/>
    <n v="-1"/>
    <s v="HH20250124 T3851230442 No Limit Hold'em $4.60 + $0.40.txt"/>
  </r>
  <r>
    <n v="4047"/>
    <n v="48.67"/>
    <s v="25.01.2025"/>
    <n v="25"/>
    <x v="0"/>
    <x v="2"/>
    <x v="2"/>
    <n v="-5"/>
    <n v="15"/>
    <m/>
    <x v="1"/>
    <n v="2"/>
    <s v="HH20250125 T3851370989 No Limit Hold'em $4.60 + $0.40.txt"/>
  </r>
  <r>
    <n v="4048"/>
    <n v="48.67"/>
    <s v="25.01.2025"/>
    <n v="25"/>
    <x v="0"/>
    <x v="2"/>
    <x v="12"/>
    <m/>
    <m/>
    <m/>
    <x v="1"/>
    <n v="0"/>
    <s v="HH20250125 T3851373308 No Limit Hold'em $0.46 + $0.04.txt"/>
  </r>
  <r>
    <n v="4049"/>
    <n v="48.78"/>
    <s v="25.01.2025"/>
    <n v="25"/>
    <x v="0"/>
    <x v="2"/>
    <x v="10"/>
    <n v="-10"/>
    <n v="10.11"/>
    <m/>
    <x v="1"/>
    <n v="1.0999999999999899E-2"/>
    <s v="HH20250125 Aludra - $0.05-$0.10 - USD No Limit Hold'em.txt"/>
  </r>
  <r>
    <n v="4050"/>
    <n v="42.74"/>
    <s v="25.01.2025"/>
    <n v="25"/>
    <x v="0"/>
    <x v="2"/>
    <x v="10"/>
    <n v="-10"/>
    <n v="3.96"/>
    <m/>
    <x v="2"/>
    <n v="-0.60399999999999998"/>
    <s v="HH20250125 Aludra - $0.05-$0.10 - USD No Limit Hold'em2.txt"/>
  </r>
  <r>
    <n v="4051"/>
    <n v="52.74"/>
    <s v="25.01.2025"/>
    <n v="25"/>
    <x v="0"/>
    <x v="2"/>
    <x v="2"/>
    <n v="-5"/>
    <n v="15"/>
    <m/>
    <x v="1"/>
    <n v="2"/>
    <s v="HH20250125 T3851394546 No Limit Hold'em $4.60 + $0.40.txt"/>
  </r>
  <r>
    <n v="4052"/>
    <n v="56.39"/>
    <s v="25.01.2025"/>
    <n v="25"/>
    <x v="0"/>
    <x v="2"/>
    <x v="10"/>
    <n v="-10"/>
    <n v="13.65"/>
    <m/>
    <x v="1"/>
    <n v="0.36499999999999999"/>
    <s v="HH20250125 Aludra #2 - $0.05-$0.10 - USD No Limit Hold'em.txt"/>
  </r>
  <r>
    <n v="4053"/>
    <n v="59.09"/>
    <s v="25.01.2025"/>
    <n v="25"/>
    <x v="0"/>
    <x v="2"/>
    <x v="10"/>
    <n v="-10"/>
    <n v="12.7"/>
    <m/>
    <x v="1"/>
    <n v="0.27"/>
    <s v="HH20250125 Aludra - $0.05-$0.10 - USD No Limit Hold'em3.txt"/>
  </r>
  <r>
    <n v="4054"/>
    <n v="62.550000000000004"/>
    <s v="25.01.2025"/>
    <n v="25"/>
    <x v="0"/>
    <x v="2"/>
    <x v="10"/>
    <n v="-10"/>
    <n v="13.46"/>
    <m/>
    <x v="1"/>
    <n v="0.34600000000000009"/>
    <s v="HH20250125 Aludra #2 - $0.05-$0.10 - USD No Limit Hold'em2.txt"/>
  </r>
  <r>
    <n v="4055"/>
    <n v="56.900000000000006"/>
    <s v="25.01.2025"/>
    <n v="25"/>
    <x v="0"/>
    <x v="2"/>
    <x v="10"/>
    <n v="-10"/>
    <n v="4.3499999999999996"/>
    <m/>
    <x v="2"/>
    <n v="-0.56500000000000006"/>
    <s v="HH20250125 Aludra #3 - $0.05-$0.10 - USD No Limit Hold'em.txt"/>
  </r>
  <r>
    <n v="4056"/>
    <n v="51.900000000000006"/>
    <s v="25.01.2025"/>
    <n v="25"/>
    <x v="0"/>
    <x v="2"/>
    <x v="2"/>
    <n v="-5"/>
    <m/>
    <m/>
    <x v="2"/>
    <n v="-1"/>
    <s v="HH20250125 T3851510947 No Limit Hold'em $4.60 + $0.40.txt"/>
  </r>
  <r>
    <n v="4057"/>
    <n v="46.900000000000006"/>
    <s v="25.01.2025"/>
    <n v="25"/>
    <x v="0"/>
    <x v="2"/>
    <x v="2"/>
    <n v="-5"/>
    <m/>
    <m/>
    <x v="2"/>
    <n v="-1"/>
    <s v="HH20250125 T3851514088 No Limit Hold'em $4.60 + $0.40.txt"/>
  </r>
  <r>
    <n v="4058"/>
    <n v="51.31"/>
    <s v="25.01.2025"/>
    <n v="25"/>
    <x v="0"/>
    <x v="2"/>
    <x v="10"/>
    <n v="-10"/>
    <n v="14.41"/>
    <m/>
    <x v="1"/>
    <n v="0.44100000000000006"/>
    <s v="HH20250125 Aludra - $0.05-$0.10 - USD No Limit Hold'em4.txt"/>
  </r>
  <r>
    <n v="4059"/>
    <n v="53.78"/>
    <s v="25.01.2025"/>
    <n v="25"/>
    <x v="0"/>
    <x v="2"/>
    <x v="10"/>
    <n v="-10"/>
    <n v="12.47"/>
    <m/>
    <x v="1"/>
    <n v="0.24700000000000011"/>
    <s v="HH20250125 Aludra #2 - $0.05-$0.10 - USD No Limit Hold'em3.txt"/>
  </r>
  <r>
    <n v="4060"/>
    <n v="55.05"/>
    <s v="25.01.2025"/>
    <n v="25"/>
    <x v="0"/>
    <x v="2"/>
    <x v="10"/>
    <n v="-10"/>
    <n v="11.27"/>
    <m/>
    <x v="1"/>
    <n v="0.127"/>
    <s v="HH20250125 Aludra #3 - $0.05-$0.10 - USD No Limit Hold'em2.txt"/>
  </r>
  <r>
    <n v="4061"/>
    <n v="60.05"/>
    <s v="26.01.2025"/>
    <n v="26"/>
    <x v="0"/>
    <x v="2"/>
    <x v="2"/>
    <n v="-5"/>
    <n v="10"/>
    <m/>
    <x v="1"/>
    <n v="1"/>
    <s v="HH20250126 T3851763571 No Limit Hold'em $4.60 + $0.40.txt"/>
  </r>
  <r>
    <n v="4062"/>
    <n v="60.05"/>
    <s v="26.01.2025"/>
    <n v="26"/>
    <x v="0"/>
    <x v="2"/>
    <x v="12"/>
    <m/>
    <m/>
    <m/>
    <x v="2"/>
    <n v="0"/>
    <s v="HH20250126 T3851765093 No Limit Hold'em $0.46 + $0.04.txt"/>
  </r>
  <r>
    <n v="4063"/>
    <n v="50.05"/>
    <s v="26.01.2025"/>
    <n v="26"/>
    <x v="0"/>
    <x v="2"/>
    <x v="10"/>
    <n v="-10"/>
    <m/>
    <m/>
    <x v="2"/>
    <n v="-1"/>
    <s v="HH20250126 Aludra - $0.05-$0.10 - USD No Limit Hold'em.txt"/>
  </r>
  <r>
    <n v="4064"/>
    <n v="52.629999999999995"/>
    <s v="26.01.2025"/>
    <n v="26"/>
    <x v="0"/>
    <x v="2"/>
    <x v="10"/>
    <n v="-10"/>
    <n v="12.58"/>
    <m/>
    <x v="1"/>
    <n v="0.25800000000000001"/>
    <s v="HH20250126 Aludra #2 - $0.05-$0.10 - USD No Limit Hold'em.txt"/>
  </r>
  <r>
    <n v="4065"/>
    <n v="52.629999999999995"/>
    <s v="26.01.2025"/>
    <n v="26"/>
    <x v="0"/>
    <x v="2"/>
    <x v="10"/>
    <n v="-10"/>
    <n v="10"/>
    <m/>
    <x v="1"/>
    <n v="0"/>
    <s v="HH20250126 Aludra #3 - $0.05-$0.10 - USD No Limit Hold'em.txt"/>
  </r>
  <r>
    <n v="4066"/>
    <n v="48.129999999999995"/>
    <s v="26.01.2025"/>
    <n v="26"/>
    <x v="0"/>
    <x v="2"/>
    <x v="10"/>
    <n v="-10"/>
    <n v="5.5"/>
    <m/>
    <x v="2"/>
    <n v="-0.44999999999999996"/>
    <s v="HH20250126 Aludra - $0.05-$0.10 - USD No Limit Hold'em2.txt"/>
  </r>
  <r>
    <n v="4067"/>
    <n v="51.169999999999995"/>
    <s v="26.01.2025"/>
    <n v="26"/>
    <x v="0"/>
    <x v="2"/>
    <x v="10"/>
    <n v="-10"/>
    <n v="13.04"/>
    <m/>
    <x v="1"/>
    <n v="0.30399999999999983"/>
    <s v="HH20250126 Aludra #2 - $0.05-$0.10 - USD No Limit Hold'em2.txt"/>
  </r>
  <r>
    <n v="4068"/>
    <n v="46.69"/>
    <s v="26.01.2025"/>
    <n v="26"/>
    <x v="0"/>
    <x v="2"/>
    <x v="10"/>
    <n v="-10"/>
    <n v="5.52"/>
    <m/>
    <x v="2"/>
    <n v="-0.44800000000000006"/>
    <s v="HH20250126 Aludra #3 - $0.05-$0.10 - USD No Limit Hold'em2.txt"/>
  </r>
  <r>
    <n v="4069"/>
    <n v="53.14"/>
    <s v="26.01.2025"/>
    <n v="26"/>
    <x v="0"/>
    <x v="2"/>
    <x v="10"/>
    <n v="-10"/>
    <n v="16.45"/>
    <m/>
    <x v="1"/>
    <n v="0.64500000000000002"/>
    <s v="HH20250126 Aludra #4 - $0.05-$0.10 - USD No Limit Hold'em.txt"/>
  </r>
  <r>
    <n v="4070"/>
    <n v="55.72"/>
    <s v="26.01.2025"/>
    <n v="26"/>
    <x v="0"/>
    <x v="2"/>
    <x v="10"/>
    <n v="-10"/>
    <n v="12.58"/>
    <m/>
    <x v="1"/>
    <n v="0.25800000000000001"/>
    <s v="HH20250126 Aludra #5 - $0.05-$0.10 - USD No Limit Hold'em.txt"/>
  </r>
  <r>
    <n v="4071"/>
    <n v="57.92"/>
    <s v="26.01.2025"/>
    <n v="26"/>
    <x v="0"/>
    <x v="2"/>
    <x v="10"/>
    <n v="-10"/>
    <n v="12.2"/>
    <m/>
    <x v="1"/>
    <n v="0.21999999999999997"/>
    <s v="HH20250126 Aludra #6 - $0.05-$0.10 - USD No Limit Hold'em.txt"/>
  </r>
  <r>
    <n v="4072"/>
    <n v="63.83"/>
    <s v="26.01.2025"/>
    <n v="26"/>
    <x v="0"/>
    <x v="2"/>
    <x v="10"/>
    <n v="-10"/>
    <n v="15.91"/>
    <m/>
    <x v="1"/>
    <n v="0.59099999999999997"/>
    <s v="HH20250126 Aludra #7 - $0.05-$0.10 - USD No Limit Hold'em.txt"/>
  </r>
  <r>
    <n v="4073"/>
    <n v="53.83"/>
    <s v="26.01.2025"/>
    <n v="26"/>
    <x v="0"/>
    <x v="2"/>
    <x v="10"/>
    <n v="-10"/>
    <m/>
    <m/>
    <x v="2"/>
    <n v="-1"/>
    <s v="HH20250126 Aludra #8 - $0.05-$0.10 - USD No Limit Hold'em.txt"/>
  </r>
  <r>
    <n v="4074"/>
    <n v="42.83"/>
    <s v="26.01.2025"/>
    <n v="26"/>
    <x v="0"/>
    <x v="2"/>
    <x v="5"/>
    <n v="-11"/>
    <m/>
    <m/>
    <x v="2"/>
    <n v="-1"/>
    <s v="HH20250126 T3848396109 No Limit Hold'em $9.80 + $1.20.txt"/>
  </r>
  <r>
    <n v="4075"/>
    <n v="38.42"/>
    <s v="26.01.2025"/>
    <n v="26"/>
    <x v="0"/>
    <x v="2"/>
    <x v="10"/>
    <n v="-10"/>
    <n v="5.59"/>
    <m/>
    <x v="2"/>
    <n v="-0.44100000000000006"/>
    <s v="HH20250126 Aludra #9 - $0.05-$0.10 - USD No Limit Hold'em.txt"/>
  </r>
  <r>
    <n v="4076"/>
    <n v="40.42"/>
    <s v="26.01.2025"/>
    <n v="26"/>
    <x v="0"/>
    <x v="2"/>
    <x v="10"/>
    <n v="-10"/>
    <n v="12"/>
    <m/>
    <x v="1"/>
    <n v="0.19999999999999996"/>
    <s v="HH20250126 Aludra #10 - $0.05-$0.10 - USD No Limit Hold'em.txt"/>
  </r>
  <r>
    <n v="4077"/>
    <n v="47.21"/>
    <s v="26.01.2025"/>
    <n v="26"/>
    <x v="0"/>
    <x v="2"/>
    <x v="10"/>
    <n v="-10"/>
    <n v="16.79"/>
    <m/>
    <x v="1"/>
    <n v="0.67899999999999983"/>
    <s v="HH20250126 Aludra #11 - $0.05-$0.10 - USD No Limit Hold'em.txt"/>
  </r>
  <r>
    <n v="4078"/>
    <n v="52.79"/>
    <s v="26.01.2025"/>
    <n v="26"/>
    <x v="0"/>
    <x v="2"/>
    <x v="10"/>
    <n v="-10"/>
    <n v="15.58"/>
    <m/>
    <x v="1"/>
    <n v="0.55800000000000005"/>
    <s v="HH20250126 Aludra #12 - $0.05-$0.10 - USD No Limit Hold'em.txt"/>
  </r>
  <r>
    <n v="4079"/>
    <n v="46.89"/>
    <s v="26.01.2025"/>
    <n v="26"/>
    <x v="0"/>
    <x v="2"/>
    <x v="10"/>
    <n v="-10"/>
    <n v="4.0999999999999996"/>
    <m/>
    <x v="2"/>
    <n v="-0.59000000000000008"/>
    <s v="HH20250126 Aludra #13 - $0.05-$0.10 - USD No Limit Hold'em.txt"/>
  </r>
  <r>
    <n v="4080"/>
    <n v="49.16"/>
    <s v="26.01.2025"/>
    <n v="26"/>
    <x v="0"/>
    <x v="2"/>
    <x v="10"/>
    <n v="-10"/>
    <n v="12.27"/>
    <m/>
    <x v="1"/>
    <n v="0.22699999999999987"/>
    <s v="HH20250126 Aludra #14 - $0.05-$0.10 - USD No Limit Hold'em.txt"/>
  </r>
  <r>
    <n v="4081"/>
    <n v="39.159999999999997"/>
    <s v="26.01.2025"/>
    <n v="26"/>
    <x v="0"/>
    <x v="2"/>
    <x v="10"/>
    <n v="-10"/>
    <m/>
    <m/>
    <x v="2"/>
    <n v="-1"/>
    <s v="HH20250126 Aludra #15 - $0.05-$0.10 - USD No Limit Hold'em.txt"/>
  </r>
  <r>
    <n v="4082"/>
    <n v="34.159999999999997"/>
    <s v="27.01.2025"/>
    <n v="27"/>
    <x v="0"/>
    <x v="2"/>
    <x v="2"/>
    <n v="-5"/>
    <m/>
    <m/>
    <x v="2"/>
    <n v="-1"/>
    <s v="HH20250127 T3852125114 No Limit Hold'em $4.60 + $0.40.txt"/>
  </r>
  <r>
    <n v="4083"/>
    <n v="34.159999999999997"/>
    <s v="27.01.2025"/>
    <n v="27"/>
    <x v="0"/>
    <x v="2"/>
    <x v="12"/>
    <m/>
    <m/>
    <m/>
    <x v="2"/>
    <n v="0"/>
    <s v="HH20250127 T3852126126 No Limit Hold'em $0.46 + $0.04.txt"/>
  </r>
  <r>
    <n v="4084"/>
    <n v="44.16"/>
    <s v="28.01.2025"/>
    <n v="28"/>
    <x v="0"/>
    <x v="2"/>
    <x v="2"/>
    <n v="-5"/>
    <n v="15"/>
    <m/>
    <x v="1"/>
    <n v="2"/>
    <s v="HH20250128 T3852479689 No Limit Hold'em $4.60 + $0.40.txt"/>
  </r>
  <r>
    <n v="4085"/>
    <n v="44.16"/>
    <s v="28.01.2025"/>
    <n v="28"/>
    <x v="0"/>
    <x v="2"/>
    <x v="12"/>
    <m/>
    <m/>
    <m/>
    <x v="1"/>
    <n v="0"/>
    <s v="HH20250128 T3852480551 No Limit Hold'em $0.46 + $0.04.txt"/>
  </r>
  <r>
    <n v="4086"/>
    <n v="44.16"/>
    <s v="28.01.2025"/>
    <n v="28"/>
    <x v="0"/>
    <x v="2"/>
    <x v="13"/>
    <m/>
    <m/>
    <m/>
    <x v="2"/>
    <n v="0"/>
    <s v="HH20250128 T3851370878 No Limit Hold'em $1.40 + $0.10.txt"/>
  </r>
  <r>
    <n v="4087"/>
    <n v="39.159999999999997"/>
    <s v="28.01.2025"/>
    <n v="28"/>
    <x v="0"/>
    <x v="2"/>
    <x v="2"/>
    <n v="-5"/>
    <m/>
    <m/>
    <x v="2"/>
    <n v="-1"/>
    <s v="HH20250128 T3852630305 No Limit Hold'em $4.60 + $0.40.txt"/>
  </r>
  <r>
    <n v="4088"/>
    <n v="54.16"/>
    <s v="29.01.2025"/>
    <n v="29"/>
    <x v="0"/>
    <x v="2"/>
    <x v="2"/>
    <n v="-5"/>
    <n v="20"/>
    <m/>
    <x v="1"/>
    <n v="3"/>
    <s v="HH20250129 T3852767456 No Limit Hold'em $4.60 + $0.40.txt"/>
  </r>
  <r>
    <n v="4089"/>
    <n v="54.16"/>
    <s v="29.01.2025"/>
    <n v="29"/>
    <x v="0"/>
    <x v="2"/>
    <x v="12"/>
    <m/>
    <m/>
    <m/>
    <x v="1"/>
    <n v="0"/>
    <s v="HH20250129 T3852769349 No Limit Hold'em $0.46 + $0.04.txt"/>
  </r>
  <r>
    <n v="4090"/>
    <n v="54.16"/>
    <s v="29.01.2025"/>
    <n v="29"/>
    <x v="0"/>
    <x v="2"/>
    <x v="13"/>
    <m/>
    <m/>
    <m/>
    <x v="2"/>
    <n v="0"/>
    <s v="HH20250129 T3852770477 No Limit Hold'em $0.96 + $0.04.txt"/>
  </r>
  <r>
    <n v="4091"/>
    <n v="56.26"/>
    <s v="29.01.2025"/>
    <n v="29"/>
    <x v="0"/>
    <x v="2"/>
    <x v="10"/>
    <n v="-10"/>
    <n v="12.1"/>
    <m/>
    <x v="1"/>
    <n v="0.20999999999999996"/>
    <s v="HH20250129 Aludra - $0.05-$0.10 - USD No Limit Hold'em.txt"/>
  </r>
  <r>
    <n v="4092"/>
    <n v="50.48"/>
    <s v="29.01.2025"/>
    <n v="29"/>
    <x v="0"/>
    <x v="2"/>
    <x v="10"/>
    <n v="-10"/>
    <n v="4.22"/>
    <m/>
    <x v="2"/>
    <n v="-0.57800000000000007"/>
    <s v="HH20250129 Aludra - $0.05-$0.10 - USD No Limit Hold'em2.txt"/>
  </r>
  <r>
    <n v="4093"/>
    <n v="52.489999999999995"/>
    <s v="29.01.2025"/>
    <n v="29"/>
    <x v="0"/>
    <x v="2"/>
    <x v="10"/>
    <n v="-10"/>
    <n v="12.01"/>
    <m/>
    <x v="1"/>
    <n v="0.20100000000000007"/>
    <s v="HH20250129 Aludra - $0.05-$0.10 - USD No Limit Hold'em3.txt"/>
  </r>
  <r>
    <n v="4094"/>
    <n v="58.289999999999992"/>
    <s v="29.01.2025"/>
    <n v="29"/>
    <x v="0"/>
    <x v="2"/>
    <x v="10"/>
    <n v="-10"/>
    <n v="15.8"/>
    <m/>
    <x v="1"/>
    <n v="0.58000000000000007"/>
    <s v="HH20250129 Aludra - $0.05-$0.10 - USD No Limit Hold'em4.txt"/>
  </r>
  <r>
    <n v="4095"/>
    <n v="58.329999999999991"/>
    <s v="29.01.2025"/>
    <n v="29"/>
    <x v="0"/>
    <x v="2"/>
    <x v="10"/>
    <n v="-10"/>
    <n v="10.039999999999999"/>
    <m/>
    <x v="1"/>
    <n v="4.0000000000000036E-3"/>
    <s v="HH20250129 Aludra - $0.05-$0.10 - USD No Limit Hold'em5.txt"/>
  </r>
  <r>
    <n v="4096"/>
    <n v="52.399999999999991"/>
    <s v="29.01.2025"/>
    <n v="29"/>
    <x v="0"/>
    <x v="2"/>
    <x v="10"/>
    <n v="-10"/>
    <n v="4.07"/>
    <m/>
    <x v="2"/>
    <n v="-0.59299999999999997"/>
    <s v="HH20250129 Aludra - $0.05-$0.10 - USD No Limit Hold'em6.txt"/>
  </r>
  <r>
    <n v="4097"/>
    <n v="48.329999999999991"/>
    <s v="29.01.2025"/>
    <n v="29"/>
    <x v="0"/>
    <x v="2"/>
    <x v="10"/>
    <n v="-10"/>
    <n v="5.93"/>
    <m/>
    <x v="2"/>
    <n v="-0.40700000000000003"/>
    <s v="HH20250129 Aludra #2 - $0.05-$0.10 - USD No Limit Hold'em.txt"/>
  </r>
  <r>
    <n v="4098"/>
    <n v="52.019999999999989"/>
    <s v="29.01.2025"/>
    <n v="29"/>
    <x v="0"/>
    <x v="2"/>
    <x v="10"/>
    <n v="-10"/>
    <n v="13.69"/>
    <m/>
    <x v="1"/>
    <n v="0.36899999999999999"/>
    <s v="HH20250129 Aludra #3 - $0.05-$0.10 - USD No Limit Hold'em.txt"/>
  </r>
  <r>
    <n v="4099"/>
    <n v="47.829999999999991"/>
    <s v="29.01.2025"/>
    <n v="29"/>
    <x v="0"/>
    <x v="2"/>
    <x v="10"/>
    <n v="-10"/>
    <n v="5.81"/>
    <m/>
    <x v="2"/>
    <n v="-0.41900000000000004"/>
    <s v="HH20250129 Aludra #4 - $0.05-$0.10 - USD No Limit Hold'em.txt"/>
  </r>
  <r>
    <n v="4100"/>
    <n v="50.019999999999989"/>
    <s v="29.01.2025"/>
    <n v="29"/>
    <x v="0"/>
    <x v="2"/>
    <x v="10"/>
    <n v="-10"/>
    <n v="12.19"/>
    <m/>
    <x v="1"/>
    <n v="0.21899999999999986"/>
    <s v="HH20250129 Aludra #5 - $0.05-$0.10 - USD No Limit Hold'em.txt"/>
  </r>
  <r>
    <n v="4101"/>
    <n v="45.809999999999988"/>
    <s v="29.01.2025"/>
    <n v="29"/>
    <x v="0"/>
    <x v="2"/>
    <x v="10"/>
    <n v="-10"/>
    <n v="5.79"/>
    <m/>
    <x v="2"/>
    <n v="-0.42100000000000004"/>
    <s v="HH20250129 Aludra #6 - $0.05-$0.10 - USD No Limit Hold'em.txt"/>
  </r>
  <r>
    <n v="4102"/>
    <n v="49.029999999999987"/>
    <s v="29.01.2025"/>
    <n v="29"/>
    <x v="0"/>
    <x v="2"/>
    <x v="10"/>
    <n v="-10"/>
    <n v="13.22"/>
    <m/>
    <x v="1"/>
    <n v="0.32200000000000006"/>
    <s v="HH20250129 Aludra #7 - $0.05-$0.10 - USD No Limit Hold'em.txt"/>
  </r>
  <r>
    <n v="4103"/>
    <n v="46.569999999999986"/>
    <s v="29.01.2025"/>
    <n v="29"/>
    <x v="0"/>
    <x v="2"/>
    <x v="10"/>
    <n v="-10"/>
    <n v="7.54"/>
    <m/>
    <x v="2"/>
    <n v="-0.246"/>
    <s v="HH20250129 Aludra #8 - $0.05-$0.10 - USD No Limit Hold'em.txt"/>
  </r>
  <r>
    <n v="4104"/>
    <n v="46.569999999999986"/>
    <s v="29.01.2025"/>
    <n v="29"/>
    <x v="0"/>
    <x v="2"/>
    <x v="13"/>
    <m/>
    <m/>
    <m/>
    <x v="2"/>
    <n v="0"/>
    <s v="HH20250129 T3851370893 No Limit Hold'em $1.40 + $0.10.txt"/>
  </r>
  <r>
    <n v="4105"/>
    <n v="40.639999999999986"/>
    <s v="29.01.2025"/>
    <n v="29"/>
    <x v="0"/>
    <x v="2"/>
    <x v="10"/>
    <n v="-10"/>
    <n v="4.07"/>
    <m/>
    <x v="2"/>
    <n v="-0.59299999999999997"/>
    <s v="HH20250129 Aludra #9 - $0.05-$0.10 - USD No Limit Hold'em.txt"/>
  </r>
  <r>
    <n v="4106"/>
    <n v="36.239999999999988"/>
    <s v="29.01.2025"/>
    <n v="29"/>
    <x v="0"/>
    <x v="2"/>
    <x v="3"/>
    <n v="-4.4000000000000004"/>
    <m/>
    <m/>
    <x v="2"/>
    <n v="-1"/>
    <s v="HH20250129 T3851027208 No Limit Hold'em $3.92 + $0.48.txt"/>
  </r>
  <r>
    <n v="4107"/>
    <n v="41.939999999999984"/>
    <s v="29.01.2025"/>
    <n v="29"/>
    <x v="0"/>
    <x v="2"/>
    <x v="10"/>
    <n v="-10"/>
    <n v="15.7"/>
    <m/>
    <x v="1"/>
    <n v="0.56999999999999984"/>
    <s v="HH20250129 Aludra #10 - $0.05-$0.10 - USD No Limit Hold'em.txt"/>
  </r>
  <r>
    <n v="4108"/>
    <n v="31.939999999999984"/>
    <s v="29.01.2025"/>
    <n v="29"/>
    <x v="0"/>
    <x v="2"/>
    <x v="10"/>
    <n v="-10"/>
    <m/>
    <m/>
    <x v="2"/>
    <n v="-1"/>
    <s v="HH20250129 Aludra #11 - $0.05-$0.10 - USD No Limit Hold'em.txt"/>
  </r>
  <r>
    <n v="4109"/>
    <n v="34.279999999999987"/>
    <s v="29.01.2025"/>
    <n v="29"/>
    <x v="0"/>
    <x v="2"/>
    <x v="10"/>
    <n v="-10"/>
    <n v="12.34"/>
    <m/>
    <x v="1"/>
    <n v="0.23399999999999999"/>
    <s v="HH20250129 Aludra #12 - $0.05-$0.10 - USD No Limit Hold'em.txt"/>
  </r>
  <r>
    <n v="4110"/>
    <n v="29.619999999999987"/>
    <s v="29.01.2025"/>
    <n v="29"/>
    <x v="0"/>
    <x v="2"/>
    <x v="10"/>
    <n v="-10"/>
    <n v="5.34"/>
    <m/>
    <x v="2"/>
    <n v="-0.46599999999999997"/>
    <s v="HH20250129 Aludra #13 - $0.05-$0.10 - USD No Limit Hold'em.txt"/>
  </r>
  <r>
    <n v="4111"/>
    <n v="24.369999999999987"/>
    <s v="29.01.2025"/>
    <n v="29"/>
    <x v="0"/>
    <x v="2"/>
    <x v="10"/>
    <n v="-10"/>
    <n v="4.75"/>
    <m/>
    <x v="2"/>
    <n v="-0.52500000000000002"/>
    <s v="HH20250129 Aludra #14 - $0.05-$0.10 - USD No Limit Hold'em.txt"/>
  </r>
  <r>
    <n v="4112"/>
    <n v="26.509999999999987"/>
    <s v="29.01.2025"/>
    <n v="29"/>
    <x v="0"/>
    <x v="2"/>
    <x v="10"/>
    <n v="-10"/>
    <n v="12.14"/>
    <m/>
    <x v="1"/>
    <n v="0.21399999999999997"/>
    <s v="HH20250129 Aludra #15 - $0.05-$0.10 - USD No Limit Hold'em.txt"/>
  </r>
  <r>
    <n v="4113"/>
    <n v="19.149999999999988"/>
    <s v="29.01.2025"/>
    <n v="29"/>
    <x v="0"/>
    <x v="2"/>
    <x v="10"/>
    <n v="-10"/>
    <n v="2.64"/>
    <m/>
    <x v="2"/>
    <n v="-0.73599999999999999"/>
    <s v="HH20250129 Aludra #16 - $0.05-$0.10 - USD No Limit Hold'em.txt"/>
  </r>
  <r>
    <n v="4114"/>
    <n v="14.149999999999988"/>
    <s v="29.01.2025"/>
    <n v="29"/>
    <x v="0"/>
    <x v="2"/>
    <x v="2"/>
    <n v="-5"/>
    <m/>
    <m/>
    <x v="2"/>
    <n v="-1"/>
    <s v="HH20250129 T3852957970 No Limit Hold'em $4.60 + $0.40.txt"/>
  </r>
  <r>
    <n v="4115"/>
    <n v="9.1499999999999879"/>
    <s v="30.01.2025"/>
    <n v="30"/>
    <x v="0"/>
    <x v="2"/>
    <x v="2"/>
    <n v="-5"/>
    <m/>
    <m/>
    <x v="2"/>
    <n v="-1"/>
    <s v="HH20250130 T3853129845 No Limit Hold'em $4.60 + $0.40.txt"/>
  </r>
  <r>
    <n v="4116"/>
    <n v="9.1499999999999879"/>
    <s v="30.01.2025"/>
    <n v="30"/>
    <x v="0"/>
    <x v="2"/>
    <x v="12"/>
    <m/>
    <m/>
    <m/>
    <x v="2"/>
    <n v="0"/>
    <s v="HH20250130 T3853130647 No Limit Hold'em $0.46 + $0.04.txt"/>
  </r>
  <r>
    <n v="4117"/>
    <n v="4.1499999999999879"/>
    <s v="31.01.2025"/>
    <n v="31"/>
    <x v="0"/>
    <x v="2"/>
    <x v="2"/>
    <n v="-5"/>
    <m/>
    <m/>
    <x v="2"/>
    <n v="-1"/>
    <s v="HH20250131 T3853497105 No Limit Hold'em $4.60 + $0.40.txt"/>
  </r>
  <r>
    <n v="4118"/>
    <n v="4.1499999999999879"/>
    <s v="31.01.2025"/>
    <n v="31"/>
    <x v="0"/>
    <x v="2"/>
    <x v="12"/>
    <m/>
    <m/>
    <m/>
    <x v="2"/>
    <n v="0"/>
    <s v="HH20250131 T3853498049 No Limit Hold'em $0.46 + $0.04.txt"/>
  </r>
  <r>
    <n v="4119"/>
    <n v="113.46"/>
    <s v="02.02.2025"/>
    <n v="2"/>
    <x v="1"/>
    <x v="2"/>
    <x v="1"/>
    <m/>
    <n v="109.31"/>
    <m/>
    <x v="0"/>
    <m/>
    <m/>
  </r>
  <r>
    <n v="4120"/>
    <n v="123.46"/>
    <s v="02.02.2025"/>
    <n v="2"/>
    <x v="1"/>
    <x v="2"/>
    <x v="2"/>
    <n v="-5"/>
    <n v="15"/>
    <m/>
    <x v="1"/>
    <n v="2"/>
    <s v="HH20250202 T3854490259 No Limit Hold'em $4.60 + $0.40.txt"/>
  </r>
  <r>
    <n v="4121"/>
    <n v="123.46"/>
    <s v="02.02.2025"/>
    <n v="2"/>
    <x v="1"/>
    <x v="2"/>
    <x v="12"/>
    <m/>
    <m/>
    <m/>
    <x v="1"/>
    <n v="0"/>
    <s v="HH20250202 T3854493417 No Limit Hold'em $0.46 + $0.04.txt"/>
  </r>
  <r>
    <n v="4122"/>
    <n v="113.46"/>
    <s v="02.02.2025"/>
    <n v="2"/>
    <x v="1"/>
    <x v="2"/>
    <x v="10"/>
    <n v="-10"/>
    <m/>
    <m/>
    <x v="2"/>
    <n v="-1"/>
    <s v="HH20250202 Aludra - $0.05-$0.10 - USD No Limit Hold'em.txt"/>
  </r>
  <r>
    <n v="4123"/>
    <n v="113.46"/>
    <s v="02.02.2025"/>
    <n v="2"/>
    <x v="1"/>
    <x v="2"/>
    <x v="13"/>
    <m/>
    <m/>
    <m/>
    <x v="2"/>
    <n v="0"/>
    <s v="HH20250202 T3851370971 No Limit Hold'em $1.40 + $0.10.txt"/>
  </r>
  <r>
    <n v="4124"/>
    <n v="108.46"/>
    <s v="03.02.2025"/>
    <n v="3"/>
    <x v="1"/>
    <x v="2"/>
    <x v="2"/>
    <n v="-5"/>
    <m/>
    <m/>
    <x v="2"/>
    <n v="-1"/>
    <s v="HH20250203 T3854658716 No Limit Hold'em $4.60 + $0.40.txt"/>
  </r>
  <r>
    <n v="4125"/>
    <n v="108.46"/>
    <s v="03.02.2025"/>
    <n v="3"/>
    <x v="1"/>
    <x v="2"/>
    <x v="12"/>
    <m/>
    <m/>
    <m/>
    <x v="1"/>
    <n v="0"/>
    <s v="HH20250203 T3854659604 No Limit Hold'em $0.46 + $0.04.txt"/>
  </r>
  <r>
    <n v="4126"/>
    <n v="107.33"/>
    <s v="03.02.2025"/>
    <n v="3"/>
    <x v="1"/>
    <x v="2"/>
    <x v="10"/>
    <n v="-10"/>
    <n v="8.8699999999999992"/>
    <m/>
    <x v="2"/>
    <n v="-0.1130000000000001"/>
    <s v="HH20250203 Aludra - $0.05-$0.10 - USD No Limit Hold'em.txt"/>
  </r>
  <r>
    <n v="4127"/>
    <n v="110.4"/>
    <s v="03.02.2025"/>
    <n v="3"/>
    <x v="1"/>
    <x v="2"/>
    <x v="10"/>
    <n v="-10"/>
    <n v="13.07"/>
    <m/>
    <x v="1"/>
    <n v="0.30699999999999994"/>
    <s v="HH20250203 Aludra - $0.05-$0.10 - USD No Limit Hold'em2.txt"/>
  </r>
  <r>
    <n v="4128"/>
    <n v="112.4"/>
    <s v="03.02.2025"/>
    <n v="3"/>
    <x v="1"/>
    <x v="2"/>
    <x v="18"/>
    <m/>
    <n v="2"/>
    <m/>
    <x v="1"/>
    <m/>
    <m/>
  </r>
  <r>
    <n v="4129"/>
    <n v="106.61"/>
    <s v="03.02.2025"/>
    <n v="3"/>
    <x v="1"/>
    <x v="2"/>
    <x v="10"/>
    <n v="-10"/>
    <n v="4.21"/>
    <m/>
    <x v="2"/>
    <n v="-0.57899999999999996"/>
    <s v="HH20250203 Aludra - $0.05-$0.10 - USD No Limit Hold'em3.txt"/>
  </r>
  <r>
    <n v="4130"/>
    <n v="109.47"/>
    <s v="03.02.2025"/>
    <n v="3"/>
    <x v="1"/>
    <x v="2"/>
    <x v="10"/>
    <n v="-10"/>
    <n v="12.86"/>
    <m/>
    <x v="1"/>
    <n v="0.28600000000000003"/>
    <s v="HH20250203 Aludra #2 - $0.05-$0.10 - USD No Limit Hold'em.txt"/>
  </r>
  <r>
    <n v="4131"/>
    <n v="99.47"/>
    <s v="03.02.2025"/>
    <n v="3"/>
    <x v="1"/>
    <x v="2"/>
    <x v="10"/>
    <n v="-10"/>
    <m/>
    <m/>
    <x v="2"/>
    <n v="-1"/>
    <s v="HH20250203 Aludra #3 - $0.05-$0.10 - USD No Limit Hold'em.txt"/>
  </r>
  <r>
    <n v="4132"/>
    <n v="103.52"/>
    <s v="03.02.2025"/>
    <n v="3"/>
    <x v="1"/>
    <x v="2"/>
    <x v="10"/>
    <n v="-10"/>
    <n v="14.05"/>
    <m/>
    <x v="1"/>
    <n v="0.40500000000000003"/>
    <s v="HH20250203 Aludra - $0.05-$0.10 - USD No Limit Hold'em4.txt"/>
  </r>
  <r>
    <n v="4133"/>
    <n v="97.39"/>
    <s v="03.02.2025"/>
    <n v="3"/>
    <x v="1"/>
    <x v="2"/>
    <x v="10"/>
    <n v="-10"/>
    <n v="3.87"/>
    <m/>
    <x v="2"/>
    <n v="-0.61299999999999999"/>
    <s v="HH20250203 Aludra #2 - $0.05-$0.10 - USD No Limit Hold'em2.txt"/>
  </r>
  <r>
    <n v="4134"/>
    <n v="100.77"/>
    <s v="03.02.2025"/>
    <n v="3"/>
    <x v="1"/>
    <x v="2"/>
    <x v="10"/>
    <n v="-10"/>
    <n v="13.38"/>
    <m/>
    <x v="1"/>
    <n v="0.33800000000000008"/>
    <s v="HH20250203 Aludra #3 - $0.05-$0.10 - USD No Limit Hold'em2.txt"/>
  </r>
  <r>
    <n v="4135"/>
    <n v="94.67"/>
    <s v="03.02.2025"/>
    <n v="3"/>
    <x v="1"/>
    <x v="2"/>
    <x v="10"/>
    <n v="-10"/>
    <n v="3.9"/>
    <m/>
    <x v="2"/>
    <n v="-0.61"/>
    <s v="HH20250203 Aludra #4 - $0.05-$0.10 - USD No Limit Hold'em.txt"/>
  </r>
  <r>
    <n v="4136"/>
    <n v="89.13"/>
    <s v="03.02.2025"/>
    <n v="3"/>
    <x v="1"/>
    <x v="2"/>
    <x v="10"/>
    <n v="-10"/>
    <n v="4.46"/>
    <m/>
    <x v="2"/>
    <n v="-0.55400000000000005"/>
    <s v="HH20250203 Aludra #5 - $0.05-$0.10 - USD No Limit Hold'em.txt"/>
  </r>
  <r>
    <n v="4137"/>
    <n v="94.13"/>
    <s v="04.02.2025"/>
    <n v="4"/>
    <x v="1"/>
    <x v="2"/>
    <x v="2"/>
    <n v="-5"/>
    <n v="10"/>
    <m/>
    <x v="1"/>
    <n v="1"/>
    <s v="HH20250204 T3855034332 No Limit Hold'em $4.60 + $0.40.txt"/>
  </r>
  <r>
    <n v="4138"/>
    <n v="94.13"/>
    <s v="04.02.2025"/>
    <n v="4"/>
    <x v="1"/>
    <x v="2"/>
    <x v="12"/>
    <m/>
    <m/>
    <m/>
    <x v="2"/>
    <n v="0"/>
    <s v="HH20250204 T3855035950 No Limit Hold'em $0.46 + $0.04.txt"/>
  </r>
  <r>
    <n v="4139"/>
    <n v="94.13"/>
    <s v="04.02.2025"/>
    <n v="4"/>
    <x v="1"/>
    <x v="2"/>
    <x v="13"/>
    <m/>
    <m/>
    <m/>
    <x v="1"/>
    <n v="0"/>
    <s v="HH20250204 T3853500340 No Limit Hold'em $1.40 + $0.10.txt"/>
  </r>
  <r>
    <n v="4140"/>
    <n v="104.13"/>
    <s v="04.02.2025"/>
    <n v="4"/>
    <x v="1"/>
    <x v="2"/>
    <x v="2"/>
    <n v="-5"/>
    <n v="15"/>
    <m/>
    <x v="1"/>
    <n v="2"/>
    <s v="HH20250204 T3855049413 No Limit Hold'em $4.60 + $0.40.txt"/>
  </r>
  <r>
    <n v="4141"/>
    <n v="99.13"/>
    <s v="04.02.2025"/>
    <n v="4"/>
    <x v="1"/>
    <x v="2"/>
    <x v="2"/>
    <n v="-5"/>
    <m/>
    <m/>
    <x v="2"/>
    <n v="-1"/>
    <s v="HH20250204 T3855051377 No Limit Hold'em $4.60 + $0.40.txt"/>
  </r>
  <r>
    <n v="4142"/>
    <n v="101.14"/>
    <s v="04.02.2025"/>
    <n v="4"/>
    <x v="1"/>
    <x v="2"/>
    <x v="10"/>
    <n v="-10"/>
    <n v="12.01"/>
    <m/>
    <x v="1"/>
    <n v="0.20100000000000007"/>
    <s v="HH20250204 Aludra - $0.05-$0.10 - USD No Limit Hold'em.txt"/>
  </r>
  <r>
    <n v="4143"/>
    <n v="104.79"/>
    <s v="04.02.2025"/>
    <n v="4"/>
    <x v="1"/>
    <x v="2"/>
    <x v="10"/>
    <n v="-10"/>
    <n v="13.65"/>
    <m/>
    <x v="1"/>
    <n v="0.36499999999999999"/>
    <s v="HH20250204 Aludra #2 - $0.05-$0.10 - USD No Limit Hold'em.txt"/>
  </r>
  <r>
    <n v="4144"/>
    <n v="107.30000000000001"/>
    <s v="04.02.2025"/>
    <n v="4"/>
    <x v="1"/>
    <x v="2"/>
    <x v="10"/>
    <n v="-10"/>
    <n v="12.51"/>
    <m/>
    <x v="1"/>
    <n v="0.25099999999999989"/>
    <s v="HH20250204 Aludra #3 - $0.05-$0.10 - USD No Limit Hold'em.txt"/>
  </r>
  <r>
    <n v="4145"/>
    <n v="108.01000000000002"/>
    <s v="04.02.2025"/>
    <n v="4"/>
    <x v="1"/>
    <x v="2"/>
    <x v="10"/>
    <n v="-10"/>
    <n v="10.71"/>
    <m/>
    <x v="1"/>
    <n v="7.1000000000000174E-2"/>
    <s v="HH20250204 Aludra #4 - $0.05-$0.10 - USD No Limit Hold'em.txt"/>
  </r>
  <r>
    <n v="4146"/>
    <n v="109.01000000000002"/>
    <s v="04.02.2025"/>
    <n v="4"/>
    <x v="1"/>
    <x v="2"/>
    <x v="18"/>
    <m/>
    <n v="1"/>
    <m/>
    <x v="1"/>
    <m/>
    <m/>
  </r>
  <r>
    <n v="4147"/>
    <n v="109.01000000000002"/>
    <s v="04.02.2025"/>
    <n v="4"/>
    <x v="1"/>
    <x v="2"/>
    <x v="14"/>
    <m/>
    <m/>
    <m/>
    <x v="1"/>
    <n v="0"/>
    <s v="HH20250204 T3853500257 No Limit Hold'em $10.27 + $0.73.txt"/>
  </r>
  <r>
    <n v="4148"/>
    <n v="109.01000000000002"/>
    <s v="04.02.2025"/>
    <n v="4"/>
    <x v="1"/>
    <x v="2"/>
    <x v="12"/>
    <m/>
    <m/>
    <m/>
    <x v="2"/>
    <n v="0"/>
    <s v="HH20250204 T3855139091 No Limit Hold'em $0.46 + $0.04.txt"/>
  </r>
  <r>
    <n v="4149"/>
    <n v="109.14000000000001"/>
    <s v="04.02.2025"/>
    <n v="4"/>
    <x v="1"/>
    <x v="2"/>
    <x v="10"/>
    <n v="-10"/>
    <n v="10.130000000000001"/>
    <m/>
    <x v="1"/>
    <n v="1.3000000000000123E-2"/>
    <s v="HH20250204 Aludra - $0.05-$0.10 - USD No Limit Hold'em2.txt"/>
  </r>
  <r>
    <n v="4150"/>
    <n v="109.14000000000001"/>
    <s v="04.02.2025"/>
    <n v="4"/>
    <x v="1"/>
    <x v="2"/>
    <x v="17"/>
    <m/>
    <m/>
    <m/>
    <x v="2"/>
    <n v="0"/>
    <s v="HH20250204 T3853500237 No Limit Hold'em $55 Ticket.txt"/>
  </r>
  <r>
    <n v="4151"/>
    <n v="108.64000000000001"/>
    <s v="05.02.2025"/>
    <n v="5"/>
    <x v="1"/>
    <x v="2"/>
    <x v="12"/>
    <n v="-0.5"/>
    <m/>
    <m/>
    <x v="1"/>
    <n v="-1"/>
    <s v="HH20250205 T3855402484 No Limit Hold'em $0.46 + $0.04.txt"/>
  </r>
  <r>
    <n v="4152"/>
    <n v="108.64000000000001"/>
    <s v="05.02.2025"/>
    <n v="5"/>
    <x v="1"/>
    <x v="2"/>
    <x v="12"/>
    <m/>
    <m/>
    <m/>
    <x v="2"/>
    <n v="0"/>
    <s v="HH20250205 T3855403150 No Limit Hold'em $0.46 + $0.04.txt"/>
  </r>
  <r>
    <n v="4153"/>
    <n v="108.64000000000001"/>
    <s v="05.02.2025"/>
    <n v="5"/>
    <x v="1"/>
    <x v="2"/>
    <x v="13"/>
    <m/>
    <m/>
    <m/>
    <x v="2"/>
    <n v="0"/>
    <s v="HH20250205 T3855403716 No Limit Hold'em $0.96 + $0.04.txt"/>
  </r>
  <r>
    <n v="4154"/>
    <n v="105.24000000000001"/>
    <s v="05.02.2025"/>
    <n v="5"/>
    <x v="1"/>
    <x v="2"/>
    <x v="10"/>
    <n v="-20"/>
    <n v="16.600000000000001"/>
    <m/>
    <x v="2"/>
    <n v="-0.16999999999999993"/>
    <s v="HH20250205 Aludra - $0.05-$0.10 - USD No Limit Hold'em.txt"/>
  </r>
  <r>
    <n v="4155"/>
    <n v="109.80000000000001"/>
    <s v="05.02.2025"/>
    <n v="5"/>
    <x v="1"/>
    <x v="2"/>
    <x v="10"/>
    <n v="-10"/>
    <n v="14.56"/>
    <m/>
    <x v="1"/>
    <n v="0.45599999999999996"/>
    <s v="HH20250205 Aludra #2 - $0.05-$0.10 - USD No Limit Hold'em.txt"/>
  </r>
  <r>
    <n v="4156"/>
    <n v="112.64000000000001"/>
    <s v="05.02.2025"/>
    <n v="5"/>
    <x v="1"/>
    <x v="2"/>
    <x v="10"/>
    <n v="-10"/>
    <n v="12.84"/>
    <m/>
    <x v="1"/>
    <n v="0.28400000000000003"/>
    <s v="HH20250205 Aludra #3 - $0.05-$0.10 - USD No Limit Hold'em.txt"/>
  </r>
  <r>
    <n v="4157"/>
    <n v="113.64000000000001"/>
    <s v="05.02.2025"/>
    <n v="5"/>
    <x v="1"/>
    <x v="2"/>
    <x v="18"/>
    <m/>
    <n v="1"/>
    <m/>
    <x v="1"/>
    <m/>
    <m/>
  </r>
  <r>
    <n v="4158"/>
    <n v="114.29000000000002"/>
    <s v="05.02.2025"/>
    <n v="5"/>
    <x v="1"/>
    <x v="2"/>
    <x v="10"/>
    <n v="-10"/>
    <n v="10.65"/>
    <m/>
    <x v="1"/>
    <n v="6.4999999999999947E-2"/>
    <s v="HH20250205 Aludra #4 - $0.05-$0.10 - USD No Limit Hold'em.txt"/>
  </r>
  <r>
    <n v="4159"/>
    <n v="121.76000000000002"/>
    <s v="05.02.2025"/>
    <n v="5"/>
    <x v="1"/>
    <x v="2"/>
    <x v="10"/>
    <n v="-10"/>
    <n v="17.47"/>
    <m/>
    <x v="1"/>
    <n v="0.74699999999999989"/>
    <s v="HH20250205 Aludra #5 - $0.05-$0.10 - USD No Limit Hold'em.txt"/>
  </r>
  <r>
    <n v="4160"/>
    <n v="124.44000000000003"/>
    <s v="05.02.2025"/>
    <n v="5"/>
    <x v="1"/>
    <x v="2"/>
    <x v="10"/>
    <n v="-10"/>
    <n v="12.68"/>
    <m/>
    <x v="1"/>
    <n v="0.26800000000000002"/>
    <s v="HH20250205 Aludra #6 - $0.05-$0.10 - USD No Limit Hold'em.txt"/>
  </r>
  <r>
    <n v="4161"/>
    <n v="126.74000000000002"/>
    <s v="05.02.2025"/>
    <n v="5"/>
    <x v="1"/>
    <x v="2"/>
    <x v="10"/>
    <n v="-10"/>
    <n v="12.3"/>
    <m/>
    <x v="1"/>
    <n v="0.22999999999999998"/>
    <s v="HH20250205 Aludra #7 - $0.05-$0.10 - USD No Limit Hold'em.txt"/>
  </r>
  <r>
    <n v="4162"/>
    <n v="128.88000000000002"/>
    <s v="05.02.2025"/>
    <n v="5"/>
    <x v="1"/>
    <x v="2"/>
    <x v="10"/>
    <n v="-10"/>
    <n v="12.14"/>
    <m/>
    <x v="1"/>
    <n v="0.21399999999999997"/>
    <s v="HH20250205 Aludra #8 - $0.05-$0.10 - USD No Limit Hold'em.txt"/>
  </r>
  <r>
    <n v="4163"/>
    <n v="124.04000000000002"/>
    <s v="05.02.2025"/>
    <n v="5"/>
    <x v="1"/>
    <x v="2"/>
    <x v="10"/>
    <n v="-10"/>
    <n v="5.16"/>
    <m/>
    <x v="2"/>
    <n v="-0.48399999999999999"/>
    <s v="HH20250205 Aludra #9 - $0.05-$0.10 - USD No Limit Hold'em.txt"/>
  </r>
  <r>
    <n v="4164"/>
    <n v="116.69000000000003"/>
    <s v="05.02.2025"/>
    <n v="5"/>
    <x v="1"/>
    <x v="2"/>
    <x v="10"/>
    <n v="-10"/>
    <n v="2.65"/>
    <m/>
    <x v="2"/>
    <n v="-0.73499999999999999"/>
    <s v="HH20250205 Aludra #10 - $0.05-$0.10 - USD No Limit Hold'em.txt"/>
  </r>
  <r>
    <n v="4165"/>
    <n v="119.07000000000002"/>
    <s v="05.02.2025"/>
    <n v="5"/>
    <x v="1"/>
    <x v="2"/>
    <x v="3"/>
    <n v="-4.4000000000000004"/>
    <n v="3.53"/>
    <n v="3.25"/>
    <x v="1"/>
    <n v="0.54090909090909056"/>
    <s v="HH20250205 T3853569451 No Limit Hold'em $3.92 + $0.48.txt"/>
  </r>
  <r>
    <n v="4166"/>
    <n v="119.64000000000001"/>
    <s v="05.02.2025"/>
    <n v="5"/>
    <x v="1"/>
    <x v="2"/>
    <x v="10"/>
    <n v="-10"/>
    <n v="10.57"/>
    <m/>
    <x v="1"/>
    <n v="5.699999999999994E-2"/>
    <s v="HH20250205 Aludra #11 - $0.05-$0.10 - USD No Limit Hold'em.txt"/>
  </r>
  <r>
    <n v="4167"/>
    <n v="114.64000000000001"/>
    <s v="06.02.2025"/>
    <n v="6"/>
    <x v="1"/>
    <x v="2"/>
    <x v="2"/>
    <n v="-5"/>
    <m/>
    <m/>
    <x v="2"/>
    <n v="-1"/>
    <s v="HH20250206 T3855789467 No Limit Hold'em $4.60 + $0.40.txt"/>
  </r>
  <r>
    <n v="4168"/>
    <n v="114.64000000000001"/>
    <s v="06.02.2025"/>
    <n v="6"/>
    <x v="1"/>
    <x v="2"/>
    <x v="12"/>
    <m/>
    <m/>
    <m/>
    <x v="2"/>
    <n v="0"/>
    <s v="HH20250206 T3855792009 No Limit Hold'em $0.46 + $0.04.txt"/>
  </r>
  <r>
    <n v="4169"/>
    <n v="121.09000000000002"/>
    <s v="06.02.2025"/>
    <n v="6"/>
    <x v="1"/>
    <x v="2"/>
    <x v="10"/>
    <n v="-10"/>
    <n v="16.45"/>
    <m/>
    <x v="1"/>
    <n v="0.64500000000000002"/>
    <s v="HH20250206 Aludra - $0.05-$0.10 - USD No Limit Hold'em.txt"/>
  </r>
  <r>
    <n v="4170"/>
    <n v="123.22000000000001"/>
    <s v="06.02.2025"/>
    <n v="6"/>
    <x v="1"/>
    <x v="2"/>
    <x v="10"/>
    <n v="-10"/>
    <n v="12.13"/>
    <m/>
    <x v="1"/>
    <n v="0.21300000000000008"/>
    <s v="HH20250206 Aludra #2 - $0.05-$0.10 - USD No Limit Hold'em.txt"/>
  </r>
  <r>
    <n v="4171"/>
    <n v="123.36000000000001"/>
    <s v="06.02.2025"/>
    <n v="6"/>
    <x v="1"/>
    <x v="2"/>
    <x v="10"/>
    <n v="-10"/>
    <n v="10.14"/>
    <m/>
    <x v="1"/>
    <n v="1.4000000000000012E-2"/>
    <s v="HH20250206 Aludra #3 - $0.05-$0.10 - USD No Limit Hold'em.txt"/>
  </r>
  <r>
    <n v="4172"/>
    <n v="124.36000000000001"/>
    <s v="06.02.2025"/>
    <n v="6"/>
    <x v="1"/>
    <x v="2"/>
    <x v="18"/>
    <m/>
    <n v="1"/>
    <m/>
    <x v="1"/>
    <m/>
    <m/>
  </r>
  <r>
    <n v="4173"/>
    <n v="114.36000000000001"/>
    <s v="06.02.2025"/>
    <n v="6"/>
    <x v="1"/>
    <x v="2"/>
    <x v="10"/>
    <n v="-10"/>
    <m/>
    <m/>
    <x v="2"/>
    <n v="-1"/>
    <s v="HH20250206 Aludra - $0.05-$0.10 - USD No Limit Hold'em2.txt"/>
  </r>
  <r>
    <n v="4174"/>
    <n v="109.36000000000001"/>
    <s v="06.02.2025"/>
    <n v="6"/>
    <x v="1"/>
    <x v="2"/>
    <x v="2"/>
    <n v="-5"/>
    <m/>
    <m/>
    <x v="2"/>
    <n v="-1"/>
    <s v="HH20250206 T3855856429 No Limit Hold'em $4.60 + $0.40.txt"/>
  </r>
  <r>
    <n v="4175"/>
    <n v="104.36000000000001"/>
    <s v="06.02.2025"/>
    <n v="6"/>
    <x v="1"/>
    <x v="2"/>
    <x v="2"/>
    <n v="-5"/>
    <m/>
    <m/>
    <x v="2"/>
    <n v="-1"/>
    <s v="HH20250206 T3855858060 No Limit Hold'em $4.60 + $0.40.txt"/>
  </r>
  <r>
    <n v="4176"/>
    <n v="99.360000000000014"/>
    <s v="06.02.2025"/>
    <n v="6"/>
    <x v="1"/>
    <x v="2"/>
    <x v="2"/>
    <n v="-5"/>
    <m/>
    <m/>
    <x v="2"/>
    <n v="-1"/>
    <s v="HH20250206 T3855861471 No Limit Hold'em $4.60 + $0.40.txt"/>
  </r>
  <r>
    <n v="4177"/>
    <n v="100.39000000000001"/>
    <s v="06.02.2025"/>
    <n v="6"/>
    <x v="1"/>
    <x v="2"/>
    <x v="10"/>
    <n v="-10"/>
    <n v="11.03"/>
    <m/>
    <x v="1"/>
    <n v="0.10299999999999998"/>
    <s v="HH20250206 Aludra #2 - $0.05-$0.10 - USD No Limit Hold'em2.txt"/>
  </r>
  <r>
    <n v="4178"/>
    <n v="100.86000000000001"/>
    <s v="06.02.2025"/>
    <n v="6"/>
    <x v="1"/>
    <x v="2"/>
    <x v="10"/>
    <n v="-10"/>
    <n v="10.47"/>
    <m/>
    <x v="1"/>
    <n v="4.7000000000000153E-2"/>
    <s v="HH20250206 Aludra #3 - $0.05-$0.10 - USD No Limit Hold'em2.txt"/>
  </r>
  <r>
    <n v="4179"/>
    <n v="96.820000000000007"/>
    <s v="06.02.2025"/>
    <n v="6"/>
    <x v="1"/>
    <x v="2"/>
    <x v="10"/>
    <n v="-10"/>
    <n v="5.96"/>
    <m/>
    <x v="2"/>
    <n v="-0.40400000000000003"/>
    <s v="HH20250206 Aludra - $0.05-$0.10 - USD No Limit Hold'em3.txt"/>
  </r>
  <r>
    <n v="4180"/>
    <n v="97.080000000000013"/>
    <s v="06.02.2025"/>
    <n v="6"/>
    <x v="1"/>
    <x v="2"/>
    <x v="10"/>
    <n v="-10"/>
    <n v="10.26"/>
    <m/>
    <x v="1"/>
    <n v="2.6000000000000023E-2"/>
    <s v="HH20250206 Aludra #2 - $0.05-$0.10 - USD No Limit Hold'em3.txt"/>
  </r>
  <r>
    <n v="4181"/>
    <n v="92.68"/>
    <s v="06.02.2025"/>
    <n v="6"/>
    <x v="1"/>
    <x v="2"/>
    <x v="3"/>
    <n v="-4.4000000000000004"/>
    <m/>
    <m/>
    <x v="2"/>
    <n v="-1"/>
    <s v="HH20250206 T3855415213 No Limit Hold'em $3.92 + $0.48.txt"/>
  </r>
  <r>
    <n v="4182"/>
    <n v="83.43"/>
    <s v="06.02.2025"/>
    <n v="6"/>
    <x v="1"/>
    <x v="2"/>
    <x v="10"/>
    <n v="-10"/>
    <n v="0.75"/>
    <m/>
    <x v="2"/>
    <n v="-0.92500000000000004"/>
    <s v="HH20250206 Aludra - $0.05-$0.10 - USD No Limit Hold'em4.txt"/>
  </r>
  <r>
    <n v="4183"/>
    <n v="95.95"/>
    <s v="06.02.2025"/>
    <n v="6"/>
    <x v="1"/>
    <x v="2"/>
    <x v="10"/>
    <n v="-83.43"/>
    <n v="95.95"/>
    <m/>
    <x v="1"/>
    <n v="0.15006592352870674"/>
    <s v="HH20250206 Triangulum - $0.50-$1 - USD No Limit Hold'em.txt"/>
  </r>
  <r>
    <n v="4184"/>
    <n v="98.95"/>
    <s v="06.02.2025"/>
    <n v="6"/>
    <x v="1"/>
    <x v="2"/>
    <x v="10"/>
    <n v="-95.95"/>
    <n v="98.95"/>
    <m/>
    <x v="1"/>
    <n v="3.1266284523189247E-2"/>
    <s v="HH20250206 Triangulum #2 - $0.50-$1 - USD No Limit Hold'em.txt"/>
  </r>
  <r>
    <n v="4185"/>
    <n v="101.03"/>
    <s v="06.02.2025"/>
    <n v="6"/>
    <x v="1"/>
    <x v="2"/>
    <x v="10"/>
    <n v="-98.95"/>
    <n v="101.03"/>
    <m/>
    <x v="1"/>
    <n v="2.1020717534108169E-2"/>
    <s v="HH20250206 Triangulum #3 - $0.50-$1 - USD No Limit Hold'em.txt"/>
  </r>
  <r>
    <n v="4186"/>
    <n v="105.85"/>
    <s v="06.02.2025"/>
    <n v="6"/>
    <x v="1"/>
    <x v="2"/>
    <x v="10"/>
    <n v="-100"/>
    <n v="104.82"/>
    <m/>
    <x v="1"/>
    <n v="4.8200000000000021E-2"/>
    <s v="HH20250206 Triangulum #4 - $0.50-$1 - USD No Limit Hold'em.txt"/>
  </r>
  <r>
    <n v="4187"/>
    <n v="109.11"/>
    <s v="06.02.2025"/>
    <n v="6"/>
    <x v="1"/>
    <x v="2"/>
    <x v="10"/>
    <n v="-100"/>
    <n v="103.26"/>
    <m/>
    <x v="1"/>
    <n v="3.2599999999999962E-2"/>
    <s v="HH20250206 Triangulum #5 - $0.50-$1 - USD No Limit Hold'em.txt"/>
  </r>
  <r>
    <n v="4188"/>
    <n v="9.11"/>
    <s v="06.02.2025"/>
    <n v="6"/>
    <x v="1"/>
    <x v="2"/>
    <x v="10"/>
    <n v="-100"/>
    <m/>
    <m/>
    <x v="2"/>
    <n v="-1"/>
    <s v="HH20250206 Triangulum #6 - $0.50-$1 - USD No Limit Hold'em.txt"/>
  </r>
  <r>
    <n v="4189"/>
    <n v="4.1099999999999994"/>
    <s v="07.02.2025"/>
    <n v="7"/>
    <x v="1"/>
    <x v="2"/>
    <x v="2"/>
    <n v="-5"/>
    <m/>
    <m/>
    <x v="2"/>
    <n v="-1"/>
    <s v="HH20250207 T3856137371 No Limit Hold'em $4.60 + $0.40.txt"/>
  </r>
  <r>
    <n v="4190"/>
    <n v="4.1099999999999994"/>
    <s v="07.02.2025"/>
    <n v="7"/>
    <x v="1"/>
    <x v="2"/>
    <x v="12"/>
    <m/>
    <m/>
    <m/>
    <x v="1"/>
    <n v="0"/>
    <s v="HH20250207 T3856138102 No Limit Hold'em $0.46 + $0.04.txt"/>
  </r>
  <r>
    <n v="4191"/>
    <n v="4.1099999999999994"/>
    <s v="07.02.2025"/>
    <n v="7"/>
    <x v="1"/>
    <x v="2"/>
    <x v="13"/>
    <m/>
    <m/>
    <m/>
    <x v="2"/>
    <n v="0"/>
    <s v="HH20250207 T3856139205 No Limit Hold'em $0.96 + $0.04.txt"/>
  </r>
  <r>
    <n v="4192"/>
    <n v="3.6099999999999994"/>
    <s v="08.02.2025"/>
    <n v="8"/>
    <x v="1"/>
    <x v="2"/>
    <x v="12"/>
    <n v="-0.5"/>
    <m/>
    <m/>
    <x v="2"/>
    <n v="-1"/>
    <s v="HH20250208 T3856552386 No Limit Hold'em $0.46 + $0.04.txt"/>
  </r>
  <r>
    <n v="4193"/>
    <n v="3.6099999999999994"/>
    <s v="08.02.2025"/>
    <n v="8"/>
    <x v="1"/>
    <x v="2"/>
    <x v="12"/>
    <m/>
    <m/>
    <m/>
    <x v="2"/>
    <n v="0"/>
    <s v="HH20250208 T3856553582 No Limit Hold'em $0.46 + $0.04.txt"/>
  </r>
  <r>
    <n v="4194"/>
    <n v="113.53"/>
    <s v="09.02.2025"/>
    <n v="9"/>
    <x v="1"/>
    <x v="2"/>
    <x v="1"/>
    <m/>
    <n v="109.92"/>
    <m/>
    <x v="0"/>
    <m/>
    <m/>
  </r>
  <r>
    <n v="4195"/>
    <n v="108.53"/>
    <s v="09.02.2025"/>
    <n v="9"/>
    <x v="1"/>
    <x v="2"/>
    <x v="2"/>
    <n v="-5"/>
    <m/>
    <m/>
    <x v="2"/>
    <n v="-1"/>
    <s v="HH20250209 T3856945606 No Limit Hold'em $4.60 + $0.40.txt"/>
  </r>
  <r>
    <n v="4196"/>
    <n v="108.53"/>
    <s v="09.02.2025"/>
    <n v="9"/>
    <x v="1"/>
    <x v="2"/>
    <x v="12"/>
    <m/>
    <m/>
    <m/>
    <x v="1"/>
    <n v="0"/>
    <s v="HH20250209 T3856946519 No Limit Hold'em $0.46 + $0.04.txt"/>
  </r>
  <r>
    <n v="4197"/>
    <n v="103.53"/>
    <s v="10.02.2025"/>
    <n v="10"/>
    <x v="1"/>
    <x v="2"/>
    <x v="2"/>
    <n v="-5"/>
    <m/>
    <m/>
    <x v="2"/>
    <n v="-1"/>
    <s v="HH20250210 T3857322538 No Limit Hold'em $4.60 + $0.40.txt"/>
  </r>
  <r>
    <n v="4198"/>
    <n v="103.53"/>
    <s v="10.02.2025"/>
    <n v="10"/>
    <x v="1"/>
    <x v="2"/>
    <x v="12"/>
    <m/>
    <m/>
    <m/>
    <x v="2"/>
    <n v="0"/>
    <s v="HH20250210 T3857322866 No Limit Hold'em $0.46 + $0.04.txt"/>
  </r>
  <r>
    <n v="4199"/>
    <n v="105.88"/>
    <s v="10.02.2025"/>
    <n v="10"/>
    <x v="1"/>
    <x v="2"/>
    <x v="10"/>
    <n v="-10"/>
    <n v="12.35"/>
    <m/>
    <x v="1"/>
    <n v="0.23499999999999988"/>
    <s v="HH20250210 Aludra - $0.05-$0.10 - USD No Limit Hold'em.txt"/>
  </r>
  <r>
    <n v="4200"/>
    <n v="99.61"/>
    <s v="10.02.2025"/>
    <n v="10"/>
    <x v="1"/>
    <x v="2"/>
    <x v="10"/>
    <n v="-10"/>
    <n v="3.73"/>
    <m/>
    <x v="2"/>
    <n v="-0.627"/>
    <s v="HH20250210 Aludra #2 - $0.05-$0.10 - USD No Limit Hold'em.txt"/>
  </r>
  <r>
    <n v="4201"/>
    <n v="101.76"/>
    <s v="10.02.2025"/>
    <n v="10"/>
    <x v="1"/>
    <x v="2"/>
    <x v="10"/>
    <n v="-10"/>
    <n v="12.15"/>
    <m/>
    <x v="1"/>
    <n v="0.21500000000000008"/>
    <s v="HH20250210 Aludra #3 - $0.05-$0.10 - USD No Limit Hold'em.txt"/>
  </r>
  <r>
    <n v="4202"/>
    <n v="96.17"/>
    <s v="10.02.2025"/>
    <n v="10"/>
    <x v="1"/>
    <x v="2"/>
    <x v="10"/>
    <n v="-10"/>
    <n v="4.41"/>
    <m/>
    <x v="2"/>
    <n v="-0.55899999999999994"/>
    <s v="HH20250210 Aludra #4 - $0.05-$0.10 - USD No Limit Hold'em.txt"/>
  </r>
  <r>
    <n v="4203"/>
    <n v="96.17"/>
    <s v="10.02.2025"/>
    <n v="10"/>
    <x v="1"/>
    <x v="2"/>
    <x v="13"/>
    <m/>
    <m/>
    <m/>
    <x v="2"/>
    <n v="0"/>
    <s v="HH20250210 T3856227847 No Limit Hold'em $1.40 + $0.10.txt"/>
  </r>
  <r>
    <n v="4204"/>
    <n v="81.070000000000007"/>
    <s v="10.02.2025"/>
    <n v="10"/>
    <x v="1"/>
    <x v="2"/>
    <x v="10"/>
    <n v="-20"/>
    <n v="4.9000000000000004"/>
    <m/>
    <x v="2"/>
    <n v="-0.755"/>
    <s v="HH20250210 Aludra #5 - $0.05-$0.10 - USD No Limit Hold'em.txt"/>
  </r>
  <r>
    <n v="4205"/>
    <n v="89.18"/>
    <s v="10.02.2025"/>
    <n v="10"/>
    <x v="1"/>
    <x v="2"/>
    <x v="10"/>
    <n v="-10"/>
    <n v="18.11"/>
    <m/>
    <x v="1"/>
    <n v="0.81099999999999994"/>
    <s v="HH20250210 Aludra #6 - $0.05-$0.10 - USD No Limit Hold'em.txt"/>
  </r>
  <r>
    <n v="4206"/>
    <n v="90.18"/>
    <s v="10.02.2025"/>
    <n v="10"/>
    <x v="1"/>
    <x v="2"/>
    <x v="18"/>
    <m/>
    <n v="1"/>
    <m/>
    <x v="1"/>
    <m/>
    <m/>
  </r>
  <r>
    <n v="4207"/>
    <n v="93.690000000000012"/>
    <s v="10.02.2025"/>
    <n v="10"/>
    <x v="1"/>
    <x v="2"/>
    <x v="10"/>
    <n v="-10"/>
    <n v="13.51"/>
    <m/>
    <x v="1"/>
    <n v="0.35099999999999998"/>
    <s v="HH20250210 Aludra #7 - $0.05-$0.10 - USD No Limit Hold'em.txt"/>
  </r>
  <r>
    <n v="4208"/>
    <n v="99.660000000000011"/>
    <s v="10.02.2025"/>
    <n v="10"/>
    <x v="1"/>
    <x v="2"/>
    <x v="10"/>
    <n v="-10"/>
    <n v="15.97"/>
    <m/>
    <x v="1"/>
    <n v="0.59699999999999998"/>
    <s v="HH20250210 Aludra - $0.05-$0.10 - USD No Limit Hold'em2.txt"/>
  </r>
  <r>
    <n v="4209"/>
    <n v="94.720000000000013"/>
    <s v="10.02.2025"/>
    <n v="10"/>
    <x v="1"/>
    <x v="2"/>
    <x v="10"/>
    <n v="-10"/>
    <n v="5.0599999999999996"/>
    <m/>
    <x v="2"/>
    <n v="-0.49399999999999999"/>
    <s v="HH20250210 Aludra #2 - $0.05-$0.10 - USD No Limit Hold'em2.txt"/>
  </r>
  <r>
    <n v="4210"/>
    <n v="86.610000000000014"/>
    <s v="10.02.2025"/>
    <n v="10"/>
    <x v="1"/>
    <x v="2"/>
    <x v="10"/>
    <n v="-10"/>
    <n v="1.89"/>
    <m/>
    <x v="2"/>
    <n v="-0.81099999999999994"/>
    <s v="HH20250210 Aludra - $0.05-$0.10 - USD No Limit Hold'em3.txt"/>
  </r>
  <r>
    <n v="4211"/>
    <n v="89.000000000000014"/>
    <s v="10.02.2025"/>
    <n v="10"/>
    <x v="1"/>
    <x v="2"/>
    <x v="10"/>
    <n v="-10"/>
    <n v="12.39"/>
    <m/>
    <x v="1"/>
    <n v="0.2390000000000001"/>
    <s v="HH20250210 Aludra #2 - $0.05-$0.10 - USD No Limit Hold'em3.txt"/>
  </r>
  <r>
    <n v="4212"/>
    <n v="91.470000000000013"/>
    <s v="10.02.2025"/>
    <n v="10"/>
    <x v="1"/>
    <x v="2"/>
    <x v="10"/>
    <n v="-10"/>
    <n v="12.47"/>
    <m/>
    <x v="1"/>
    <n v="0.24700000000000011"/>
    <s v="HH20250210 Aludra #3 - $0.05-$0.10 - USD No Limit Hold'em2.txt"/>
  </r>
  <r>
    <n v="4213"/>
    <n v="93.980000000000018"/>
    <s v="10.02.2025"/>
    <n v="10"/>
    <x v="1"/>
    <x v="2"/>
    <x v="10"/>
    <n v="-10"/>
    <n v="12.51"/>
    <m/>
    <x v="1"/>
    <n v="0.25099999999999989"/>
    <s v="HH20250210 Aludra #4 - $0.05-$0.10 - USD No Limit Hold'em2.txt"/>
  </r>
  <r>
    <n v="4214"/>
    <n v="83.980000000000018"/>
    <s v="10.02.2025"/>
    <n v="10"/>
    <x v="1"/>
    <x v="2"/>
    <x v="10"/>
    <n v="-10"/>
    <m/>
    <m/>
    <x v="2"/>
    <n v="-1"/>
    <s v="HH20250210 Aludra #5 - $0.05-$0.10 - USD No Limit Hold'em2.txt"/>
  </r>
  <r>
    <n v="4215"/>
    <n v="73.980000000000018"/>
    <s v="10.02.2025"/>
    <n v="10"/>
    <x v="1"/>
    <x v="2"/>
    <x v="10"/>
    <n v="-10"/>
    <m/>
    <m/>
    <x v="2"/>
    <n v="-1"/>
    <s v="HH20250210 Aludra #6 - $0.05-$0.10 - USD No Limit Hold'em2.txt"/>
  </r>
  <r>
    <n v="4216"/>
    <n v="63.980000000000018"/>
    <s v="10.02.2025"/>
    <n v="10"/>
    <x v="1"/>
    <x v="2"/>
    <x v="10"/>
    <n v="-10"/>
    <m/>
    <m/>
    <x v="2"/>
    <n v="-1"/>
    <s v="HH20250210 Aludra - $0.05-$0.10 - USD No Limit Hold'em4.txt"/>
  </r>
  <r>
    <n v="4217"/>
    <n v="58.980000000000018"/>
    <s v="11.02.2025"/>
    <n v="11"/>
    <x v="1"/>
    <x v="2"/>
    <x v="2"/>
    <n v="-5"/>
    <m/>
    <m/>
    <x v="2"/>
    <n v="-1"/>
    <s v="HH20250211 T3857694475 No Limit Hold'em $4.60 + $0.40.txt"/>
  </r>
  <r>
    <n v="4218"/>
    <n v="58.980000000000018"/>
    <s v="11.02.2025"/>
    <n v="11"/>
    <x v="1"/>
    <x v="2"/>
    <x v="12"/>
    <m/>
    <m/>
    <m/>
    <x v="2"/>
    <n v="0"/>
    <s v="HH20250211 T3857695102 No Limit Hold'em $0.46 + $0.04.txt"/>
  </r>
  <r>
    <n v="4219"/>
    <n v="59.210000000000022"/>
    <s v="11.02.2025"/>
    <n v="11"/>
    <x v="1"/>
    <x v="2"/>
    <x v="10"/>
    <n v="-10"/>
    <n v="10.23"/>
    <m/>
    <x v="1"/>
    <n v="2.3000000000000131E-2"/>
    <s v="HH20250211 Aludra - $0.05-$0.10 - USD No Limit Hold'em.txt"/>
  </r>
  <r>
    <n v="4220"/>
    <n v="49.210000000000022"/>
    <s v="11.02.2025"/>
    <n v="11"/>
    <x v="1"/>
    <x v="2"/>
    <x v="10"/>
    <n v="-10"/>
    <m/>
    <m/>
    <x v="2"/>
    <n v="-1"/>
    <s v="HH20250211 Aludra - $0.05-$0.10 - USD No Limit Hold'em2.txt"/>
  </r>
  <r>
    <n v="4221"/>
    <n v="50.210000000000022"/>
    <s v="11.02.2025"/>
    <n v="11"/>
    <x v="1"/>
    <x v="2"/>
    <x v="18"/>
    <m/>
    <n v="1"/>
    <m/>
    <x v="1"/>
    <m/>
    <m/>
  </r>
  <r>
    <n v="4222"/>
    <n v="52.210000000000022"/>
    <s v="11.02.2025"/>
    <n v="11"/>
    <x v="1"/>
    <x v="2"/>
    <x v="10"/>
    <n v="-10"/>
    <n v="12"/>
    <m/>
    <x v="1"/>
    <n v="0.19999999999999996"/>
    <s v="HH20250211 Aludra - $0.05-$0.10 - USD No Limit Hold'em3.txt"/>
  </r>
  <r>
    <n v="4223"/>
    <n v="56.810000000000024"/>
    <s v="11.02.2025"/>
    <n v="11"/>
    <x v="1"/>
    <x v="2"/>
    <x v="10"/>
    <n v="-10"/>
    <n v="14.6"/>
    <m/>
    <x v="1"/>
    <n v="0.45999999999999996"/>
    <s v="HH20250211 Aludra #2 - $0.05-$0.10 - USD No Limit Hold'em.txt"/>
  </r>
  <r>
    <n v="4224"/>
    <n v="59.010000000000019"/>
    <s v="11.02.2025"/>
    <n v="11"/>
    <x v="1"/>
    <x v="2"/>
    <x v="10"/>
    <n v="-10"/>
    <n v="12.2"/>
    <m/>
    <x v="1"/>
    <n v="0.21999999999999997"/>
    <s v="HH20250211 Aludra #3 - $0.05-$0.10 - USD No Limit Hold'em.txt"/>
  </r>
  <r>
    <n v="4225"/>
    <n v="55.710000000000022"/>
    <s v="11.02.2025"/>
    <n v="11"/>
    <x v="1"/>
    <x v="2"/>
    <x v="10"/>
    <n v="-10"/>
    <n v="6.7"/>
    <m/>
    <x v="2"/>
    <n v="-0.32999999999999996"/>
    <s v="HH20250211 Aludra #4 - $0.05-$0.10 - USD No Limit Hold'em.txt"/>
  </r>
  <r>
    <n v="4226"/>
    <n v="50.710000000000022"/>
    <s v="12.02.2025"/>
    <n v="12"/>
    <x v="1"/>
    <x v="2"/>
    <x v="2"/>
    <n v="-5"/>
    <m/>
    <m/>
    <x v="2"/>
    <n v="-1"/>
    <s v="HH20250212 T3858046911 No Limit Hold'em $4.60 + $0.40.txt"/>
  </r>
  <r>
    <n v="4227"/>
    <n v="50.710000000000022"/>
    <s v="12.02.2025"/>
    <n v="12"/>
    <x v="1"/>
    <x v="2"/>
    <x v="12"/>
    <m/>
    <m/>
    <m/>
    <x v="2"/>
    <n v="0"/>
    <s v="HH20250212 T3858048770 No Limit Hold'em $0.46 + $0.04.txt"/>
  </r>
  <r>
    <n v="4228"/>
    <n v="45.710000000000022"/>
    <s v="13.02.2025"/>
    <n v="13"/>
    <x v="1"/>
    <x v="2"/>
    <x v="2"/>
    <n v="-5"/>
    <m/>
    <m/>
    <x v="2"/>
    <n v="-1"/>
    <s v="HH20250213 T3858407421 No Limit Hold'em $4.60 + $0.40.txt"/>
  </r>
  <r>
    <n v="4229"/>
    <n v="45.710000000000022"/>
    <s v="13.02.2025"/>
    <n v="13"/>
    <x v="1"/>
    <x v="2"/>
    <x v="12"/>
    <m/>
    <m/>
    <m/>
    <x v="1"/>
    <n v="0"/>
    <s v="HH20250213 T3858408206 No Limit Hold'em $0.46 + $0.04.txt"/>
  </r>
  <r>
    <n v="4230"/>
    <n v="45.710000000000022"/>
    <s v="13.02.2025"/>
    <n v="13"/>
    <x v="1"/>
    <x v="2"/>
    <x v="13"/>
    <m/>
    <m/>
    <m/>
    <x v="2"/>
    <n v="0"/>
    <s v="HH20250213 T3858408487 No Limit Hold'em $0.96 + $0.04.txt"/>
  </r>
  <r>
    <n v="4231"/>
    <n v="59.950000000000024"/>
    <s v="13.02.2025"/>
    <n v="13"/>
    <x v="1"/>
    <x v="2"/>
    <x v="10"/>
    <n v="-20"/>
    <n v="34.24"/>
    <m/>
    <x v="1"/>
    <n v="0.71200000000000019"/>
    <s v="HH20250213 Aludra - $0.05-$0.10 - USD No Limit Hold'em.txt"/>
  </r>
  <r>
    <n v="4232"/>
    <n v="65.470000000000027"/>
    <s v="13.02.2025"/>
    <n v="13"/>
    <x v="1"/>
    <x v="2"/>
    <x v="10"/>
    <n v="-10"/>
    <n v="15.52"/>
    <m/>
    <x v="1"/>
    <n v="0.55200000000000005"/>
    <s v="HH20250213 Aludra #2 - $0.05-$0.10 - USD No Limit Hold'em.txt"/>
  </r>
  <r>
    <n v="4233"/>
    <n v="68.450000000000031"/>
    <s v="13.02.2025"/>
    <n v="13"/>
    <x v="1"/>
    <x v="2"/>
    <x v="10"/>
    <n v="-10"/>
    <n v="12.98"/>
    <m/>
    <x v="1"/>
    <n v="0.29800000000000004"/>
    <s v="HH20250213 Aludra - $0.05-$0.10 - USD No Limit Hold'em2.txt"/>
  </r>
  <r>
    <n v="4234"/>
    <n v="68.500000000000028"/>
    <s v="13.02.2025"/>
    <n v="13"/>
    <x v="1"/>
    <x v="2"/>
    <x v="10"/>
    <n v="-10"/>
    <n v="10.050000000000001"/>
    <m/>
    <x v="1"/>
    <n v="5.0000000000001155E-3"/>
    <s v="HH20250213 Aludra #2 - $0.05-$0.10 - USD No Limit Hold'em2.txt"/>
  </r>
  <r>
    <n v="4235"/>
    <n v="78.500000000000028"/>
    <s v="13.02.2025"/>
    <n v="13"/>
    <x v="1"/>
    <x v="2"/>
    <x v="18"/>
    <m/>
    <n v="10"/>
    <m/>
    <x v="1"/>
    <m/>
    <m/>
  </r>
  <r>
    <n v="4236"/>
    <n v="80.180000000000035"/>
    <s v="13.02.2025"/>
    <n v="13"/>
    <x v="1"/>
    <x v="2"/>
    <x v="10"/>
    <n v="-10"/>
    <n v="11.68"/>
    <m/>
    <x v="1"/>
    <n v="0.16799999999999993"/>
    <s v="HH20250213 Aludra - $0.05-$0.10 - USD No Limit Hold'em3.txt"/>
  </r>
  <r>
    <n v="4237"/>
    <n v="80.230000000000032"/>
    <s v="14.02.2025"/>
    <n v="14"/>
    <x v="1"/>
    <x v="2"/>
    <x v="10"/>
    <n v="-10"/>
    <n v="10.050000000000001"/>
    <m/>
    <x v="1"/>
    <n v="5.0000000000001155E-3"/>
    <s v="HH20250214 Aludra - $0.05-$0.10 - USD No Limit Hold'em.txt"/>
  </r>
  <r>
    <n v="4238"/>
    <n v="75.230000000000032"/>
    <s v="14.02.2025"/>
    <n v="14"/>
    <x v="1"/>
    <x v="2"/>
    <x v="2"/>
    <n v="-5"/>
    <m/>
    <m/>
    <x v="2"/>
    <n v="-1"/>
    <s v="HH20250214 T3858774608 No Limit Hold'em $4.60 + $0.40.txt"/>
  </r>
  <r>
    <n v="4239"/>
    <n v="75.230000000000032"/>
    <s v="14.02.2025"/>
    <n v="14"/>
    <x v="1"/>
    <x v="2"/>
    <x v="12"/>
    <m/>
    <m/>
    <m/>
    <x v="2"/>
    <n v="0"/>
    <s v="HH20250214 T3858775610 No Limit Hold'em $0.46 + $0.04.txt"/>
  </r>
  <r>
    <n v="4240"/>
    <n v="48.470000000000034"/>
    <s v="14.02.2025"/>
    <n v="14"/>
    <x v="1"/>
    <x v="2"/>
    <x v="2"/>
    <n v="-40"/>
    <n v="13.24"/>
    <m/>
    <x v="2"/>
    <n v="-0.66900000000000004"/>
    <s v="HH20250214 Aludra - $0.05-$0.10 - USD No Limit Hold'em2.txt"/>
  </r>
  <r>
    <n v="4241"/>
    <n v="49.470000000000034"/>
    <s v="14.02.2025"/>
    <n v="14"/>
    <x v="1"/>
    <x v="2"/>
    <x v="18"/>
    <m/>
    <n v="1"/>
    <m/>
    <x v="1"/>
    <m/>
    <m/>
  </r>
  <r>
    <n v="4242"/>
    <n v="44.470000000000034"/>
    <s v="15.02.2025"/>
    <n v="15"/>
    <x v="1"/>
    <x v="2"/>
    <x v="2"/>
    <n v="-5"/>
    <m/>
    <m/>
    <x v="2"/>
    <n v="-1"/>
    <s v="HH20250215 T3859173732 No Limit Hold'em $4.60 + $0.40.txt"/>
  </r>
  <r>
    <n v="4243"/>
    <n v="44.470000000000034"/>
    <s v="15.02.2025"/>
    <n v="15"/>
    <x v="1"/>
    <x v="2"/>
    <x v="12"/>
    <m/>
    <m/>
    <m/>
    <x v="2"/>
    <n v="0"/>
    <s v="HH20250215 T3859176149 No Limit Hold'em $0.46 + $0.04.txt"/>
  </r>
  <r>
    <n v="4244"/>
    <n v="46.680000000000035"/>
    <s v="15.02.2025"/>
    <n v="15"/>
    <x v="1"/>
    <x v="2"/>
    <x v="10"/>
    <n v="-10"/>
    <n v="12.21"/>
    <m/>
    <x v="1"/>
    <n v="0.22100000000000009"/>
    <s v="HH20250215 Aludra - $0.05-$0.10 - USD No Limit Hold'em.txt"/>
  </r>
  <r>
    <n v="4245"/>
    <n v="39.110000000000035"/>
    <s v="15.02.2025"/>
    <n v="15"/>
    <x v="1"/>
    <x v="2"/>
    <x v="10"/>
    <n v="-10"/>
    <n v="2.4300000000000002"/>
    <m/>
    <x v="2"/>
    <n v="-0.75700000000000001"/>
    <s v="HH20250215 Aludra #2 - $0.05-$0.10 - USD No Limit Hold'em.txt"/>
  </r>
  <r>
    <n v="4246"/>
    <n v="41.610000000000035"/>
    <s v="15.02.2025"/>
    <n v="15"/>
    <x v="1"/>
    <x v="2"/>
    <x v="18"/>
    <m/>
    <n v="2.5"/>
    <m/>
    <x v="1"/>
    <m/>
    <m/>
  </r>
  <r>
    <n v="4247"/>
    <n v="46.180000000000035"/>
    <s v="15.02.2025"/>
    <n v="15"/>
    <x v="1"/>
    <x v="2"/>
    <x v="10"/>
    <n v="-10"/>
    <n v="14.57"/>
    <m/>
    <x v="1"/>
    <n v="0.45700000000000007"/>
    <s v="HH20250215 Aludra - $0.05-$0.10 - USD No Limit Hold'em2.txt"/>
  </r>
  <r>
    <n v="4248"/>
    <n v="51.530000000000037"/>
    <s v="15.02.2025"/>
    <n v="15"/>
    <x v="1"/>
    <x v="2"/>
    <x v="10"/>
    <n v="-10"/>
    <n v="15.35"/>
    <m/>
    <x v="1"/>
    <n v="0.53499999999999992"/>
    <s v="HH20250215 Aludra #2 - $0.05-$0.10 - USD No Limit Hold'em2.txt"/>
  </r>
  <r>
    <n v="4249"/>
    <n v="46.530000000000037"/>
    <s v="16.02.2025"/>
    <n v="16"/>
    <x v="1"/>
    <x v="2"/>
    <x v="2"/>
    <n v="-5"/>
    <m/>
    <m/>
    <x v="2"/>
    <n v="-1"/>
    <s v="HH20250216 T3859537384 No Limit Hold'em $4.60 + $0.40.txt"/>
  </r>
  <r>
    <n v="4250"/>
    <n v="46.530000000000037"/>
    <s v="16.02.2025"/>
    <n v="16"/>
    <x v="1"/>
    <x v="2"/>
    <x v="12"/>
    <m/>
    <m/>
    <m/>
    <x v="2"/>
    <n v="0"/>
    <s v="HH20250216 T3859538507 No Limit Hold'em $0.46 + $0.04.txt"/>
  </r>
  <r>
    <n v="4251"/>
    <n v="36.530000000000037"/>
    <s v="16.02.2025"/>
    <n v="16"/>
    <x v="1"/>
    <x v="2"/>
    <x v="10"/>
    <n v="-10"/>
    <m/>
    <m/>
    <x v="2"/>
    <n v="-1"/>
    <s v="HH20250216 Aludra - $0.05-$0.10 - USD No Limit Hold'em.txt"/>
  </r>
  <r>
    <n v="4252"/>
    <n v="37.530000000000037"/>
    <s v="16.02.2025"/>
    <n v="16"/>
    <x v="1"/>
    <x v="2"/>
    <x v="18"/>
    <m/>
    <n v="1"/>
    <m/>
    <x v="1"/>
    <m/>
    <m/>
  </r>
  <r>
    <n v="4253"/>
    <n v="3.5527136788005009E-14"/>
    <s v="16.02.2025"/>
    <n v="16"/>
    <x v="1"/>
    <x v="2"/>
    <x v="10"/>
    <n v="-37.53"/>
    <m/>
    <m/>
    <x v="2"/>
    <n v="-1"/>
    <s v="HH20250216 Baade - $0.25-$0.50 - USD No Limit Hold'em.txt"/>
  </r>
  <r>
    <n v="4254"/>
    <n v="110.54000000000005"/>
    <s v="19.02.2025"/>
    <n v="19"/>
    <x v="1"/>
    <x v="2"/>
    <x v="1"/>
    <m/>
    <n v="110.54"/>
    <m/>
    <x v="0"/>
    <m/>
    <m/>
  </r>
  <r>
    <n v="4255"/>
    <n v="105.54000000000005"/>
    <s v="19.02.2025"/>
    <n v="19"/>
    <x v="1"/>
    <x v="2"/>
    <x v="2"/>
    <n v="-5"/>
    <m/>
    <m/>
    <x v="2"/>
    <n v="-1"/>
    <s v="HH20250219 T3860615689 No Limit Hold'em $4.60 + $0.40.txt"/>
  </r>
  <r>
    <n v="4256"/>
    <n v="105.54000000000005"/>
    <s v="19.02.2025"/>
    <n v="19"/>
    <x v="1"/>
    <x v="2"/>
    <x v="12"/>
    <m/>
    <m/>
    <m/>
    <x v="1"/>
    <n v="0"/>
    <s v="HH20250219 T3860617048 No Limit Hold'em $0.46 + $0.04.txt"/>
  </r>
  <r>
    <n v="4257"/>
    <n v="106.90000000000005"/>
    <s v="19.02.2025"/>
    <n v="19"/>
    <x v="1"/>
    <x v="2"/>
    <x v="13"/>
    <m/>
    <n v="1.36"/>
    <m/>
    <x v="1"/>
    <n v="0"/>
    <s v="HH20250219 T3860618428 No Limit Hold'em $0.96 + $0.04.txt"/>
  </r>
  <r>
    <n v="4258"/>
    <n v="96.900000000000048"/>
    <s v="19.02.2025"/>
    <n v="19"/>
    <x v="1"/>
    <x v="2"/>
    <x v="10"/>
    <n v="-10"/>
    <m/>
    <m/>
    <x v="2"/>
    <n v="-1"/>
    <s v="HH20250219 Aludra - $0.05-$0.10 - USD No Limit Hold'em.txt"/>
  </r>
  <r>
    <n v="4259"/>
    <n v="97.600000000000051"/>
    <s v="19.02.2025"/>
    <n v="19"/>
    <x v="1"/>
    <x v="2"/>
    <x v="10"/>
    <n v="-10"/>
    <n v="10.7"/>
    <m/>
    <x v="1"/>
    <n v="6.999999999999984E-2"/>
    <s v="HH20250219 Aludra - $0.05-$0.10 - USD No Limit Hold'em2.txt"/>
  </r>
  <r>
    <n v="4260"/>
    <n v="100.10000000000005"/>
    <s v="19.02.2025"/>
    <n v="19"/>
    <x v="1"/>
    <x v="2"/>
    <x v="18"/>
    <m/>
    <n v="2.5"/>
    <m/>
    <x v="1"/>
    <m/>
    <m/>
  </r>
  <r>
    <n v="4261"/>
    <n v="102.17000000000004"/>
    <s v="19.02.2025"/>
    <n v="19"/>
    <x v="1"/>
    <x v="2"/>
    <x v="10"/>
    <n v="-10"/>
    <n v="12.07"/>
    <m/>
    <x v="1"/>
    <n v="0.20700000000000007"/>
    <s v="HH20250219 Aludra - $0.05-$0.10 - USD No Limit Hold'em3.txt"/>
  </r>
  <r>
    <n v="4262"/>
    <n v="104.26000000000005"/>
    <s v="19.02.2025"/>
    <n v="19"/>
    <x v="1"/>
    <x v="2"/>
    <x v="10"/>
    <n v="-10"/>
    <n v="12.09"/>
    <m/>
    <x v="1"/>
    <n v="0.20900000000000007"/>
    <s v="HH20250219 Aludra #2 - $0.05-$0.10 - USD No Limit Hold'em.txt"/>
  </r>
  <r>
    <n v="4263"/>
    <n v="106.75000000000004"/>
    <s v="19.02.2025"/>
    <n v="19"/>
    <x v="1"/>
    <x v="2"/>
    <x v="10"/>
    <n v="-10"/>
    <n v="12.49"/>
    <m/>
    <x v="1"/>
    <n v="0.24900000000000011"/>
    <s v="HH20250219 Aludra #3 - $0.05-$0.10 - USD No Limit Hold'em.txt"/>
  </r>
  <r>
    <n v="4264"/>
    <n v="96.750000000000043"/>
    <s v="19.02.2025"/>
    <n v="19"/>
    <x v="1"/>
    <x v="2"/>
    <x v="10"/>
    <n v="-10"/>
    <m/>
    <m/>
    <x v="2"/>
    <n v="-1"/>
    <s v="HH20250219 Aludra - $0.05-$0.10 - USD No Limit Hold'em4.txt"/>
  </r>
  <r>
    <n v="4265"/>
    <n v="98.590000000000046"/>
    <s v="19.02.2025"/>
    <n v="19"/>
    <x v="1"/>
    <x v="2"/>
    <x v="10"/>
    <n v="-10"/>
    <n v="11.84"/>
    <m/>
    <x v="1"/>
    <n v="0.18399999999999994"/>
    <s v="HH20250219 Aludra - $0.05-$0.10 - USD No Limit Hold'em5.txt"/>
  </r>
  <r>
    <n v="4266"/>
    <n v="91.210000000000051"/>
    <s v="19.02.2025"/>
    <n v="19"/>
    <x v="1"/>
    <x v="2"/>
    <x v="10"/>
    <n v="-10"/>
    <n v="2.62"/>
    <m/>
    <x v="2"/>
    <n v="-0.73799999999999999"/>
    <s v="HH20250219 Aludra - $0.05-$0.10 - USD No Limit Hold'em6.txt"/>
  </r>
  <r>
    <n v="4267"/>
    <n v="86.210000000000051"/>
    <s v="20.02.2025"/>
    <n v="20"/>
    <x v="1"/>
    <x v="2"/>
    <x v="2"/>
    <n v="-5"/>
    <m/>
    <m/>
    <x v="2"/>
    <n v="-1"/>
    <s v="HH20250220 T3861050815 No Limit Hold'em $4.60 + $0.40.txt"/>
  </r>
  <r>
    <n v="4268"/>
    <n v="86.210000000000051"/>
    <s v="20.02.2025"/>
    <n v="20"/>
    <x v="1"/>
    <x v="2"/>
    <x v="12"/>
    <m/>
    <m/>
    <m/>
    <x v="2"/>
    <n v="0"/>
    <s v="HH20250220 T3861054388 No Limit Hold'em $0.46 + $0.04.txt"/>
  </r>
  <r>
    <n v="4269"/>
    <n v="89.950000000000045"/>
    <s v="20.02.2025"/>
    <n v="20"/>
    <x v="1"/>
    <x v="2"/>
    <x v="10"/>
    <n v="-10"/>
    <n v="13.74"/>
    <m/>
    <x v="1"/>
    <n v="0.37400000000000011"/>
    <s v="HH20250220 Aludra - $0.05-$0.10 - USD No Limit Hold'em.txt"/>
  </r>
  <r>
    <n v="4270"/>
    <n v="94.950000000000045"/>
    <s v="21.02.2025"/>
    <n v="21"/>
    <x v="1"/>
    <x v="2"/>
    <x v="2"/>
    <n v="-5"/>
    <n v="10"/>
    <m/>
    <x v="1"/>
    <n v="1"/>
    <s v="HH20250221 T3861331406 No Limit Hold'em $4.60 + $0.40.txt"/>
  </r>
  <r>
    <n v="4271"/>
    <n v="94.950000000000045"/>
    <s v="21.02.2025"/>
    <n v="21"/>
    <x v="1"/>
    <x v="2"/>
    <x v="12"/>
    <m/>
    <m/>
    <m/>
    <x v="2"/>
    <n v="0"/>
    <s v="HH20250221 T3861336189 No Limit Hold'em $0.46 + $0.04.txt"/>
  </r>
  <r>
    <n v="4272"/>
    <n v="85.980000000000047"/>
    <s v="21.02.2025"/>
    <n v="21"/>
    <x v="1"/>
    <x v="2"/>
    <x v="10"/>
    <n v="-10"/>
    <n v="1.03"/>
    <m/>
    <x v="2"/>
    <n v="-0.89700000000000002"/>
    <s v="HH20250221 Aludra - $0.05-$0.10 - USD No Limit Hold'em.txt"/>
  </r>
  <r>
    <n v="4273"/>
    <n v="88.05000000000004"/>
    <s v="21.02.2025"/>
    <n v="21"/>
    <x v="1"/>
    <x v="2"/>
    <x v="10"/>
    <n v="-10"/>
    <n v="12.07"/>
    <m/>
    <x v="1"/>
    <n v="0.20700000000000007"/>
    <s v="HH20250221 Aludra - $0.05-$0.10 - USD No Limit Hold'em2.txt"/>
  </r>
  <r>
    <n v="4274"/>
    <n v="80.620000000000033"/>
    <s v="21.02.2025"/>
    <n v="21"/>
    <x v="1"/>
    <x v="2"/>
    <x v="10"/>
    <n v="-20"/>
    <n v="12.57"/>
    <m/>
    <x v="2"/>
    <n v="-0.37149999999999994"/>
    <s v="HH20250221 Aludra #2 - $0.05-$0.10 - USD No Limit Hold'em.txt"/>
  </r>
  <r>
    <n v="4275"/>
    <n v="81.620000000000033"/>
    <s v="21.02.2025"/>
    <n v="21"/>
    <x v="1"/>
    <x v="2"/>
    <x v="18"/>
    <m/>
    <n v="1"/>
    <m/>
    <x v="1"/>
    <m/>
    <m/>
  </r>
  <r>
    <n v="4276"/>
    <n v="78.980000000000032"/>
    <s v="21.02.2025"/>
    <n v="21"/>
    <x v="1"/>
    <x v="2"/>
    <x v="10"/>
    <n v="-10"/>
    <n v="7.36"/>
    <m/>
    <x v="2"/>
    <n v="-0.26400000000000001"/>
    <s v="HH20250221 Aludra #3 - $0.05-$0.10 - USD No Limit Hold'em.txt"/>
  </r>
  <r>
    <n v="4277"/>
    <n v="87.540000000000035"/>
    <s v="21.02.2025"/>
    <n v="21"/>
    <x v="1"/>
    <x v="2"/>
    <x v="10"/>
    <n v="-10"/>
    <n v="18.559999999999999"/>
    <m/>
    <x v="1"/>
    <n v="0.85599999999999987"/>
    <s v="HH20250221 Aludra - $0.05-$0.10 - USD No Limit Hold'em3.txt"/>
  </r>
  <r>
    <n v="4278"/>
    <n v="85.040000000000035"/>
    <s v="21.02.2025"/>
    <n v="21"/>
    <x v="1"/>
    <x v="2"/>
    <x v="10"/>
    <n v="-10"/>
    <n v="7.5"/>
    <m/>
    <x v="2"/>
    <n v="-0.25"/>
    <s v="HH20250221 Aludra #2 - $0.05-$0.10 - USD No Limit Hold'em2.txt"/>
  </r>
  <r>
    <n v="4279"/>
    <n v="80.040000000000035"/>
    <s v="22.02.2025"/>
    <n v="22"/>
    <x v="1"/>
    <x v="2"/>
    <x v="2"/>
    <n v="-5"/>
    <m/>
    <m/>
    <x v="2"/>
    <n v="-1"/>
    <s v="HH20250222 T3861734843 No Limit Hold'em $4.60 + $0.40.txt"/>
  </r>
  <r>
    <n v="4280"/>
    <n v="80.040000000000035"/>
    <s v="22.02.2025"/>
    <n v="22"/>
    <x v="1"/>
    <x v="2"/>
    <x v="12"/>
    <m/>
    <m/>
    <m/>
    <x v="2"/>
    <n v="0"/>
    <s v="HH20250222 T3861736960 No Limit Hold'em $0.46 + $0.04.txt"/>
  </r>
  <r>
    <n v="4281"/>
    <n v="82.090000000000032"/>
    <s v="22.02.2025"/>
    <n v="22"/>
    <x v="1"/>
    <x v="2"/>
    <x v="10"/>
    <n v="-10"/>
    <n v="12.05"/>
    <m/>
    <x v="1"/>
    <n v="0.20500000000000007"/>
    <s v="HH20250222 Aludra - $0.05-$0.10 - USD No Limit Hold'em.txt"/>
  </r>
  <r>
    <n v="4282"/>
    <n v="72.090000000000032"/>
    <s v="22.02.2025"/>
    <n v="22"/>
    <x v="1"/>
    <x v="2"/>
    <x v="10"/>
    <n v="-10"/>
    <m/>
    <m/>
    <x v="2"/>
    <n v="-1"/>
    <s v="HH20250222 Aludra #2 - $0.05-$0.10 - USD No Limit Hold'em.txt"/>
  </r>
  <r>
    <n v="4283"/>
    <n v="67.090000000000032"/>
    <s v="23.02.2025"/>
    <n v="23"/>
    <x v="1"/>
    <x v="2"/>
    <x v="2"/>
    <n v="-5"/>
    <m/>
    <m/>
    <x v="2"/>
    <n v="-1"/>
    <s v="HH20250223 T3862070249 No Limit Hold'em $4.60 + $0.40.txt"/>
  </r>
  <r>
    <n v="4284"/>
    <n v="67.090000000000032"/>
    <s v="23.02.2025"/>
    <n v="23"/>
    <x v="1"/>
    <x v="2"/>
    <x v="12"/>
    <m/>
    <m/>
    <m/>
    <x v="2"/>
    <n v="0"/>
    <s v="HH20250223 T3862072055 No Limit Hold'em $0.46 + $0.04.txt"/>
  </r>
  <r>
    <n v="4285"/>
    <n v="69.690000000000026"/>
    <s v="23.02.2025"/>
    <n v="23"/>
    <x v="1"/>
    <x v="2"/>
    <x v="10"/>
    <n v="-10"/>
    <n v="12.6"/>
    <m/>
    <x v="1"/>
    <n v="0.26"/>
    <s v="HH20250223 Aludra - $0.05-$0.10 - USD No Limit Hold'em.txt"/>
  </r>
  <r>
    <n v="4286"/>
    <n v="70.020000000000024"/>
    <s v="23.02.2025"/>
    <n v="23"/>
    <x v="1"/>
    <x v="2"/>
    <x v="10"/>
    <n v="-10"/>
    <n v="10.33"/>
    <m/>
    <x v="1"/>
    <n v="3.2999999999999918E-2"/>
    <s v="HH20250223 Aludra #2 - $0.05-$0.10 - USD No Limit Hold'em.txt"/>
  </r>
  <r>
    <n v="4287"/>
    <n v="59.020000000000024"/>
    <s v="23.02.2025"/>
    <n v="23"/>
    <x v="1"/>
    <x v="2"/>
    <x v="19"/>
    <n v="-11"/>
    <m/>
    <m/>
    <x v="2"/>
    <n v="-1"/>
    <s v="HH20250223 T3860731903 No Limit Hold'em $9.80 + $1.20.txt"/>
  </r>
  <r>
    <n v="4288"/>
    <n v="63.950000000000024"/>
    <s v="23.02.2025"/>
    <n v="23"/>
    <x v="1"/>
    <x v="2"/>
    <x v="10"/>
    <n v="-10"/>
    <n v="14.93"/>
    <m/>
    <x v="1"/>
    <n v="0.49299999999999988"/>
    <s v="HH20250223 Aludra #3 - $0.05-$0.10 - USD No Limit Hold'em.txt"/>
  </r>
  <r>
    <n v="4289"/>
    <n v="66.270000000000024"/>
    <s v="23.02.2025"/>
    <n v="23"/>
    <x v="1"/>
    <x v="2"/>
    <x v="10"/>
    <n v="-10"/>
    <n v="12.32"/>
    <m/>
    <x v="1"/>
    <n v="0.23199999999999998"/>
    <s v="HH20250223 Aludra #4 - $0.05-$0.10 - USD No Limit Hold'em.txt"/>
  </r>
  <r>
    <n v="4290"/>
    <n v="62.970000000000027"/>
    <s v="23.02.2025"/>
    <n v="23"/>
    <x v="1"/>
    <x v="2"/>
    <x v="20"/>
    <n v="-3.3"/>
    <m/>
    <m/>
    <x v="2"/>
    <n v="-1"/>
    <s v="HH20250223 T3860731904 No Limit Hold'em $2.94 + $0.36.txt"/>
  </r>
  <r>
    <n v="4291"/>
    <n v="61.480000000000025"/>
    <s v="23.02.2025"/>
    <n v="23"/>
    <x v="1"/>
    <x v="2"/>
    <x v="10"/>
    <n v="-10"/>
    <n v="8.51"/>
    <m/>
    <x v="2"/>
    <n v="-0.14900000000000002"/>
    <s v="HH20250223 Aludra - $0.05-$0.10 - USD No Limit Hold'em2.txt"/>
  </r>
  <r>
    <n v="4292"/>
    <n v="62.480000000000025"/>
    <s v="23.02.2025"/>
    <n v="23"/>
    <x v="1"/>
    <x v="2"/>
    <x v="18"/>
    <m/>
    <n v="1"/>
    <m/>
    <x v="1"/>
    <m/>
    <m/>
  </r>
  <r>
    <n v="4293"/>
    <n v="57.480000000000025"/>
    <s v="24.02.2025"/>
    <n v="24"/>
    <x v="1"/>
    <x v="2"/>
    <x v="2"/>
    <n v="-5"/>
    <m/>
    <m/>
    <x v="2"/>
    <n v="-1"/>
    <s v="HH20250224 T3862410221 No Limit Hold'em $4.60 + $0.40.txt"/>
  </r>
  <r>
    <n v="4294"/>
    <n v="57.480000000000025"/>
    <s v="24.02.2025"/>
    <n v="24"/>
    <x v="1"/>
    <x v="2"/>
    <x v="12"/>
    <m/>
    <m/>
    <m/>
    <x v="2"/>
    <n v="0"/>
    <s v="HH20250224 T3862410812 No Limit Hold'em $0.46 + $0.04.txt"/>
  </r>
  <r>
    <n v="4295"/>
    <n v="61.080000000000027"/>
    <s v="24.02.2025"/>
    <n v="24"/>
    <x v="1"/>
    <x v="2"/>
    <x v="10"/>
    <n v="-10"/>
    <n v="13.6"/>
    <m/>
    <x v="1"/>
    <n v="0.35999999999999988"/>
    <s v="HH20250224 Aludra - $0.05-$0.10 - USD No Limit Hold'em.txt"/>
  </r>
  <r>
    <n v="4296"/>
    <n v="51.080000000000027"/>
    <s v="24.02.2025"/>
    <n v="24"/>
    <x v="1"/>
    <x v="2"/>
    <x v="10"/>
    <n v="-10"/>
    <m/>
    <m/>
    <x v="2"/>
    <n v="-1"/>
    <s v="HH20250224 Aludra #2 - $0.05-$0.10 - USD No Limit Hold'em.txt"/>
  </r>
  <r>
    <n v="4297"/>
    <n v="52.870000000000026"/>
    <s v="24.02.2025"/>
    <n v="24"/>
    <x v="1"/>
    <x v="2"/>
    <x v="10"/>
    <n v="-10"/>
    <n v="11.79"/>
    <m/>
    <x v="1"/>
    <n v="0.17899999999999983"/>
    <s v="HH20250224 Aludra - $0.05-$0.10 - USD No Limit Hold'em2.txt"/>
  </r>
  <r>
    <n v="4298"/>
    <n v="53.990000000000023"/>
    <s v="24.02.2025"/>
    <n v="24"/>
    <x v="1"/>
    <x v="2"/>
    <x v="10"/>
    <n v="-10"/>
    <n v="11.12"/>
    <m/>
    <x v="1"/>
    <n v="0.11199999999999988"/>
    <s v="HH20250224 Aludra #2 - $0.05-$0.10 - USD No Limit Hold'em2.txt"/>
  </r>
  <r>
    <n v="4299"/>
    <n v="54.670000000000023"/>
    <s v="24.02.2025"/>
    <n v="24"/>
    <x v="1"/>
    <x v="2"/>
    <x v="10"/>
    <n v="-10"/>
    <n v="10.68"/>
    <m/>
    <x v="1"/>
    <n v="6.800000000000006E-2"/>
    <s v="HH20250224 Aludra #3 - $0.05-$0.10 - USD No Limit Hold'em.txt"/>
  </r>
  <r>
    <n v="4300"/>
    <n v="55.29000000000002"/>
    <s v="24.02.2025"/>
    <n v="24"/>
    <x v="1"/>
    <x v="2"/>
    <x v="10"/>
    <n v="-10"/>
    <n v="10.62"/>
    <m/>
    <x v="1"/>
    <n v="6.1999999999999833E-2"/>
    <s v="HH20250224 Aludra #4 - $0.05-$0.10 - USD No Limit Hold'em.txt"/>
  </r>
  <r>
    <n v="4301"/>
    <n v="56.820000000000022"/>
    <s v="24.02.2025"/>
    <n v="24"/>
    <x v="1"/>
    <x v="2"/>
    <x v="10"/>
    <n v="-10"/>
    <n v="11.53"/>
    <m/>
    <x v="1"/>
    <n v="0.15300000000000002"/>
    <s v="HH20250224 Aludra - $0.05-$0.10 - USD No Limit Hold'em3.txt"/>
  </r>
  <r>
    <n v="4302"/>
    <n v="57.390000000000022"/>
    <s v="24.02.2025"/>
    <n v="24"/>
    <x v="1"/>
    <x v="2"/>
    <x v="10"/>
    <n v="-10"/>
    <n v="10.57"/>
    <m/>
    <x v="1"/>
    <n v="5.699999999999994E-2"/>
    <s v="HH20250224 Aludra #2 - $0.05-$0.10 - USD No Limit Hold'em3.txt"/>
  </r>
  <r>
    <n v="4303"/>
    <n v="52.390000000000022"/>
    <s v="25.02.2025"/>
    <n v="25"/>
    <x v="1"/>
    <x v="2"/>
    <x v="2"/>
    <n v="-5"/>
    <m/>
    <m/>
    <x v="2"/>
    <n v="-1"/>
    <s v="HH20250225 T3862769382 No Limit Hold'em $4.60 + $0.40.txt"/>
  </r>
  <r>
    <n v="4304"/>
    <n v="52.390000000000022"/>
    <s v="25.02.2025"/>
    <n v="25"/>
    <x v="1"/>
    <x v="2"/>
    <x v="12"/>
    <m/>
    <m/>
    <m/>
    <x v="2"/>
    <n v="0"/>
    <s v="HH20250225 T3862770103 No Limit Hold'em $0.46 + $0.04.txt"/>
  </r>
  <r>
    <n v="4305"/>
    <n v="61.850000000000023"/>
    <s v="25.02.2025"/>
    <n v="25"/>
    <x v="1"/>
    <x v="2"/>
    <x v="10"/>
    <n v="-52.39"/>
    <n v="61.85"/>
    <m/>
    <x v="1"/>
    <n v="0.18056881084176379"/>
    <s v="HH20250225 Triangulum - $0.50-$1 - USD No Limit Hold'em.txt"/>
  </r>
  <r>
    <n v="4306"/>
    <n v="63.050000000000026"/>
    <s v="25.02.2025"/>
    <n v="25"/>
    <x v="1"/>
    <x v="2"/>
    <x v="10"/>
    <n v="-10"/>
    <n v="11.2"/>
    <m/>
    <x v="1"/>
    <n v="0.11999999999999988"/>
    <s v="HH20250225 Aludra - $0.05-$0.10 - USD No Limit Hold'em.txt"/>
  </r>
  <r>
    <n v="4307"/>
    <n v="65.480000000000018"/>
    <s v="25.02.2025"/>
    <n v="25"/>
    <x v="1"/>
    <x v="2"/>
    <x v="10"/>
    <n v="-10"/>
    <n v="12.43"/>
    <m/>
    <x v="1"/>
    <n v="0.24299999999999988"/>
    <s v="HH20250225 Aludra #2 - $0.05-$0.10 - USD No Limit Hold'em.txt"/>
  </r>
  <r>
    <n v="4308"/>
    <n v="65.550000000000011"/>
    <s v="25.02.2025"/>
    <n v="25"/>
    <x v="1"/>
    <x v="2"/>
    <x v="10"/>
    <n v="-10"/>
    <n v="10.07"/>
    <m/>
    <x v="1"/>
    <n v="7.0000000000001172E-3"/>
    <s v="HH20250225 Aludra - $0.05-$0.10 - USD No Limit Hold'em2.txt"/>
  </r>
  <r>
    <n v="4309"/>
    <n v="70.550000000000011"/>
    <s v="25.02.2025"/>
    <n v="25"/>
    <x v="1"/>
    <x v="2"/>
    <x v="18"/>
    <m/>
    <n v="5"/>
    <m/>
    <x v="1"/>
    <m/>
    <m/>
  </r>
  <r>
    <n v="4310"/>
    <n v="71.62"/>
    <s v="25.02.2025"/>
    <n v="25"/>
    <x v="1"/>
    <x v="2"/>
    <x v="10"/>
    <n v="-10"/>
    <n v="11.07"/>
    <m/>
    <x v="1"/>
    <n v="0.10699999999999998"/>
    <s v="HH20250225 Aludra #2 - $0.05-$0.10 - USD No Limit Hold'em2.txt"/>
  </r>
  <r>
    <n v="4311"/>
    <n v="72.300000000000011"/>
    <s v="25.02.2025"/>
    <n v="25"/>
    <x v="1"/>
    <x v="2"/>
    <x v="10"/>
    <n v="-10"/>
    <n v="10.68"/>
    <m/>
    <x v="1"/>
    <n v="6.800000000000006E-2"/>
    <s v="HH20250225 Aludra #3 - $0.05-$0.10 - USD No Limit Hold'em.txt"/>
  </r>
  <r>
    <n v="4312"/>
    <n v="62.300000000000011"/>
    <s v="25.02.2025"/>
    <n v="25"/>
    <x v="1"/>
    <x v="2"/>
    <x v="10"/>
    <n v="-10"/>
    <m/>
    <m/>
    <x v="2"/>
    <n v="-1"/>
    <s v="HH20250225 Aludra #4 - $0.05-$0.10 - USD No Limit Hold'em.txt"/>
  </r>
  <r>
    <n v="4313"/>
    <n v="64.500000000000014"/>
    <s v="25.02.2025"/>
    <n v="25"/>
    <x v="1"/>
    <x v="2"/>
    <x v="10"/>
    <n v="-62.3"/>
    <n v="64.5"/>
    <m/>
    <x v="1"/>
    <n v="3.5313001605136396E-2"/>
    <s v="HH20250225 Triangulum - $0.50-$1 - USD No Limit Hold'em2.txt"/>
  </r>
  <r>
    <n v="4314"/>
    <n v="69.940000000000012"/>
    <s v="25.02.2025"/>
    <n v="25"/>
    <x v="1"/>
    <x v="2"/>
    <x v="10"/>
    <n v="-64.5"/>
    <n v="69.94"/>
    <m/>
    <x v="1"/>
    <n v="8.4341085271317784E-2"/>
    <s v="HH20250225 Triangulum #2 - $0.50-$1 - USD No Limit Hold'em.txt"/>
  </r>
  <r>
    <n v="4315"/>
    <n v="64.940000000000012"/>
    <s v="26.02.2025"/>
    <n v="26"/>
    <x v="1"/>
    <x v="2"/>
    <x v="2"/>
    <n v="-5"/>
    <m/>
    <m/>
    <x v="2"/>
    <n v="-1"/>
    <s v="HH20250226 T3863118478 No Limit Hold'em $4.60 + $0.40.txt"/>
  </r>
  <r>
    <n v="4316"/>
    <n v="64.940000000000012"/>
    <s v="26.02.2025"/>
    <n v="26"/>
    <x v="1"/>
    <x v="2"/>
    <x v="12"/>
    <m/>
    <m/>
    <m/>
    <x v="2"/>
    <n v="0"/>
    <s v="HH20250226 T3863118941 No Limit Hold'em $0.46 + $0.04.txt"/>
  </r>
  <r>
    <n v="4317"/>
    <n v="63.45000000000001"/>
    <s v="26.02.2025"/>
    <n v="26"/>
    <x v="1"/>
    <x v="2"/>
    <x v="10"/>
    <n v="-10"/>
    <n v="8.51"/>
    <m/>
    <x v="2"/>
    <n v="-0.14900000000000002"/>
    <s v="HH20250226 Aludra - $0.05-$0.10 - USD No Limit Hold'em.txt"/>
  </r>
  <r>
    <n v="4318"/>
    <n v="58.45000000000001"/>
    <s v="27.02.2025"/>
    <n v="27"/>
    <x v="1"/>
    <x v="2"/>
    <x v="2"/>
    <n v="-5"/>
    <m/>
    <m/>
    <x v="2"/>
    <n v="-1"/>
    <s v="HH20250227 T3863375235 No Limit Hold'em $4.60 + $0.40.txt"/>
  </r>
  <r>
    <n v="4319"/>
    <n v="58.45000000000001"/>
    <s v="27.02.2025"/>
    <n v="27"/>
    <x v="1"/>
    <x v="2"/>
    <x v="12"/>
    <m/>
    <m/>
    <m/>
    <x v="1"/>
    <n v="0"/>
    <s v="HH20250227 T3863376875 No Limit Hold'em $0.46 + $0.04.txt"/>
  </r>
  <r>
    <n v="4320"/>
    <n v="68.450000000000017"/>
    <s v="28.02.2025"/>
    <n v="28"/>
    <x v="1"/>
    <x v="2"/>
    <x v="2"/>
    <n v="-5"/>
    <n v="15"/>
    <m/>
    <x v="1"/>
    <n v="2"/>
    <s v="HH20250228 T3863819205 No Limit Hold'em $4.60 + $0.40.txt"/>
  </r>
  <r>
    <n v="4321"/>
    <n v="68.450000000000017"/>
    <s v="28.02.2025"/>
    <n v="28"/>
    <x v="1"/>
    <x v="2"/>
    <x v="12"/>
    <m/>
    <m/>
    <m/>
    <x v="1"/>
    <n v="0"/>
    <s v="HH20250228 T3863822012 No Limit Hold'em $0.46 + $0.04.txt"/>
  </r>
  <r>
    <n v="4322"/>
    <n v="63.450000000000017"/>
    <s v="01.03.2025"/>
    <n v="1"/>
    <x v="2"/>
    <x v="2"/>
    <x v="2"/>
    <n v="-5"/>
    <m/>
    <m/>
    <x v="2"/>
    <n v="-1"/>
    <s v="HH20250301 T3864253468 No Limit Hold'em $4.60 + $0.40.txt"/>
  </r>
  <r>
    <n v="4323"/>
    <n v="62.950000000000017"/>
    <s v="01.03.2025"/>
    <n v="1"/>
    <x v="2"/>
    <x v="2"/>
    <x v="12"/>
    <n v="-0.5"/>
    <m/>
    <m/>
    <x v="2"/>
    <n v="-1"/>
    <s v="HH20250301 T3864255895 No Limit Hold'em $0.46 + $0.04.txt"/>
  </r>
  <r>
    <n v="4324"/>
    <n v="62.950000000000017"/>
    <s v="01.03.2025"/>
    <n v="1"/>
    <x v="2"/>
    <x v="2"/>
    <x v="12"/>
    <m/>
    <m/>
    <m/>
    <x v="2"/>
    <n v="0"/>
    <s v="HH20250301 T3864257527 No Limit Hold'em $0.46 + $0.04.txt"/>
  </r>
  <r>
    <n v="4325"/>
    <n v="64.930000000000021"/>
    <s v="01.03.2025"/>
    <n v="1"/>
    <x v="2"/>
    <x v="2"/>
    <x v="10"/>
    <n v="-10"/>
    <n v="11.98"/>
    <m/>
    <x v="1"/>
    <n v="0.19799999999999995"/>
    <s v="HH20250301 Aludra - $0.05-$0.10 - USD No Limit Hold'em.txt"/>
  </r>
  <r>
    <n v="4326"/>
    <n v="54.930000000000021"/>
    <s v="01.03.2025"/>
    <n v="1"/>
    <x v="2"/>
    <x v="2"/>
    <x v="10"/>
    <n v="-10"/>
    <m/>
    <m/>
    <x v="2"/>
    <n v="-1"/>
    <s v="HH20250301 Aludra #2 - $0.05-$0.10 - USD No Limit Hold'em.txt"/>
  </r>
  <r>
    <n v="4327"/>
    <n v="56.630000000000024"/>
    <s v="01.03.2025"/>
    <n v="1"/>
    <x v="2"/>
    <x v="2"/>
    <x v="10"/>
    <n v="-10"/>
    <n v="11.7"/>
    <m/>
    <x v="1"/>
    <n v="0.16999999999999993"/>
    <s v="HH20250301 Aludra #3 - $0.05-$0.10 - USD No Limit Hold'em.txt"/>
  </r>
  <r>
    <n v="4328"/>
    <n v="46.630000000000024"/>
    <s v="01.03.2025"/>
    <n v="1"/>
    <x v="2"/>
    <x v="2"/>
    <x v="10"/>
    <n v="-10"/>
    <m/>
    <m/>
    <x v="2"/>
    <n v="-1"/>
    <s v="HH20250301 Aludra #4 - $0.05-$0.10 - USD No Limit Hold'em.txt"/>
  </r>
  <r>
    <n v="4329"/>
    <n v="47.430000000000021"/>
    <s v="01.03.2025"/>
    <n v="1"/>
    <x v="2"/>
    <x v="2"/>
    <x v="10"/>
    <n v="-10"/>
    <n v="10.8"/>
    <m/>
    <x v="1"/>
    <n v="8.0000000000000071E-2"/>
    <s v="HH20250301 Aludra #5 - $0.05-$0.10 - USD No Limit Hold'em.txt"/>
  </r>
  <r>
    <n v="4330"/>
    <n v="48.030000000000022"/>
    <s v="01.03.2025"/>
    <n v="1"/>
    <x v="2"/>
    <x v="2"/>
    <x v="10"/>
    <n v="-10"/>
    <n v="10.6"/>
    <m/>
    <x v="1"/>
    <n v="6.0000000000000053E-2"/>
    <s v="HH20250301 Aludra #6 - $0.05-$0.10 - USD No Limit Hold'em.txt"/>
  </r>
  <r>
    <n v="4331"/>
    <n v="48.830000000000027"/>
    <s v="01.03.2025"/>
    <n v="1"/>
    <x v="2"/>
    <x v="2"/>
    <x v="10"/>
    <n v="-10"/>
    <n v="10.8"/>
    <m/>
    <x v="1"/>
    <n v="8.0000000000000071E-2"/>
    <s v="HH20250301 Aludra #7 - $0.05-$0.10 - USD No Limit Hold'em.txt"/>
  </r>
  <r>
    <n v="4332"/>
    <n v="50.290000000000028"/>
    <s v="01.03.2025"/>
    <n v="1"/>
    <x v="2"/>
    <x v="2"/>
    <x v="10"/>
    <n v="-10"/>
    <n v="11.46"/>
    <m/>
    <x v="1"/>
    <n v="0.14600000000000013"/>
    <s v="HH20250301 Aludra #8 - $0.05-$0.10 - USD No Limit Hold'em.txt"/>
  </r>
  <r>
    <n v="4333"/>
    <n v="50.790000000000028"/>
    <s v="01.03.2025"/>
    <n v="1"/>
    <x v="2"/>
    <x v="2"/>
    <x v="10"/>
    <n v="-10"/>
    <n v="10.5"/>
    <m/>
    <x v="1"/>
    <n v="5.0000000000000044E-2"/>
    <s v="HH20250301 Aludra #9 - $0.05-$0.10 - USD No Limit Hold'em.txt"/>
  </r>
  <r>
    <n v="4334"/>
    <n v="51.640000000000029"/>
    <s v="01.03.2025"/>
    <n v="1"/>
    <x v="2"/>
    <x v="2"/>
    <x v="10"/>
    <n v="-10"/>
    <n v="10.85"/>
    <m/>
    <x v="1"/>
    <n v="8.4999999999999964E-2"/>
    <s v="HH20250301 Aludra #10 - $0.05-$0.10 - USD No Limit Hold'em.txt"/>
  </r>
  <r>
    <n v="4335"/>
    <n v="52.24000000000003"/>
    <s v="01.03.2025"/>
    <n v="1"/>
    <x v="2"/>
    <x v="2"/>
    <x v="10"/>
    <n v="-10"/>
    <n v="10.6"/>
    <m/>
    <x v="1"/>
    <n v="6.0000000000000053E-2"/>
    <s v="HH20250301 Aludra #11 - $0.05-$0.10 - USD No Limit Hold'em.txt"/>
  </r>
  <r>
    <n v="4336"/>
    <n v="52.890000000000029"/>
    <s v="01.03.2025"/>
    <n v="1"/>
    <x v="2"/>
    <x v="2"/>
    <x v="10"/>
    <n v="-10"/>
    <n v="10.65"/>
    <m/>
    <x v="1"/>
    <n v="6.4999999999999947E-2"/>
    <s v="HH20250301 Aludra #12 - $0.05-$0.10 - USD No Limit Hold'em.txt"/>
  </r>
  <r>
    <n v="4337"/>
    <n v="53.590000000000032"/>
    <s v="01.03.2025"/>
    <n v="1"/>
    <x v="2"/>
    <x v="2"/>
    <x v="10"/>
    <n v="-10"/>
    <n v="10.7"/>
    <m/>
    <x v="1"/>
    <n v="6.999999999999984E-2"/>
    <s v="HH20250301 Aludra #13 - $0.05-$0.10 - USD No Limit Hold'em.txt"/>
  </r>
  <r>
    <n v="4338"/>
    <n v="58.390000000000029"/>
    <s v="01.03.2025"/>
    <n v="1"/>
    <x v="2"/>
    <x v="2"/>
    <x v="10"/>
    <n v="-10"/>
    <n v="14.8"/>
    <m/>
    <x v="1"/>
    <n v="0.48"/>
    <s v="HH20250301 Aludra #14 - $0.05-$0.10 - USD No Limit Hold'em.txt"/>
  </r>
  <r>
    <n v="4339"/>
    <n v="60.03000000000003"/>
    <s v="01.03.2025"/>
    <n v="1"/>
    <x v="2"/>
    <x v="2"/>
    <x v="10"/>
    <n v="-10"/>
    <n v="11.64"/>
    <m/>
    <x v="1"/>
    <n v="0.16400000000000015"/>
    <s v="HH20250301 Aludra #15 - $0.05-$0.10 - USD No Limit Hold'em.txt"/>
  </r>
  <r>
    <n v="4340"/>
    <n v="62.000000000000028"/>
    <s v="01.03.2025"/>
    <n v="1"/>
    <x v="2"/>
    <x v="2"/>
    <x v="10"/>
    <n v="-10"/>
    <n v="11.97"/>
    <m/>
    <x v="1"/>
    <n v="0.19700000000000006"/>
    <s v="HH20250301 Aludra #16 - $0.05-$0.10 - USD No Limit Hold'em.txt"/>
  </r>
  <r>
    <n v="4341"/>
    <n v="62.99000000000003"/>
    <s v="01.03.2025"/>
    <n v="1"/>
    <x v="2"/>
    <x v="2"/>
    <x v="10"/>
    <n v="-10"/>
    <n v="10.99"/>
    <m/>
    <x v="1"/>
    <n v="9.8999999999999977E-2"/>
    <s v="HH20250301 Aludra #17 - $0.05-$0.10 - USD No Limit Hold'em.txt"/>
  </r>
  <r>
    <n v="4342"/>
    <n v="52.99000000000003"/>
    <s v="01.03.2025"/>
    <n v="1"/>
    <x v="2"/>
    <x v="2"/>
    <x v="10"/>
    <n v="-10"/>
    <m/>
    <m/>
    <x v="2"/>
    <n v="-1"/>
    <s v="HH20250301 Aludra #18 - $0.05-$0.10 - USD No Limit Hold'em.txt"/>
  </r>
  <r>
    <n v="4343"/>
    <n v="52.99000000000003"/>
    <s v="02.03.2025"/>
    <n v="2"/>
    <x v="2"/>
    <x v="2"/>
    <x v="2"/>
    <m/>
    <m/>
    <m/>
    <x v="2"/>
    <n v="0"/>
    <s v="HH20250302 T3864545146 No Limit Hold'em $3.68 + $0.32.txt"/>
  </r>
  <r>
    <n v="4344"/>
    <n v="52.99000000000003"/>
    <s v="02.03.2025"/>
    <n v="2"/>
    <x v="2"/>
    <x v="2"/>
    <x v="2"/>
    <m/>
    <m/>
    <m/>
    <x v="2"/>
    <n v="0"/>
    <s v="HH20250302 T3864546675 No Limit Hold'em $3.68 + $0.32.txt"/>
  </r>
  <r>
    <n v="4345"/>
    <n v="47.99000000000003"/>
    <s v="02.03.2025"/>
    <n v="2"/>
    <x v="2"/>
    <x v="2"/>
    <x v="2"/>
    <n v="-5"/>
    <m/>
    <m/>
    <x v="2"/>
    <n v="-1"/>
    <s v="HH20250302 T3864548338 No Limit Hold'em $4.60 + $0.40.txt"/>
  </r>
  <r>
    <n v="4346"/>
    <n v="47.99000000000003"/>
    <s v="02.03.2025"/>
    <n v="2"/>
    <x v="2"/>
    <x v="2"/>
    <x v="12"/>
    <m/>
    <m/>
    <m/>
    <x v="1"/>
    <n v="0"/>
    <s v="HH20250302 T3864550082 No Limit Hold'em $0.46 + $0.04.txt"/>
  </r>
  <r>
    <n v="4347"/>
    <n v="47.99000000000003"/>
    <s v="02.03.2025"/>
    <n v="2"/>
    <x v="2"/>
    <x v="2"/>
    <x v="13"/>
    <m/>
    <m/>
    <m/>
    <x v="2"/>
    <n v="0"/>
    <s v="HH20250302 T3861363290 No Limit Hold'em $1.40 + $0.10.txt"/>
  </r>
  <r>
    <n v="4348"/>
    <n v="48.630000000000031"/>
    <s v="02.03.2025"/>
    <n v="2"/>
    <x v="2"/>
    <x v="2"/>
    <x v="10"/>
    <n v="-10"/>
    <n v="10.64"/>
    <m/>
    <x v="1"/>
    <n v="6.4000000000000057E-2"/>
    <s v="HH20250302 Aludra - $0.05-$0.10 - USD No Limit Hold'em.txt"/>
  </r>
  <r>
    <n v="4349"/>
    <n v="49.510000000000034"/>
    <s v="02.03.2025"/>
    <n v="2"/>
    <x v="2"/>
    <x v="2"/>
    <x v="10"/>
    <n v="-10"/>
    <n v="10.88"/>
    <m/>
    <x v="1"/>
    <n v="8.8000000000000078E-2"/>
    <s v="HH20250302 Aludra #2 - $0.05-$0.10 - USD No Limit Hold'em.txt"/>
  </r>
  <r>
    <n v="4350"/>
    <n v="43.700000000000031"/>
    <s v="02.03.2025"/>
    <n v="2"/>
    <x v="2"/>
    <x v="2"/>
    <x v="10"/>
    <n v="-20"/>
    <n v="14.19"/>
    <m/>
    <x v="2"/>
    <n v="-0.29049999999999998"/>
    <s v="HH20250302 Aludra #3 - $0.05-$0.10 - USD No Limit Hold'em.txt"/>
  </r>
  <r>
    <n v="4351"/>
    <n v="43.870000000000033"/>
    <s v="02.03.2025"/>
    <n v="2"/>
    <x v="2"/>
    <x v="2"/>
    <x v="10"/>
    <n v="-10"/>
    <n v="10.17"/>
    <m/>
    <x v="1"/>
    <n v="1.6999999999999904E-2"/>
    <s v="HH20250302 Aludra #4 - $0.05-$0.10 - USD No Limit Hold'em.txt"/>
  </r>
  <r>
    <n v="4352"/>
    <n v="53.870000000000033"/>
    <s v="03.03.2025"/>
    <n v="3"/>
    <x v="2"/>
    <x v="2"/>
    <x v="2"/>
    <n v="-5"/>
    <n v="15"/>
    <m/>
    <x v="1"/>
    <n v="2"/>
    <s v="HH20250303 T3864820175 No Limit Hold'em $4.60 + $0.40.txt"/>
  </r>
  <r>
    <n v="4353"/>
    <n v="53.870000000000033"/>
    <s v="03.03.2025"/>
    <n v="3"/>
    <x v="2"/>
    <x v="2"/>
    <x v="12"/>
    <m/>
    <m/>
    <m/>
    <x v="2"/>
    <n v="0"/>
    <s v="HH20250303 T3864820926 No Limit Hold'em $0.46 + $0.04.txt"/>
  </r>
  <r>
    <n v="4354"/>
    <n v="56.390000000000029"/>
    <s v="03.03.2025"/>
    <n v="3"/>
    <x v="2"/>
    <x v="2"/>
    <x v="10"/>
    <n v="-10"/>
    <n v="12.52"/>
    <m/>
    <x v="1"/>
    <n v="0.252"/>
    <s v="HH20250303 Aludra - $0.05-$0.10 - USD No Limit Hold'em.txt"/>
  </r>
  <r>
    <n v="4355"/>
    <n v="59.92000000000003"/>
    <s v="03.03.2025"/>
    <n v="3"/>
    <x v="2"/>
    <x v="2"/>
    <x v="10"/>
    <n v="-10"/>
    <n v="13.53"/>
    <m/>
    <x v="1"/>
    <n v="0.35299999999999998"/>
    <s v="HH20250303 Aludra #2 - $0.05-$0.10 - USD No Limit Hold'em.txt"/>
  </r>
  <r>
    <n v="4356"/>
    <n v="60.680000000000028"/>
    <s v="03.03.2025"/>
    <n v="3"/>
    <x v="2"/>
    <x v="2"/>
    <x v="10"/>
    <n v="-10"/>
    <n v="10.76"/>
    <m/>
    <x v="1"/>
    <n v="7.6000000000000068E-2"/>
    <s v="HH20250303 Aludra #3 - $0.05-$0.10 - USD No Limit Hold'em.txt"/>
  </r>
  <r>
    <n v="4357"/>
    <n v="61.360000000000028"/>
    <s v="03.03.2025"/>
    <n v="3"/>
    <x v="2"/>
    <x v="2"/>
    <x v="10"/>
    <n v="-10"/>
    <n v="10.68"/>
    <m/>
    <x v="1"/>
    <n v="6.800000000000006E-2"/>
    <s v="HH20250303 Aludra - $0.05-$0.10 - USD No Limit Hold'em2.txt"/>
  </r>
  <r>
    <n v="4358"/>
    <n v="63.150000000000027"/>
    <s v="03.03.2025"/>
    <n v="3"/>
    <x v="2"/>
    <x v="2"/>
    <x v="10"/>
    <n v="-10"/>
    <n v="11.79"/>
    <m/>
    <x v="1"/>
    <n v="0.17899999999999983"/>
    <s v="HH20250303 Aludra #2 - $0.05-$0.10 - USD No Limit Hold'em2.txt"/>
  </r>
  <r>
    <n v="4359"/>
    <n v="57.650000000000027"/>
    <s v="03.03.2025"/>
    <n v="3"/>
    <x v="2"/>
    <x v="2"/>
    <x v="21"/>
    <n v="-5.5"/>
    <m/>
    <m/>
    <x v="2"/>
    <n v="-1"/>
    <s v="HH20250303 T3860731908 No Limit Hold'em $4.90 + $0.60.txt"/>
  </r>
  <r>
    <n v="4360"/>
    <n v="67.650000000000034"/>
    <s v="04.03.2025"/>
    <n v="4"/>
    <x v="2"/>
    <x v="2"/>
    <x v="2"/>
    <n v="-5"/>
    <n v="15"/>
    <m/>
    <x v="1"/>
    <n v="2"/>
    <s v="HH20250304 T3865161561 No Limit Hold'em $4.60 + $0.40.txt"/>
  </r>
  <r>
    <n v="4361"/>
    <n v="67.650000000000034"/>
    <s v="04.03.2025"/>
    <n v="4"/>
    <x v="2"/>
    <x v="2"/>
    <x v="12"/>
    <m/>
    <m/>
    <m/>
    <x v="2"/>
    <n v="0"/>
    <s v="HH20250304 T3865162243 No Limit Hold'em $0.46 + $0.04.txt"/>
  </r>
  <r>
    <n v="4362"/>
    <n v="68.590000000000032"/>
    <s v="04.03.2025"/>
    <n v="4"/>
    <x v="2"/>
    <x v="2"/>
    <x v="10"/>
    <n v="-10"/>
    <n v="10.94"/>
    <m/>
    <x v="1"/>
    <n v="9.3999999999999861E-2"/>
    <s v="HH20250304 Aludra - $0.05-$0.10 - USD No Limit Hold'em.txt"/>
  </r>
  <r>
    <n v="4363"/>
    <n v="69.460000000000036"/>
    <s v="04.03.2025"/>
    <n v="4"/>
    <x v="2"/>
    <x v="2"/>
    <x v="10"/>
    <n v="-10"/>
    <n v="10.87"/>
    <m/>
    <x v="1"/>
    <n v="8.6999999999999966E-2"/>
    <s v="HH20250304 Aludra #2 - $0.05-$0.10 - USD No Limit Hold'em.txt"/>
  </r>
  <r>
    <n v="4364"/>
    <n v="59.990000000000038"/>
    <s v="04.03.2025"/>
    <n v="4"/>
    <x v="2"/>
    <x v="2"/>
    <x v="10"/>
    <n v="-20"/>
    <n v="10.53"/>
    <m/>
    <x v="2"/>
    <n v="-0.47350000000000003"/>
    <s v="HH20250304 Aludra #3 - $0.05-$0.10 - USD No Limit Hold'em.txt"/>
  </r>
  <r>
    <n v="4365"/>
    <n v="60.990000000000038"/>
    <s v="04.03.2025"/>
    <n v="4"/>
    <x v="2"/>
    <x v="2"/>
    <x v="18"/>
    <m/>
    <n v="1"/>
    <m/>
    <x v="1"/>
    <m/>
    <m/>
  </r>
  <r>
    <n v="4366"/>
    <n v="62.350000000000037"/>
    <s v="04.03.2025"/>
    <n v="4"/>
    <x v="2"/>
    <x v="2"/>
    <x v="10"/>
    <n v="-10"/>
    <n v="11.36"/>
    <m/>
    <x v="1"/>
    <n v="0.1359999999999999"/>
    <s v="HH20250304 Aludra - $0.05-$0.10 - USD No Limit Hold'em2.txt"/>
  </r>
  <r>
    <n v="4367"/>
    <n v="62.890000000000036"/>
    <s v="04.03.2025"/>
    <n v="4"/>
    <x v="2"/>
    <x v="2"/>
    <x v="10"/>
    <n v="-10"/>
    <n v="10.54"/>
    <m/>
    <x v="1"/>
    <n v="5.3999999999999826E-2"/>
    <s v="HH20250304 Aludra #2 - $0.05-$0.10 - USD No Limit Hold'em2.txt"/>
  </r>
  <r>
    <n v="4368"/>
    <n v="66.760000000000034"/>
    <s v="04.03.2025"/>
    <n v="4"/>
    <x v="2"/>
    <x v="2"/>
    <x v="10"/>
    <n v="-10"/>
    <n v="13.87"/>
    <m/>
    <x v="1"/>
    <n v="0.38700000000000001"/>
    <s v="HH20250304 Aludra #3 - $0.05-$0.10 - USD No Limit Hold'em2.txt"/>
  </r>
  <r>
    <n v="4369"/>
    <n v="67.600000000000037"/>
    <s v="04.03.2025"/>
    <n v="4"/>
    <x v="2"/>
    <x v="2"/>
    <x v="10"/>
    <n v="-10"/>
    <n v="10.84"/>
    <m/>
    <x v="1"/>
    <n v="8.4000000000000075E-2"/>
    <s v="HH20250304 Aludra #4 - $0.05-$0.10 - USD No Limit Hold'em.txt"/>
  </r>
  <r>
    <n v="4370"/>
    <n v="57.600000000000037"/>
    <s v="04.03.2025"/>
    <n v="4"/>
    <x v="2"/>
    <x v="2"/>
    <x v="10"/>
    <n v="-10"/>
    <m/>
    <m/>
    <x v="2"/>
    <n v="-1"/>
    <s v="HH20250304 Aludra #5 - $0.05-$0.10 - USD No Limit Hold'em.txt"/>
  </r>
  <r>
    <n v="4371"/>
    <n v="59.350000000000037"/>
    <s v="04.03.2025"/>
    <n v="4"/>
    <x v="2"/>
    <x v="2"/>
    <x v="10"/>
    <n v="-10"/>
    <n v="11.75"/>
    <m/>
    <x v="1"/>
    <n v="0.17500000000000004"/>
    <s v="HH20250304 Aludra #6 - $0.05-$0.10 - USD No Limit Hold'em.txt"/>
  </r>
  <r>
    <n v="4372"/>
    <n v="60.320000000000036"/>
    <s v="04.03.2025"/>
    <n v="4"/>
    <x v="2"/>
    <x v="2"/>
    <x v="10"/>
    <n v="-10"/>
    <n v="10.97"/>
    <m/>
    <x v="1"/>
    <n v="9.6999999999999975E-2"/>
    <s v="HH20250304 Aludra #7 - $0.05-$0.10 - USD No Limit Hold'em.txt"/>
  </r>
  <r>
    <n v="4373"/>
    <n v="61.640000000000036"/>
    <s v="04.03.2025"/>
    <n v="4"/>
    <x v="2"/>
    <x v="2"/>
    <x v="10"/>
    <n v="-10"/>
    <n v="11.32"/>
    <m/>
    <x v="1"/>
    <n v="0.13200000000000012"/>
    <s v="HH20250304 Aludra #8 - $0.05-$0.10 - USD No Limit Hold'em.txt"/>
  </r>
  <r>
    <n v="4374"/>
    <n v="62.200000000000038"/>
    <s v="04.03.2025"/>
    <n v="4"/>
    <x v="2"/>
    <x v="2"/>
    <x v="10"/>
    <n v="-10"/>
    <n v="10.56"/>
    <m/>
    <x v="1"/>
    <n v="5.600000000000005E-2"/>
    <s v="HH20250304 Aludra #9 - $0.05-$0.10 - USD No Limit Hold'em.txt"/>
  </r>
  <r>
    <n v="4375"/>
    <n v="63.060000000000038"/>
    <s v="04.03.2025"/>
    <n v="4"/>
    <x v="2"/>
    <x v="2"/>
    <x v="10"/>
    <n v="-10"/>
    <n v="10.86"/>
    <m/>
    <x v="1"/>
    <n v="8.5999999999999854E-2"/>
    <s v="HH20250304 Aludra #10 - $0.05-$0.10 - USD No Limit Hold'em.txt"/>
  </r>
  <r>
    <n v="4376"/>
    <n v="63.73000000000004"/>
    <s v="04.03.2025"/>
    <n v="4"/>
    <x v="2"/>
    <x v="2"/>
    <x v="10"/>
    <n v="-10"/>
    <n v="10.67"/>
    <m/>
    <x v="1"/>
    <n v="6.6999999999999948E-2"/>
    <s v="HH20250304 Aludra - $0.05-$0.10 - USD No Limit Hold'em3.txt"/>
  </r>
  <r>
    <n v="4377"/>
    <n v="66.750000000000043"/>
    <s v="04.03.2025"/>
    <n v="4"/>
    <x v="2"/>
    <x v="2"/>
    <x v="10"/>
    <n v="-10"/>
    <n v="13.02"/>
    <m/>
    <x v="1"/>
    <n v="0.30200000000000005"/>
    <s v="HH20250304 Aludra #2 - $0.05-$0.10 - USD No Limit Hold'em3.txt"/>
  </r>
  <r>
    <n v="4378"/>
    <n v="67.360000000000042"/>
    <s v="04.03.2025"/>
    <n v="4"/>
    <x v="2"/>
    <x v="2"/>
    <x v="10"/>
    <n v="-10"/>
    <n v="10.61"/>
    <m/>
    <x v="1"/>
    <n v="6.0999999999999943E-2"/>
    <s v="HH20250304 Aludra #3 - $0.05-$0.10 - USD No Limit Hold'em3.txt"/>
  </r>
  <r>
    <n v="4379"/>
    <n v="68.05000000000004"/>
    <s v="04.03.2025"/>
    <n v="4"/>
    <x v="2"/>
    <x v="2"/>
    <x v="10"/>
    <n v="-10"/>
    <n v="10.69"/>
    <m/>
    <x v="1"/>
    <n v="6.899999999999995E-2"/>
    <s v="HH20250304 Aludra #4 - $0.05-$0.10 - USD No Limit Hold'em4.txt"/>
  </r>
  <r>
    <n v="4380"/>
    <n v="63.05000000000004"/>
    <s v="05.03.2025"/>
    <n v="5"/>
    <x v="2"/>
    <x v="2"/>
    <x v="2"/>
    <n v="-5"/>
    <m/>
    <m/>
    <x v="2"/>
    <n v="-1"/>
    <s v="HH20250305 T3865606263 No Limit Hold'em $4.60 + $0.40.txt"/>
  </r>
  <r>
    <n v="4381"/>
    <n v="63.05000000000004"/>
    <s v="05.03.2025"/>
    <n v="5"/>
    <x v="2"/>
    <x v="2"/>
    <x v="12"/>
    <m/>
    <m/>
    <m/>
    <x v="1"/>
    <n v="0"/>
    <s v="HH20250305 T3865608231 No Limit Hold'em $0.46 + $0.04.txt"/>
  </r>
  <r>
    <n v="4382"/>
    <n v="63.05000000000004"/>
    <s v="05.03.2025"/>
    <n v="5"/>
    <x v="2"/>
    <x v="2"/>
    <x v="13"/>
    <m/>
    <m/>
    <m/>
    <x v="2"/>
    <n v="0"/>
    <s v="HH20250305 T3865610790 No Limit Hold'em $0.96 + $0.04.txt"/>
  </r>
  <r>
    <n v="4383"/>
    <n v="63.660000000000039"/>
    <s v="05.03.2025"/>
    <n v="5"/>
    <x v="2"/>
    <x v="2"/>
    <x v="10"/>
    <n v="-10"/>
    <n v="10.61"/>
    <m/>
    <x v="1"/>
    <n v="6.0999999999999943E-2"/>
    <s v="HH20250305 Aludra - $0.05-$0.10 - USD No Limit Hold'em.txt"/>
  </r>
  <r>
    <n v="4384"/>
    <n v="64.94000000000004"/>
    <s v="05.03.2025"/>
    <n v="5"/>
    <x v="2"/>
    <x v="2"/>
    <x v="10"/>
    <n v="-10"/>
    <n v="11.28"/>
    <m/>
    <x v="1"/>
    <n v="0.12799999999999989"/>
    <s v="HH20250305 Aludra #2 - $0.05-$0.10 - USD No Limit Hold'em.txt"/>
  </r>
  <r>
    <n v="4385"/>
    <n v="65.570000000000036"/>
    <s v="05.03.2025"/>
    <n v="5"/>
    <x v="2"/>
    <x v="2"/>
    <x v="10"/>
    <n v="-10"/>
    <n v="10.63"/>
    <m/>
    <x v="1"/>
    <n v="6.3000000000000167E-2"/>
    <s v="HH20250305 Aludra #3 - $0.05-$0.10 - USD No Limit Hold'em.txt"/>
  </r>
  <r>
    <n v="4386"/>
    <n v="65.570000000000036"/>
    <s v="05.03.2025"/>
    <n v="5"/>
    <x v="2"/>
    <x v="2"/>
    <x v="10"/>
    <n v="-10"/>
    <n v="10"/>
    <m/>
    <x v="1"/>
    <n v="0"/>
    <s v="HH20250305 Aludra #4 - $0.05-$0.10 - USD No Limit Hold'em.txt"/>
  </r>
  <r>
    <n v="4387"/>
    <n v="72.850000000000037"/>
    <s v="05.03.2025"/>
    <n v="5"/>
    <x v="2"/>
    <x v="2"/>
    <x v="10"/>
    <n v="-10"/>
    <n v="17.28"/>
    <m/>
    <x v="1"/>
    <n v="0.7280000000000002"/>
    <s v="HH20250305 Aludra #5 - $0.05-$0.10 - USD No Limit Hold'em.txt"/>
  </r>
  <r>
    <n v="4388"/>
    <n v="73.860000000000042"/>
    <s v="05.03.2025"/>
    <n v="5"/>
    <x v="2"/>
    <x v="2"/>
    <x v="10"/>
    <n v="-10"/>
    <n v="11.01"/>
    <m/>
    <x v="1"/>
    <n v="0.10099999999999998"/>
    <s v="HH20250305 Aludra #6 - $0.05-$0.10 - USD No Limit Hold'em.txt"/>
  </r>
  <r>
    <n v="4389"/>
    <n v="74.530000000000044"/>
    <s v="05.03.2025"/>
    <n v="5"/>
    <x v="2"/>
    <x v="2"/>
    <x v="10"/>
    <n v="-10"/>
    <n v="10.67"/>
    <m/>
    <x v="1"/>
    <n v="6.6999999999999948E-2"/>
    <s v="HH20250305 Aludra #7 - $0.05-$0.10 - USD No Limit Hold'em.txt"/>
  </r>
  <r>
    <n v="4390"/>
    <n v="75.430000000000049"/>
    <s v="05.03.2025"/>
    <n v="5"/>
    <x v="2"/>
    <x v="2"/>
    <x v="10"/>
    <n v="-10"/>
    <n v="10.9"/>
    <m/>
    <x v="1"/>
    <n v="9.000000000000008E-2"/>
    <s v="HH20250305 Aludra #8 - $0.05-$0.10 - USD No Limit Hold'em.txt"/>
  </r>
  <r>
    <n v="4391"/>
    <n v="77.540000000000049"/>
    <s v="05.03.2025"/>
    <n v="5"/>
    <x v="2"/>
    <x v="2"/>
    <x v="10"/>
    <n v="-10"/>
    <n v="12.11"/>
    <m/>
    <x v="1"/>
    <n v="0.21099999999999985"/>
    <s v="HH20250305 Aludra #9 - $0.05-$0.10 - USD No Limit Hold'em.txt"/>
  </r>
  <r>
    <n v="4392"/>
    <n v="78.170000000000044"/>
    <s v="05.03.2025"/>
    <n v="5"/>
    <x v="2"/>
    <x v="2"/>
    <x v="10"/>
    <n v="-10"/>
    <n v="10.63"/>
    <m/>
    <x v="1"/>
    <n v="6.3000000000000167E-2"/>
    <s v="HH20250305 Aludra #10 - $0.05-$0.10 - USD No Limit Hold'em.txt"/>
  </r>
  <r>
    <n v="4393"/>
    <n v="80.30000000000004"/>
    <s v="05.03.2025"/>
    <n v="5"/>
    <x v="2"/>
    <x v="2"/>
    <x v="10"/>
    <n v="-10"/>
    <n v="12.13"/>
    <m/>
    <x v="1"/>
    <n v="0.21300000000000008"/>
    <s v="HH20250305 Aludra #11 - $0.05-$0.10 - USD No Limit Hold'em.txt"/>
  </r>
  <r>
    <n v="4394"/>
    <n v="80.350000000000037"/>
    <s v="05.03.2025"/>
    <n v="5"/>
    <x v="2"/>
    <x v="2"/>
    <x v="10"/>
    <n v="-10"/>
    <n v="10.050000000000001"/>
    <m/>
    <x v="1"/>
    <n v="5.0000000000001155E-3"/>
    <s v="HH20250305 Aludra #12 - $0.05-$0.10 - USD No Limit Hold'em.txt"/>
  </r>
  <r>
    <n v="4395"/>
    <n v="81.350000000000037"/>
    <s v="05.03.2025"/>
    <n v="5"/>
    <x v="2"/>
    <x v="2"/>
    <x v="18"/>
    <m/>
    <n v="1"/>
    <m/>
    <x v="1"/>
    <m/>
    <m/>
  </r>
  <r>
    <n v="4396"/>
    <n v="76.350000000000037"/>
    <s v="06.03.2025"/>
    <n v="6"/>
    <x v="2"/>
    <x v="2"/>
    <x v="2"/>
    <n v="-5"/>
    <m/>
    <m/>
    <x v="2"/>
    <n v="-1"/>
    <s v="HH20250306 T3865860188 No Limit Hold'em $4.60 + $0.40.txt"/>
  </r>
  <r>
    <n v="4397"/>
    <n v="76.350000000000037"/>
    <s v="06.03.2025"/>
    <n v="6"/>
    <x v="2"/>
    <x v="2"/>
    <x v="12"/>
    <m/>
    <m/>
    <m/>
    <x v="2"/>
    <n v="0"/>
    <s v="HH20250306 T3865860549 No Limit Hold'em $0.46 + $0.04.txt"/>
  </r>
  <r>
    <n v="4398"/>
    <n v="76.860000000000042"/>
    <s v="06.03.2025"/>
    <n v="6"/>
    <x v="2"/>
    <x v="2"/>
    <x v="10"/>
    <n v="-10"/>
    <n v="10.51"/>
    <m/>
    <x v="1"/>
    <n v="5.0999999999999934E-2"/>
    <s v="HH20250306 Aludra - $0.05-$0.10 - USD No Limit Hold'em.txt"/>
  </r>
  <r>
    <n v="4399"/>
    <n v="77.590000000000046"/>
    <s v="06.03.2025"/>
    <n v="6"/>
    <x v="2"/>
    <x v="2"/>
    <x v="10"/>
    <n v="-10"/>
    <n v="10.73"/>
    <m/>
    <x v="1"/>
    <n v="7.2999999999999954E-2"/>
    <s v="HH20250306 Aludra #2 - $0.05-$0.10 - USD No Limit Hold'em.txt"/>
  </r>
  <r>
    <n v="4400"/>
    <n v="79.750000000000043"/>
    <s v="06.03.2025"/>
    <n v="6"/>
    <x v="2"/>
    <x v="2"/>
    <x v="10"/>
    <n v="-10"/>
    <n v="12.16"/>
    <m/>
    <x v="1"/>
    <n v="0.21599999999999997"/>
    <s v="HH20250306 Aludra #3 - $0.05-$0.10 - USD No Limit Hold'em.txt"/>
  </r>
  <r>
    <n v="4401"/>
    <n v="80.510000000000048"/>
    <s v="06.03.2025"/>
    <n v="6"/>
    <x v="2"/>
    <x v="2"/>
    <x v="10"/>
    <n v="-10"/>
    <n v="10.76"/>
    <m/>
    <x v="1"/>
    <n v="7.6000000000000068E-2"/>
    <s v="HH20250306 Aludra #4 - $0.05-$0.10 - USD No Limit Hold'em.txt"/>
  </r>
  <r>
    <n v="4402"/>
    <n v="81.090000000000046"/>
    <s v="06.03.2025"/>
    <n v="6"/>
    <x v="2"/>
    <x v="2"/>
    <x v="10"/>
    <n v="-10"/>
    <n v="10.58"/>
    <m/>
    <x v="1"/>
    <n v="5.8000000000000052E-2"/>
    <s v="HH20250306 Aludra #5 - $0.05-$0.10 - USD No Limit Hold'em.txt"/>
  </r>
  <r>
    <n v="4403"/>
    <n v="82.150000000000048"/>
    <s v="06.03.2025"/>
    <n v="6"/>
    <x v="2"/>
    <x v="2"/>
    <x v="10"/>
    <n v="-10"/>
    <n v="11.06"/>
    <m/>
    <x v="1"/>
    <n v="0.10600000000000009"/>
    <s v="HH20250306 Aludra #6 - $0.05-$0.10 - USD No Limit Hold'em.txt"/>
  </r>
  <r>
    <n v="4404"/>
    <n v="73.180000000000049"/>
    <s v="06.03.2025"/>
    <n v="6"/>
    <x v="2"/>
    <x v="2"/>
    <x v="10"/>
    <n v="-10"/>
    <n v="1.03"/>
    <m/>
    <x v="2"/>
    <n v="-0.89700000000000002"/>
    <s v="HH20250306 Aludra #7 - $0.05-$0.10 - USD No Limit Hold'em.txt"/>
  </r>
  <r>
    <n v="4405"/>
    <n v="74.180000000000049"/>
    <s v="06.03.2025"/>
    <n v="6"/>
    <x v="2"/>
    <x v="2"/>
    <x v="18"/>
    <m/>
    <n v="1"/>
    <m/>
    <x v="1"/>
    <m/>
    <m/>
  </r>
  <r>
    <n v="4406"/>
    <n v="76.120000000000047"/>
    <s v="06.03.2025"/>
    <n v="6"/>
    <x v="2"/>
    <x v="2"/>
    <x v="10"/>
    <n v="-25"/>
    <n v="26.94"/>
    <m/>
    <x v="1"/>
    <n v="7.7600000000000113E-2"/>
    <s v="HH20250306 Hydra - $0.10-$0.25 - USD No Limit Hold'em.txt"/>
  </r>
  <r>
    <n v="4407"/>
    <n v="51.120000000000047"/>
    <s v="06.03.2025"/>
    <n v="6"/>
    <x v="2"/>
    <x v="2"/>
    <x v="10"/>
    <n v="-25"/>
    <m/>
    <m/>
    <x v="2"/>
    <n v="-1"/>
    <s v="HH20250306 Hydra #2 - $0.10-$0.25 - USD No Limit Hold'em.txt"/>
  </r>
  <r>
    <n v="4408"/>
    <n v="1.1200000000000472"/>
    <s v="06.03.2025"/>
    <n v="6"/>
    <x v="2"/>
    <x v="2"/>
    <x v="10"/>
    <n v="-50"/>
    <m/>
    <m/>
    <x v="2"/>
    <n v="-1"/>
    <s v="HH20250306 Baade - $0.25-$0.50 - USD No Limit Hold'em.txt"/>
  </r>
  <r>
    <n v="4409"/>
    <n v="57.730000000000047"/>
    <s v="06.03.2025"/>
    <n v="6"/>
    <x v="2"/>
    <x v="2"/>
    <x v="1"/>
    <m/>
    <n v="56.61"/>
    <m/>
    <x v="0"/>
    <m/>
    <m/>
  </r>
  <r>
    <n v="4410"/>
    <n v="52.730000000000047"/>
    <s v="07.03.2025"/>
    <n v="7"/>
    <x v="2"/>
    <x v="2"/>
    <x v="2"/>
    <n v="-5"/>
    <m/>
    <m/>
    <x v="2"/>
    <n v="-1"/>
    <s v="HH20250307 T3866218305 No Limit Hold'em $4.60 + $0.40.txt"/>
  </r>
  <r>
    <n v="4411"/>
    <n v="52.730000000000047"/>
    <s v="07.03.2025"/>
    <n v="7"/>
    <x v="2"/>
    <x v="2"/>
    <x v="12"/>
    <m/>
    <m/>
    <m/>
    <x v="2"/>
    <n v="0"/>
    <s v="HH20250307 T3866218857 No Limit Hold'em $0.46 + $0.04.txt"/>
  </r>
  <r>
    <n v="4412"/>
    <n v="62.730000000000047"/>
    <s v="11.03.2025"/>
    <n v="11"/>
    <x v="2"/>
    <x v="2"/>
    <x v="2"/>
    <n v="-5"/>
    <n v="15"/>
    <m/>
    <x v="1"/>
    <n v="2"/>
    <s v="HH20250311 T3867815524 No Limit Hold'em $4.60 + $0.40.txt"/>
  </r>
  <r>
    <n v="4413"/>
    <n v="62.730000000000047"/>
    <s v="11.03.2025"/>
    <n v="11"/>
    <x v="2"/>
    <x v="2"/>
    <x v="12"/>
    <m/>
    <m/>
    <m/>
    <x v="2"/>
    <n v="0"/>
    <s v="HH20250311 T3867817939 No Limit Hold'em $0.46 + $0.04.txt"/>
  </r>
  <r>
    <n v="4414"/>
    <n v="63.290000000000049"/>
    <s v="11.03.2025"/>
    <n v="11"/>
    <x v="2"/>
    <x v="2"/>
    <x v="10"/>
    <n v="-10"/>
    <n v="10.56"/>
    <m/>
    <x v="1"/>
    <n v="5.600000000000005E-2"/>
    <s v="HH20250311 Aludra - $0.05-$0.10 - USD No Limit Hold'em.txt"/>
  </r>
  <r>
    <n v="4415"/>
    <n v="63.89000000000005"/>
    <s v="11.03.2025"/>
    <n v="11"/>
    <x v="2"/>
    <x v="2"/>
    <x v="10"/>
    <n v="-10"/>
    <n v="10.6"/>
    <m/>
    <x v="1"/>
    <n v="6.0000000000000053E-2"/>
    <s v="HH20250311 Aludra #2 - $0.05-$0.10 - USD No Limit Hold'em.txt"/>
  </r>
  <r>
    <n v="4416"/>
    <n v="64.310000000000045"/>
    <s v="11.03.2025"/>
    <n v="11"/>
    <x v="2"/>
    <x v="2"/>
    <x v="10"/>
    <n v="-10"/>
    <n v="10.42"/>
    <m/>
    <x v="1"/>
    <n v="4.2000000000000037E-2"/>
    <s v="HH20250311 Aludra #3 - $0.05-$0.10 - USD No Limit Hold'em.txt"/>
  </r>
  <r>
    <n v="4417"/>
    <n v="59.310000000000045"/>
    <s v="13.03.2025"/>
    <n v="13"/>
    <x v="2"/>
    <x v="2"/>
    <x v="2"/>
    <n v="-5"/>
    <m/>
    <m/>
    <x v="2"/>
    <n v="-1"/>
    <s v="HH20250313 T3868356134 No Limit Hold'em $4.60 + $0.40.txt"/>
  </r>
  <r>
    <n v="4418"/>
    <n v="59.310000000000045"/>
    <s v="13.03.2025"/>
    <n v="13"/>
    <x v="2"/>
    <x v="2"/>
    <x v="12"/>
    <m/>
    <m/>
    <m/>
    <x v="2"/>
    <n v="0"/>
    <s v="HH20250313 T3868357394 No Limit Hold'em $0.46 + $0.04.txt"/>
  </r>
  <r>
    <n v="4419"/>
    <n v="49.310000000000045"/>
    <s v="13.03.2025"/>
    <n v="13"/>
    <x v="2"/>
    <x v="2"/>
    <x v="10"/>
    <n v="-10"/>
    <m/>
    <m/>
    <x v="2"/>
    <n v="-1"/>
    <s v="HH20250313 Aludra - $0.05-$0.10 - USD No Limit Hold'em.txt"/>
  </r>
  <r>
    <n v="4420"/>
    <n v="50.030000000000044"/>
    <s v="13.03.2025"/>
    <n v="13"/>
    <x v="2"/>
    <x v="2"/>
    <x v="10"/>
    <n v="-10"/>
    <n v="10.72"/>
    <m/>
    <x v="1"/>
    <n v="7.2000000000000064E-2"/>
    <s v="HH20250313 Aludra #2 - $0.05-$0.10 - USD No Limit Hold'em.txt"/>
  </r>
  <r>
    <n v="4421"/>
    <n v="40.030000000000044"/>
    <s v="13.03.2025"/>
    <n v="13"/>
    <x v="2"/>
    <x v="2"/>
    <x v="10"/>
    <n v="-10"/>
    <m/>
    <m/>
    <x v="2"/>
    <n v="-1"/>
    <s v="HH20250313 Aludra #3 - $0.05-$0.10 - USD No Limit Hold'em.txt"/>
  </r>
  <r>
    <n v="4422"/>
    <n v="40.790000000000042"/>
    <s v="13.03.2025"/>
    <n v="13"/>
    <x v="2"/>
    <x v="2"/>
    <x v="10"/>
    <n v="-10"/>
    <n v="10.76"/>
    <m/>
    <x v="1"/>
    <n v="7.6000000000000068E-2"/>
    <s v="HH20250313 Aludra #4 - $0.05-$0.10 - USD No Limit Hold'em.txt"/>
  </r>
  <r>
    <n v="4423"/>
    <n v="41.460000000000043"/>
    <s v="13.03.2025"/>
    <n v="13"/>
    <x v="2"/>
    <x v="2"/>
    <x v="10"/>
    <n v="-10"/>
    <n v="10.67"/>
    <m/>
    <x v="1"/>
    <n v="6.6999999999999948E-2"/>
    <s v="HH20250313 Aludra #5 - $0.05-$0.10 - USD No Limit Hold'em.txt"/>
  </r>
  <r>
    <n v="4424"/>
    <n v="42.750000000000043"/>
    <s v="13.03.2025"/>
    <n v="13"/>
    <x v="2"/>
    <x v="2"/>
    <x v="10"/>
    <n v="-10"/>
    <n v="11.29"/>
    <m/>
    <x v="1"/>
    <n v="0.129"/>
    <s v="HH20250313 Aludra #6 - $0.05-$0.10 - USD No Limit Hold'em.txt"/>
  </r>
  <r>
    <n v="4425"/>
    <n v="32.750000000000043"/>
    <s v="13.03.2025"/>
    <n v="13"/>
    <x v="2"/>
    <x v="2"/>
    <x v="10"/>
    <n v="-10"/>
    <m/>
    <m/>
    <x v="2"/>
    <n v="-1"/>
    <s v="HH20250313 Aludra #7 - $0.05-$0.10 - USD No Limit Hold'em.txt"/>
  </r>
  <r>
    <n v="4426"/>
    <n v="33.380000000000045"/>
    <s v="13.03.2025"/>
    <n v="13"/>
    <x v="2"/>
    <x v="2"/>
    <x v="10"/>
    <n v="-10"/>
    <n v="10.63"/>
    <m/>
    <x v="1"/>
    <n v="6.3000000000000167E-2"/>
    <s v="HH20250313 Aludra - $0.05-$0.10 - USD No Limit Hold'em2.txt"/>
  </r>
  <r>
    <n v="4427"/>
    <n v="41.620000000000047"/>
    <s v="13.03.2025"/>
    <n v="13"/>
    <x v="2"/>
    <x v="2"/>
    <x v="10"/>
    <n v="-10"/>
    <n v="18.239999999999998"/>
    <m/>
    <x v="1"/>
    <n v="0.82399999999999984"/>
    <s v="HH20250313 Aludra #2 - $0.05-$0.10 - USD No Limit Hold'em2.txt"/>
  </r>
  <r>
    <n v="4428"/>
    <n v="42.720000000000049"/>
    <s v="13.03.2025"/>
    <n v="13"/>
    <x v="2"/>
    <x v="2"/>
    <x v="10"/>
    <n v="-10"/>
    <n v="11.1"/>
    <m/>
    <x v="1"/>
    <n v="0.10999999999999988"/>
    <s v="HH20250313 Aludra #3 - $0.05-$0.10 - USD No Limit Hold'em2.txt"/>
  </r>
  <r>
    <n v="4429"/>
    <n v="43.270000000000053"/>
    <s v="13.03.2025"/>
    <n v="13"/>
    <x v="2"/>
    <x v="2"/>
    <x v="10"/>
    <n v="-10"/>
    <n v="10.55"/>
    <m/>
    <x v="1"/>
    <n v="5.500000000000016E-2"/>
    <s v="HH20250313 Aludra #4 - $0.05-$0.10 - USD No Limit Hold'em2.txt"/>
  </r>
  <r>
    <n v="4430"/>
    <n v="44.860000000000056"/>
    <s v="13.03.2025"/>
    <n v="13"/>
    <x v="2"/>
    <x v="2"/>
    <x v="10"/>
    <n v="-10"/>
    <n v="11.59"/>
    <m/>
    <x v="1"/>
    <n v="0.15900000000000003"/>
    <s v="HH20250313 Aludra #5 - $0.05-$0.10 - USD No Limit Hold'em2.txt"/>
  </r>
  <r>
    <n v="4431"/>
    <n v="24.860000000000056"/>
    <s v="13.03.2025"/>
    <n v="13"/>
    <x v="2"/>
    <x v="2"/>
    <x v="10"/>
    <n v="-20"/>
    <m/>
    <m/>
    <x v="2"/>
    <n v="-1"/>
    <s v="HH20250313 Aludra #6 - $0.05-$0.10 - USD No Limit Hold'em2.txt"/>
  </r>
  <r>
    <n v="4432"/>
    <n v="28.230000000000057"/>
    <s v="13.03.2025"/>
    <n v="13"/>
    <x v="2"/>
    <x v="2"/>
    <x v="10"/>
    <n v="-24.86"/>
    <n v="28.23"/>
    <m/>
    <x v="1"/>
    <n v="0.13555913113435247"/>
    <s v="HH20250313 Hydra - $0.10-$0.25 - USD No Limit Hold'em.txt"/>
  </r>
  <r>
    <n v="4433"/>
    <n v="5.6843418860808015E-14"/>
    <s v="13.03.2025"/>
    <n v="13"/>
    <x v="2"/>
    <x v="2"/>
    <x v="10"/>
    <n v="-28.23"/>
    <m/>
    <m/>
    <x v="2"/>
    <n v="-1"/>
    <s v="HH20250313 Baade - $0.25-$0.50 - USD No Limit Hold'em.txt"/>
  </r>
  <r>
    <n v="4434"/>
    <n v="56.640000000000057"/>
    <s v="17.03.2025"/>
    <n v="17"/>
    <x v="2"/>
    <x v="2"/>
    <x v="1"/>
    <m/>
    <n v="56.64"/>
    <m/>
    <x v="0"/>
    <m/>
    <m/>
  </r>
  <r>
    <n v="4435"/>
    <n v="61.640000000000057"/>
    <s v="17.03.2025"/>
    <n v="17"/>
    <x v="2"/>
    <x v="2"/>
    <x v="2"/>
    <n v="-5"/>
    <n v="10"/>
    <m/>
    <x v="1"/>
    <n v="1"/>
    <s v="HH20250317 T3869810085 No Limit Hold'em $4.60 + $0.40.txt"/>
  </r>
  <r>
    <n v="4436"/>
    <n v="61.640000000000057"/>
    <s v="17.03.2025"/>
    <n v="17"/>
    <x v="2"/>
    <x v="2"/>
    <x v="12"/>
    <m/>
    <m/>
    <m/>
    <x v="2"/>
    <n v="0"/>
    <s v="HH20250317 T3869811594 No Limit Hold'em $0.46 + $0.04.txt"/>
  </r>
  <r>
    <n v="4437"/>
    <n v="71.980000000000061"/>
    <s v="17.03.2025"/>
    <n v="17"/>
    <x v="2"/>
    <x v="2"/>
    <x v="10"/>
    <n v="-10"/>
    <n v="20.34"/>
    <m/>
    <x v="1"/>
    <n v="1.0339999999999998"/>
    <s v="HH20250317 Aludra - $0.05-$0.10 - USD No Limit Hold'em.txt"/>
  </r>
  <r>
    <n v="4438"/>
    <n v="63.02000000000006"/>
    <s v="17.03.2025"/>
    <n v="17"/>
    <x v="2"/>
    <x v="2"/>
    <x v="10"/>
    <n v="-20"/>
    <n v="11.04"/>
    <m/>
    <x v="2"/>
    <n v="-0.44800000000000006"/>
    <s v="HH20250317 Aludra #2 - $0.05-$0.10 - USD No Limit Hold'em.txt"/>
  </r>
  <r>
    <n v="4439"/>
    <n v="65.020000000000067"/>
    <s v="17.03.2025"/>
    <n v="17"/>
    <x v="2"/>
    <x v="2"/>
    <x v="18"/>
    <m/>
    <n v="2"/>
    <m/>
    <x v="1"/>
    <m/>
    <m/>
  </r>
  <r>
    <n v="4440"/>
    <n v="65.790000000000063"/>
    <s v="17.03.2025"/>
    <n v="17"/>
    <x v="2"/>
    <x v="2"/>
    <x v="10"/>
    <n v="-10"/>
    <n v="10.77"/>
    <m/>
    <x v="1"/>
    <n v="7.6999999999999957E-2"/>
    <s v="HH20250317 Aludra #3 - $0.05-$0.10 - USD No Limit Hold'em.txt"/>
  </r>
  <r>
    <n v="4441"/>
    <n v="55.790000000000063"/>
    <s v="17.03.2025"/>
    <n v="17"/>
    <x v="2"/>
    <x v="2"/>
    <x v="10"/>
    <n v="-10"/>
    <m/>
    <m/>
    <x v="2"/>
    <n v="-1"/>
    <s v="HH20250317 Aludra - $0.05-$0.10 - USD No Limit Hold'em2.txt"/>
  </r>
  <r>
    <n v="4442"/>
    <n v="52.780000000000065"/>
    <s v="17.03.2025"/>
    <n v="17"/>
    <x v="2"/>
    <x v="2"/>
    <x v="10"/>
    <n v="-10"/>
    <n v="6.99"/>
    <m/>
    <x v="2"/>
    <n v="-0.30099999999999993"/>
    <s v="HH20250317 Aludra #2 - $0.05-$0.10 - USD No Limit Hold'em2.txt"/>
  </r>
  <r>
    <n v="4443"/>
    <n v="56.080000000000069"/>
    <s v="17.03.2025"/>
    <n v="17"/>
    <x v="2"/>
    <x v="2"/>
    <x v="10"/>
    <n v="-10"/>
    <n v="13.3"/>
    <m/>
    <x v="1"/>
    <n v="0.33000000000000007"/>
    <s v="HH20250317 Aludra - $0.05-$0.10 - USD No Limit Hold'em3.txt"/>
  </r>
  <r>
    <n v="4444"/>
    <n v="51.080000000000069"/>
    <s v="18.03.2025"/>
    <n v="18"/>
    <x v="2"/>
    <x v="2"/>
    <x v="2"/>
    <n v="-5"/>
    <m/>
    <m/>
    <x v="2"/>
    <n v="-1"/>
    <s v="HH20250318 T3870114692 No Limit Hold'em $4.60 + $0.40.txt"/>
  </r>
  <r>
    <n v="4445"/>
    <n v="51.080000000000069"/>
    <s v="18.03.2025"/>
    <n v="18"/>
    <x v="2"/>
    <x v="2"/>
    <x v="12"/>
    <m/>
    <m/>
    <m/>
    <x v="2"/>
    <n v="0"/>
    <s v="HH20250318 T3870117865 No Limit Hold'em $0.46 + $0.04.txt"/>
  </r>
  <r>
    <n v="4446"/>
    <n v="57.590000000000074"/>
    <s v="18.03.2025"/>
    <n v="18"/>
    <x v="2"/>
    <x v="2"/>
    <x v="10"/>
    <n v="-10"/>
    <n v="16.510000000000002"/>
    <m/>
    <x v="1"/>
    <n v="0.65100000000000025"/>
    <s v="HH20250318 Aludra - $0.05-$0.10 - USD No Limit Hold'em.txt"/>
  </r>
  <r>
    <n v="4447"/>
    <n v="59.020000000000074"/>
    <s v="18.03.2025"/>
    <n v="18"/>
    <x v="2"/>
    <x v="2"/>
    <x v="10"/>
    <n v="-10"/>
    <n v="11.43"/>
    <m/>
    <x v="1"/>
    <n v="0.14300000000000002"/>
    <s v="HH20250318 Aludra - $0.05-$0.10 - USD No Limit Hold'em2.txt"/>
  </r>
  <r>
    <n v="4448"/>
    <n v="60.020000000000074"/>
    <s v="18.03.2025"/>
    <n v="18"/>
    <x v="2"/>
    <x v="2"/>
    <x v="18"/>
    <m/>
    <n v="1"/>
    <m/>
    <x v="1"/>
    <m/>
    <m/>
  </r>
  <r>
    <n v="4449"/>
    <n v="50.020000000000074"/>
    <s v="18.03.2025"/>
    <n v="18"/>
    <x v="2"/>
    <x v="2"/>
    <x v="10"/>
    <n v="-10"/>
    <m/>
    <m/>
    <x v="2"/>
    <n v="-1"/>
    <s v="HH20250318 Aludra #2 - $0.05-$0.10 - USD No Limit Hold'em.txt"/>
  </r>
  <r>
    <n v="4450"/>
    <n v="45.020000000000074"/>
    <s v="19.03.2025"/>
    <n v="19"/>
    <x v="2"/>
    <x v="2"/>
    <x v="2"/>
    <n v="-5"/>
    <m/>
    <m/>
    <x v="2"/>
    <n v="-1"/>
    <s v="HH20250319 T3870435487 No Limit Hold'em $4.60 + $0.40.txt"/>
  </r>
  <r>
    <n v="4451"/>
    <n v="45.020000000000074"/>
    <s v="19.03.2025"/>
    <n v="19"/>
    <x v="2"/>
    <x v="2"/>
    <x v="12"/>
    <m/>
    <m/>
    <m/>
    <x v="2"/>
    <n v="0"/>
    <s v="HH20250319 T3870436350 No Limit Hold'em $0.46 + $0.04.txt"/>
  </r>
  <r>
    <n v="4452"/>
    <n v="46.810000000000073"/>
    <s v="19.03.2025"/>
    <n v="19"/>
    <x v="2"/>
    <x v="2"/>
    <x v="10"/>
    <n v="-10"/>
    <n v="11.79"/>
    <m/>
    <x v="1"/>
    <n v="0.17899999999999983"/>
    <s v="HH20250319 Aludra - $0.05-$0.10 - USD No Limit Hold'em.txt"/>
  </r>
  <r>
    <n v="4453"/>
    <n v="40.490000000000073"/>
    <s v="19.03.2025"/>
    <n v="19"/>
    <x v="2"/>
    <x v="2"/>
    <x v="10"/>
    <n v="-10"/>
    <n v="3.68"/>
    <m/>
    <x v="2"/>
    <n v="-0.63200000000000001"/>
    <s v="HH20250319 Aludra #2 - $0.05-$0.10 - USD No Limit Hold'em.txt"/>
  </r>
  <r>
    <n v="4454"/>
    <n v="45.630000000000074"/>
    <s v="19.03.2025"/>
    <n v="19"/>
    <x v="2"/>
    <x v="2"/>
    <x v="10"/>
    <n v="-10"/>
    <n v="15.14"/>
    <m/>
    <x v="1"/>
    <n v="0.51400000000000001"/>
    <s v="HH20250319 Aludra - $0.05-$0.10 - USD No Limit Hold'em2.txt"/>
  </r>
  <r>
    <n v="4455"/>
    <n v="47.630000000000074"/>
    <s v="19.03.2025"/>
    <n v="19"/>
    <x v="2"/>
    <x v="2"/>
    <x v="18"/>
    <m/>
    <n v="2"/>
    <m/>
    <x v="1"/>
    <m/>
    <m/>
  </r>
  <r>
    <n v="4456"/>
    <n v="47.010000000000076"/>
    <s v="19.03.2025"/>
    <n v="19"/>
    <x v="2"/>
    <x v="2"/>
    <x v="10"/>
    <n v="-10"/>
    <n v="9.3800000000000008"/>
    <m/>
    <x v="2"/>
    <n v="-6.1999999999999944E-2"/>
    <s v="HH20250319 Aludra #2 - $0.05-$0.10 - USD No Limit Hold'em2.txt"/>
  </r>
  <r>
    <n v="4457"/>
    <n v="47.710000000000079"/>
    <s v="19.03.2025"/>
    <n v="19"/>
    <x v="2"/>
    <x v="2"/>
    <x v="10"/>
    <n v="-10"/>
    <n v="10.7"/>
    <m/>
    <x v="1"/>
    <n v="6.999999999999984E-2"/>
    <s v="HH20250319 Aludra - $0.05-$0.10 - USD No Limit Hold'em3.txt"/>
  </r>
  <r>
    <n v="4458"/>
    <n v="53.120000000000076"/>
    <s v="19.03.2025"/>
    <n v="19"/>
    <x v="2"/>
    <x v="2"/>
    <x v="10"/>
    <n v="-10"/>
    <n v="15.41"/>
    <m/>
    <x v="1"/>
    <n v="0.54099999999999993"/>
    <s v="HH20250319 Aludra #2 - $0.05-$0.10 - USD No Limit Hold'em3.txt"/>
  </r>
  <r>
    <n v="4459"/>
    <n v="48.120000000000076"/>
    <s v="20.03.2025"/>
    <n v="20"/>
    <x v="2"/>
    <x v="2"/>
    <x v="2"/>
    <n v="-5"/>
    <m/>
    <m/>
    <x v="2"/>
    <n v="-1"/>
    <s v="HH20250320 T3870784856 No Limit Hold'em $4.60 + $0.40.txt"/>
  </r>
  <r>
    <n v="4460"/>
    <n v="48.120000000000076"/>
    <s v="20.03.2025"/>
    <n v="20"/>
    <x v="2"/>
    <x v="2"/>
    <x v="12"/>
    <m/>
    <m/>
    <m/>
    <x v="2"/>
    <n v="0"/>
    <s v="HH20250320 T3870786658 No Limit Hold'em $0.46 + $0.04.txt"/>
  </r>
  <r>
    <n v="4461"/>
    <n v="49.950000000000074"/>
    <s v="20.03.2025"/>
    <n v="20"/>
    <x v="2"/>
    <x v="2"/>
    <x v="10"/>
    <n v="-10"/>
    <n v="11.83"/>
    <m/>
    <x v="1"/>
    <n v="0.18300000000000005"/>
    <s v="HH20250320 Aludra - $0.05-$0.10 - USD No Limit Hold'em.txt"/>
  </r>
  <r>
    <n v="4462"/>
    <n v="52.580000000000076"/>
    <s v="20.03.2025"/>
    <n v="20"/>
    <x v="2"/>
    <x v="2"/>
    <x v="10"/>
    <n v="-10"/>
    <n v="12.63"/>
    <m/>
    <x v="1"/>
    <n v="0.26300000000000012"/>
    <s v="HH20250320 Aludra #2 - $0.05-$0.10 - USD No Limit Hold'em.txt"/>
  </r>
  <r>
    <n v="4463"/>
    <n v="52.580000000000076"/>
    <s v="20.03.2025"/>
    <n v="20"/>
    <x v="2"/>
    <x v="2"/>
    <x v="10"/>
    <n v="-10"/>
    <n v="10"/>
    <m/>
    <x v="1"/>
    <n v="0"/>
    <s v="HH20250320 Aludra #3 - $0.05-$0.10 - USD No Limit Hold'em.txt"/>
  </r>
  <r>
    <n v="4464"/>
    <n v="53.580000000000076"/>
    <s v="20.03.2025"/>
    <n v="20"/>
    <x v="2"/>
    <x v="2"/>
    <x v="18"/>
    <m/>
    <n v="1"/>
    <m/>
    <x v="1"/>
    <m/>
    <m/>
  </r>
  <r>
    <n v="4465"/>
    <n v="43.580000000000076"/>
    <s v="20.03.2025"/>
    <n v="20"/>
    <x v="2"/>
    <x v="2"/>
    <x v="10"/>
    <n v="-10"/>
    <m/>
    <m/>
    <x v="2"/>
    <n v="-1"/>
    <s v="HH20250320 Aludra - $0.05-$0.10 - USD No Limit Hold'em2.txt"/>
  </r>
  <r>
    <n v="4466"/>
    <n v="46.620000000000076"/>
    <s v="20.03.2025"/>
    <n v="20"/>
    <x v="2"/>
    <x v="2"/>
    <x v="10"/>
    <n v="-10"/>
    <n v="13.04"/>
    <m/>
    <x v="1"/>
    <n v="0.30399999999999983"/>
    <s v="HH20250320 Aludra #2 - $0.05-$0.10 - USD No Limit Hold'em2.txt"/>
  </r>
  <r>
    <n v="4467"/>
    <n v="36.620000000000076"/>
    <s v="20.03.2025"/>
    <n v="20"/>
    <x v="2"/>
    <x v="2"/>
    <x v="10"/>
    <n v="-10"/>
    <m/>
    <m/>
    <x v="2"/>
    <n v="-1"/>
    <s v="HH20250320 Aludra #3 - $0.05-$0.10 - USD No Limit Hold'em2.txt"/>
  </r>
  <r>
    <n v="4468"/>
    <n v="45.480000000000075"/>
    <s v="20.03.2025"/>
    <n v="20"/>
    <x v="2"/>
    <x v="2"/>
    <x v="10"/>
    <n v="-36.619999999999997"/>
    <n v="45.48"/>
    <m/>
    <x v="1"/>
    <n v="0.24194429273620965"/>
    <s v="HH20250320 Baade - $0.25-$0.50 - USD No Limit Hold'em.txt"/>
  </r>
  <r>
    <n v="4469"/>
    <n v="54.720000000000077"/>
    <s v="20.03.2025"/>
    <n v="20"/>
    <x v="2"/>
    <x v="2"/>
    <x v="10"/>
    <n v="-45.48"/>
    <n v="54.72"/>
    <m/>
    <x v="1"/>
    <n v="0.20316622691292885"/>
    <s v="HH20250320 Baade #2 - $0.25-$0.50 - USD No Limit Hold'em2.txt"/>
  </r>
  <r>
    <n v="4470"/>
    <n v="7.815970093361102E-14"/>
    <s v="20.03.2025"/>
    <n v="20"/>
    <x v="2"/>
    <x v="2"/>
    <x v="10"/>
    <n v="-54.72"/>
    <m/>
    <m/>
    <x v="2"/>
    <n v="-1"/>
    <s v="HH20250320 Triangulum - $0.50-$1 - USD No Limit Hold'em.txt"/>
  </r>
  <r>
    <n v="4471"/>
    <n v="113.40000000000009"/>
    <s v="20.03.2025"/>
    <n v="20"/>
    <x v="2"/>
    <x v="2"/>
    <x v="1"/>
    <m/>
    <n v="113.4"/>
    <m/>
    <x v="0"/>
    <m/>
    <m/>
  </r>
  <r>
    <n v="4472"/>
    <n v="13.400000000000091"/>
    <s v="20.03.2025"/>
    <n v="20"/>
    <x v="2"/>
    <x v="2"/>
    <x v="10"/>
    <n v="-100"/>
    <m/>
    <m/>
    <x v="2"/>
    <n v="-1"/>
    <s v="HH20250320 Triangulum #2 - $0.50-$1 - USD No Limit Hold'em.txt"/>
  </r>
  <r>
    <n v="4473"/>
    <n v="126.8300000000001"/>
    <s v="20.03.2025"/>
    <n v="20"/>
    <x v="2"/>
    <x v="2"/>
    <x v="1"/>
    <m/>
    <n v="113.43"/>
    <m/>
    <x v="0"/>
    <m/>
    <m/>
  </r>
  <r>
    <n v="4474"/>
    <n v="176.85000000000011"/>
    <s v="20.03.2025"/>
    <n v="20"/>
    <x v="2"/>
    <x v="2"/>
    <x v="10"/>
    <n v="-100"/>
    <n v="150.02000000000001"/>
    <m/>
    <x v="1"/>
    <n v="0.5002000000000002"/>
    <s v="HH20250320 Triangulum #3 - $0.50-$1 - USD No Limit Hold'em.txt"/>
  </r>
  <r>
    <n v="4475"/>
    <n v="63.440000000000111"/>
    <s v="20.03.2025"/>
    <n v="20"/>
    <x v="2"/>
    <x v="2"/>
    <x v="7"/>
    <n v="-113.41"/>
    <m/>
    <m/>
    <x v="0"/>
    <m/>
    <m/>
  </r>
  <r>
    <n v="4476"/>
    <n v="73.440000000000111"/>
    <s v="21.03.2025"/>
    <n v="21"/>
    <x v="2"/>
    <x v="2"/>
    <x v="2"/>
    <n v="-5"/>
    <n v="15"/>
    <m/>
    <x v="1"/>
    <n v="2"/>
    <s v="HH20250321 T3871100309 No Limit Hold'em $4.60 + $0.40.txt"/>
  </r>
  <r>
    <n v="4477"/>
    <n v="73.440000000000111"/>
    <s v="21.03.2025"/>
    <n v="21"/>
    <x v="2"/>
    <x v="2"/>
    <x v="12"/>
    <m/>
    <m/>
    <m/>
    <x v="2"/>
    <n v="0"/>
    <s v="HH20250321 T3871101924 No Limit Hold'em $0.46 + $0.04.txt"/>
  </r>
  <r>
    <n v="4478"/>
    <n v="72.050000000000111"/>
    <s v="21.03.2025"/>
    <n v="21"/>
    <x v="2"/>
    <x v="2"/>
    <x v="10"/>
    <n v="-10"/>
    <n v="8.61"/>
    <m/>
    <x v="2"/>
    <n v="-0.13900000000000001"/>
    <s v="HH20250321 Aludra - $0.05-$0.10 - USD No Limit Hold'em.txt"/>
  </r>
  <r>
    <n v="4479"/>
    <n v="65.790000000000106"/>
    <s v="21.03.2025"/>
    <n v="21"/>
    <x v="2"/>
    <x v="2"/>
    <x v="10"/>
    <n v="-10"/>
    <n v="3.74"/>
    <m/>
    <x v="2"/>
    <n v="-0.626"/>
    <s v="HH20250321 Aludra #2 - $0.05-$0.10 - USD No Limit Hold'em.txt"/>
  </r>
  <r>
    <n v="4480"/>
    <n v="61.120000000000104"/>
    <s v="21.03.2025"/>
    <n v="21"/>
    <x v="2"/>
    <x v="2"/>
    <x v="10"/>
    <n v="-10"/>
    <n v="5.33"/>
    <m/>
    <x v="2"/>
    <n v="-0.46699999999999997"/>
    <s v="HH20250321 Aludra #3 - $0.05-$0.10 - USD No Limit Hold'em.txt"/>
  </r>
  <r>
    <n v="4481"/>
    <n v="62.120000000000104"/>
    <s v="21.03.2025"/>
    <n v="21"/>
    <x v="2"/>
    <x v="2"/>
    <x v="18"/>
    <m/>
    <n v="1"/>
    <m/>
    <x v="1"/>
    <m/>
    <m/>
  </r>
  <r>
    <n v="4482"/>
    <n v="72.150000000000105"/>
    <s v="21.03.2025"/>
    <n v="21"/>
    <x v="2"/>
    <x v="2"/>
    <x v="10"/>
    <n v="-10"/>
    <n v="20.03"/>
    <m/>
    <x v="1"/>
    <n v="1.0030000000000001"/>
    <s v="HH20250321 Aludra #4 - $0.05-$0.10 - USD No Limit Hold'em.txt"/>
  </r>
  <r>
    <n v="4483"/>
    <n v="74.820000000000107"/>
    <s v="21.03.2025"/>
    <n v="21"/>
    <x v="2"/>
    <x v="2"/>
    <x v="10"/>
    <n v="-10"/>
    <n v="12.67"/>
    <m/>
    <x v="1"/>
    <n v="0.2669999999999999"/>
    <s v="HH20250321 Aludra #5 - $0.05-$0.10 - USD No Limit Hold'em.txt"/>
  </r>
  <r>
    <n v="4484"/>
    <n v="72.470000000000113"/>
    <s v="21.03.2025"/>
    <n v="21"/>
    <x v="2"/>
    <x v="2"/>
    <x v="10"/>
    <n v="-10"/>
    <n v="7.65"/>
    <m/>
    <x v="2"/>
    <n v="-0.23499999999999999"/>
    <s v="HH20250321 Aludra - $0.05-$0.10 - USD No Limit Hold'em2.txt"/>
  </r>
  <r>
    <n v="4485"/>
    <n v="72.470000000000113"/>
    <s v="21.03.2025"/>
    <n v="21"/>
    <x v="2"/>
    <x v="2"/>
    <x v="13"/>
    <m/>
    <m/>
    <m/>
    <x v="2"/>
    <n v="0"/>
    <s v="HH20250321 T3870444323 No Limit Hold'em $1.40 + $0.10.txt"/>
  </r>
  <r>
    <n v="4486"/>
    <n v="68.380000000000109"/>
    <s v="21.03.2025"/>
    <n v="21"/>
    <x v="2"/>
    <x v="2"/>
    <x v="10"/>
    <n v="-10"/>
    <n v="5.91"/>
    <m/>
    <x v="2"/>
    <n v="-0.40900000000000003"/>
    <s v="HH20250321 Aludra #2 - $0.05-$0.10 - USD No Limit Hold'em2.txt"/>
  </r>
  <r>
    <n v="4487"/>
    <n v="64.440000000000111"/>
    <s v="21.03.2025"/>
    <n v="21"/>
    <x v="2"/>
    <x v="2"/>
    <x v="10"/>
    <n v="-10"/>
    <n v="6.06"/>
    <m/>
    <x v="2"/>
    <n v="-0.39400000000000002"/>
    <s v="HH20250321 Aludra #3 - $0.05-$0.10 - USD No Limit Hold'em2.txt"/>
  </r>
  <r>
    <n v="4488"/>
    <n v="72.440000000000111"/>
    <s v="21.03.2025"/>
    <n v="21"/>
    <x v="2"/>
    <x v="2"/>
    <x v="10"/>
    <n v="-10"/>
    <n v="18"/>
    <m/>
    <x v="1"/>
    <n v="0.8"/>
    <s v="HH20250321 Aludra #4 - $0.05-$0.10 - USD No Limit Hold'em2.txt"/>
  </r>
  <r>
    <n v="4489"/>
    <n v="79.980000000000103"/>
    <s v="21.03.2025"/>
    <n v="21"/>
    <x v="2"/>
    <x v="2"/>
    <x v="10"/>
    <n v="-10"/>
    <n v="17.54"/>
    <m/>
    <x v="1"/>
    <n v="0.754"/>
    <s v="HH20250321 Aludra #5 - $0.05-$0.10 - USD No Limit Hold'em2.txt"/>
  </r>
  <r>
    <n v="4490"/>
    <n v="74.980000000000103"/>
    <s v="22.03.2025"/>
    <n v="22"/>
    <x v="2"/>
    <x v="2"/>
    <x v="2"/>
    <n v="-5"/>
    <m/>
    <m/>
    <x v="2"/>
    <n v="-1"/>
    <s v="HH20250322 T3871688387 No Limit Hold'em $4.60 + $0.40.txt"/>
  </r>
  <r>
    <n v="4491"/>
    <n v="74.980000000000103"/>
    <s v="22.03.2025"/>
    <n v="22"/>
    <x v="2"/>
    <x v="2"/>
    <x v="12"/>
    <m/>
    <m/>
    <m/>
    <x v="2"/>
    <n v="0"/>
    <s v="HH20250322 T3871689115 No Limit Hold'em $0.46 + $0.04.txt"/>
  </r>
  <r>
    <n v="4492"/>
    <n v="80.060000000000102"/>
    <s v="23.03.2025"/>
    <n v="23"/>
    <x v="2"/>
    <x v="2"/>
    <x v="10"/>
    <n v="-20"/>
    <n v="25.08"/>
    <m/>
    <x v="1"/>
    <n v="0.254"/>
    <s v="HH20250323 Aludra - $0.05-$0.10 - USD No Limit Hold'em.txt"/>
  </r>
  <r>
    <n v="4493"/>
    <n v="80.060000000000102"/>
    <s v="23.03.2025"/>
    <n v="23"/>
    <x v="2"/>
    <x v="2"/>
    <x v="12"/>
    <m/>
    <m/>
    <m/>
    <x v="2"/>
    <n v="0"/>
    <s v="HH20250323 T3871869682 No Limit Hold'em $0.46 + $0.04.txt"/>
  </r>
  <r>
    <n v="4494"/>
    <n v="82.500000000000099"/>
    <s v="23.03.2025"/>
    <n v="23"/>
    <x v="2"/>
    <x v="2"/>
    <x v="10"/>
    <n v="-18"/>
    <n v="20.440000000000001"/>
    <m/>
    <x v="1"/>
    <n v="0.13555555555555565"/>
    <s v="HH20250323 Aludra - $0.05-$0.10 - USD No Limit Hold'em2.txt"/>
  </r>
  <r>
    <n v="4495"/>
    <n v="73.670000000000101"/>
    <s v="23.03.2025"/>
    <n v="23"/>
    <x v="2"/>
    <x v="2"/>
    <x v="10"/>
    <n v="-20"/>
    <n v="11.17"/>
    <m/>
    <x v="2"/>
    <n v="-0.4415"/>
    <s v="HH20250323 Aludra - $0.05-$0.10 - USD No Limit Hold'em3.txt"/>
  </r>
  <r>
    <n v="4496"/>
    <n v="62.670000000000101"/>
    <s v="23.03.2025"/>
    <n v="23"/>
    <x v="2"/>
    <x v="2"/>
    <x v="5"/>
    <n v="-11"/>
    <m/>
    <m/>
    <x v="2"/>
    <n v="-1"/>
    <s v="HH20250323 T3860731919 No Limit Hold'em $9.80 + $1.20.txt"/>
  </r>
  <r>
    <n v="4497"/>
    <n v="67.3900000000001"/>
    <s v="23.03.2025"/>
    <n v="23"/>
    <x v="2"/>
    <x v="2"/>
    <x v="10"/>
    <n v="-10"/>
    <n v="14.72"/>
    <m/>
    <x v="1"/>
    <n v="0.47199999999999998"/>
    <s v="HH20250323 Aludra - $0.05-$0.10 - USD No Limit Hold'em4.txt"/>
  </r>
  <r>
    <n v="4498"/>
    <n v="69.3900000000001"/>
    <s v="23.03.2025"/>
    <n v="23"/>
    <x v="2"/>
    <x v="2"/>
    <x v="18"/>
    <m/>
    <n v="2"/>
    <m/>
    <x v="1"/>
    <m/>
    <m/>
  </r>
  <r>
    <n v="4499"/>
    <n v="73.130000000000095"/>
    <s v="23.03.2025"/>
    <n v="23"/>
    <x v="2"/>
    <x v="2"/>
    <x v="10"/>
    <n v="-10"/>
    <n v="13.74"/>
    <m/>
    <x v="1"/>
    <n v="0.37400000000000011"/>
    <s v="HH20250323 Aludra #2 - $0.05-$0.10 - USD No Limit Hold'em.txt"/>
  </r>
  <r>
    <n v="4500"/>
    <n v="74.170000000000101"/>
    <s v="23.03.2025"/>
    <n v="23"/>
    <x v="2"/>
    <x v="2"/>
    <x v="10"/>
    <n v="-10"/>
    <n v="11.04"/>
    <m/>
    <x v="1"/>
    <n v="0.10399999999999987"/>
    <s v="HH20250323 Aludra #3 - $0.05-$0.10 - USD No Limit Hold'em.txt"/>
  </r>
  <r>
    <n v="4501"/>
    <n v="75.230000000000103"/>
    <s v="24.03.2025"/>
    <n v="24"/>
    <x v="2"/>
    <x v="2"/>
    <x v="10"/>
    <n v="-10"/>
    <n v="11.06"/>
    <m/>
    <x v="1"/>
    <n v="0.10600000000000009"/>
    <s v="HH20250324 Aludra - $0.05-$0.10 - USD No Limit Hold'em.txt"/>
  </r>
  <r>
    <n v="4502"/>
    <n v="75.230000000000103"/>
    <s v="24.03.2025"/>
    <n v="24"/>
    <x v="2"/>
    <x v="2"/>
    <x v="12"/>
    <m/>
    <m/>
    <m/>
    <x v="2"/>
    <n v="0"/>
    <s v="HH20250324 T3872175872 No Limit Hold'em $0.46 + $0.04.txt"/>
  </r>
  <r>
    <n v="4503"/>
    <n v="80.370000000000104"/>
    <s v="24.03.2025"/>
    <n v="24"/>
    <x v="2"/>
    <x v="2"/>
    <x v="10"/>
    <n v="-10"/>
    <n v="15.14"/>
    <m/>
    <x v="1"/>
    <n v="0.51400000000000001"/>
    <s v="HH20250324 Aludra - $0.05-$0.10 - USD No Limit Hold'em2.txt"/>
  </r>
  <r>
    <n v="4504"/>
    <n v="86.650000000000105"/>
    <s v="24.03.2025"/>
    <n v="24"/>
    <x v="2"/>
    <x v="2"/>
    <x v="10"/>
    <n v="-10"/>
    <n v="16.28"/>
    <m/>
    <x v="1"/>
    <n v="0.62800000000000011"/>
    <s v="HH20250324 Aludra #2 - $0.05-$0.10 - USD No Limit Hold'em.txt"/>
  </r>
  <r>
    <n v="4505"/>
    <n v="87.650000000000105"/>
    <s v="24.03.2025"/>
    <n v="24"/>
    <x v="2"/>
    <x v="2"/>
    <x v="18"/>
    <m/>
    <n v="1"/>
    <m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7B386-9A28-48A1-8E40-740EA65C75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6" firstHeaderRow="0" firstDataRow="1" firstDataCol="1" rowPageCount="1" colPageCount="1"/>
  <pivotFields count="14"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23">
        <item h="1" x="0"/>
        <item h="1" x="1"/>
        <item x="2"/>
        <item x="3"/>
        <item x="4"/>
        <item x="5"/>
        <item h="1" x="6"/>
        <item h="1" x="7"/>
        <item h="1" x="8"/>
        <item x="9"/>
        <item x="10"/>
        <item x="11"/>
        <item x="12"/>
        <item x="13"/>
        <item x="14"/>
        <item x="15"/>
        <item x="16"/>
        <item x="17"/>
        <item x="18"/>
        <item h="1" x="19"/>
        <item h="1" x="20"/>
        <item h="1" x="2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0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5"/>
    <field x="4"/>
    <field x="10"/>
  </rowFields>
  <rowItems count="73">
    <i>
      <x/>
    </i>
    <i r="1">
      <x v="3"/>
    </i>
    <i r="2">
      <x v="1"/>
    </i>
    <i r="2">
      <x v="2"/>
    </i>
    <i r="1">
      <x v="4"/>
    </i>
    <i r="2">
      <x v="1"/>
    </i>
    <i r="2">
      <x v="2"/>
    </i>
    <i r="1">
      <x v="5"/>
    </i>
    <i r="2">
      <x v="1"/>
    </i>
    <i r="2">
      <x v="2"/>
    </i>
    <i r="1">
      <x v="6"/>
    </i>
    <i r="2">
      <x v="1"/>
    </i>
    <i r="2">
      <x v="2"/>
    </i>
    <i r="1">
      <x v="7"/>
    </i>
    <i r="2">
      <x v="1"/>
    </i>
    <i r="2">
      <x v="2"/>
    </i>
    <i r="1">
      <x v="8"/>
    </i>
    <i r="2">
      <x v="1"/>
    </i>
    <i r="2">
      <x v="2"/>
    </i>
    <i r="1">
      <x v="9"/>
    </i>
    <i r="2">
      <x v="1"/>
    </i>
    <i r="2">
      <x v="2"/>
    </i>
    <i r="1">
      <x v="10"/>
    </i>
    <i r="2">
      <x v="1"/>
    </i>
    <i r="2">
      <x v="2"/>
    </i>
    <i r="1">
      <x v="11"/>
    </i>
    <i r="2">
      <x v="1"/>
    </i>
    <i r="2">
      <x v="2"/>
    </i>
    <i>
      <x v="1"/>
    </i>
    <i r="1">
      <x/>
    </i>
    <i r="2">
      <x v="1"/>
    </i>
    <i r="2">
      <x v="2"/>
    </i>
    <i r="1">
      <x v="1"/>
    </i>
    <i r="2">
      <x v="1"/>
    </i>
    <i r="2">
      <x v="2"/>
    </i>
    <i r="1">
      <x v="2"/>
    </i>
    <i r="2">
      <x v="1"/>
    </i>
    <i r="2">
      <x v="2"/>
    </i>
    <i r="1">
      <x v="3"/>
    </i>
    <i r="2">
      <x v="1"/>
    </i>
    <i r="2">
      <x v="2"/>
    </i>
    <i r="1">
      <x v="4"/>
    </i>
    <i r="2">
      <x v="1"/>
    </i>
    <i r="2">
      <x v="2"/>
    </i>
    <i r="1">
      <x v="5"/>
    </i>
    <i r="2">
      <x v="1"/>
    </i>
    <i r="2">
      <x v="2"/>
    </i>
    <i r="1">
      <x v="6"/>
    </i>
    <i r="2">
      <x v="1"/>
    </i>
    <i r="2">
      <x v="2"/>
    </i>
    <i r="1">
      <x v="8"/>
    </i>
    <i r="2">
      <x v="1"/>
    </i>
    <i r="2">
      <x v="2"/>
    </i>
    <i r="1">
      <x v="9"/>
    </i>
    <i r="2">
      <x v="1"/>
    </i>
    <i r="2">
      <x v="2"/>
    </i>
    <i r="1">
      <x v="10"/>
    </i>
    <i r="2">
      <x v="1"/>
    </i>
    <i r="2">
      <x v="2"/>
    </i>
    <i r="1">
      <x v="11"/>
    </i>
    <i r="2">
      <x v="1"/>
    </i>
    <i r="2">
      <x v="2"/>
    </i>
    <i>
      <x v="2"/>
    </i>
    <i r="1">
      <x/>
    </i>
    <i r="2">
      <x v="1"/>
    </i>
    <i r="2">
      <x v="2"/>
    </i>
    <i r="1">
      <x v="1"/>
    </i>
    <i r="2">
      <x v="1"/>
    </i>
    <i r="2">
      <x v="2"/>
    </i>
    <i r="1">
      <x v="2"/>
    </i>
    <i r="2">
      <x v="1"/>
    </i>
    <i r="2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6" hier="-1"/>
  </pageFields>
  <dataFields count="5">
    <dataField name="Count of GameID" fld="0" subtotal="count" baseField="5" baseItem="0"/>
    <dataField name="Sum of Paid Entry" fld="7" baseField="0" baseItem="0"/>
    <dataField name="Sum of Prize Money" fld="8" baseField="0" baseItem="0"/>
    <dataField name="Sum of Bounty" fld="9" baseField="0" baseItem="0"/>
    <dataField name="Sum of Total" fld="13" baseField="0" baseItem="0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09"/>
  <sheetViews>
    <sheetView tabSelected="1" zoomScaleNormal="100" workbookViewId="0">
      <pane ySplit="1" topLeftCell="A4487" activePane="bottomLeft" state="frozen"/>
      <selection pane="bottomLeft" activeCell="G4509" sqref="G4509"/>
    </sheetView>
  </sheetViews>
  <sheetFormatPr defaultRowHeight="14.5" x14ac:dyDescent="0.35"/>
  <cols>
    <col min="2" max="2" width="15.7265625" bestFit="1" customWidth="1"/>
    <col min="3" max="6" width="10.453125" style="3" bestFit="1" customWidth="1"/>
    <col min="7" max="7" width="20.1796875" bestFit="1" customWidth="1"/>
    <col min="8" max="8" width="9.1796875" bestFit="1" customWidth="1"/>
    <col min="9" max="9" width="11.1796875" bestFit="1" customWidth="1"/>
    <col min="13" max="13" width="12.26953125" customWidth="1"/>
    <col min="16" max="16" width="10.81640625" bestFit="1" customWidth="1"/>
    <col min="17" max="17" width="11" bestFit="1" customWidth="1"/>
    <col min="18" max="18" width="10.26953125" bestFit="1" customWidth="1"/>
    <col min="19" max="19" width="10.453125" bestFit="1" customWidth="1"/>
    <col min="20" max="20" width="9.81640625" bestFit="1" customWidth="1"/>
    <col min="21" max="21" width="12.1796875" bestFit="1" customWidth="1"/>
    <col min="22" max="22" width="10.7265625" bestFit="1" customWidth="1"/>
    <col min="23" max="23" width="13.453125" bestFit="1" customWidth="1"/>
    <col min="24" max="24" width="9.7265625" bestFit="1" customWidth="1"/>
  </cols>
  <sheetData>
    <row r="1" spans="1:20" x14ac:dyDescent="0.35">
      <c r="A1" t="s">
        <v>11</v>
      </c>
      <c r="B1" s="9" t="s">
        <v>2</v>
      </c>
      <c r="C1" t="s">
        <v>1</v>
      </c>
      <c r="D1" t="s">
        <v>801</v>
      </c>
      <c r="E1" t="s">
        <v>799</v>
      </c>
      <c r="F1" t="s">
        <v>800</v>
      </c>
      <c r="G1" t="s">
        <v>0</v>
      </c>
      <c r="H1" t="s">
        <v>5</v>
      </c>
      <c r="I1" t="s">
        <v>4</v>
      </c>
      <c r="J1" t="s">
        <v>6</v>
      </c>
      <c r="K1" t="s">
        <v>8</v>
      </c>
      <c r="L1" t="s">
        <v>3605</v>
      </c>
      <c r="M1" t="s">
        <v>13</v>
      </c>
      <c r="O1" t="s">
        <v>56</v>
      </c>
      <c r="P1" s="1">
        <f>SUBTOTAL(9,$H$5:$H$1048576)</f>
        <v>-15347.849999999997</v>
      </c>
      <c r="Q1" t="s">
        <v>1338</v>
      </c>
      <c r="R1" s="1">
        <f>SUBTOTAL(9,$I$5:$J$1048576)</f>
        <v>15435.500000000016</v>
      </c>
      <c r="S1" t="s">
        <v>555</v>
      </c>
      <c r="T1" s="2">
        <f>R1+P1</f>
        <v>87.650000000019645</v>
      </c>
    </row>
    <row r="2" spans="1:20" x14ac:dyDescent="0.35">
      <c r="A2">
        <v>1</v>
      </c>
      <c r="B2" s="9">
        <f>H2+I2+J2</f>
        <v>0</v>
      </c>
      <c r="C2" t="s">
        <v>4512</v>
      </c>
      <c r="D2">
        <f>_xlfn.NUMBERVALUE(LEFT(C2,2))</f>
        <v>1</v>
      </c>
      <c r="E2">
        <f>_xlfn.NUMBERVALUE(MID(C2,4,2))</f>
        <v>1</v>
      </c>
      <c r="F2">
        <f>_xlfn.NUMBERVALUE(RIGHT(C2,4))</f>
        <v>2023</v>
      </c>
      <c r="G2" t="s">
        <v>4515</v>
      </c>
      <c r="H2">
        <v>0</v>
      </c>
      <c r="P2" s="1"/>
      <c r="R2" s="1"/>
      <c r="T2" s="2"/>
    </row>
    <row r="3" spans="1:20" x14ac:dyDescent="0.35">
      <c r="A3">
        <f>A2+1</f>
        <v>2</v>
      </c>
      <c r="B3" s="9">
        <f>H3+I3+J3</f>
        <v>0</v>
      </c>
      <c r="C3" t="s">
        <v>4513</v>
      </c>
      <c r="D3">
        <f>_xlfn.NUMBERVALUE(LEFT(C3,2))</f>
        <v>1</v>
      </c>
      <c r="E3">
        <f>_xlfn.NUMBERVALUE(MID(C3,4,2))</f>
        <v>2</v>
      </c>
      <c r="F3">
        <f>_xlfn.NUMBERVALUE(RIGHT(C3,4))</f>
        <v>2023</v>
      </c>
      <c r="G3" t="s">
        <v>4515</v>
      </c>
      <c r="H3">
        <v>0</v>
      </c>
      <c r="P3" s="1"/>
      <c r="R3" s="1"/>
      <c r="T3" s="2"/>
    </row>
    <row r="4" spans="1:20" x14ac:dyDescent="0.35">
      <c r="A4">
        <f>A3+1</f>
        <v>3</v>
      </c>
      <c r="B4" s="9">
        <f>H4+I4+J4</f>
        <v>0</v>
      </c>
      <c r="C4" t="s">
        <v>4514</v>
      </c>
      <c r="D4">
        <f>_xlfn.NUMBERVALUE(LEFT(C4,2))</f>
        <v>1</v>
      </c>
      <c r="E4">
        <f>_xlfn.NUMBERVALUE(MID(C4,4,2))</f>
        <v>3</v>
      </c>
      <c r="F4">
        <f>_xlfn.NUMBERVALUE(RIGHT(C4,4))</f>
        <v>2023</v>
      </c>
      <c r="G4" t="s">
        <v>4515</v>
      </c>
      <c r="H4">
        <v>0</v>
      </c>
      <c r="P4" s="1"/>
      <c r="R4" s="1"/>
      <c r="T4" s="2"/>
    </row>
    <row r="5" spans="1:20" x14ac:dyDescent="0.35">
      <c r="A5">
        <f>A4+1</f>
        <v>4</v>
      </c>
      <c r="B5" s="9">
        <f>H5+I5+J5</f>
        <v>27.32</v>
      </c>
      <c r="C5" s="3" t="s">
        <v>3</v>
      </c>
      <c r="D5">
        <f>_xlfn.NUMBERVALUE(LEFT(C5,2))</f>
        <v>1</v>
      </c>
      <c r="E5">
        <f>_xlfn.NUMBERVALUE(MID(C5,4,2))</f>
        <v>4</v>
      </c>
      <c r="F5">
        <f>_xlfn.NUMBERVALUE(RIGHT(C5,4))</f>
        <v>2023</v>
      </c>
      <c r="G5" t="s">
        <v>3362</v>
      </c>
      <c r="I5">
        <v>27.32</v>
      </c>
      <c r="L5" s="8"/>
    </row>
    <row r="6" spans="1:20" x14ac:dyDescent="0.35">
      <c r="A6">
        <f>A5+1</f>
        <v>5</v>
      </c>
      <c r="B6" s="9">
        <f t="shared" ref="B6:B69" si="0">B5+H6+I6+J6</f>
        <v>29.32</v>
      </c>
      <c r="C6" s="3" t="s">
        <v>3</v>
      </c>
      <c r="D6">
        <f>_xlfn.NUMBERVALUE(LEFT(C6,2))</f>
        <v>1</v>
      </c>
      <c r="E6">
        <f t="shared" ref="E6:E69" si="1">_xlfn.NUMBERVALUE(MID(C6,4,2))</f>
        <v>4</v>
      </c>
      <c r="F6">
        <f t="shared" ref="F6:F69" si="2">_xlfn.NUMBERVALUE(RIGHT(C6,4))</f>
        <v>2023</v>
      </c>
      <c r="G6" t="s">
        <v>7</v>
      </c>
      <c r="H6">
        <v>-1</v>
      </c>
      <c r="I6">
        <v>3</v>
      </c>
      <c r="K6" t="s">
        <v>10</v>
      </c>
      <c r="L6" s="8">
        <f t="shared" ref="L6:L69" si="3">IF(H6="",0,(SUM(I6:J6)/-H6)-1)</f>
        <v>2</v>
      </c>
      <c r="M6" t="s">
        <v>12</v>
      </c>
      <c r="R6" s="2"/>
    </row>
    <row r="7" spans="1:20" x14ac:dyDescent="0.35">
      <c r="A7">
        <f t="shared" ref="A7:A32" si="4">A6+1</f>
        <v>6</v>
      </c>
      <c r="B7" s="9">
        <f t="shared" si="0"/>
        <v>28.32</v>
      </c>
      <c r="C7" s="3" t="s">
        <v>3</v>
      </c>
      <c r="D7">
        <f t="shared" ref="D7:D70" si="5">_xlfn.NUMBERVALUE(LEFT(C7,2))</f>
        <v>1</v>
      </c>
      <c r="E7">
        <f t="shared" si="1"/>
        <v>4</v>
      </c>
      <c r="F7">
        <f t="shared" si="2"/>
        <v>2023</v>
      </c>
      <c r="G7" t="s">
        <v>7</v>
      </c>
      <c r="H7">
        <v>-1</v>
      </c>
      <c r="K7" t="s">
        <v>9</v>
      </c>
      <c r="L7" s="8">
        <f t="shared" si="3"/>
        <v>-1</v>
      </c>
      <c r="M7" t="s">
        <v>14</v>
      </c>
    </row>
    <row r="8" spans="1:20" x14ac:dyDescent="0.35">
      <c r="A8">
        <f t="shared" si="4"/>
        <v>7</v>
      </c>
      <c r="B8" s="9">
        <f t="shared" si="0"/>
        <v>30.32</v>
      </c>
      <c r="C8" s="3" t="s">
        <v>3</v>
      </c>
      <c r="D8">
        <f t="shared" si="5"/>
        <v>1</v>
      </c>
      <c r="E8">
        <f t="shared" si="1"/>
        <v>4</v>
      </c>
      <c r="F8">
        <f t="shared" si="2"/>
        <v>2023</v>
      </c>
      <c r="G8" t="s">
        <v>7</v>
      </c>
      <c r="H8">
        <v>-1</v>
      </c>
      <c r="I8">
        <v>3</v>
      </c>
      <c r="K8" t="s">
        <v>10</v>
      </c>
      <c r="L8" s="8">
        <f t="shared" si="3"/>
        <v>2</v>
      </c>
      <c r="M8" t="s">
        <v>15</v>
      </c>
    </row>
    <row r="9" spans="1:20" x14ac:dyDescent="0.35">
      <c r="A9">
        <f t="shared" si="4"/>
        <v>8</v>
      </c>
      <c r="B9" s="9">
        <f t="shared" si="0"/>
        <v>32.32</v>
      </c>
      <c r="C9" s="3" t="s">
        <v>3</v>
      </c>
      <c r="D9">
        <f t="shared" si="5"/>
        <v>1</v>
      </c>
      <c r="E9">
        <f t="shared" si="1"/>
        <v>4</v>
      </c>
      <c r="F9">
        <f t="shared" si="2"/>
        <v>2023</v>
      </c>
      <c r="G9" t="s">
        <v>7</v>
      </c>
      <c r="H9">
        <v>-1</v>
      </c>
      <c r="I9">
        <v>3</v>
      </c>
      <c r="K9" t="s">
        <v>10</v>
      </c>
      <c r="L9" s="8">
        <f t="shared" si="3"/>
        <v>2</v>
      </c>
      <c r="M9" t="s">
        <v>16</v>
      </c>
    </row>
    <row r="10" spans="1:20" x14ac:dyDescent="0.35">
      <c r="A10">
        <f t="shared" si="4"/>
        <v>9</v>
      </c>
      <c r="B10" s="9">
        <f t="shared" si="0"/>
        <v>31.32</v>
      </c>
      <c r="C10" s="3" t="s">
        <v>3</v>
      </c>
      <c r="D10">
        <f t="shared" si="5"/>
        <v>1</v>
      </c>
      <c r="E10">
        <f t="shared" si="1"/>
        <v>4</v>
      </c>
      <c r="F10">
        <f t="shared" si="2"/>
        <v>2023</v>
      </c>
      <c r="G10" t="s">
        <v>7</v>
      </c>
      <c r="H10">
        <v>-1</v>
      </c>
      <c r="K10" t="s">
        <v>9</v>
      </c>
      <c r="L10" s="8">
        <f t="shared" si="3"/>
        <v>-1</v>
      </c>
      <c r="M10" t="s">
        <v>17</v>
      </c>
    </row>
    <row r="11" spans="1:20" x14ac:dyDescent="0.35">
      <c r="A11">
        <f t="shared" si="4"/>
        <v>10</v>
      </c>
      <c r="B11" s="9">
        <f t="shared" si="0"/>
        <v>30.32</v>
      </c>
      <c r="C11" s="3" t="s">
        <v>3</v>
      </c>
      <c r="D11">
        <f t="shared" si="5"/>
        <v>1</v>
      </c>
      <c r="E11">
        <f t="shared" si="1"/>
        <v>4</v>
      </c>
      <c r="F11">
        <f t="shared" si="2"/>
        <v>2023</v>
      </c>
      <c r="G11" t="s">
        <v>7</v>
      </c>
      <c r="H11">
        <v>-1</v>
      </c>
      <c r="K11" t="s">
        <v>9</v>
      </c>
      <c r="L11" s="8">
        <f t="shared" si="3"/>
        <v>-1</v>
      </c>
      <c r="M11" t="s">
        <v>18</v>
      </c>
    </row>
    <row r="12" spans="1:20" x14ac:dyDescent="0.35">
      <c r="A12">
        <f t="shared" si="4"/>
        <v>11</v>
      </c>
      <c r="B12" s="9">
        <f t="shared" si="0"/>
        <v>29.32</v>
      </c>
      <c r="C12" s="3" t="s">
        <v>3</v>
      </c>
      <c r="D12">
        <f t="shared" si="5"/>
        <v>1</v>
      </c>
      <c r="E12">
        <f t="shared" si="1"/>
        <v>4</v>
      </c>
      <c r="F12">
        <f t="shared" si="2"/>
        <v>2023</v>
      </c>
      <c r="G12" t="s">
        <v>7</v>
      </c>
      <c r="H12">
        <v>-1</v>
      </c>
      <c r="K12" t="s">
        <v>9</v>
      </c>
      <c r="L12" s="8">
        <f t="shared" si="3"/>
        <v>-1</v>
      </c>
      <c r="M12" t="s">
        <v>19</v>
      </c>
    </row>
    <row r="13" spans="1:20" x14ac:dyDescent="0.35">
      <c r="A13">
        <f t="shared" si="4"/>
        <v>12</v>
      </c>
      <c r="B13" s="9">
        <f t="shared" si="0"/>
        <v>30.32</v>
      </c>
      <c r="C13" s="3" t="s">
        <v>3</v>
      </c>
      <c r="D13">
        <f t="shared" si="5"/>
        <v>1</v>
      </c>
      <c r="E13">
        <f t="shared" si="1"/>
        <v>4</v>
      </c>
      <c r="F13">
        <f t="shared" si="2"/>
        <v>2023</v>
      </c>
      <c r="G13" t="s">
        <v>7</v>
      </c>
      <c r="H13">
        <v>-1</v>
      </c>
      <c r="I13">
        <v>2</v>
      </c>
      <c r="K13" t="s">
        <v>10</v>
      </c>
      <c r="L13" s="8">
        <f t="shared" si="3"/>
        <v>1</v>
      </c>
      <c r="M13" t="s">
        <v>20</v>
      </c>
    </row>
    <row r="14" spans="1:20" x14ac:dyDescent="0.35">
      <c r="A14">
        <f t="shared" si="4"/>
        <v>13</v>
      </c>
      <c r="B14" s="9">
        <f t="shared" si="0"/>
        <v>31.32</v>
      </c>
      <c r="C14" s="3" t="s">
        <v>3</v>
      </c>
      <c r="D14">
        <f t="shared" si="5"/>
        <v>1</v>
      </c>
      <c r="E14">
        <f t="shared" si="1"/>
        <v>4</v>
      </c>
      <c r="F14">
        <f t="shared" si="2"/>
        <v>2023</v>
      </c>
      <c r="G14" t="s">
        <v>7</v>
      </c>
      <c r="H14">
        <v>-1</v>
      </c>
      <c r="I14">
        <v>2</v>
      </c>
      <c r="K14" t="s">
        <v>10</v>
      </c>
      <c r="L14" s="8">
        <f t="shared" si="3"/>
        <v>1</v>
      </c>
      <c r="M14" t="s">
        <v>21</v>
      </c>
    </row>
    <row r="15" spans="1:20" x14ac:dyDescent="0.35">
      <c r="A15">
        <f t="shared" si="4"/>
        <v>14</v>
      </c>
      <c r="B15" s="9">
        <f t="shared" si="0"/>
        <v>33.32</v>
      </c>
      <c r="C15" s="3" t="s">
        <v>3</v>
      </c>
      <c r="D15">
        <f t="shared" si="5"/>
        <v>1</v>
      </c>
      <c r="E15">
        <f t="shared" si="1"/>
        <v>4</v>
      </c>
      <c r="F15">
        <f t="shared" si="2"/>
        <v>2023</v>
      </c>
      <c r="G15" t="s">
        <v>7</v>
      </c>
      <c r="H15">
        <v>-1</v>
      </c>
      <c r="I15">
        <v>3</v>
      </c>
      <c r="K15" t="s">
        <v>10</v>
      </c>
      <c r="L15" s="8">
        <f t="shared" si="3"/>
        <v>2</v>
      </c>
      <c r="M15" t="s">
        <v>22</v>
      </c>
    </row>
    <row r="16" spans="1:20" x14ac:dyDescent="0.35">
      <c r="A16">
        <f t="shared" si="4"/>
        <v>15</v>
      </c>
      <c r="B16" s="9">
        <f t="shared" si="0"/>
        <v>32.32</v>
      </c>
      <c r="C16" s="3" t="s">
        <v>3</v>
      </c>
      <c r="D16">
        <f t="shared" si="5"/>
        <v>1</v>
      </c>
      <c r="E16">
        <f t="shared" si="1"/>
        <v>4</v>
      </c>
      <c r="F16">
        <f t="shared" si="2"/>
        <v>2023</v>
      </c>
      <c r="G16" t="s">
        <v>7</v>
      </c>
      <c r="H16">
        <v>-1</v>
      </c>
      <c r="K16" t="s">
        <v>9</v>
      </c>
      <c r="L16" s="8">
        <f t="shared" si="3"/>
        <v>-1</v>
      </c>
      <c r="M16" t="s">
        <v>23</v>
      </c>
    </row>
    <row r="17" spans="1:13" x14ac:dyDescent="0.35">
      <c r="A17">
        <f t="shared" si="4"/>
        <v>16</v>
      </c>
      <c r="B17" s="9">
        <f t="shared" si="0"/>
        <v>31.32</v>
      </c>
      <c r="C17" s="3" t="s">
        <v>3</v>
      </c>
      <c r="D17">
        <f t="shared" si="5"/>
        <v>1</v>
      </c>
      <c r="E17">
        <f t="shared" si="1"/>
        <v>4</v>
      </c>
      <c r="F17">
        <f t="shared" si="2"/>
        <v>2023</v>
      </c>
      <c r="G17" t="s">
        <v>7</v>
      </c>
      <c r="H17">
        <v>-1</v>
      </c>
      <c r="K17" t="s">
        <v>9</v>
      </c>
      <c r="L17" s="8">
        <f t="shared" si="3"/>
        <v>-1</v>
      </c>
      <c r="M17" t="s">
        <v>24</v>
      </c>
    </row>
    <row r="18" spans="1:13" x14ac:dyDescent="0.35">
      <c r="A18">
        <f t="shared" si="4"/>
        <v>17</v>
      </c>
      <c r="B18" s="9">
        <f t="shared" si="0"/>
        <v>30.32</v>
      </c>
      <c r="C18" s="3" t="s">
        <v>3</v>
      </c>
      <c r="D18">
        <f t="shared" si="5"/>
        <v>1</v>
      </c>
      <c r="E18">
        <f t="shared" si="1"/>
        <v>4</v>
      </c>
      <c r="F18">
        <f t="shared" si="2"/>
        <v>2023</v>
      </c>
      <c r="G18" t="s">
        <v>7</v>
      </c>
      <c r="H18">
        <v>-1</v>
      </c>
      <c r="K18" t="s">
        <v>9</v>
      </c>
      <c r="L18" s="8">
        <f t="shared" si="3"/>
        <v>-1</v>
      </c>
      <c r="M18" t="s">
        <v>25</v>
      </c>
    </row>
    <row r="19" spans="1:13" x14ac:dyDescent="0.35">
      <c r="A19">
        <f t="shared" si="4"/>
        <v>18</v>
      </c>
      <c r="B19" s="9">
        <f t="shared" si="0"/>
        <v>29.32</v>
      </c>
      <c r="C19" s="3" t="s">
        <v>3</v>
      </c>
      <c r="D19">
        <f t="shared" si="5"/>
        <v>1</v>
      </c>
      <c r="E19">
        <f t="shared" si="1"/>
        <v>4</v>
      </c>
      <c r="F19">
        <f t="shared" si="2"/>
        <v>2023</v>
      </c>
      <c r="G19" t="s">
        <v>7</v>
      </c>
      <c r="H19">
        <v>-1</v>
      </c>
      <c r="K19" t="s">
        <v>9</v>
      </c>
      <c r="L19" s="8">
        <f t="shared" si="3"/>
        <v>-1</v>
      </c>
      <c r="M19" t="s">
        <v>26</v>
      </c>
    </row>
    <row r="20" spans="1:13" x14ac:dyDescent="0.35">
      <c r="A20">
        <f t="shared" si="4"/>
        <v>19</v>
      </c>
      <c r="B20" s="9">
        <f t="shared" si="0"/>
        <v>30.32</v>
      </c>
      <c r="C20" s="3" t="s">
        <v>3</v>
      </c>
      <c r="D20">
        <f t="shared" si="5"/>
        <v>1</v>
      </c>
      <c r="E20">
        <f t="shared" si="1"/>
        <v>4</v>
      </c>
      <c r="F20">
        <f t="shared" si="2"/>
        <v>2023</v>
      </c>
      <c r="G20" t="s">
        <v>7</v>
      </c>
      <c r="H20">
        <v>-1</v>
      </c>
      <c r="I20">
        <v>2</v>
      </c>
      <c r="K20" t="s">
        <v>10</v>
      </c>
      <c r="L20" s="8">
        <f t="shared" si="3"/>
        <v>1</v>
      </c>
      <c r="M20" t="s">
        <v>27</v>
      </c>
    </row>
    <row r="21" spans="1:13" x14ac:dyDescent="0.35">
      <c r="A21">
        <f t="shared" si="4"/>
        <v>20</v>
      </c>
      <c r="B21" s="9">
        <f t="shared" si="0"/>
        <v>29.32</v>
      </c>
      <c r="C21" s="3" t="s">
        <v>3</v>
      </c>
      <c r="D21">
        <f t="shared" si="5"/>
        <v>1</v>
      </c>
      <c r="E21">
        <f t="shared" si="1"/>
        <v>4</v>
      </c>
      <c r="F21">
        <f t="shared" si="2"/>
        <v>2023</v>
      </c>
      <c r="G21" t="s">
        <v>7</v>
      </c>
      <c r="H21">
        <v>-1</v>
      </c>
      <c r="K21" t="s">
        <v>9</v>
      </c>
      <c r="L21" s="8">
        <f t="shared" si="3"/>
        <v>-1</v>
      </c>
      <c r="M21" t="s">
        <v>28</v>
      </c>
    </row>
    <row r="22" spans="1:13" x14ac:dyDescent="0.35">
      <c r="A22">
        <f t="shared" si="4"/>
        <v>21</v>
      </c>
      <c r="B22" s="9">
        <f t="shared" si="0"/>
        <v>30.32</v>
      </c>
      <c r="C22" s="3" t="s">
        <v>3</v>
      </c>
      <c r="D22">
        <f t="shared" si="5"/>
        <v>1</v>
      </c>
      <c r="E22">
        <f t="shared" si="1"/>
        <v>4</v>
      </c>
      <c r="F22">
        <f t="shared" si="2"/>
        <v>2023</v>
      </c>
      <c r="G22" t="s">
        <v>7</v>
      </c>
      <c r="H22">
        <v>-1</v>
      </c>
      <c r="I22">
        <v>2</v>
      </c>
      <c r="K22" t="s">
        <v>10</v>
      </c>
      <c r="L22" s="8">
        <f t="shared" si="3"/>
        <v>1</v>
      </c>
      <c r="M22" t="s">
        <v>29</v>
      </c>
    </row>
    <row r="23" spans="1:13" x14ac:dyDescent="0.35">
      <c r="A23">
        <f t="shared" si="4"/>
        <v>22</v>
      </c>
      <c r="B23" s="9">
        <f t="shared" si="0"/>
        <v>31.32</v>
      </c>
      <c r="C23" s="3" t="s">
        <v>3</v>
      </c>
      <c r="D23">
        <f t="shared" si="5"/>
        <v>1</v>
      </c>
      <c r="E23">
        <f t="shared" si="1"/>
        <v>4</v>
      </c>
      <c r="F23">
        <f t="shared" si="2"/>
        <v>2023</v>
      </c>
      <c r="G23" t="s">
        <v>7</v>
      </c>
      <c r="H23">
        <v>-1</v>
      </c>
      <c r="I23">
        <v>2</v>
      </c>
      <c r="K23" t="s">
        <v>10</v>
      </c>
      <c r="L23" s="8">
        <f t="shared" si="3"/>
        <v>1</v>
      </c>
      <c r="M23" t="s">
        <v>30</v>
      </c>
    </row>
    <row r="24" spans="1:13" x14ac:dyDescent="0.35">
      <c r="A24">
        <f t="shared" si="4"/>
        <v>23</v>
      </c>
      <c r="B24" s="9">
        <f t="shared" si="0"/>
        <v>30.32</v>
      </c>
      <c r="C24" s="3" t="s">
        <v>31</v>
      </c>
      <c r="D24">
        <f t="shared" si="5"/>
        <v>2</v>
      </c>
      <c r="E24">
        <f t="shared" si="1"/>
        <v>4</v>
      </c>
      <c r="F24">
        <f t="shared" si="2"/>
        <v>2023</v>
      </c>
      <c r="G24" t="s">
        <v>7</v>
      </c>
      <c r="H24">
        <v>-1</v>
      </c>
      <c r="K24" t="s">
        <v>9</v>
      </c>
      <c r="L24" s="8">
        <f t="shared" si="3"/>
        <v>-1</v>
      </c>
      <c r="M24" t="s">
        <v>32</v>
      </c>
    </row>
    <row r="25" spans="1:13" x14ac:dyDescent="0.35">
      <c r="A25">
        <f t="shared" si="4"/>
        <v>24</v>
      </c>
      <c r="B25" s="9">
        <f t="shared" si="0"/>
        <v>31.32</v>
      </c>
      <c r="C25" s="3" t="s">
        <v>31</v>
      </c>
      <c r="D25">
        <f t="shared" si="5"/>
        <v>2</v>
      </c>
      <c r="E25">
        <f t="shared" si="1"/>
        <v>4</v>
      </c>
      <c r="F25">
        <f t="shared" si="2"/>
        <v>2023</v>
      </c>
      <c r="G25" t="s">
        <v>7</v>
      </c>
      <c r="H25">
        <v>-1</v>
      </c>
      <c r="I25">
        <v>2</v>
      </c>
      <c r="K25" t="s">
        <v>10</v>
      </c>
      <c r="L25" s="8">
        <f t="shared" si="3"/>
        <v>1</v>
      </c>
      <c r="M25" t="s">
        <v>33</v>
      </c>
    </row>
    <row r="26" spans="1:13" x14ac:dyDescent="0.35">
      <c r="A26">
        <f t="shared" si="4"/>
        <v>25</v>
      </c>
      <c r="B26" s="9">
        <f t="shared" si="0"/>
        <v>30.32</v>
      </c>
      <c r="C26" s="3" t="s">
        <v>31</v>
      </c>
      <c r="D26">
        <f t="shared" si="5"/>
        <v>2</v>
      </c>
      <c r="E26">
        <f t="shared" si="1"/>
        <v>4</v>
      </c>
      <c r="F26">
        <f t="shared" si="2"/>
        <v>2023</v>
      </c>
      <c r="G26" t="s">
        <v>7</v>
      </c>
      <c r="H26">
        <v>-1</v>
      </c>
      <c r="K26" t="s">
        <v>9</v>
      </c>
      <c r="L26" s="8">
        <f t="shared" si="3"/>
        <v>-1</v>
      </c>
      <c r="M26" t="s">
        <v>34</v>
      </c>
    </row>
    <row r="27" spans="1:13" x14ac:dyDescent="0.35">
      <c r="A27">
        <f t="shared" si="4"/>
        <v>26</v>
      </c>
      <c r="B27" s="9">
        <f t="shared" si="0"/>
        <v>29.32</v>
      </c>
      <c r="C27" s="3" t="s">
        <v>31</v>
      </c>
      <c r="D27">
        <f t="shared" si="5"/>
        <v>2</v>
      </c>
      <c r="E27">
        <f t="shared" si="1"/>
        <v>4</v>
      </c>
      <c r="F27">
        <f t="shared" si="2"/>
        <v>2023</v>
      </c>
      <c r="G27" t="s">
        <v>7</v>
      </c>
      <c r="H27">
        <v>-1</v>
      </c>
      <c r="K27" t="s">
        <v>9</v>
      </c>
      <c r="L27" s="8">
        <f t="shared" si="3"/>
        <v>-1</v>
      </c>
      <c r="M27" t="s">
        <v>35</v>
      </c>
    </row>
    <row r="28" spans="1:13" x14ac:dyDescent="0.35">
      <c r="A28">
        <f t="shared" si="4"/>
        <v>27</v>
      </c>
      <c r="B28" s="9">
        <f t="shared" si="0"/>
        <v>30.32</v>
      </c>
      <c r="C28" s="3" t="s">
        <v>31</v>
      </c>
      <c r="D28">
        <f t="shared" si="5"/>
        <v>2</v>
      </c>
      <c r="E28">
        <f t="shared" si="1"/>
        <v>4</v>
      </c>
      <c r="F28">
        <f t="shared" si="2"/>
        <v>2023</v>
      </c>
      <c r="G28" t="s">
        <v>7</v>
      </c>
      <c r="H28">
        <v>-1</v>
      </c>
      <c r="I28">
        <v>2</v>
      </c>
      <c r="K28" t="s">
        <v>10</v>
      </c>
      <c r="L28" s="8">
        <f t="shared" si="3"/>
        <v>1</v>
      </c>
      <c r="M28" t="s">
        <v>36</v>
      </c>
    </row>
    <row r="29" spans="1:13" x14ac:dyDescent="0.35">
      <c r="A29">
        <f t="shared" si="4"/>
        <v>28</v>
      </c>
      <c r="B29" s="9">
        <f t="shared" si="0"/>
        <v>29.32</v>
      </c>
      <c r="C29" s="3" t="s">
        <v>31</v>
      </c>
      <c r="D29">
        <f t="shared" si="5"/>
        <v>2</v>
      </c>
      <c r="E29">
        <f t="shared" si="1"/>
        <v>4</v>
      </c>
      <c r="F29">
        <f t="shared" si="2"/>
        <v>2023</v>
      </c>
      <c r="G29" t="s">
        <v>7</v>
      </c>
      <c r="H29">
        <v>-1</v>
      </c>
      <c r="K29" t="s">
        <v>9</v>
      </c>
      <c r="L29" s="8">
        <f t="shared" si="3"/>
        <v>-1</v>
      </c>
      <c r="M29" t="s">
        <v>37</v>
      </c>
    </row>
    <row r="30" spans="1:13" x14ac:dyDescent="0.35">
      <c r="A30">
        <f t="shared" si="4"/>
        <v>29</v>
      </c>
      <c r="B30" s="9">
        <f t="shared" si="0"/>
        <v>31.32</v>
      </c>
      <c r="C30" s="3" t="s">
        <v>31</v>
      </c>
      <c r="D30">
        <f t="shared" si="5"/>
        <v>2</v>
      </c>
      <c r="E30">
        <f t="shared" si="1"/>
        <v>4</v>
      </c>
      <c r="F30">
        <f t="shared" si="2"/>
        <v>2023</v>
      </c>
      <c r="G30" t="s">
        <v>7</v>
      </c>
      <c r="H30">
        <v>-1</v>
      </c>
      <c r="I30">
        <v>3</v>
      </c>
      <c r="K30" t="s">
        <v>10</v>
      </c>
      <c r="L30" s="8">
        <f t="shared" si="3"/>
        <v>2</v>
      </c>
      <c r="M30" t="s">
        <v>38</v>
      </c>
    </row>
    <row r="31" spans="1:13" x14ac:dyDescent="0.35">
      <c r="A31">
        <f>A30+1</f>
        <v>30</v>
      </c>
      <c r="B31" s="9">
        <f t="shared" si="0"/>
        <v>33.32</v>
      </c>
      <c r="C31" s="3" t="s">
        <v>31</v>
      </c>
      <c r="D31">
        <f t="shared" si="5"/>
        <v>2</v>
      </c>
      <c r="E31">
        <f t="shared" si="1"/>
        <v>4</v>
      </c>
      <c r="F31">
        <f t="shared" si="2"/>
        <v>2023</v>
      </c>
      <c r="G31" t="s">
        <v>7</v>
      </c>
      <c r="H31">
        <v>-1</v>
      </c>
      <c r="I31">
        <v>3</v>
      </c>
      <c r="K31" t="s">
        <v>10</v>
      </c>
      <c r="L31" s="8">
        <f t="shared" si="3"/>
        <v>2</v>
      </c>
      <c r="M31" t="s">
        <v>39</v>
      </c>
    </row>
    <row r="32" spans="1:13" x14ac:dyDescent="0.35">
      <c r="A32">
        <f t="shared" si="4"/>
        <v>31</v>
      </c>
      <c r="B32" s="9">
        <f t="shared" si="0"/>
        <v>32.32</v>
      </c>
      <c r="C32" s="3" t="s">
        <v>31</v>
      </c>
      <c r="D32">
        <f t="shared" si="5"/>
        <v>2</v>
      </c>
      <c r="E32">
        <f t="shared" si="1"/>
        <v>4</v>
      </c>
      <c r="F32">
        <f t="shared" si="2"/>
        <v>2023</v>
      </c>
      <c r="G32" t="s">
        <v>7</v>
      </c>
      <c r="H32">
        <v>-1</v>
      </c>
      <c r="K32" t="s">
        <v>9</v>
      </c>
      <c r="L32" s="8">
        <f t="shared" si="3"/>
        <v>-1</v>
      </c>
      <c r="M32" t="s">
        <v>40</v>
      </c>
    </row>
    <row r="33" spans="1:13" x14ac:dyDescent="0.35">
      <c r="A33">
        <f>A32+1</f>
        <v>32</v>
      </c>
      <c r="B33" s="9">
        <f t="shared" si="0"/>
        <v>34.32</v>
      </c>
      <c r="C33" s="3" t="s">
        <v>31</v>
      </c>
      <c r="D33">
        <f t="shared" si="5"/>
        <v>2</v>
      </c>
      <c r="E33">
        <f t="shared" si="1"/>
        <v>4</v>
      </c>
      <c r="F33">
        <f t="shared" si="2"/>
        <v>2023</v>
      </c>
      <c r="G33" t="s">
        <v>7</v>
      </c>
      <c r="H33">
        <v>-1</v>
      </c>
      <c r="I33">
        <v>3</v>
      </c>
      <c r="K33" t="s">
        <v>10</v>
      </c>
      <c r="L33" s="8">
        <f t="shared" si="3"/>
        <v>2</v>
      </c>
      <c r="M33" t="s">
        <v>41</v>
      </c>
    </row>
    <row r="34" spans="1:13" x14ac:dyDescent="0.35">
      <c r="A34">
        <f>A33+1</f>
        <v>33</v>
      </c>
      <c r="B34" s="9">
        <f t="shared" si="0"/>
        <v>36.32</v>
      </c>
      <c r="C34" s="3" t="s">
        <v>31</v>
      </c>
      <c r="D34">
        <f t="shared" si="5"/>
        <v>2</v>
      </c>
      <c r="E34">
        <f t="shared" si="1"/>
        <v>4</v>
      </c>
      <c r="F34">
        <f t="shared" si="2"/>
        <v>2023</v>
      </c>
      <c r="G34" t="s">
        <v>7</v>
      </c>
      <c r="H34">
        <v>-1</v>
      </c>
      <c r="I34">
        <v>3</v>
      </c>
      <c r="K34" t="s">
        <v>10</v>
      </c>
      <c r="L34" s="8">
        <f t="shared" si="3"/>
        <v>2</v>
      </c>
      <c r="M34" t="s">
        <v>42</v>
      </c>
    </row>
    <row r="35" spans="1:13" x14ac:dyDescent="0.35">
      <c r="A35">
        <f t="shared" ref="A35:A54" si="6">A34+1</f>
        <v>34</v>
      </c>
      <c r="B35" s="9">
        <f t="shared" si="0"/>
        <v>35.32</v>
      </c>
      <c r="C35" s="3" t="s">
        <v>31</v>
      </c>
      <c r="D35">
        <f t="shared" si="5"/>
        <v>2</v>
      </c>
      <c r="E35">
        <f t="shared" si="1"/>
        <v>4</v>
      </c>
      <c r="F35">
        <f t="shared" si="2"/>
        <v>2023</v>
      </c>
      <c r="G35" t="s">
        <v>7</v>
      </c>
      <c r="H35">
        <v>-1</v>
      </c>
      <c r="K35" t="s">
        <v>9</v>
      </c>
      <c r="L35" s="8">
        <f t="shared" si="3"/>
        <v>-1</v>
      </c>
      <c r="M35" t="s">
        <v>43</v>
      </c>
    </row>
    <row r="36" spans="1:13" x14ac:dyDescent="0.35">
      <c r="A36">
        <f t="shared" si="6"/>
        <v>35</v>
      </c>
      <c r="B36" s="9">
        <f t="shared" si="0"/>
        <v>35.72</v>
      </c>
      <c r="C36" s="3" t="s">
        <v>31</v>
      </c>
      <c r="D36">
        <f t="shared" si="5"/>
        <v>2</v>
      </c>
      <c r="E36">
        <f t="shared" si="1"/>
        <v>4</v>
      </c>
      <c r="F36">
        <f t="shared" si="2"/>
        <v>2023</v>
      </c>
      <c r="G36" t="s">
        <v>44</v>
      </c>
      <c r="H36">
        <v>-1.1000000000000001</v>
      </c>
      <c r="I36">
        <v>1</v>
      </c>
      <c r="J36">
        <v>0.5</v>
      </c>
      <c r="K36" t="s">
        <v>10</v>
      </c>
      <c r="L36" s="8">
        <f t="shared" si="3"/>
        <v>0.36363636363636354</v>
      </c>
      <c r="M36" t="s">
        <v>45</v>
      </c>
    </row>
    <row r="37" spans="1:13" x14ac:dyDescent="0.35">
      <c r="A37">
        <f t="shared" si="6"/>
        <v>36</v>
      </c>
      <c r="B37" s="9">
        <f t="shared" si="0"/>
        <v>27.22</v>
      </c>
      <c r="C37" s="3" t="s">
        <v>46</v>
      </c>
      <c r="D37">
        <f t="shared" si="5"/>
        <v>3</v>
      </c>
      <c r="E37">
        <f t="shared" si="1"/>
        <v>4</v>
      </c>
      <c r="F37">
        <f t="shared" si="2"/>
        <v>2023</v>
      </c>
      <c r="G37" t="s">
        <v>47</v>
      </c>
      <c r="H37">
        <v>-11</v>
      </c>
      <c r="J37">
        <v>2.5</v>
      </c>
      <c r="K37" t="s">
        <v>9</v>
      </c>
      <c r="L37" s="8">
        <f t="shared" si="3"/>
        <v>-0.77272727272727271</v>
      </c>
      <c r="M37" t="s">
        <v>48</v>
      </c>
    </row>
    <row r="38" spans="1:13" x14ac:dyDescent="0.35">
      <c r="A38">
        <f t="shared" si="6"/>
        <v>37</v>
      </c>
      <c r="B38" s="9">
        <f t="shared" si="0"/>
        <v>26.22</v>
      </c>
      <c r="C38" s="3" t="s">
        <v>49</v>
      </c>
      <c r="D38">
        <f t="shared" si="5"/>
        <v>4</v>
      </c>
      <c r="E38">
        <f t="shared" si="1"/>
        <v>4</v>
      </c>
      <c r="F38">
        <f t="shared" si="2"/>
        <v>2023</v>
      </c>
      <c r="G38" t="s">
        <v>7</v>
      </c>
      <c r="H38">
        <v>-1</v>
      </c>
      <c r="K38" t="s">
        <v>9</v>
      </c>
      <c r="L38" s="8">
        <f t="shared" si="3"/>
        <v>-1</v>
      </c>
      <c r="M38" t="s">
        <v>50</v>
      </c>
    </row>
    <row r="39" spans="1:13" x14ac:dyDescent="0.35">
      <c r="A39">
        <f t="shared" si="6"/>
        <v>38</v>
      </c>
      <c r="B39" s="9">
        <f t="shared" si="0"/>
        <v>25.22</v>
      </c>
      <c r="C39" s="3" t="s">
        <v>49</v>
      </c>
      <c r="D39">
        <f t="shared" si="5"/>
        <v>4</v>
      </c>
      <c r="E39">
        <f t="shared" si="1"/>
        <v>4</v>
      </c>
      <c r="F39">
        <f t="shared" si="2"/>
        <v>2023</v>
      </c>
      <c r="G39" t="s">
        <v>7</v>
      </c>
      <c r="H39">
        <v>-1</v>
      </c>
      <c r="K39" t="s">
        <v>9</v>
      </c>
      <c r="L39" s="8">
        <f t="shared" si="3"/>
        <v>-1</v>
      </c>
      <c r="M39" t="s">
        <v>51</v>
      </c>
    </row>
    <row r="40" spans="1:13" x14ac:dyDescent="0.35">
      <c r="A40">
        <f t="shared" si="6"/>
        <v>39</v>
      </c>
      <c r="B40" s="9">
        <f t="shared" si="0"/>
        <v>24.22</v>
      </c>
      <c r="C40" s="3" t="s">
        <v>49</v>
      </c>
      <c r="D40">
        <f t="shared" si="5"/>
        <v>4</v>
      </c>
      <c r="E40">
        <f t="shared" si="1"/>
        <v>4</v>
      </c>
      <c r="F40">
        <f t="shared" si="2"/>
        <v>2023</v>
      </c>
      <c r="G40" t="s">
        <v>7</v>
      </c>
      <c r="H40">
        <v>-1</v>
      </c>
      <c r="K40" t="s">
        <v>9</v>
      </c>
      <c r="L40" s="8">
        <f t="shared" si="3"/>
        <v>-1</v>
      </c>
      <c r="M40" t="s">
        <v>52</v>
      </c>
    </row>
    <row r="41" spans="1:13" x14ac:dyDescent="0.35">
      <c r="A41">
        <f t="shared" si="6"/>
        <v>40</v>
      </c>
      <c r="B41" s="9">
        <f t="shared" si="0"/>
        <v>25.22</v>
      </c>
      <c r="C41" s="3" t="s">
        <v>49</v>
      </c>
      <c r="D41">
        <f t="shared" si="5"/>
        <v>4</v>
      </c>
      <c r="E41">
        <f t="shared" si="1"/>
        <v>4</v>
      </c>
      <c r="F41">
        <f t="shared" si="2"/>
        <v>2023</v>
      </c>
      <c r="G41" t="s">
        <v>7</v>
      </c>
      <c r="H41">
        <v>-1</v>
      </c>
      <c r="I41">
        <v>2</v>
      </c>
      <c r="K41" t="s">
        <v>10</v>
      </c>
      <c r="L41" s="8">
        <f t="shared" si="3"/>
        <v>1</v>
      </c>
      <c r="M41" t="s">
        <v>53</v>
      </c>
    </row>
    <row r="42" spans="1:13" x14ac:dyDescent="0.35">
      <c r="A42">
        <f>A41+1</f>
        <v>41</v>
      </c>
      <c r="B42" s="9">
        <f t="shared" si="0"/>
        <v>27.22</v>
      </c>
      <c r="C42" s="3" t="s">
        <v>49</v>
      </c>
      <c r="D42">
        <f t="shared" si="5"/>
        <v>4</v>
      </c>
      <c r="E42">
        <f t="shared" si="1"/>
        <v>4</v>
      </c>
      <c r="F42">
        <f t="shared" si="2"/>
        <v>2023</v>
      </c>
      <c r="G42" t="s">
        <v>7</v>
      </c>
      <c r="H42">
        <v>-1</v>
      </c>
      <c r="I42">
        <v>3</v>
      </c>
      <c r="K42" t="s">
        <v>10</v>
      </c>
      <c r="L42" s="8">
        <f t="shared" si="3"/>
        <v>2</v>
      </c>
      <c r="M42" t="s">
        <v>54</v>
      </c>
    </row>
    <row r="43" spans="1:13" x14ac:dyDescent="0.35">
      <c r="A43">
        <f t="shared" si="6"/>
        <v>42</v>
      </c>
      <c r="B43" s="9">
        <f t="shared" si="0"/>
        <v>26.22</v>
      </c>
      <c r="C43" s="3" t="s">
        <v>49</v>
      </c>
      <c r="D43">
        <f t="shared" si="5"/>
        <v>4</v>
      </c>
      <c r="E43">
        <f t="shared" si="1"/>
        <v>4</v>
      </c>
      <c r="F43">
        <f t="shared" si="2"/>
        <v>2023</v>
      </c>
      <c r="G43" t="s">
        <v>7</v>
      </c>
      <c r="H43">
        <v>-1</v>
      </c>
      <c r="K43" t="s">
        <v>9</v>
      </c>
      <c r="L43" s="8">
        <f t="shared" si="3"/>
        <v>-1</v>
      </c>
      <c r="M43" t="s">
        <v>55</v>
      </c>
    </row>
    <row r="44" spans="1:13" x14ac:dyDescent="0.35">
      <c r="A44">
        <f>A43+1</f>
        <v>43</v>
      </c>
      <c r="B44" s="9">
        <f t="shared" si="0"/>
        <v>28.22</v>
      </c>
      <c r="C44" s="3" t="s">
        <v>57</v>
      </c>
      <c r="D44">
        <f t="shared" si="5"/>
        <v>5</v>
      </c>
      <c r="E44">
        <f t="shared" si="1"/>
        <v>4</v>
      </c>
      <c r="F44">
        <f t="shared" si="2"/>
        <v>2023</v>
      </c>
      <c r="G44" t="s">
        <v>7</v>
      </c>
      <c r="H44">
        <v>-1</v>
      </c>
      <c r="I44">
        <v>3</v>
      </c>
      <c r="K44" t="s">
        <v>10</v>
      </c>
      <c r="L44" s="8">
        <f t="shared" si="3"/>
        <v>2</v>
      </c>
      <c r="M44" t="s">
        <v>58</v>
      </c>
    </row>
    <row r="45" spans="1:13" x14ac:dyDescent="0.35">
      <c r="A45">
        <f t="shared" si="6"/>
        <v>44</v>
      </c>
      <c r="B45" s="9">
        <f t="shared" si="0"/>
        <v>27.22</v>
      </c>
      <c r="C45" s="3" t="s">
        <v>57</v>
      </c>
      <c r="D45">
        <f t="shared" si="5"/>
        <v>5</v>
      </c>
      <c r="E45">
        <f t="shared" si="1"/>
        <v>4</v>
      </c>
      <c r="F45">
        <f t="shared" si="2"/>
        <v>2023</v>
      </c>
      <c r="G45" t="s">
        <v>7</v>
      </c>
      <c r="H45">
        <v>-1</v>
      </c>
      <c r="K45" t="s">
        <v>9</v>
      </c>
      <c r="L45" s="8">
        <f t="shared" si="3"/>
        <v>-1</v>
      </c>
      <c r="M45" t="s">
        <v>59</v>
      </c>
    </row>
    <row r="46" spans="1:13" x14ac:dyDescent="0.35">
      <c r="A46">
        <f>A45+1</f>
        <v>45</v>
      </c>
      <c r="B46" s="9">
        <f t="shared" si="0"/>
        <v>29.22</v>
      </c>
      <c r="C46" s="3" t="s">
        <v>57</v>
      </c>
      <c r="D46">
        <f t="shared" si="5"/>
        <v>5</v>
      </c>
      <c r="E46">
        <f t="shared" si="1"/>
        <v>4</v>
      </c>
      <c r="F46">
        <f t="shared" si="2"/>
        <v>2023</v>
      </c>
      <c r="G46" t="s">
        <v>7</v>
      </c>
      <c r="H46">
        <v>-1</v>
      </c>
      <c r="I46">
        <v>3</v>
      </c>
      <c r="K46" t="s">
        <v>10</v>
      </c>
      <c r="L46" s="8">
        <f t="shared" si="3"/>
        <v>2</v>
      </c>
      <c r="M46" t="s">
        <v>60</v>
      </c>
    </row>
    <row r="47" spans="1:13" x14ac:dyDescent="0.35">
      <c r="A47">
        <f t="shared" si="6"/>
        <v>46</v>
      </c>
      <c r="B47" s="9">
        <f t="shared" si="0"/>
        <v>30.22</v>
      </c>
      <c r="C47" s="3" t="s">
        <v>57</v>
      </c>
      <c r="D47">
        <f t="shared" si="5"/>
        <v>5</v>
      </c>
      <c r="E47">
        <f t="shared" si="1"/>
        <v>4</v>
      </c>
      <c r="F47">
        <f t="shared" si="2"/>
        <v>2023</v>
      </c>
      <c r="G47" t="s">
        <v>7</v>
      </c>
      <c r="H47">
        <v>-1</v>
      </c>
      <c r="I47">
        <v>2</v>
      </c>
      <c r="K47" t="s">
        <v>10</v>
      </c>
      <c r="L47" s="8">
        <f t="shared" si="3"/>
        <v>1</v>
      </c>
      <c r="M47" t="s">
        <v>61</v>
      </c>
    </row>
    <row r="48" spans="1:13" x14ac:dyDescent="0.35">
      <c r="A48">
        <f t="shared" si="6"/>
        <v>47</v>
      </c>
      <c r="B48" s="9">
        <f t="shared" si="0"/>
        <v>31.22</v>
      </c>
      <c r="C48" s="3" t="s">
        <v>57</v>
      </c>
      <c r="D48">
        <f t="shared" si="5"/>
        <v>5</v>
      </c>
      <c r="E48">
        <f t="shared" si="1"/>
        <v>4</v>
      </c>
      <c r="F48">
        <f t="shared" si="2"/>
        <v>2023</v>
      </c>
      <c r="G48" t="s">
        <v>7</v>
      </c>
      <c r="H48">
        <v>-1</v>
      </c>
      <c r="I48">
        <v>2</v>
      </c>
      <c r="K48" t="s">
        <v>10</v>
      </c>
      <c r="L48" s="8">
        <f t="shared" si="3"/>
        <v>1</v>
      </c>
      <c r="M48" t="s">
        <v>62</v>
      </c>
    </row>
    <row r="49" spans="1:13" x14ac:dyDescent="0.35">
      <c r="A49">
        <f t="shared" si="6"/>
        <v>48</v>
      </c>
      <c r="B49" s="9">
        <f t="shared" si="0"/>
        <v>30.22</v>
      </c>
      <c r="C49" s="3" t="s">
        <v>57</v>
      </c>
      <c r="D49">
        <f t="shared" si="5"/>
        <v>5</v>
      </c>
      <c r="E49">
        <f t="shared" si="1"/>
        <v>4</v>
      </c>
      <c r="F49">
        <f t="shared" si="2"/>
        <v>2023</v>
      </c>
      <c r="G49" t="s">
        <v>7</v>
      </c>
      <c r="H49">
        <v>-1</v>
      </c>
      <c r="K49" t="s">
        <v>9</v>
      </c>
      <c r="L49" s="8">
        <f t="shared" si="3"/>
        <v>-1</v>
      </c>
      <c r="M49" t="s">
        <v>63</v>
      </c>
    </row>
    <row r="50" spans="1:13" x14ac:dyDescent="0.35">
      <c r="A50">
        <f t="shared" si="6"/>
        <v>49</v>
      </c>
      <c r="B50" s="9">
        <f t="shared" si="0"/>
        <v>29.22</v>
      </c>
      <c r="C50" s="3" t="s">
        <v>57</v>
      </c>
      <c r="D50">
        <f t="shared" si="5"/>
        <v>5</v>
      </c>
      <c r="E50">
        <f t="shared" si="1"/>
        <v>4</v>
      </c>
      <c r="F50">
        <f t="shared" si="2"/>
        <v>2023</v>
      </c>
      <c r="G50" t="s">
        <v>7</v>
      </c>
      <c r="H50">
        <v>-1</v>
      </c>
      <c r="K50" t="s">
        <v>9</v>
      </c>
      <c r="L50" s="8">
        <f t="shared" si="3"/>
        <v>-1</v>
      </c>
      <c r="M50" t="s">
        <v>64</v>
      </c>
    </row>
    <row r="51" spans="1:13" x14ac:dyDescent="0.35">
      <c r="A51">
        <f t="shared" si="6"/>
        <v>50</v>
      </c>
      <c r="B51" s="9">
        <f t="shared" si="0"/>
        <v>28.22</v>
      </c>
      <c r="C51" s="3" t="s">
        <v>57</v>
      </c>
      <c r="D51">
        <f t="shared" si="5"/>
        <v>5</v>
      </c>
      <c r="E51">
        <f t="shared" si="1"/>
        <v>4</v>
      </c>
      <c r="F51">
        <f t="shared" si="2"/>
        <v>2023</v>
      </c>
      <c r="G51" t="s">
        <v>7</v>
      </c>
      <c r="H51">
        <v>-1</v>
      </c>
      <c r="K51" t="s">
        <v>9</v>
      </c>
      <c r="L51" s="8">
        <f t="shared" si="3"/>
        <v>-1</v>
      </c>
      <c r="M51" t="s">
        <v>65</v>
      </c>
    </row>
    <row r="52" spans="1:13" x14ac:dyDescent="0.35">
      <c r="A52">
        <f t="shared" si="6"/>
        <v>51</v>
      </c>
      <c r="B52" s="9">
        <f t="shared" si="0"/>
        <v>29.22</v>
      </c>
      <c r="C52" s="3" t="s">
        <v>57</v>
      </c>
      <c r="D52">
        <f t="shared" si="5"/>
        <v>5</v>
      </c>
      <c r="E52">
        <f t="shared" si="1"/>
        <v>4</v>
      </c>
      <c r="F52">
        <f t="shared" si="2"/>
        <v>2023</v>
      </c>
      <c r="G52" t="s">
        <v>7</v>
      </c>
      <c r="H52">
        <v>-1</v>
      </c>
      <c r="I52">
        <v>2</v>
      </c>
      <c r="K52" t="s">
        <v>10</v>
      </c>
      <c r="L52" s="8">
        <f t="shared" si="3"/>
        <v>1</v>
      </c>
      <c r="M52" t="s">
        <v>66</v>
      </c>
    </row>
    <row r="53" spans="1:13" x14ac:dyDescent="0.35">
      <c r="A53">
        <f t="shared" si="6"/>
        <v>52</v>
      </c>
      <c r="B53" s="9">
        <f t="shared" si="0"/>
        <v>28.22</v>
      </c>
      <c r="C53" s="3" t="s">
        <v>57</v>
      </c>
      <c r="D53">
        <f t="shared" si="5"/>
        <v>5</v>
      </c>
      <c r="E53">
        <f t="shared" si="1"/>
        <v>4</v>
      </c>
      <c r="F53">
        <f t="shared" si="2"/>
        <v>2023</v>
      </c>
      <c r="G53" t="s">
        <v>7</v>
      </c>
      <c r="H53">
        <v>-1</v>
      </c>
      <c r="K53" t="s">
        <v>9</v>
      </c>
      <c r="L53" s="8">
        <f t="shared" si="3"/>
        <v>-1</v>
      </c>
      <c r="M53" t="s">
        <v>67</v>
      </c>
    </row>
    <row r="54" spans="1:13" x14ac:dyDescent="0.35">
      <c r="A54">
        <f t="shared" si="6"/>
        <v>53</v>
      </c>
      <c r="B54" s="9">
        <f t="shared" si="0"/>
        <v>27.22</v>
      </c>
      <c r="C54" s="3" t="s">
        <v>57</v>
      </c>
      <c r="D54">
        <f t="shared" si="5"/>
        <v>5</v>
      </c>
      <c r="E54">
        <f t="shared" si="1"/>
        <v>4</v>
      </c>
      <c r="F54">
        <f t="shared" si="2"/>
        <v>2023</v>
      </c>
      <c r="G54" t="s">
        <v>7</v>
      </c>
      <c r="H54">
        <v>-1</v>
      </c>
      <c r="K54" t="s">
        <v>9</v>
      </c>
      <c r="L54" s="8">
        <f t="shared" si="3"/>
        <v>-1</v>
      </c>
      <c r="M54" t="s">
        <v>68</v>
      </c>
    </row>
    <row r="55" spans="1:13" x14ac:dyDescent="0.35">
      <c r="A55">
        <v>51</v>
      </c>
      <c r="B55" s="9">
        <f t="shared" si="0"/>
        <v>26.22</v>
      </c>
      <c r="C55" s="3" t="s">
        <v>57</v>
      </c>
      <c r="D55">
        <f t="shared" si="5"/>
        <v>5</v>
      </c>
      <c r="E55">
        <f t="shared" si="1"/>
        <v>4</v>
      </c>
      <c r="F55">
        <f t="shared" si="2"/>
        <v>2023</v>
      </c>
      <c r="G55" t="s">
        <v>7</v>
      </c>
      <c r="H55">
        <v>-1</v>
      </c>
      <c r="K55" t="s">
        <v>9</v>
      </c>
      <c r="L55" s="8">
        <f t="shared" si="3"/>
        <v>-1</v>
      </c>
      <c r="M55" t="s">
        <v>69</v>
      </c>
    </row>
    <row r="56" spans="1:13" x14ac:dyDescent="0.35">
      <c r="A56">
        <f>A55+1</f>
        <v>52</v>
      </c>
      <c r="B56" s="9">
        <f t="shared" si="0"/>
        <v>28.22</v>
      </c>
      <c r="C56" s="3" t="s">
        <v>57</v>
      </c>
      <c r="D56">
        <f t="shared" si="5"/>
        <v>5</v>
      </c>
      <c r="E56">
        <f t="shared" si="1"/>
        <v>4</v>
      </c>
      <c r="F56">
        <f t="shared" si="2"/>
        <v>2023</v>
      </c>
      <c r="G56" t="s">
        <v>7</v>
      </c>
      <c r="H56">
        <v>-1</v>
      </c>
      <c r="I56">
        <v>3</v>
      </c>
      <c r="K56" t="s">
        <v>10</v>
      </c>
      <c r="L56" s="8">
        <f t="shared" si="3"/>
        <v>2</v>
      </c>
      <c r="M56" t="s">
        <v>70</v>
      </c>
    </row>
    <row r="57" spans="1:13" x14ac:dyDescent="0.35">
      <c r="A57">
        <f t="shared" ref="A57" si="7">A56+1</f>
        <v>53</v>
      </c>
      <c r="B57" s="9">
        <f t="shared" si="0"/>
        <v>29.22</v>
      </c>
      <c r="C57" s="3" t="s">
        <v>57</v>
      </c>
      <c r="D57">
        <f t="shared" si="5"/>
        <v>5</v>
      </c>
      <c r="E57">
        <f t="shared" si="1"/>
        <v>4</v>
      </c>
      <c r="F57">
        <f t="shared" si="2"/>
        <v>2023</v>
      </c>
      <c r="G57" t="s">
        <v>7</v>
      </c>
      <c r="H57">
        <v>-1</v>
      </c>
      <c r="I57">
        <v>2</v>
      </c>
      <c r="K57" t="s">
        <v>10</v>
      </c>
      <c r="L57" s="8">
        <f t="shared" si="3"/>
        <v>1</v>
      </c>
      <c r="M57" t="s">
        <v>71</v>
      </c>
    </row>
    <row r="58" spans="1:13" x14ac:dyDescent="0.35">
      <c r="A58">
        <f t="shared" ref="A58:A85" si="8">A57+1</f>
        <v>54</v>
      </c>
      <c r="B58" s="9">
        <f t="shared" si="0"/>
        <v>33.22</v>
      </c>
      <c r="C58" s="3" t="s">
        <v>57</v>
      </c>
      <c r="D58">
        <f t="shared" si="5"/>
        <v>5</v>
      </c>
      <c r="E58">
        <f t="shared" si="1"/>
        <v>4</v>
      </c>
      <c r="F58">
        <f t="shared" si="2"/>
        <v>2023</v>
      </c>
      <c r="G58" t="s">
        <v>7</v>
      </c>
      <c r="H58">
        <v>-1</v>
      </c>
      <c r="I58">
        <v>5</v>
      </c>
      <c r="K58" t="s">
        <v>10</v>
      </c>
      <c r="L58" s="8">
        <f t="shared" si="3"/>
        <v>4</v>
      </c>
      <c r="M58" t="s">
        <v>72</v>
      </c>
    </row>
    <row r="59" spans="1:13" x14ac:dyDescent="0.35">
      <c r="A59">
        <f t="shared" si="8"/>
        <v>55</v>
      </c>
      <c r="B59" s="9">
        <f t="shared" si="0"/>
        <v>32.22</v>
      </c>
      <c r="C59" s="3" t="s">
        <v>57</v>
      </c>
      <c r="D59">
        <f t="shared" si="5"/>
        <v>5</v>
      </c>
      <c r="E59">
        <f t="shared" si="1"/>
        <v>4</v>
      </c>
      <c r="F59">
        <f t="shared" si="2"/>
        <v>2023</v>
      </c>
      <c r="G59" t="s">
        <v>7</v>
      </c>
      <c r="H59">
        <v>-1</v>
      </c>
      <c r="K59" t="s">
        <v>9</v>
      </c>
      <c r="L59" s="8">
        <f t="shared" si="3"/>
        <v>-1</v>
      </c>
      <c r="M59" t="s">
        <v>73</v>
      </c>
    </row>
    <row r="60" spans="1:13" x14ac:dyDescent="0.35">
      <c r="A60">
        <f t="shared" si="8"/>
        <v>56</v>
      </c>
      <c r="B60" s="9">
        <f t="shared" si="0"/>
        <v>29.669999999999998</v>
      </c>
      <c r="C60" s="3" t="s">
        <v>57</v>
      </c>
      <c r="D60">
        <f t="shared" si="5"/>
        <v>5</v>
      </c>
      <c r="E60">
        <f t="shared" si="1"/>
        <v>4</v>
      </c>
      <c r="F60">
        <f t="shared" si="2"/>
        <v>2023</v>
      </c>
      <c r="G60" t="s">
        <v>44</v>
      </c>
      <c r="H60">
        <v>-3.3</v>
      </c>
      <c r="J60">
        <v>0.75</v>
      </c>
      <c r="K60" t="s">
        <v>9</v>
      </c>
      <c r="L60" s="8">
        <f t="shared" si="3"/>
        <v>-0.77272727272727271</v>
      </c>
      <c r="M60" t="s">
        <v>74</v>
      </c>
    </row>
    <row r="61" spans="1:13" x14ac:dyDescent="0.35">
      <c r="A61">
        <f t="shared" si="8"/>
        <v>57</v>
      </c>
      <c r="B61" s="9">
        <f t="shared" si="0"/>
        <v>28.669999999999998</v>
      </c>
      <c r="C61" s="3" t="s">
        <v>57</v>
      </c>
      <c r="D61">
        <f t="shared" si="5"/>
        <v>5</v>
      </c>
      <c r="E61">
        <f t="shared" si="1"/>
        <v>4</v>
      </c>
      <c r="F61">
        <f t="shared" si="2"/>
        <v>2023</v>
      </c>
      <c r="G61" t="s">
        <v>7</v>
      </c>
      <c r="H61">
        <v>-1</v>
      </c>
      <c r="K61" t="s">
        <v>9</v>
      </c>
      <c r="L61" s="8">
        <f t="shared" si="3"/>
        <v>-1</v>
      </c>
      <c r="M61" t="s">
        <v>75</v>
      </c>
    </row>
    <row r="62" spans="1:13" x14ac:dyDescent="0.35">
      <c r="A62">
        <f t="shared" si="8"/>
        <v>58</v>
      </c>
      <c r="B62" s="9">
        <f t="shared" si="0"/>
        <v>30.669999999999998</v>
      </c>
      <c r="C62" s="3" t="s">
        <v>57</v>
      </c>
      <c r="D62">
        <f t="shared" si="5"/>
        <v>5</v>
      </c>
      <c r="E62">
        <f t="shared" si="1"/>
        <v>4</v>
      </c>
      <c r="F62">
        <f t="shared" si="2"/>
        <v>2023</v>
      </c>
      <c r="G62" t="s">
        <v>7</v>
      </c>
      <c r="H62">
        <v>-1</v>
      </c>
      <c r="I62">
        <v>3</v>
      </c>
      <c r="K62" t="s">
        <v>10</v>
      </c>
      <c r="L62" s="8">
        <f t="shared" si="3"/>
        <v>2</v>
      </c>
      <c r="M62" t="s">
        <v>76</v>
      </c>
    </row>
    <row r="63" spans="1:13" x14ac:dyDescent="0.35">
      <c r="A63">
        <f t="shared" si="8"/>
        <v>59</v>
      </c>
      <c r="B63" s="9">
        <f t="shared" si="0"/>
        <v>32.67</v>
      </c>
      <c r="C63" s="3" t="s">
        <v>77</v>
      </c>
      <c r="D63">
        <f t="shared" si="5"/>
        <v>6</v>
      </c>
      <c r="E63">
        <f t="shared" si="1"/>
        <v>4</v>
      </c>
      <c r="F63">
        <f t="shared" si="2"/>
        <v>2023</v>
      </c>
      <c r="G63" t="s">
        <v>7</v>
      </c>
      <c r="H63">
        <v>-1</v>
      </c>
      <c r="I63">
        <v>3</v>
      </c>
      <c r="K63" t="s">
        <v>10</v>
      </c>
      <c r="L63" s="8">
        <f t="shared" si="3"/>
        <v>2</v>
      </c>
      <c r="M63" t="s">
        <v>78</v>
      </c>
    </row>
    <row r="64" spans="1:13" x14ac:dyDescent="0.35">
      <c r="A64">
        <f t="shared" si="8"/>
        <v>60</v>
      </c>
      <c r="B64" s="9">
        <f t="shared" si="0"/>
        <v>31.67</v>
      </c>
      <c r="C64" s="3" t="s">
        <v>77</v>
      </c>
      <c r="D64">
        <f t="shared" si="5"/>
        <v>6</v>
      </c>
      <c r="E64">
        <f t="shared" si="1"/>
        <v>4</v>
      </c>
      <c r="F64">
        <f t="shared" si="2"/>
        <v>2023</v>
      </c>
      <c r="G64" t="s">
        <v>7</v>
      </c>
      <c r="H64">
        <v>-1</v>
      </c>
      <c r="K64" t="s">
        <v>9</v>
      </c>
      <c r="L64" s="8">
        <f t="shared" si="3"/>
        <v>-1</v>
      </c>
      <c r="M64" t="s">
        <v>79</v>
      </c>
    </row>
    <row r="65" spans="1:13" x14ac:dyDescent="0.35">
      <c r="A65">
        <f t="shared" si="8"/>
        <v>61</v>
      </c>
      <c r="B65" s="9">
        <f t="shared" si="0"/>
        <v>30.67</v>
      </c>
      <c r="C65" s="3" t="s">
        <v>77</v>
      </c>
      <c r="D65">
        <f t="shared" si="5"/>
        <v>6</v>
      </c>
      <c r="E65">
        <f t="shared" si="1"/>
        <v>4</v>
      </c>
      <c r="F65">
        <f t="shared" si="2"/>
        <v>2023</v>
      </c>
      <c r="G65" t="s">
        <v>7</v>
      </c>
      <c r="H65">
        <v>-1</v>
      </c>
      <c r="K65" t="s">
        <v>9</v>
      </c>
      <c r="L65" s="8">
        <f t="shared" si="3"/>
        <v>-1</v>
      </c>
      <c r="M65" t="s">
        <v>80</v>
      </c>
    </row>
    <row r="66" spans="1:13" x14ac:dyDescent="0.35">
      <c r="A66">
        <f t="shared" si="8"/>
        <v>62</v>
      </c>
      <c r="B66" s="9">
        <f t="shared" si="0"/>
        <v>32.67</v>
      </c>
      <c r="C66" s="3" t="s">
        <v>77</v>
      </c>
      <c r="D66">
        <f t="shared" si="5"/>
        <v>6</v>
      </c>
      <c r="E66">
        <f t="shared" si="1"/>
        <v>4</v>
      </c>
      <c r="F66">
        <f t="shared" si="2"/>
        <v>2023</v>
      </c>
      <c r="G66" t="s">
        <v>7</v>
      </c>
      <c r="H66">
        <v>-1</v>
      </c>
      <c r="I66">
        <v>3</v>
      </c>
      <c r="K66" t="s">
        <v>10</v>
      </c>
      <c r="L66" s="8">
        <f t="shared" si="3"/>
        <v>2</v>
      </c>
      <c r="M66" t="s">
        <v>81</v>
      </c>
    </row>
    <row r="67" spans="1:13" x14ac:dyDescent="0.35">
      <c r="A67">
        <f t="shared" si="8"/>
        <v>63</v>
      </c>
      <c r="B67" s="9">
        <f t="shared" si="0"/>
        <v>33.67</v>
      </c>
      <c r="C67" s="3" t="s">
        <v>77</v>
      </c>
      <c r="D67">
        <f t="shared" si="5"/>
        <v>6</v>
      </c>
      <c r="E67">
        <f t="shared" si="1"/>
        <v>4</v>
      </c>
      <c r="F67">
        <f t="shared" si="2"/>
        <v>2023</v>
      </c>
      <c r="G67" t="s">
        <v>7</v>
      </c>
      <c r="H67">
        <v>-1</v>
      </c>
      <c r="I67">
        <v>2</v>
      </c>
      <c r="K67" t="s">
        <v>10</v>
      </c>
      <c r="L67" s="8">
        <f t="shared" si="3"/>
        <v>1</v>
      </c>
      <c r="M67" t="s">
        <v>82</v>
      </c>
    </row>
    <row r="68" spans="1:13" x14ac:dyDescent="0.35">
      <c r="A68">
        <f t="shared" si="8"/>
        <v>64</v>
      </c>
      <c r="B68" s="9">
        <f t="shared" si="0"/>
        <v>32.67</v>
      </c>
      <c r="C68" s="3" t="s">
        <v>77</v>
      </c>
      <c r="D68">
        <f t="shared" si="5"/>
        <v>6</v>
      </c>
      <c r="E68">
        <f t="shared" si="1"/>
        <v>4</v>
      </c>
      <c r="F68">
        <f t="shared" si="2"/>
        <v>2023</v>
      </c>
      <c r="G68" t="s">
        <v>7</v>
      </c>
      <c r="H68">
        <v>-1</v>
      </c>
      <c r="K68" t="s">
        <v>9</v>
      </c>
      <c r="L68" s="8">
        <f t="shared" si="3"/>
        <v>-1</v>
      </c>
      <c r="M68" t="s">
        <v>83</v>
      </c>
    </row>
    <row r="69" spans="1:13" x14ac:dyDescent="0.35">
      <c r="A69">
        <f t="shared" si="8"/>
        <v>65</v>
      </c>
      <c r="B69" s="9">
        <f t="shared" si="0"/>
        <v>34.67</v>
      </c>
      <c r="C69" s="3" t="s">
        <v>77</v>
      </c>
      <c r="D69">
        <f t="shared" si="5"/>
        <v>6</v>
      </c>
      <c r="E69">
        <f t="shared" si="1"/>
        <v>4</v>
      </c>
      <c r="F69">
        <f t="shared" si="2"/>
        <v>2023</v>
      </c>
      <c r="G69" t="s">
        <v>7</v>
      </c>
      <c r="H69">
        <v>-1</v>
      </c>
      <c r="I69">
        <v>3</v>
      </c>
      <c r="K69" t="s">
        <v>10</v>
      </c>
      <c r="L69" s="8">
        <f t="shared" si="3"/>
        <v>2</v>
      </c>
      <c r="M69" t="s">
        <v>84</v>
      </c>
    </row>
    <row r="70" spans="1:13" x14ac:dyDescent="0.35">
      <c r="A70">
        <f t="shared" si="8"/>
        <v>66</v>
      </c>
      <c r="B70" s="9">
        <f t="shared" ref="B70:B133" si="9">B69+H70+I70+J70</f>
        <v>33.67</v>
      </c>
      <c r="C70" s="3" t="s">
        <v>77</v>
      </c>
      <c r="D70">
        <f t="shared" si="5"/>
        <v>6</v>
      </c>
      <c r="E70">
        <f t="shared" ref="E70:E133" si="10">_xlfn.NUMBERVALUE(MID(C70,4,2))</f>
        <v>4</v>
      </c>
      <c r="F70">
        <f t="shared" ref="F70:F133" si="11">_xlfn.NUMBERVALUE(RIGHT(C70,4))</f>
        <v>2023</v>
      </c>
      <c r="G70" t="s">
        <v>7</v>
      </c>
      <c r="H70">
        <v>-1</v>
      </c>
      <c r="K70" t="s">
        <v>9</v>
      </c>
      <c r="L70" s="8">
        <f t="shared" ref="L70:L133" si="12">IF(H70="",0,(SUM(I70:J70)/-H70)-1)</f>
        <v>-1</v>
      </c>
      <c r="M70" t="s">
        <v>85</v>
      </c>
    </row>
    <row r="71" spans="1:13" x14ac:dyDescent="0.35">
      <c r="A71">
        <f t="shared" si="8"/>
        <v>67</v>
      </c>
      <c r="B71" s="9">
        <f t="shared" si="9"/>
        <v>32.67</v>
      </c>
      <c r="C71" s="3" t="s">
        <v>87</v>
      </c>
      <c r="D71">
        <f t="shared" ref="D71:D134" si="13">_xlfn.NUMBERVALUE(LEFT(C71,2))</f>
        <v>7</v>
      </c>
      <c r="E71">
        <f t="shared" si="10"/>
        <v>4</v>
      </c>
      <c r="F71">
        <f t="shared" si="11"/>
        <v>2023</v>
      </c>
      <c r="G71" t="s">
        <v>7</v>
      </c>
      <c r="H71">
        <v>-1</v>
      </c>
      <c r="K71" t="s">
        <v>9</v>
      </c>
      <c r="L71" s="8">
        <f t="shared" si="12"/>
        <v>-1</v>
      </c>
      <c r="M71" t="s">
        <v>86</v>
      </c>
    </row>
    <row r="72" spans="1:13" x14ac:dyDescent="0.35">
      <c r="A72">
        <f t="shared" si="8"/>
        <v>68</v>
      </c>
      <c r="B72" s="9">
        <f t="shared" si="9"/>
        <v>31.67</v>
      </c>
      <c r="C72" s="3" t="s">
        <v>87</v>
      </c>
      <c r="D72">
        <f t="shared" si="13"/>
        <v>7</v>
      </c>
      <c r="E72">
        <f t="shared" si="10"/>
        <v>4</v>
      </c>
      <c r="F72">
        <f t="shared" si="11"/>
        <v>2023</v>
      </c>
      <c r="G72" t="s">
        <v>7</v>
      </c>
      <c r="H72">
        <v>-1</v>
      </c>
      <c r="K72" t="s">
        <v>9</v>
      </c>
      <c r="L72" s="8">
        <f t="shared" si="12"/>
        <v>-1</v>
      </c>
      <c r="M72" t="s">
        <v>88</v>
      </c>
    </row>
    <row r="73" spans="1:13" x14ac:dyDescent="0.35">
      <c r="A73">
        <f t="shared" si="8"/>
        <v>69</v>
      </c>
      <c r="B73" s="9">
        <f t="shared" si="9"/>
        <v>30.67</v>
      </c>
      <c r="C73" s="3" t="s">
        <v>87</v>
      </c>
      <c r="D73">
        <f t="shared" si="13"/>
        <v>7</v>
      </c>
      <c r="E73">
        <f t="shared" si="10"/>
        <v>4</v>
      </c>
      <c r="F73">
        <f t="shared" si="11"/>
        <v>2023</v>
      </c>
      <c r="G73" t="s">
        <v>7</v>
      </c>
      <c r="H73">
        <v>-1</v>
      </c>
      <c r="K73" t="s">
        <v>9</v>
      </c>
      <c r="L73" s="8">
        <f t="shared" si="12"/>
        <v>-1</v>
      </c>
      <c r="M73" t="s">
        <v>89</v>
      </c>
    </row>
    <row r="74" spans="1:13" x14ac:dyDescent="0.35">
      <c r="A74">
        <f t="shared" si="8"/>
        <v>70</v>
      </c>
      <c r="B74" s="9">
        <f t="shared" si="9"/>
        <v>29.67</v>
      </c>
      <c r="C74" s="3" t="s">
        <v>87</v>
      </c>
      <c r="D74">
        <f t="shared" si="13"/>
        <v>7</v>
      </c>
      <c r="E74">
        <f t="shared" si="10"/>
        <v>4</v>
      </c>
      <c r="F74">
        <f t="shared" si="11"/>
        <v>2023</v>
      </c>
      <c r="G74" t="s">
        <v>7</v>
      </c>
      <c r="H74">
        <v>-1</v>
      </c>
      <c r="K74" t="s">
        <v>9</v>
      </c>
      <c r="L74" s="8">
        <f t="shared" si="12"/>
        <v>-1</v>
      </c>
      <c r="M74" t="s">
        <v>90</v>
      </c>
    </row>
    <row r="75" spans="1:13" x14ac:dyDescent="0.35">
      <c r="A75">
        <f t="shared" si="8"/>
        <v>71</v>
      </c>
      <c r="B75" s="9">
        <f t="shared" si="9"/>
        <v>28.67</v>
      </c>
      <c r="C75" s="3" t="s">
        <v>87</v>
      </c>
      <c r="D75">
        <f t="shared" si="13"/>
        <v>7</v>
      </c>
      <c r="E75">
        <f t="shared" si="10"/>
        <v>4</v>
      </c>
      <c r="F75">
        <f t="shared" si="11"/>
        <v>2023</v>
      </c>
      <c r="G75" t="s">
        <v>7</v>
      </c>
      <c r="H75">
        <v>-1</v>
      </c>
      <c r="K75" t="s">
        <v>9</v>
      </c>
      <c r="L75" s="8">
        <f t="shared" si="12"/>
        <v>-1</v>
      </c>
      <c r="M75" t="s">
        <v>91</v>
      </c>
    </row>
    <row r="76" spans="1:13" x14ac:dyDescent="0.35">
      <c r="A76">
        <f t="shared" si="8"/>
        <v>72</v>
      </c>
      <c r="B76" s="9">
        <f t="shared" si="9"/>
        <v>27.67</v>
      </c>
      <c r="C76" s="3" t="s">
        <v>87</v>
      </c>
      <c r="D76">
        <f t="shared" si="13"/>
        <v>7</v>
      </c>
      <c r="E76">
        <f t="shared" si="10"/>
        <v>4</v>
      </c>
      <c r="F76">
        <f t="shared" si="11"/>
        <v>2023</v>
      </c>
      <c r="G76" t="s">
        <v>7</v>
      </c>
      <c r="H76">
        <v>-1</v>
      </c>
      <c r="K76" t="s">
        <v>9</v>
      </c>
      <c r="L76" s="8">
        <f t="shared" si="12"/>
        <v>-1</v>
      </c>
      <c r="M76" t="s">
        <v>92</v>
      </c>
    </row>
    <row r="77" spans="1:13" x14ac:dyDescent="0.35">
      <c r="A77">
        <f t="shared" si="8"/>
        <v>73</v>
      </c>
      <c r="B77" s="9">
        <f t="shared" si="9"/>
        <v>26.67</v>
      </c>
      <c r="C77" s="3" t="s">
        <v>87</v>
      </c>
      <c r="D77">
        <f t="shared" si="13"/>
        <v>7</v>
      </c>
      <c r="E77">
        <f t="shared" si="10"/>
        <v>4</v>
      </c>
      <c r="F77">
        <f t="shared" si="11"/>
        <v>2023</v>
      </c>
      <c r="G77" t="s">
        <v>7</v>
      </c>
      <c r="H77">
        <v>-1</v>
      </c>
      <c r="K77" t="s">
        <v>9</v>
      </c>
      <c r="L77" s="8">
        <f t="shared" si="12"/>
        <v>-1</v>
      </c>
      <c r="M77" t="s">
        <v>93</v>
      </c>
    </row>
    <row r="78" spans="1:13" x14ac:dyDescent="0.35">
      <c r="A78">
        <f t="shared" si="8"/>
        <v>74</v>
      </c>
      <c r="B78" s="9">
        <f t="shared" si="9"/>
        <v>25.67</v>
      </c>
      <c r="C78" s="3" t="s">
        <v>87</v>
      </c>
      <c r="D78">
        <f t="shared" si="13"/>
        <v>7</v>
      </c>
      <c r="E78">
        <f t="shared" si="10"/>
        <v>4</v>
      </c>
      <c r="F78">
        <f t="shared" si="11"/>
        <v>2023</v>
      </c>
      <c r="G78" t="s">
        <v>7</v>
      </c>
      <c r="H78">
        <v>-1</v>
      </c>
      <c r="K78" t="s">
        <v>9</v>
      </c>
      <c r="L78" s="8">
        <f t="shared" si="12"/>
        <v>-1</v>
      </c>
      <c r="M78" t="s">
        <v>94</v>
      </c>
    </row>
    <row r="79" spans="1:13" x14ac:dyDescent="0.35">
      <c r="A79">
        <f t="shared" si="8"/>
        <v>75</v>
      </c>
      <c r="B79" s="9">
        <f t="shared" si="9"/>
        <v>24.67</v>
      </c>
      <c r="C79" s="3" t="s">
        <v>87</v>
      </c>
      <c r="D79">
        <f t="shared" si="13"/>
        <v>7</v>
      </c>
      <c r="E79">
        <f t="shared" si="10"/>
        <v>4</v>
      </c>
      <c r="F79">
        <f t="shared" si="11"/>
        <v>2023</v>
      </c>
      <c r="G79" t="s">
        <v>7</v>
      </c>
      <c r="H79">
        <v>-1</v>
      </c>
      <c r="K79" t="s">
        <v>9</v>
      </c>
      <c r="L79" s="8">
        <f t="shared" si="12"/>
        <v>-1</v>
      </c>
      <c r="M79" t="s">
        <v>95</v>
      </c>
    </row>
    <row r="80" spans="1:13" x14ac:dyDescent="0.35">
      <c r="A80">
        <f t="shared" si="8"/>
        <v>76</v>
      </c>
      <c r="B80" s="9">
        <f t="shared" si="9"/>
        <v>23.67</v>
      </c>
      <c r="C80" s="3" t="s">
        <v>87</v>
      </c>
      <c r="D80">
        <f t="shared" si="13"/>
        <v>7</v>
      </c>
      <c r="E80">
        <f t="shared" si="10"/>
        <v>4</v>
      </c>
      <c r="F80">
        <f t="shared" si="11"/>
        <v>2023</v>
      </c>
      <c r="G80" t="s">
        <v>7</v>
      </c>
      <c r="H80">
        <v>-1</v>
      </c>
      <c r="K80" t="s">
        <v>9</v>
      </c>
      <c r="L80" s="8">
        <f t="shared" si="12"/>
        <v>-1</v>
      </c>
      <c r="M80" t="s">
        <v>96</v>
      </c>
    </row>
    <row r="81" spans="1:13" x14ac:dyDescent="0.35">
      <c r="A81">
        <f>A80+1</f>
        <v>77</v>
      </c>
      <c r="B81" s="9">
        <f t="shared" si="9"/>
        <v>22.67</v>
      </c>
      <c r="C81" s="3" t="s">
        <v>87</v>
      </c>
      <c r="D81">
        <f t="shared" si="13"/>
        <v>7</v>
      </c>
      <c r="E81">
        <f t="shared" si="10"/>
        <v>4</v>
      </c>
      <c r="F81">
        <f t="shared" si="11"/>
        <v>2023</v>
      </c>
      <c r="G81" t="s">
        <v>7</v>
      </c>
      <c r="H81">
        <v>-1</v>
      </c>
      <c r="K81" t="s">
        <v>9</v>
      </c>
      <c r="L81" s="8">
        <f t="shared" si="12"/>
        <v>-1</v>
      </c>
      <c r="M81" t="s">
        <v>97</v>
      </c>
    </row>
    <row r="82" spans="1:13" x14ac:dyDescent="0.35">
      <c r="A82">
        <f>A81+1</f>
        <v>78</v>
      </c>
      <c r="B82" s="9">
        <f t="shared" si="9"/>
        <v>21.67</v>
      </c>
      <c r="C82" s="3" t="s">
        <v>87</v>
      </c>
      <c r="D82">
        <f t="shared" si="13"/>
        <v>7</v>
      </c>
      <c r="E82">
        <f t="shared" si="10"/>
        <v>4</v>
      </c>
      <c r="F82">
        <f t="shared" si="11"/>
        <v>2023</v>
      </c>
      <c r="G82" t="s">
        <v>7</v>
      </c>
      <c r="H82">
        <v>-1</v>
      </c>
      <c r="K82" t="s">
        <v>9</v>
      </c>
      <c r="L82" s="8">
        <f t="shared" si="12"/>
        <v>-1</v>
      </c>
      <c r="M82" t="s">
        <v>98</v>
      </c>
    </row>
    <row r="83" spans="1:13" x14ac:dyDescent="0.35">
      <c r="A83">
        <f t="shared" si="8"/>
        <v>79</v>
      </c>
      <c r="B83" s="9">
        <f t="shared" si="9"/>
        <v>25.67</v>
      </c>
      <c r="C83" s="3" t="s">
        <v>87</v>
      </c>
      <c r="D83">
        <f t="shared" si="13"/>
        <v>7</v>
      </c>
      <c r="E83">
        <f t="shared" si="10"/>
        <v>4</v>
      </c>
      <c r="F83">
        <f t="shared" si="11"/>
        <v>2023</v>
      </c>
      <c r="G83" t="s">
        <v>7</v>
      </c>
      <c r="H83">
        <v>-1</v>
      </c>
      <c r="I83">
        <v>5</v>
      </c>
      <c r="K83" t="s">
        <v>10</v>
      </c>
      <c r="L83" s="8">
        <f t="shared" si="12"/>
        <v>4</v>
      </c>
      <c r="M83" t="s">
        <v>99</v>
      </c>
    </row>
    <row r="84" spans="1:13" x14ac:dyDescent="0.35">
      <c r="A84">
        <f t="shared" si="8"/>
        <v>80</v>
      </c>
      <c r="B84" s="9">
        <f t="shared" si="9"/>
        <v>27.67</v>
      </c>
      <c r="C84" s="3" t="s">
        <v>87</v>
      </c>
      <c r="D84">
        <f t="shared" si="13"/>
        <v>7</v>
      </c>
      <c r="E84">
        <f t="shared" si="10"/>
        <v>4</v>
      </c>
      <c r="F84">
        <f t="shared" si="11"/>
        <v>2023</v>
      </c>
      <c r="G84" t="s">
        <v>7</v>
      </c>
      <c r="H84">
        <v>-1</v>
      </c>
      <c r="I84">
        <v>3</v>
      </c>
      <c r="K84" t="s">
        <v>10</v>
      </c>
      <c r="L84" s="8">
        <f t="shared" si="12"/>
        <v>2</v>
      </c>
      <c r="M84" t="s">
        <v>100</v>
      </c>
    </row>
    <row r="85" spans="1:13" x14ac:dyDescent="0.35">
      <c r="A85">
        <f t="shared" si="8"/>
        <v>81</v>
      </c>
      <c r="B85" s="9">
        <f t="shared" si="9"/>
        <v>31.67</v>
      </c>
      <c r="C85" s="3" t="s">
        <v>87</v>
      </c>
      <c r="D85">
        <f t="shared" si="13"/>
        <v>7</v>
      </c>
      <c r="E85">
        <f t="shared" si="10"/>
        <v>4</v>
      </c>
      <c r="F85">
        <f t="shared" si="11"/>
        <v>2023</v>
      </c>
      <c r="G85" t="s">
        <v>7</v>
      </c>
      <c r="H85">
        <v>-1</v>
      </c>
      <c r="I85">
        <v>5</v>
      </c>
      <c r="K85" t="s">
        <v>10</v>
      </c>
      <c r="L85" s="8">
        <f t="shared" si="12"/>
        <v>4</v>
      </c>
      <c r="M85" t="s">
        <v>101</v>
      </c>
    </row>
    <row r="86" spans="1:13" x14ac:dyDescent="0.35">
      <c r="A86">
        <f>A85+1</f>
        <v>82</v>
      </c>
      <c r="B86" s="9">
        <f t="shared" si="9"/>
        <v>30.67</v>
      </c>
      <c r="C86" s="3" t="s">
        <v>87</v>
      </c>
      <c r="D86">
        <f t="shared" si="13"/>
        <v>7</v>
      </c>
      <c r="E86">
        <f t="shared" si="10"/>
        <v>4</v>
      </c>
      <c r="F86">
        <f t="shared" si="11"/>
        <v>2023</v>
      </c>
      <c r="G86" t="s">
        <v>7</v>
      </c>
      <c r="H86">
        <v>-1</v>
      </c>
      <c r="K86" t="s">
        <v>9</v>
      </c>
      <c r="L86" s="8">
        <f t="shared" si="12"/>
        <v>-1</v>
      </c>
      <c r="M86" t="s">
        <v>102</v>
      </c>
    </row>
    <row r="87" spans="1:13" x14ac:dyDescent="0.35">
      <c r="A87">
        <f>A86+1</f>
        <v>83</v>
      </c>
      <c r="B87" s="9">
        <f t="shared" si="9"/>
        <v>29.67</v>
      </c>
      <c r="C87" s="3" t="s">
        <v>87</v>
      </c>
      <c r="D87">
        <f t="shared" si="13"/>
        <v>7</v>
      </c>
      <c r="E87">
        <f t="shared" si="10"/>
        <v>4</v>
      </c>
      <c r="F87">
        <f t="shared" si="11"/>
        <v>2023</v>
      </c>
      <c r="G87" t="s">
        <v>7</v>
      </c>
      <c r="H87">
        <v>-1</v>
      </c>
      <c r="K87" t="s">
        <v>9</v>
      </c>
      <c r="L87" s="8">
        <f t="shared" si="12"/>
        <v>-1</v>
      </c>
      <c r="M87" t="s">
        <v>103</v>
      </c>
    </row>
    <row r="88" spans="1:13" x14ac:dyDescent="0.35">
      <c r="A88">
        <f t="shared" ref="A88" si="14">A87+1</f>
        <v>84</v>
      </c>
      <c r="B88" s="9">
        <f t="shared" si="9"/>
        <v>30.67</v>
      </c>
      <c r="C88" s="3" t="s">
        <v>87</v>
      </c>
      <c r="D88">
        <f t="shared" si="13"/>
        <v>7</v>
      </c>
      <c r="E88">
        <f t="shared" si="10"/>
        <v>4</v>
      </c>
      <c r="F88">
        <f t="shared" si="11"/>
        <v>2023</v>
      </c>
      <c r="G88" t="s">
        <v>7</v>
      </c>
      <c r="H88">
        <v>-1</v>
      </c>
      <c r="I88">
        <v>2</v>
      </c>
      <c r="K88" t="s">
        <v>10</v>
      </c>
      <c r="L88" s="8">
        <f t="shared" si="12"/>
        <v>1</v>
      </c>
      <c r="M88" t="s">
        <v>104</v>
      </c>
    </row>
    <row r="89" spans="1:13" x14ac:dyDescent="0.35">
      <c r="A89">
        <f>A88+1</f>
        <v>85</v>
      </c>
      <c r="B89" s="9">
        <f t="shared" si="9"/>
        <v>29.67</v>
      </c>
      <c r="C89" s="3" t="s">
        <v>87</v>
      </c>
      <c r="D89">
        <f t="shared" si="13"/>
        <v>7</v>
      </c>
      <c r="E89">
        <f t="shared" si="10"/>
        <v>4</v>
      </c>
      <c r="F89">
        <f t="shared" si="11"/>
        <v>2023</v>
      </c>
      <c r="G89" t="s">
        <v>7</v>
      </c>
      <c r="H89">
        <v>-1</v>
      </c>
      <c r="K89" t="s">
        <v>9</v>
      </c>
      <c r="L89" s="8">
        <f t="shared" si="12"/>
        <v>-1</v>
      </c>
      <c r="M89" t="s">
        <v>105</v>
      </c>
    </row>
    <row r="90" spans="1:13" x14ac:dyDescent="0.35">
      <c r="A90">
        <f t="shared" ref="A90" si="15">A89+1</f>
        <v>86</v>
      </c>
      <c r="B90" s="9">
        <f t="shared" si="9"/>
        <v>31.67</v>
      </c>
      <c r="C90" s="3" t="s">
        <v>87</v>
      </c>
      <c r="D90">
        <f t="shared" si="13"/>
        <v>7</v>
      </c>
      <c r="E90">
        <f t="shared" si="10"/>
        <v>4</v>
      </c>
      <c r="F90">
        <f t="shared" si="11"/>
        <v>2023</v>
      </c>
      <c r="G90" t="s">
        <v>7</v>
      </c>
      <c r="H90">
        <v>-1</v>
      </c>
      <c r="I90">
        <v>3</v>
      </c>
      <c r="K90" t="s">
        <v>10</v>
      </c>
      <c r="L90" s="8">
        <f t="shared" si="12"/>
        <v>2</v>
      </c>
      <c r="M90" t="s">
        <v>106</v>
      </c>
    </row>
    <row r="91" spans="1:13" x14ac:dyDescent="0.35">
      <c r="A91">
        <f>A90+1</f>
        <v>87</v>
      </c>
      <c r="B91" s="9">
        <f t="shared" si="9"/>
        <v>30.67</v>
      </c>
      <c r="C91" s="3" t="s">
        <v>87</v>
      </c>
      <c r="D91">
        <f t="shared" si="13"/>
        <v>7</v>
      </c>
      <c r="E91">
        <f t="shared" si="10"/>
        <v>4</v>
      </c>
      <c r="F91">
        <f t="shared" si="11"/>
        <v>2023</v>
      </c>
      <c r="G91" t="s">
        <v>7</v>
      </c>
      <c r="H91">
        <v>-1</v>
      </c>
      <c r="K91" t="s">
        <v>9</v>
      </c>
      <c r="L91" s="8">
        <f t="shared" si="12"/>
        <v>-1</v>
      </c>
      <c r="M91" t="s">
        <v>107</v>
      </c>
    </row>
    <row r="92" spans="1:13" x14ac:dyDescent="0.35">
      <c r="A92">
        <f>A91+1</f>
        <v>88</v>
      </c>
      <c r="B92" s="9">
        <f t="shared" si="9"/>
        <v>29.67</v>
      </c>
      <c r="C92" s="3" t="s">
        <v>87</v>
      </c>
      <c r="D92">
        <f t="shared" si="13"/>
        <v>7</v>
      </c>
      <c r="E92">
        <f t="shared" si="10"/>
        <v>4</v>
      </c>
      <c r="F92">
        <f t="shared" si="11"/>
        <v>2023</v>
      </c>
      <c r="G92" t="s">
        <v>7</v>
      </c>
      <c r="H92">
        <v>-1</v>
      </c>
      <c r="K92" t="s">
        <v>9</v>
      </c>
      <c r="L92" s="8">
        <f t="shared" si="12"/>
        <v>-1</v>
      </c>
      <c r="M92" t="s">
        <v>108</v>
      </c>
    </row>
    <row r="93" spans="1:13" x14ac:dyDescent="0.35">
      <c r="A93">
        <f>A92+1</f>
        <v>89</v>
      </c>
      <c r="B93" s="9">
        <f t="shared" si="9"/>
        <v>28.67</v>
      </c>
      <c r="C93" s="3" t="s">
        <v>87</v>
      </c>
      <c r="D93">
        <f t="shared" si="13"/>
        <v>7</v>
      </c>
      <c r="E93">
        <f t="shared" si="10"/>
        <v>4</v>
      </c>
      <c r="F93">
        <f t="shared" si="11"/>
        <v>2023</v>
      </c>
      <c r="G93" t="s">
        <v>7</v>
      </c>
      <c r="H93">
        <v>-1</v>
      </c>
      <c r="K93" t="s">
        <v>9</v>
      </c>
      <c r="L93" s="8">
        <f t="shared" si="12"/>
        <v>-1</v>
      </c>
      <c r="M93" t="s">
        <v>109</v>
      </c>
    </row>
    <row r="94" spans="1:13" x14ac:dyDescent="0.35">
      <c r="A94">
        <f>A93+1</f>
        <v>90</v>
      </c>
      <c r="B94" s="9">
        <f t="shared" si="9"/>
        <v>30.67</v>
      </c>
      <c r="C94" s="3" t="s">
        <v>87</v>
      </c>
      <c r="D94">
        <f t="shared" si="13"/>
        <v>7</v>
      </c>
      <c r="E94">
        <f t="shared" si="10"/>
        <v>4</v>
      </c>
      <c r="F94">
        <f t="shared" si="11"/>
        <v>2023</v>
      </c>
      <c r="G94" t="s">
        <v>7</v>
      </c>
      <c r="H94">
        <v>-1</v>
      </c>
      <c r="I94">
        <v>3</v>
      </c>
      <c r="K94" t="s">
        <v>10</v>
      </c>
      <c r="L94" s="8">
        <f t="shared" si="12"/>
        <v>2</v>
      </c>
      <c r="M94" t="s">
        <v>110</v>
      </c>
    </row>
    <row r="95" spans="1:13" x14ac:dyDescent="0.35">
      <c r="A95">
        <f>A94+1</f>
        <v>91</v>
      </c>
      <c r="B95" s="9">
        <f t="shared" si="9"/>
        <v>29.67</v>
      </c>
      <c r="C95" s="3" t="s">
        <v>111</v>
      </c>
      <c r="D95">
        <f t="shared" si="13"/>
        <v>8</v>
      </c>
      <c r="E95">
        <f t="shared" si="10"/>
        <v>4</v>
      </c>
      <c r="F95">
        <f t="shared" si="11"/>
        <v>2023</v>
      </c>
      <c r="G95" t="s">
        <v>7</v>
      </c>
      <c r="H95">
        <v>-1</v>
      </c>
      <c r="K95" t="s">
        <v>9</v>
      </c>
      <c r="L95" s="8">
        <f t="shared" si="12"/>
        <v>-1</v>
      </c>
      <c r="M95" t="s">
        <v>112</v>
      </c>
    </row>
    <row r="96" spans="1:13" x14ac:dyDescent="0.35">
      <c r="A96">
        <f t="shared" ref="A96:A102" si="16">A95+1</f>
        <v>92</v>
      </c>
      <c r="B96" s="9">
        <f t="shared" si="9"/>
        <v>30.67</v>
      </c>
      <c r="C96" s="3" t="s">
        <v>111</v>
      </c>
      <c r="D96">
        <f t="shared" si="13"/>
        <v>8</v>
      </c>
      <c r="E96">
        <f t="shared" si="10"/>
        <v>4</v>
      </c>
      <c r="F96">
        <f t="shared" si="11"/>
        <v>2023</v>
      </c>
      <c r="G96" t="s">
        <v>7</v>
      </c>
      <c r="H96">
        <v>-1</v>
      </c>
      <c r="I96">
        <v>2</v>
      </c>
      <c r="K96" t="s">
        <v>10</v>
      </c>
      <c r="L96" s="8">
        <f t="shared" si="12"/>
        <v>1</v>
      </c>
      <c r="M96" t="s">
        <v>113</v>
      </c>
    </row>
    <row r="97" spans="1:13" x14ac:dyDescent="0.35">
      <c r="A97">
        <f t="shared" si="16"/>
        <v>93</v>
      </c>
      <c r="B97" s="9">
        <f t="shared" si="9"/>
        <v>31.67</v>
      </c>
      <c r="C97" s="3" t="s">
        <v>111</v>
      </c>
      <c r="D97">
        <f t="shared" si="13"/>
        <v>8</v>
      </c>
      <c r="E97">
        <f t="shared" si="10"/>
        <v>4</v>
      </c>
      <c r="F97">
        <f t="shared" si="11"/>
        <v>2023</v>
      </c>
      <c r="G97" t="s">
        <v>7</v>
      </c>
      <c r="H97">
        <v>-1</v>
      </c>
      <c r="I97">
        <v>2</v>
      </c>
      <c r="K97" t="s">
        <v>10</v>
      </c>
      <c r="L97" s="8">
        <f t="shared" si="12"/>
        <v>1</v>
      </c>
      <c r="M97" t="s">
        <v>114</v>
      </c>
    </row>
    <row r="98" spans="1:13" x14ac:dyDescent="0.35">
      <c r="A98">
        <f>A97+1</f>
        <v>94</v>
      </c>
      <c r="B98" s="9">
        <f t="shared" si="9"/>
        <v>33.67</v>
      </c>
      <c r="C98" s="3" t="s">
        <v>111</v>
      </c>
      <c r="D98">
        <f t="shared" si="13"/>
        <v>8</v>
      </c>
      <c r="E98">
        <f t="shared" si="10"/>
        <v>4</v>
      </c>
      <c r="F98">
        <f t="shared" si="11"/>
        <v>2023</v>
      </c>
      <c r="G98" t="s">
        <v>7</v>
      </c>
      <c r="H98">
        <v>-1</v>
      </c>
      <c r="I98">
        <v>3</v>
      </c>
      <c r="K98" t="s">
        <v>10</v>
      </c>
      <c r="L98" s="8">
        <f t="shared" si="12"/>
        <v>2</v>
      </c>
      <c r="M98" t="s">
        <v>115</v>
      </c>
    </row>
    <row r="99" spans="1:13" x14ac:dyDescent="0.35">
      <c r="A99">
        <f t="shared" si="16"/>
        <v>95</v>
      </c>
      <c r="B99" s="9">
        <f t="shared" si="9"/>
        <v>34.67</v>
      </c>
      <c r="C99" s="3" t="s">
        <v>111</v>
      </c>
      <c r="D99">
        <f t="shared" si="13"/>
        <v>8</v>
      </c>
      <c r="E99">
        <f t="shared" si="10"/>
        <v>4</v>
      </c>
      <c r="F99">
        <f t="shared" si="11"/>
        <v>2023</v>
      </c>
      <c r="G99" t="s">
        <v>7</v>
      </c>
      <c r="H99">
        <v>-1</v>
      </c>
      <c r="I99">
        <v>2</v>
      </c>
      <c r="K99" t="s">
        <v>10</v>
      </c>
      <c r="L99" s="8">
        <f t="shared" si="12"/>
        <v>1</v>
      </c>
      <c r="M99" t="s">
        <v>116</v>
      </c>
    </row>
    <row r="100" spans="1:13" x14ac:dyDescent="0.35">
      <c r="A100">
        <f t="shared" si="16"/>
        <v>96</v>
      </c>
      <c r="B100" s="9">
        <f t="shared" si="9"/>
        <v>35.67</v>
      </c>
      <c r="C100" s="3" t="s">
        <v>111</v>
      </c>
      <c r="D100">
        <f t="shared" si="13"/>
        <v>8</v>
      </c>
      <c r="E100">
        <f t="shared" si="10"/>
        <v>4</v>
      </c>
      <c r="F100">
        <f t="shared" si="11"/>
        <v>2023</v>
      </c>
      <c r="G100" t="s">
        <v>7</v>
      </c>
      <c r="H100">
        <v>-1</v>
      </c>
      <c r="I100">
        <v>2</v>
      </c>
      <c r="K100" t="s">
        <v>10</v>
      </c>
      <c r="L100" s="8">
        <f t="shared" si="12"/>
        <v>1</v>
      </c>
      <c r="M100" t="s">
        <v>117</v>
      </c>
    </row>
    <row r="101" spans="1:13" x14ac:dyDescent="0.35">
      <c r="A101">
        <f t="shared" si="16"/>
        <v>97</v>
      </c>
      <c r="B101" s="9">
        <f t="shared" si="9"/>
        <v>36.67</v>
      </c>
      <c r="C101" s="3" t="s">
        <v>111</v>
      </c>
      <c r="D101">
        <f t="shared" si="13"/>
        <v>8</v>
      </c>
      <c r="E101">
        <f t="shared" si="10"/>
        <v>4</v>
      </c>
      <c r="F101">
        <f t="shared" si="11"/>
        <v>2023</v>
      </c>
      <c r="G101" t="s">
        <v>7</v>
      </c>
      <c r="H101">
        <v>-1</v>
      </c>
      <c r="I101">
        <v>2</v>
      </c>
      <c r="K101" t="s">
        <v>10</v>
      </c>
      <c r="L101" s="8">
        <f t="shared" si="12"/>
        <v>1</v>
      </c>
      <c r="M101" t="s">
        <v>118</v>
      </c>
    </row>
    <row r="102" spans="1:13" x14ac:dyDescent="0.35">
      <c r="A102">
        <f t="shared" si="16"/>
        <v>98</v>
      </c>
      <c r="B102" s="9">
        <f t="shared" si="9"/>
        <v>37.67</v>
      </c>
      <c r="C102" s="3" t="s">
        <v>111</v>
      </c>
      <c r="D102">
        <f t="shared" si="13"/>
        <v>8</v>
      </c>
      <c r="E102">
        <f t="shared" si="10"/>
        <v>4</v>
      </c>
      <c r="F102">
        <f t="shared" si="11"/>
        <v>2023</v>
      </c>
      <c r="G102" t="s">
        <v>7</v>
      </c>
      <c r="H102">
        <v>-1</v>
      </c>
      <c r="I102">
        <v>2</v>
      </c>
      <c r="K102" t="s">
        <v>10</v>
      </c>
      <c r="L102" s="8">
        <f t="shared" si="12"/>
        <v>1</v>
      </c>
      <c r="M102" t="s">
        <v>119</v>
      </c>
    </row>
    <row r="103" spans="1:13" x14ac:dyDescent="0.35">
      <c r="A103">
        <f t="shared" ref="A103:A110" si="17">A102+1</f>
        <v>99</v>
      </c>
      <c r="B103" s="9">
        <f t="shared" si="9"/>
        <v>36.67</v>
      </c>
      <c r="C103" s="3" t="s">
        <v>111</v>
      </c>
      <c r="D103">
        <f t="shared" si="13"/>
        <v>8</v>
      </c>
      <c r="E103">
        <f t="shared" si="10"/>
        <v>4</v>
      </c>
      <c r="F103">
        <f t="shared" si="11"/>
        <v>2023</v>
      </c>
      <c r="G103" t="s">
        <v>7</v>
      </c>
      <c r="H103">
        <v>-1</v>
      </c>
      <c r="K103" t="s">
        <v>9</v>
      </c>
      <c r="L103" s="8">
        <f t="shared" si="12"/>
        <v>-1</v>
      </c>
      <c r="M103" t="s">
        <v>120</v>
      </c>
    </row>
    <row r="104" spans="1:13" x14ac:dyDescent="0.35">
      <c r="A104">
        <f t="shared" si="17"/>
        <v>100</v>
      </c>
      <c r="B104" s="9">
        <f t="shared" si="9"/>
        <v>35.67</v>
      </c>
      <c r="C104" s="3" t="s">
        <v>111</v>
      </c>
      <c r="D104">
        <f t="shared" si="13"/>
        <v>8</v>
      </c>
      <c r="E104">
        <f t="shared" si="10"/>
        <v>4</v>
      </c>
      <c r="F104">
        <f t="shared" si="11"/>
        <v>2023</v>
      </c>
      <c r="G104" t="s">
        <v>7</v>
      </c>
      <c r="H104">
        <v>-1</v>
      </c>
      <c r="K104" t="s">
        <v>9</v>
      </c>
      <c r="L104" s="8">
        <f t="shared" si="12"/>
        <v>-1</v>
      </c>
      <c r="M104" t="s">
        <v>121</v>
      </c>
    </row>
    <row r="105" spans="1:13" x14ac:dyDescent="0.35">
      <c r="A105">
        <f t="shared" si="17"/>
        <v>101</v>
      </c>
      <c r="B105" s="9">
        <f t="shared" si="9"/>
        <v>34.67</v>
      </c>
      <c r="C105" s="3" t="s">
        <v>111</v>
      </c>
      <c r="D105">
        <f t="shared" si="13"/>
        <v>8</v>
      </c>
      <c r="E105">
        <f t="shared" si="10"/>
        <v>4</v>
      </c>
      <c r="F105">
        <f t="shared" si="11"/>
        <v>2023</v>
      </c>
      <c r="G105" t="s">
        <v>7</v>
      </c>
      <c r="H105">
        <v>-1</v>
      </c>
      <c r="K105" t="s">
        <v>9</v>
      </c>
      <c r="L105" s="8">
        <f t="shared" si="12"/>
        <v>-1</v>
      </c>
      <c r="M105" t="s">
        <v>122</v>
      </c>
    </row>
    <row r="106" spans="1:13" x14ac:dyDescent="0.35">
      <c r="A106">
        <f t="shared" si="17"/>
        <v>102</v>
      </c>
      <c r="B106" s="9">
        <f t="shared" si="9"/>
        <v>33.67</v>
      </c>
      <c r="C106" s="3" t="s">
        <v>111</v>
      </c>
      <c r="D106">
        <f t="shared" si="13"/>
        <v>8</v>
      </c>
      <c r="E106">
        <f t="shared" si="10"/>
        <v>4</v>
      </c>
      <c r="F106">
        <f t="shared" si="11"/>
        <v>2023</v>
      </c>
      <c r="G106" t="s">
        <v>7</v>
      </c>
      <c r="H106">
        <v>-1</v>
      </c>
      <c r="K106" t="s">
        <v>9</v>
      </c>
      <c r="L106" s="8">
        <f t="shared" si="12"/>
        <v>-1</v>
      </c>
      <c r="M106" t="s">
        <v>123</v>
      </c>
    </row>
    <row r="107" spans="1:13" x14ac:dyDescent="0.35">
      <c r="A107">
        <f t="shared" si="17"/>
        <v>103</v>
      </c>
      <c r="B107" s="9">
        <f t="shared" si="9"/>
        <v>35.67</v>
      </c>
      <c r="C107" s="3" t="s">
        <v>111</v>
      </c>
      <c r="D107">
        <f t="shared" si="13"/>
        <v>8</v>
      </c>
      <c r="E107">
        <f t="shared" si="10"/>
        <v>4</v>
      </c>
      <c r="F107">
        <f t="shared" si="11"/>
        <v>2023</v>
      </c>
      <c r="G107" t="s">
        <v>7</v>
      </c>
      <c r="H107">
        <v>-1</v>
      </c>
      <c r="I107">
        <v>3</v>
      </c>
      <c r="K107" t="s">
        <v>10</v>
      </c>
      <c r="L107" s="8">
        <f t="shared" si="12"/>
        <v>2</v>
      </c>
      <c r="M107" t="s">
        <v>124</v>
      </c>
    </row>
    <row r="108" spans="1:13" x14ac:dyDescent="0.35">
      <c r="A108">
        <f t="shared" si="17"/>
        <v>104</v>
      </c>
      <c r="B108" s="9">
        <f t="shared" si="9"/>
        <v>39.67</v>
      </c>
      <c r="C108" s="3" t="s">
        <v>111</v>
      </c>
      <c r="D108">
        <f t="shared" si="13"/>
        <v>8</v>
      </c>
      <c r="E108">
        <f t="shared" si="10"/>
        <v>4</v>
      </c>
      <c r="F108">
        <f t="shared" si="11"/>
        <v>2023</v>
      </c>
      <c r="G108" t="s">
        <v>7</v>
      </c>
      <c r="H108">
        <v>-1</v>
      </c>
      <c r="I108">
        <v>5</v>
      </c>
      <c r="K108" t="s">
        <v>10</v>
      </c>
      <c r="L108" s="8">
        <f t="shared" si="12"/>
        <v>4</v>
      </c>
      <c r="M108" t="s">
        <v>125</v>
      </c>
    </row>
    <row r="109" spans="1:13" x14ac:dyDescent="0.35">
      <c r="A109">
        <f t="shared" si="17"/>
        <v>105</v>
      </c>
      <c r="B109" s="9">
        <f t="shared" si="9"/>
        <v>38.67</v>
      </c>
      <c r="C109" s="3" t="s">
        <v>111</v>
      </c>
      <c r="D109">
        <f t="shared" si="13"/>
        <v>8</v>
      </c>
      <c r="E109">
        <f t="shared" si="10"/>
        <v>4</v>
      </c>
      <c r="F109">
        <f t="shared" si="11"/>
        <v>2023</v>
      </c>
      <c r="G109" t="s">
        <v>7</v>
      </c>
      <c r="H109">
        <v>-1</v>
      </c>
      <c r="K109" t="s">
        <v>9</v>
      </c>
      <c r="L109" s="8">
        <f t="shared" si="12"/>
        <v>-1</v>
      </c>
      <c r="M109" t="s">
        <v>126</v>
      </c>
    </row>
    <row r="110" spans="1:13" x14ac:dyDescent="0.35">
      <c r="A110">
        <f t="shared" si="17"/>
        <v>106</v>
      </c>
      <c r="B110" s="9">
        <f t="shared" si="9"/>
        <v>37.67</v>
      </c>
      <c r="C110" s="3" t="s">
        <v>111</v>
      </c>
      <c r="D110">
        <f t="shared" si="13"/>
        <v>8</v>
      </c>
      <c r="E110">
        <f t="shared" si="10"/>
        <v>4</v>
      </c>
      <c r="F110">
        <f t="shared" si="11"/>
        <v>2023</v>
      </c>
      <c r="G110" t="s">
        <v>7</v>
      </c>
      <c r="H110">
        <v>-1</v>
      </c>
      <c r="K110" t="s">
        <v>9</v>
      </c>
      <c r="L110" s="8">
        <f t="shared" si="12"/>
        <v>-1</v>
      </c>
      <c r="M110" t="s">
        <v>127</v>
      </c>
    </row>
    <row r="111" spans="1:13" x14ac:dyDescent="0.35">
      <c r="A111">
        <f t="shared" ref="A111" si="18">A110+1</f>
        <v>107</v>
      </c>
      <c r="B111" s="9">
        <f t="shared" si="9"/>
        <v>38.67</v>
      </c>
      <c r="C111" s="3" t="s">
        <v>111</v>
      </c>
      <c r="D111">
        <f t="shared" si="13"/>
        <v>8</v>
      </c>
      <c r="E111">
        <f t="shared" si="10"/>
        <v>4</v>
      </c>
      <c r="F111">
        <f t="shared" si="11"/>
        <v>2023</v>
      </c>
      <c r="G111" t="s">
        <v>7</v>
      </c>
      <c r="H111">
        <v>-1</v>
      </c>
      <c r="I111">
        <v>2</v>
      </c>
      <c r="K111" t="s">
        <v>10</v>
      </c>
      <c r="L111" s="8">
        <f t="shared" si="12"/>
        <v>1</v>
      </c>
      <c r="M111" t="s">
        <v>128</v>
      </c>
    </row>
    <row r="112" spans="1:13" x14ac:dyDescent="0.35">
      <c r="A112">
        <f>A111+1</f>
        <v>108</v>
      </c>
      <c r="B112" s="9">
        <f t="shared" si="9"/>
        <v>37.67</v>
      </c>
      <c r="C112" s="3" t="s">
        <v>111</v>
      </c>
      <c r="D112">
        <f t="shared" si="13"/>
        <v>8</v>
      </c>
      <c r="E112">
        <f t="shared" si="10"/>
        <v>4</v>
      </c>
      <c r="F112">
        <f t="shared" si="11"/>
        <v>2023</v>
      </c>
      <c r="G112" t="s">
        <v>7</v>
      </c>
      <c r="H112">
        <v>-1</v>
      </c>
      <c r="K112" t="s">
        <v>9</v>
      </c>
      <c r="L112" s="8">
        <f t="shared" si="12"/>
        <v>-1</v>
      </c>
      <c r="M112" t="s">
        <v>129</v>
      </c>
    </row>
    <row r="113" spans="1:13" x14ac:dyDescent="0.35">
      <c r="A113">
        <f>A112+1</f>
        <v>109</v>
      </c>
      <c r="B113" s="9">
        <f t="shared" si="9"/>
        <v>36.67</v>
      </c>
      <c r="C113" s="3" t="s">
        <v>111</v>
      </c>
      <c r="D113">
        <f t="shared" si="13"/>
        <v>8</v>
      </c>
      <c r="E113">
        <f t="shared" si="10"/>
        <v>4</v>
      </c>
      <c r="F113">
        <f t="shared" si="11"/>
        <v>2023</v>
      </c>
      <c r="G113" t="s">
        <v>7</v>
      </c>
      <c r="H113">
        <v>-1</v>
      </c>
      <c r="K113" t="s">
        <v>9</v>
      </c>
      <c r="L113" s="8">
        <f t="shared" si="12"/>
        <v>-1</v>
      </c>
      <c r="M113" t="s">
        <v>130</v>
      </c>
    </row>
    <row r="114" spans="1:13" x14ac:dyDescent="0.35">
      <c r="A114">
        <f>A113+1</f>
        <v>110</v>
      </c>
      <c r="B114" s="9">
        <f t="shared" si="9"/>
        <v>35.67</v>
      </c>
      <c r="C114" s="3" t="s">
        <v>131</v>
      </c>
      <c r="D114">
        <f t="shared" si="13"/>
        <v>9</v>
      </c>
      <c r="E114">
        <f t="shared" si="10"/>
        <v>4</v>
      </c>
      <c r="F114">
        <f t="shared" si="11"/>
        <v>2023</v>
      </c>
      <c r="G114" t="s">
        <v>7</v>
      </c>
      <c r="H114">
        <v>-1</v>
      </c>
      <c r="K114" t="s">
        <v>9</v>
      </c>
      <c r="L114" s="8">
        <f t="shared" si="12"/>
        <v>-1</v>
      </c>
      <c r="M114" t="s">
        <v>132</v>
      </c>
    </row>
    <row r="115" spans="1:13" x14ac:dyDescent="0.35">
      <c r="A115">
        <f>A114+1</f>
        <v>111</v>
      </c>
      <c r="B115" s="9">
        <f t="shared" si="9"/>
        <v>34.67</v>
      </c>
      <c r="C115" s="3" t="s">
        <v>131</v>
      </c>
      <c r="D115">
        <f t="shared" si="13"/>
        <v>9</v>
      </c>
      <c r="E115">
        <f t="shared" si="10"/>
        <v>4</v>
      </c>
      <c r="F115">
        <f t="shared" si="11"/>
        <v>2023</v>
      </c>
      <c r="G115" t="s">
        <v>7</v>
      </c>
      <c r="H115">
        <v>-1</v>
      </c>
      <c r="K115" t="s">
        <v>9</v>
      </c>
      <c r="L115" s="8">
        <f t="shared" si="12"/>
        <v>-1</v>
      </c>
      <c r="M115" t="s">
        <v>133</v>
      </c>
    </row>
    <row r="116" spans="1:13" x14ac:dyDescent="0.35">
      <c r="A116">
        <f>A115+1</f>
        <v>112</v>
      </c>
      <c r="B116" s="9">
        <f t="shared" si="9"/>
        <v>33.67</v>
      </c>
      <c r="C116" s="3" t="s">
        <v>131</v>
      </c>
      <c r="D116">
        <f t="shared" si="13"/>
        <v>9</v>
      </c>
      <c r="E116">
        <f t="shared" si="10"/>
        <v>4</v>
      </c>
      <c r="F116">
        <f t="shared" si="11"/>
        <v>2023</v>
      </c>
      <c r="G116" t="s">
        <v>7</v>
      </c>
      <c r="H116">
        <v>-1</v>
      </c>
      <c r="K116" t="s">
        <v>9</v>
      </c>
      <c r="L116" s="8">
        <f t="shared" si="12"/>
        <v>-1</v>
      </c>
      <c r="M116" t="s">
        <v>134</v>
      </c>
    </row>
    <row r="117" spans="1:13" x14ac:dyDescent="0.35">
      <c r="A117">
        <f t="shared" ref="A117:A197" si="19">A116+1</f>
        <v>113</v>
      </c>
      <c r="B117" s="9">
        <f t="shared" si="9"/>
        <v>34.67</v>
      </c>
      <c r="C117" s="3" t="s">
        <v>131</v>
      </c>
      <c r="D117">
        <f t="shared" si="13"/>
        <v>9</v>
      </c>
      <c r="E117">
        <f t="shared" si="10"/>
        <v>4</v>
      </c>
      <c r="F117">
        <f t="shared" si="11"/>
        <v>2023</v>
      </c>
      <c r="G117" t="s">
        <v>7</v>
      </c>
      <c r="H117">
        <v>-1</v>
      </c>
      <c r="I117">
        <v>2</v>
      </c>
      <c r="K117" t="s">
        <v>10</v>
      </c>
      <c r="L117" s="8">
        <f t="shared" si="12"/>
        <v>1</v>
      </c>
      <c r="M117" t="s">
        <v>135</v>
      </c>
    </row>
    <row r="118" spans="1:13" x14ac:dyDescent="0.35">
      <c r="A118">
        <f t="shared" si="19"/>
        <v>114</v>
      </c>
      <c r="B118" s="9">
        <f t="shared" si="9"/>
        <v>33.67</v>
      </c>
      <c r="C118" s="3" t="s">
        <v>131</v>
      </c>
      <c r="D118">
        <f t="shared" si="13"/>
        <v>9</v>
      </c>
      <c r="E118">
        <f t="shared" si="10"/>
        <v>4</v>
      </c>
      <c r="F118">
        <f t="shared" si="11"/>
        <v>2023</v>
      </c>
      <c r="G118" t="s">
        <v>7</v>
      </c>
      <c r="H118">
        <v>-1</v>
      </c>
      <c r="K118" t="s">
        <v>9</v>
      </c>
      <c r="L118" s="8">
        <f t="shared" si="12"/>
        <v>-1</v>
      </c>
      <c r="M118" t="s">
        <v>136</v>
      </c>
    </row>
    <row r="119" spans="1:13" x14ac:dyDescent="0.35">
      <c r="A119">
        <f t="shared" si="19"/>
        <v>115</v>
      </c>
      <c r="B119" s="9">
        <f t="shared" si="9"/>
        <v>32.67</v>
      </c>
      <c r="C119" s="3" t="s">
        <v>131</v>
      </c>
      <c r="D119">
        <f t="shared" si="13"/>
        <v>9</v>
      </c>
      <c r="E119">
        <f t="shared" si="10"/>
        <v>4</v>
      </c>
      <c r="F119">
        <f t="shared" si="11"/>
        <v>2023</v>
      </c>
      <c r="G119" t="s">
        <v>7</v>
      </c>
      <c r="H119">
        <v>-1</v>
      </c>
      <c r="K119" t="s">
        <v>9</v>
      </c>
      <c r="L119" s="8">
        <f t="shared" si="12"/>
        <v>-1</v>
      </c>
      <c r="M119" t="s">
        <v>137</v>
      </c>
    </row>
    <row r="120" spans="1:13" x14ac:dyDescent="0.35">
      <c r="A120">
        <f t="shared" si="19"/>
        <v>116</v>
      </c>
      <c r="B120" s="9">
        <f t="shared" si="9"/>
        <v>36.67</v>
      </c>
      <c r="C120" s="3" t="s">
        <v>131</v>
      </c>
      <c r="D120">
        <f t="shared" si="13"/>
        <v>9</v>
      </c>
      <c r="E120">
        <f t="shared" si="10"/>
        <v>4</v>
      </c>
      <c r="F120">
        <f t="shared" si="11"/>
        <v>2023</v>
      </c>
      <c r="G120" t="s">
        <v>7</v>
      </c>
      <c r="H120">
        <v>-1</v>
      </c>
      <c r="I120">
        <v>5</v>
      </c>
      <c r="K120" t="s">
        <v>10</v>
      </c>
      <c r="L120" s="8">
        <f t="shared" si="12"/>
        <v>4</v>
      </c>
      <c r="M120" t="s">
        <v>138</v>
      </c>
    </row>
    <row r="121" spans="1:13" x14ac:dyDescent="0.35">
      <c r="A121">
        <f t="shared" si="19"/>
        <v>117</v>
      </c>
      <c r="B121" s="9">
        <f t="shared" si="9"/>
        <v>35.67</v>
      </c>
      <c r="C121" s="3" t="s">
        <v>131</v>
      </c>
      <c r="D121">
        <f t="shared" si="13"/>
        <v>9</v>
      </c>
      <c r="E121">
        <f t="shared" si="10"/>
        <v>4</v>
      </c>
      <c r="F121">
        <f t="shared" si="11"/>
        <v>2023</v>
      </c>
      <c r="G121" t="s">
        <v>7</v>
      </c>
      <c r="H121">
        <v>-1</v>
      </c>
      <c r="K121" t="s">
        <v>9</v>
      </c>
      <c r="L121" s="8">
        <f t="shared" si="12"/>
        <v>-1</v>
      </c>
      <c r="M121" t="s">
        <v>139</v>
      </c>
    </row>
    <row r="122" spans="1:13" x14ac:dyDescent="0.35">
      <c r="A122">
        <f t="shared" si="19"/>
        <v>118</v>
      </c>
      <c r="B122" s="9">
        <f t="shared" si="9"/>
        <v>34.67</v>
      </c>
      <c r="C122" s="3" t="s">
        <v>131</v>
      </c>
      <c r="D122">
        <f t="shared" si="13"/>
        <v>9</v>
      </c>
      <c r="E122">
        <f t="shared" si="10"/>
        <v>4</v>
      </c>
      <c r="F122">
        <f t="shared" si="11"/>
        <v>2023</v>
      </c>
      <c r="G122" t="s">
        <v>7</v>
      </c>
      <c r="H122">
        <v>-1</v>
      </c>
      <c r="K122" t="s">
        <v>9</v>
      </c>
      <c r="L122" s="8">
        <f t="shared" si="12"/>
        <v>-1</v>
      </c>
      <c r="M122" t="s">
        <v>140</v>
      </c>
    </row>
    <row r="123" spans="1:13" x14ac:dyDescent="0.35">
      <c r="A123">
        <f t="shared" si="19"/>
        <v>119</v>
      </c>
      <c r="B123" s="9">
        <f t="shared" si="9"/>
        <v>35.67</v>
      </c>
      <c r="C123" s="3" t="s">
        <v>131</v>
      </c>
      <c r="D123">
        <f t="shared" si="13"/>
        <v>9</v>
      </c>
      <c r="E123">
        <f t="shared" si="10"/>
        <v>4</v>
      </c>
      <c r="F123">
        <f t="shared" si="11"/>
        <v>2023</v>
      </c>
      <c r="G123" t="s">
        <v>7</v>
      </c>
      <c r="H123">
        <v>-1</v>
      </c>
      <c r="I123">
        <v>2</v>
      </c>
      <c r="K123" t="s">
        <v>10</v>
      </c>
      <c r="L123" s="8">
        <f t="shared" si="12"/>
        <v>1</v>
      </c>
      <c r="M123" t="s">
        <v>141</v>
      </c>
    </row>
    <row r="124" spans="1:13" x14ac:dyDescent="0.35">
      <c r="A124">
        <f t="shared" si="19"/>
        <v>120</v>
      </c>
      <c r="B124" s="9">
        <f t="shared" si="9"/>
        <v>34.67</v>
      </c>
      <c r="C124" s="3" t="s">
        <v>131</v>
      </c>
      <c r="D124">
        <f t="shared" si="13"/>
        <v>9</v>
      </c>
      <c r="E124">
        <f t="shared" si="10"/>
        <v>4</v>
      </c>
      <c r="F124">
        <f t="shared" si="11"/>
        <v>2023</v>
      </c>
      <c r="G124" t="s">
        <v>7</v>
      </c>
      <c r="H124">
        <v>-1</v>
      </c>
      <c r="K124" t="s">
        <v>9</v>
      </c>
      <c r="L124" s="8">
        <f t="shared" si="12"/>
        <v>-1</v>
      </c>
      <c r="M124" t="s">
        <v>142</v>
      </c>
    </row>
    <row r="125" spans="1:13" x14ac:dyDescent="0.35">
      <c r="A125">
        <f t="shared" si="19"/>
        <v>121</v>
      </c>
      <c r="B125" s="9">
        <f t="shared" si="9"/>
        <v>33.67</v>
      </c>
      <c r="C125" s="3" t="s">
        <v>131</v>
      </c>
      <c r="D125">
        <f t="shared" si="13"/>
        <v>9</v>
      </c>
      <c r="E125">
        <f t="shared" si="10"/>
        <v>4</v>
      </c>
      <c r="F125">
        <f t="shared" si="11"/>
        <v>2023</v>
      </c>
      <c r="G125" t="s">
        <v>7</v>
      </c>
      <c r="H125">
        <v>-1</v>
      </c>
      <c r="K125" t="s">
        <v>9</v>
      </c>
      <c r="L125" s="8">
        <f t="shared" si="12"/>
        <v>-1</v>
      </c>
      <c r="M125" t="s">
        <v>143</v>
      </c>
    </row>
    <row r="126" spans="1:13" x14ac:dyDescent="0.35">
      <c r="A126">
        <f t="shared" si="19"/>
        <v>122</v>
      </c>
      <c r="B126" s="9">
        <f t="shared" si="9"/>
        <v>32.67</v>
      </c>
      <c r="C126" s="3" t="s">
        <v>131</v>
      </c>
      <c r="D126">
        <f t="shared" si="13"/>
        <v>9</v>
      </c>
      <c r="E126">
        <f t="shared" si="10"/>
        <v>4</v>
      </c>
      <c r="F126">
        <f t="shared" si="11"/>
        <v>2023</v>
      </c>
      <c r="G126" t="s">
        <v>7</v>
      </c>
      <c r="H126">
        <v>-1</v>
      </c>
      <c r="K126" t="s">
        <v>9</v>
      </c>
      <c r="L126" s="8">
        <f t="shared" si="12"/>
        <v>-1</v>
      </c>
      <c r="M126" t="s">
        <v>144</v>
      </c>
    </row>
    <row r="127" spans="1:13" x14ac:dyDescent="0.35">
      <c r="A127">
        <f t="shared" si="19"/>
        <v>123</v>
      </c>
      <c r="B127" s="9">
        <f t="shared" si="9"/>
        <v>34.67</v>
      </c>
      <c r="C127" s="3" t="s">
        <v>131</v>
      </c>
      <c r="D127">
        <f t="shared" si="13"/>
        <v>9</v>
      </c>
      <c r="E127">
        <f t="shared" si="10"/>
        <v>4</v>
      </c>
      <c r="F127">
        <f t="shared" si="11"/>
        <v>2023</v>
      </c>
      <c r="G127" t="s">
        <v>7</v>
      </c>
      <c r="H127">
        <v>-1</v>
      </c>
      <c r="I127">
        <v>3</v>
      </c>
      <c r="K127" t="s">
        <v>10</v>
      </c>
      <c r="L127" s="8">
        <f t="shared" si="12"/>
        <v>2</v>
      </c>
      <c r="M127" t="s">
        <v>145</v>
      </c>
    </row>
    <row r="128" spans="1:13" x14ac:dyDescent="0.35">
      <c r="A128">
        <f>A127+1</f>
        <v>124</v>
      </c>
      <c r="B128" s="9">
        <f t="shared" si="9"/>
        <v>36.67</v>
      </c>
      <c r="C128" s="3" t="s">
        <v>131</v>
      </c>
      <c r="D128">
        <f t="shared" si="13"/>
        <v>9</v>
      </c>
      <c r="E128">
        <f t="shared" si="10"/>
        <v>4</v>
      </c>
      <c r="F128">
        <f t="shared" si="11"/>
        <v>2023</v>
      </c>
      <c r="G128" t="s">
        <v>7</v>
      </c>
      <c r="H128">
        <v>-1</v>
      </c>
      <c r="I128">
        <v>3</v>
      </c>
      <c r="K128" t="s">
        <v>10</v>
      </c>
      <c r="L128" s="8">
        <f t="shared" si="12"/>
        <v>2</v>
      </c>
      <c r="M128" t="s">
        <v>146</v>
      </c>
    </row>
    <row r="129" spans="1:13" x14ac:dyDescent="0.35">
      <c r="A129">
        <f t="shared" si="19"/>
        <v>125</v>
      </c>
      <c r="B129" s="9">
        <f t="shared" si="9"/>
        <v>35.67</v>
      </c>
      <c r="C129" s="3" t="s">
        <v>131</v>
      </c>
      <c r="D129">
        <f t="shared" si="13"/>
        <v>9</v>
      </c>
      <c r="E129">
        <f t="shared" si="10"/>
        <v>4</v>
      </c>
      <c r="F129">
        <f t="shared" si="11"/>
        <v>2023</v>
      </c>
      <c r="G129" t="s">
        <v>7</v>
      </c>
      <c r="H129">
        <v>-1</v>
      </c>
      <c r="K129" t="s">
        <v>9</v>
      </c>
      <c r="L129" s="8">
        <f t="shared" si="12"/>
        <v>-1</v>
      </c>
      <c r="M129" t="s">
        <v>147</v>
      </c>
    </row>
    <row r="130" spans="1:13" x14ac:dyDescent="0.35">
      <c r="A130">
        <f t="shared" si="19"/>
        <v>126</v>
      </c>
      <c r="B130" s="9">
        <f t="shared" si="9"/>
        <v>34.67</v>
      </c>
      <c r="C130" s="3" t="s">
        <v>131</v>
      </c>
      <c r="D130">
        <f t="shared" si="13"/>
        <v>9</v>
      </c>
      <c r="E130">
        <f t="shared" si="10"/>
        <v>4</v>
      </c>
      <c r="F130">
        <f t="shared" si="11"/>
        <v>2023</v>
      </c>
      <c r="G130" t="s">
        <v>7</v>
      </c>
      <c r="H130">
        <v>-1</v>
      </c>
      <c r="K130" t="s">
        <v>9</v>
      </c>
      <c r="L130" s="8">
        <f t="shared" si="12"/>
        <v>-1</v>
      </c>
      <c r="M130" t="s">
        <v>148</v>
      </c>
    </row>
    <row r="131" spans="1:13" x14ac:dyDescent="0.35">
      <c r="A131">
        <f t="shared" si="19"/>
        <v>127</v>
      </c>
      <c r="B131" s="9">
        <f t="shared" si="9"/>
        <v>36.67</v>
      </c>
      <c r="C131" s="3" t="s">
        <v>131</v>
      </c>
      <c r="D131">
        <f t="shared" si="13"/>
        <v>9</v>
      </c>
      <c r="E131">
        <f t="shared" si="10"/>
        <v>4</v>
      </c>
      <c r="F131">
        <f t="shared" si="11"/>
        <v>2023</v>
      </c>
      <c r="G131" t="s">
        <v>7</v>
      </c>
      <c r="H131">
        <v>-1</v>
      </c>
      <c r="I131">
        <v>3</v>
      </c>
      <c r="K131" t="s">
        <v>10</v>
      </c>
      <c r="L131" s="8">
        <f t="shared" si="12"/>
        <v>2</v>
      </c>
      <c r="M131" t="s">
        <v>149</v>
      </c>
    </row>
    <row r="132" spans="1:13" x14ac:dyDescent="0.35">
      <c r="A132">
        <f t="shared" si="19"/>
        <v>128</v>
      </c>
      <c r="B132" s="9">
        <f t="shared" si="9"/>
        <v>35.67</v>
      </c>
      <c r="C132" s="3" t="s">
        <v>131</v>
      </c>
      <c r="D132">
        <f t="shared" si="13"/>
        <v>9</v>
      </c>
      <c r="E132">
        <f t="shared" si="10"/>
        <v>4</v>
      </c>
      <c r="F132">
        <f t="shared" si="11"/>
        <v>2023</v>
      </c>
      <c r="G132" t="s">
        <v>7</v>
      </c>
      <c r="H132">
        <v>-1</v>
      </c>
      <c r="K132" t="s">
        <v>9</v>
      </c>
      <c r="L132" s="8">
        <f t="shared" si="12"/>
        <v>-1</v>
      </c>
      <c r="M132" t="s">
        <v>150</v>
      </c>
    </row>
    <row r="133" spans="1:13" x14ac:dyDescent="0.35">
      <c r="A133">
        <f t="shared" si="19"/>
        <v>129</v>
      </c>
      <c r="B133" s="9">
        <f t="shared" si="9"/>
        <v>34.67</v>
      </c>
      <c r="C133" s="3" t="s">
        <v>131</v>
      </c>
      <c r="D133">
        <f t="shared" si="13"/>
        <v>9</v>
      </c>
      <c r="E133">
        <f t="shared" si="10"/>
        <v>4</v>
      </c>
      <c r="F133">
        <f t="shared" si="11"/>
        <v>2023</v>
      </c>
      <c r="G133" t="s">
        <v>7</v>
      </c>
      <c r="H133">
        <v>-1</v>
      </c>
      <c r="K133" t="s">
        <v>9</v>
      </c>
      <c r="L133" s="8">
        <f t="shared" si="12"/>
        <v>-1</v>
      </c>
      <c r="M133" t="s">
        <v>151</v>
      </c>
    </row>
    <row r="134" spans="1:13" x14ac:dyDescent="0.35">
      <c r="A134">
        <f t="shared" si="19"/>
        <v>130</v>
      </c>
      <c r="B134" s="9">
        <f t="shared" ref="B134:B197" si="20">B133+H134+I134+J134</f>
        <v>33.67</v>
      </c>
      <c r="C134" s="3" t="s">
        <v>131</v>
      </c>
      <c r="D134">
        <f t="shared" si="13"/>
        <v>9</v>
      </c>
      <c r="E134">
        <f t="shared" ref="E134:E197" si="21">_xlfn.NUMBERVALUE(MID(C134,4,2))</f>
        <v>4</v>
      </c>
      <c r="F134">
        <f t="shared" ref="F134:F197" si="22">_xlfn.NUMBERVALUE(RIGHT(C134,4))</f>
        <v>2023</v>
      </c>
      <c r="G134" t="s">
        <v>7</v>
      </c>
      <c r="H134">
        <v>-1</v>
      </c>
      <c r="K134" t="s">
        <v>9</v>
      </c>
      <c r="L134" s="8">
        <f t="shared" ref="L134:L197" si="23">IF(H134="",0,(SUM(I134:J134)/-H134)-1)</f>
        <v>-1</v>
      </c>
      <c r="M134" t="s">
        <v>152</v>
      </c>
    </row>
    <row r="135" spans="1:13" x14ac:dyDescent="0.35">
      <c r="A135">
        <f t="shared" si="19"/>
        <v>131</v>
      </c>
      <c r="B135" s="9">
        <f t="shared" si="20"/>
        <v>34.67</v>
      </c>
      <c r="C135" s="3" t="s">
        <v>131</v>
      </c>
      <c r="D135">
        <f t="shared" ref="D135:D177" si="24">_xlfn.NUMBERVALUE(LEFT(C135,2))</f>
        <v>9</v>
      </c>
      <c r="E135">
        <f t="shared" si="21"/>
        <v>4</v>
      </c>
      <c r="F135">
        <f t="shared" si="22"/>
        <v>2023</v>
      </c>
      <c r="G135" t="s">
        <v>7</v>
      </c>
      <c r="H135">
        <v>-1</v>
      </c>
      <c r="I135">
        <v>2</v>
      </c>
      <c r="K135" t="s">
        <v>10</v>
      </c>
      <c r="L135" s="8">
        <f t="shared" si="23"/>
        <v>1</v>
      </c>
      <c r="M135" t="s">
        <v>153</v>
      </c>
    </row>
    <row r="136" spans="1:13" x14ac:dyDescent="0.35">
      <c r="A136">
        <f t="shared" si="19"/>
        <v>132</v>
      </c>
      <c r="B136" s="9">
        <f t="shared" si="20"/>
        <v>23.67</v>
      </c>
      <c r="C136" s="3" t="s">
        <v>131</v>
      </c>
      <c r="D136">
        <f t="shared" si="24"/>
        <v>9</v>
      </c>
      <c r="E136">
        <f t="shared" si="21"/>
        <v>4</v>
      </c>
      <c r="F136">
        <f t="shared" si="22"/>
        <v>2023</v>
      </c>
      <c r="G136" t="s">
        <v>154</v>
      </c>
      <c r="H136">
        <v>-11</v>
      </c>
      <c r="K136" t="s">
        <v>9</v>
      </c>
      <c r="L136" s="8">
        <f t="shared" si="23"/>
        <v>-1</v>
      </c>
      <c r="M136" t="s">
        <v>157</v>
      </c>
    </row>
    <row r="137" spans="1:13" x14ac:dyDescent="0.35">
      <c r="A137">
        <f t="shared" si="19"/>
        <v>133</v>
      </c>
      <c r="B137" s="9">
        <f t="shared" si="20"/>
        <v>22.67</v>
      </c>
      <c r="C137" s="3" t="s">
        <v>131</v>
      </c>
      <c r="D137">
        <f t="shared" si="24"/>
        <v>9</v>
      </c>
      <c r="E137">
        <f t="shared" si="21"/>
        <v>4</v>
      </c>
      <c r="F137">
        <f t="shared" si="22"/>
        <v>2023</v>
      </c>
      <c r="G137" t="s">
        <v>7</v>
      </c>
      <c r="H137">
        <v>-1</v>
      </c>
      <c r="K137" t="s">
        <v>9</v>
      </c>
      <c r="L137" s="8">
        <f t="shared" si="23"/>
        <v>-1</v>
      </c>
      <c r="M137" t="s">
        <v>155</v>
      </c>
    </row>
    <row r="138" spans="1:13" x14ac:dyDescent="0.35">
      <c r="A138">
        <f t="shared" si="19"/>
        <v>134</v>
      </c>
      <c r="B138" s="9">
        <f t="shared" si="20"/>
        <v>23.67</v>
      </c>
      <c r="C138" s="3" t="s">
        <v>131</v>
      </c>
      <c r="D138">
        <f t="shared" si="24"/>
        <v>9</v>
      </c>
      <c r="E138">
        <f t="shared" si="21"/>
        <v>4</v>
      </c>
      <c r="F138">
        <f t="shared" si="22"/>
        <v>2023</v>
      </c>
      <c r="G138" t="s">
        <v>7</v>
      </c>
      <c r="H138">
        <v>-1</v>
      </c>
      <c r="I138">
        <v>2</v>
      </c>
      <c r="K138" t="s">
        <v>10</v>
      </c>
      <c r="L138" s="8">
        <f t="shared" si="23"/>
        <v>1</v>
      </c>
      <c r="M138" t="s">
        <v>156</v>
      </c>
    </row>
    <row r="139" spans="1:13" x14ac:dyDescent="0.35">
      <c r="A139">
        <f t="shared" si="19"/>
        <v>135</v>
      </c>
      <c r="B139" s="9">
        <f t="shared" si="20"/>
        <v>25.67</v>
      </c>
      <c r="C139" s="3" t="s">
        <v>131</v>
      </c>
      <c r="D139">
        <f t="shared" si="24"/>
        <v>9</v>
      </c>
      <c r="E139">
        <f t="shared" si="21"/>
        <v>4</v>
      </c>
      <c r="F139">
        <f t="shared" si="22"/>
        <v>2023</v>
      </c>
      <c r="G139" t="s">
        <v>7</v>
      </c>
      <c r="H139">
        <v>-1</v>
      </c>
      <c r="I139">
        <v>3</v>
      </c>
      <c r="K139" t="s">
        <v>10</v>
      </c>
      <c r="L139" s="8">
        <f t="shared" si="23"/>
        <v>2</v>
      </c>
      <c r="M139" t="s">
        <v>158</v>
      </c>
    </row>
    <row r="140" spans="1:13" x14ac:dyDescent="0.35">
      <c r="A140">
        <f t="shared" si="19"/>
        <v>136</v>
      </c>
      <c r="B140" s="9">
        <f t="shared" si="20"/>
        <v>24.67</v>
      </c>
      <c r="C140" s="3" t="s">
        <v>131</v>
      </c>
      <c r="D140">
        <f t="shared" si="24"/>
        <v>9</v>
      </c>
      <c r="E140">
        <f t="shared" si="21"/>
        <v>4</v>
      </c>
      <c r="F140">
        <f t="shared" si="22"/>
        <v>2023</v>
      </c>
      <c r="G140" t="s">
        <v>7</v>
      </c>
      <c r="H140">
        <v>-1</v>
      </c>
      <c r="K140" t="s">
        <v>9</v>
      </c>
      <c r="L140" s="8">
        <f t="shared" si="23"/>
        <v>-1</v>
      </c>
      <c r="M140" t="s">
        <v>159</v>
      </c>
    </row>
    <row r="141" spans="1:13" x14ac:dyDescent="0.35">
      <c r="A141">
        <f t="shared" si="19"/>
        <v>137</v>
      </c>
      <c r="B141" s="9">
        <f t="shared" si="20"/>
        <v>25.67</v>
      </c>
      <c r="C141" s="3" t="s">
        <v>131</v>
      </c>
      <c r="D141">
        <f t="shared" si="24"/>
        <v>9</v>
      </c>
      <c r="E141">
        <f t="shared" si="21"/>
        <v>4</v>
      </c>
      <c r="F141">
        <f t="shared" si="22"/>
        <v>2023</v>
      </c>
      <c r="G141" t="s">
        <v>7</v>
      </c>
      <c r="H141">
        <v>-1</v>
      </c>
      <c r="I141">
        <v>2</v>
      </c>
      <c r="K141" t="s">
        <v>10</v>
      </c>
      <c r="L141" s="8">
        <f t="shared" si="23"/>
        <v>1</v>
      </c>
      <c r="M141" t="s">
        <v>160</v>
      </c>
    </row>
    <row r="142" spans="1:13" x14ac:dyDescent="0.35">
      <c r="A142">
        <f t="shared" si="19"/>
        <v>138</v>
      </c>
      <c r="B142" s="9">
        <f t="shared" si="20"/>
        <v>24.67</v>
      </c>
      <c r="C142" s="3" t="s">
        <v>131</v>
      </c>
      <c r="D142">
        <f t="shared" si="24"/>
        <v>9</v>
      </c>
      <c r="E142">
        <f t="shared" si="21"/>
        <v>4</v>
      </c>
      <c r="F142">
        <f t="shared" si="22"/>
        <v>2023</v>
      </c>
      <c r="G142" t="s">
        <v>7</v>
      </c>
      <c r="H142">
        <v>-1</v>
      </c>
      <c r="K142" t="s">
        <v>9</v>
      </c>
      <c r="L142" s="8">
        <f t="shared" si="23"/>
        <v>-1</v>
      </c>
      <c r="M142" t="s">
        <v>161</v>
      </c>
    </row>
    <row r="143" spans="1:13" x14ac:dyDescent="0.35">
      <c r="A143">
        <f t="shared" si="19"/>
        <v>139</v>
      </c>
      <c r="B143" s="9">
        <f t="shared" si="20"/>
        <v>23.67</v>
      </c>
      <c r="C143" s="3" t="s">
        <v>131</v>
      </c>
      <c r="D143">
        <f t="shared" si="24"/>
        <v>9</v>
      </c>
      <c r="E143">
        <f t="shared" si="21"/>
        <v>4</v>
      </c>
      <c r="F143">
        <f t="shared" si="22"/>
        <v>2023</v>
      </c>
      <c r="G143" t="s">
        <v>7</v>
      </c>
      <c r="H143">
        <v>-1</v>
      </c>
      <c r="K143" t="s">
        <v>9</v>
      </c>
      <c r="L143" s="8">
        <f t="shared" si="23"/>
        <v>-1</v>
      </c>
      <c r="M143" t="s">
        <v>162</v>
      </c>
    </row>
    <row r="144" spans="1:13" x14ac:dyDescent="0.35">
      <c r="A144">
        <f t="shared" si="19"/>
        <v>140</v>
      </c>
      <c r="B144" s="9">
        <f t="shared" si="20"/>
        <v>24.67</v>
      </c>
      <c r="C144" s="3" t="s">
        <v>131</v>
      </c>
      <c r="D144">
        <f t="shared" si="24"/>
        <v>9</v>
      </c>
      <c r="E144">
        <f t="shared" si="21"/>
        <v>4</v>
      </c>
      <c r="F144">
        <f t="shared" si="22"/>
        <v>2023</v>
      </c>
      <c r="G144" t="s">
        <v>7</v>
      </c>
      <c r="H144">
        <v>-1</v>
      </c>
      <c r="I144">
        <v>2</v>
      </c>
      <c r="K144" t="s">
        <v>10</v>
      </c>
      <c r="L144" s="8">
        <f t="shared" si="23"/>
        <v>1</v>
      </c>
      <c r="M144" t="s">
        <v>163</v>
      </c>
    </row>
    <row r="145" spans="1:13" x14ac:dyDescent="0.35">
      <c r="A145">
        <f t="shared" si="19"/>
        <v>141</v>
      </c>
      <c r="B145" s="9">
        <f t="shared" si="20"/>
        <v>23.67</v>
      </c>
      <c r="C145" s="3" t="s">
        <v>131</v>
      </c>
      <c r="D145">
        <f t="shared" si="24"/>
        <v>9</v>
      </c>
      <c r="E145">
        <f t="shared" si="21"/>
        <v>4</v>
      </c>
      <c r="F145">
        <f t="shared" si="22"/>
        <v>2023</v>
      </c>
      <c r="G145" t="s">
        <v>7</v>
      </c>
      <c r="H145">
        <v>-1</v>
      </c>
      <c r="K145" t="s">
        <v>9</v>
      </c>
      <c r="L145" s="8">
        <f t="shared" si="23"/>
        <v>-1</v>
      </c>
      <c r="M145" t="s">
        <v>164</v>
      </c>
    </row>
    <row r="146" spans="1:13" x14ac:dyDescent="0.35">
      <c r="A146">
        <f t="shared" si="19"/>
        <v>142</v>
      </c>
      <c r="B146" s="9">
        <f t="shared" si="20"/>
        <v>22.67</v>
      </c>
      <c r="C146" s="3" t="s">
        <v>131</v>
      </c>
      <c r="D146">
        <f t="shared" si="24"/>
        <v>9</v>
      </c>
      <c r="E146">
        <f t="shared" si="21"/>
        <v>4</v>
      </c>
      <c r="F146">
        <f t="shared" si="22"/>
        <v>2023</v>
      </c>
      <c r="G146" t="s">
        <v>7</v>
      </c>
      <c r="H146">
        <v>-1</v>
      </c>
      <c r="K146" t="s">
        <v>9</v>
      </c>
      <c r="L146" s="8">
        <f t="shared" si="23"/>
        <v>-1</v>
      </c>
      <c r="M146" t="s">
        <v>165</v>
      </c>
    </row>
    <row r="147" spans="1:13" x14ac:dyDescent="0.35">
      <c r="A147">
        <f t="shared" si="19"/>
        <v>143</v>
      </c>
      <c r="B147" s="9">
        <f t="shared" si="20"/>
        <v>21.67</v>
      </c>
      <c r="C147" s="3" t="s">
        <v>131</v>
      </c>
      <c r="D147">
        <f t="shared" si="24"/>
        <v>9</v>
      </c>
      <c r="E147">
        <f t="shared" si="21"/>
        <v>4</v>
      </c>
      <c r="F147">
        <f t="shared" si="22"/>
        <v>2023</v>
      </c>
      <c r="G147" t="s">
        <v>7</v>
      </c>
      <c r="H147">
        <v>-1</v>
      </c>
      <c r="K147" t="s">
        <v>9</v>
      </c>
      <c r="L147" s="8">
        <f t="shared" si="23"/>
        <v>-1</v>
      </c>
      <c r="M147" t="s">
        <v>166</v>
      </c>
    </row>
    <row r="148" spans="1:13" x14ac:dyDescent="0.35">
      <c r="A148">
        <f t="shared" si="19"/>
        <v>144</v>
      </c>
      <c r="B148" s="9">
        <f t="shared" si="20"/>
        <v>20.67</v>
      </c>
      <c r="C148" s="3" t="s">
        <v>131</v>
      </c>
      <c r="D148">
        <f t="shared" si="24"/>
        <v>9</v>
      </c>
      <c r="E148">
        <f t="shared" si="21"/>
        <v>4</v>
      </c>
      <c r="F148">
        <f t="shared" si="22"/>
        <v>2023</v>
      </c>
      <c r="G148" t="s">
        <v>7</v>
      </c>
      <c r="H148">
        <v>-1</v>
      </c>
      <c r="K148" t="s">
        <v>9</v>
      </c>
      <c r="L148" s="8">
        <f t="shared" si="23"/>
        <v>-1</v>
      </c>
      <c r="M148" t="s">
        <v>167</v>
      </c>
    </row>
    <row r="149" spans="1:13" x14ac:dyDescent="0.35">
      <c r="A149">
        <f t="shared" si="19"/>
        <v>145</v>
      </c>
      <c r="B149" s="9">
        <f t="shared" si="20"/>
        <v>19.670000000000002</v>
      </c>
      <c r="C149" s="3" t="s">
        <v>131</v>
      </c>
      <c r="D149">
        <f t="shared" si="24"/>
        <v>9</v>
      </c>
      <c r="E149">
        <f t="shared" si="21"/>
        <v>4</v>
      </c>
      <c r="F149">
        <f t="shared" si="22"/>
        <v>2023</v>
      </c>
      <c r="G149" t="s">
        <v>7</v>
      </c>
      <c r="H149">
        <v>-1</v>
      </c>
      <c r="K149" t="s">
        <v>9</v>
      </c>
      <c r="L149" s="8">
        <f t="shared" si="23"/>
        <v>-1</v>
      </c>
      <c r="M149" t="s">
        <v>168</v>
      </c>
    </row>
    <row r="150" spans="1:13" x14ac:dyDescent="0.35">
      <c r="A150">
        <f t="shared" si="19"/>
        <v>146</v>
      </c>
      <c r="B150" s="9">
        <f t="shared" si="20"/>
        <v>23.67</v>
      </c>
      <c r="C150" s="3" t="s">
        <v>131</v>
      </c>
      <c r="D150">
        <f t="shared" si="24"/>
        <v>9</v>
      </c>
      <c r="E150">
        <f t="shared" si="21"/>
        <v>4</v>
      </c>
      <c r="F150">
        <f t="shared" si="22"/>
        <v>2023</v>
      </c>
      <c r="G150" t="s">
        <v>7</v>
      </c>
      <c r="H150">
        <v>-1</v>
      </c>
      <c r="I150">
        <v>5</v>
      </c>
      <c r="K150" t="s">
        <v>10</v>
      </c>
      <c r="L150" s="8">
        <f t="shared" si="23"/>
        <v>4</v>
      </c>
      <c r="M150" t="s">
        <v>169</v>
      </c>
    </row>
    <row r="151" spans="1:13" x14ac:dyDescent="0.35">
      <c r="A151">
        <f t="shared" si="19"/>
        <v>147</v>
      </c>
      <c r="B151" s="9">
        <f t="shared" si="20"/>
        <v>22.67</v>
      </c>
      <c r="C151" s="3" t="s">
        <v>131</v>
      </c>
      <c r="D151">
        <f t="shared" si="24"/>
        <v>9</v>
      </c>
      <c r="E151">
        <f t="shared" si="21"/>
        <v>4</v>
      </c>
      <c r="F151">
        <f t="shared" si="22"/>
        <v>2023</v>
      </c>
      <c r="G151" t="s">
        <v>7</v>
      </c>
      <c r="H151">
        <v>-1</v>
      </c>
      <c r="K151" t="s">
        <v>9</v>
      </c>
      <c r="L151" s="8">
        <f t="shared" si="23"/>
        <v>-1</v>
      </c>
      <c r="M151" t="s">
        <v>170</v>
      </c>
    </row>
    <row r="152" spans="1:13" x14ac:dyDescent="0.35">
      <c r="A152">
        <f t="shared" si="19"/>
        <v>148</v>
      </c>
      <c r="B152" s="9">
        <f t="shared" si="20"/>
        <v>23.67</v>
      </c>
      <c r="C152" s="3" t="s">
        <v>131</v>
      </c>
      <c r="D152">
        <f t="shared" si="24"/>
        <v>9</v>
      </c>
      <c r="E152">
        <f t="shared" si="21"/>
        <v>4</v>
      </c>
      <c r="F152">
        <f t="shared" si="22"/>
        <v>2023</v>
      </c>
      <c r="G152" t="s">
        <v>7</v>
      </c>
      <c r="H152">
        <v>-1</v>
      </c>
      <c r="I152">
        <v>2</v>
      </c>
      <c r="K152" t="s">
        <v>10</v>
      </c>
      <c r="L152" s="8">
        <f t="shared" si="23"/>
        <v>1</v>
      </c>
      <c r="M152" t="s">
        <v>171</v>
      </c>
    </row>
    <row r="153" spans="1:13" x14ac:dyDescent="0.35">
      <c r="A153">
        <f t="shared" si="19"/>
        <v>149</v>
      </c>
      <c r="B153" s="9">
        <f t="shared" si="20"/>
        <v>22.67</v>
      </c>
      <c r="C153" s="3" t="s">
        <v>131</v>
      </c>
      <c r="D153">
        <f t="shared" si="24"/>
        <v>9</v>
      </c>
      <c r="E153">
        <f t="shared" si="21"/>
        <v>4</v>
      </c>
      <c r="F153">
        <f t="shared" si="22"/>
        <v>2023</v>
      </c>
      <c r="G153" t="s">
        <v>7</v>
      </c>
      <c r="H153">
        <v>-1</v>
      </c>
      <c r="K153" t="s">
        <v>9</v>
      </c>
      <c r="L153" s="8">
        <f t="shared" si="23"/>
        <v>-1</v>
      </c>
      <c r="M153" t="s">
        <v>172</v>
      </c>
    </row>
    <row r="154" spans="1:13" x14ac:dyDescent="0.35">
      <c r="A154">
        <f t="shared" si="19"/>
        <v>150</v>
      </c>
      <c r="B154" s="9">
        <f t="shared" si="20"/>
        <v>21.67</v>
      </c>
      <c r="C154" s="3" t="s">
        <v>131</v>
      </c>
      <c r="D154">
        <f t="shared" si="24"/>
        <v>9</v>
      </c>
      <c r="E154">
        <f t="shared" si="21"/>
        <v>4</v>
      </c>
      <c r="F154">
        <f t="shared" si="22"/>
        <v>2023</v>
      </c>
      <c r="G154" t="s">
        <v>7</v>
      </c>
      <c r="H154">
        <v>-1</v>
      </c>
      <c r="K154" t="s">
        <v>9</v>
      </c>
      <c r="L154" s="8">
        <f t="shared" si="23"/>
        <v>-1</v>
      </c>
      <c r="M154" t="s">
        <v>173</v>
      </c>
    </row>
    <row r="155" spans="1:13" x14ac:dyDescent="0.35">
      <c r="A155">
        <f t="shared" si="19"/>
        <v>151</v>
      </c>
      <c r="B155" s="9">
        <f t="shared" si="20"/>
        <v>20.67</v>
      </c>
      <c r="C155" s="3" t="s">
        <v>131</v>
      </c>
      <c r="D155">
        <f t="shared" si="24"/>
        <v>9</v>
      </c>
      <c r="E155">
        <f t="shared" si="21"/>
        <v>4</v>
      </c>
      <c r="F155">
        <f t="shared" si="22"/>
        <v>2023</v>
      </c>
      <c r="G155" t="s">
        <v>7</v>
      </c>
      <c r="H155">
        <v>-1</v>
      </c>
      <c r="K155" t="s">
        <v>9</v>
      </c>
      <c r="L155" s="8">
        <f t="shared" si="23"/>
        <v>-1</v>
      </c>
      <c r="M155" t="s">
        <v>174</v>
      </c>
    </row>
    <row r="156" spans="1:13" x14ac:dyDescent="0.35">
      <c r="A156">
        <f t="shared" si="19"/>
        <v>152</v>
      </c>
      <c r="B156" s="9">
        <f t="shared" si="20"/>
        <v>24.67</v>
      </c>
      <c r="C156" s="3" t="s">
        <v>131</v>
      </c>
      <c r="D156">
        <f t="shared" si="24"/>
        <v>9</v>
      </c>
      <c r="E156">
        <f t="shared" si="21"/>
        <v>4</v>
      </c>
      <c r="F156">
        <f t="shared" si="22"/>
        <v>2023</v>
      </c>
      <c r="G156" t="s">
        <v>7</v>
      </c>
      <c r="H156">
        <v>-1</v>
      </c>
      <c r="I156">
        <v>5</v>
      </c>
      <c r="K156" t="s">
        <v>10</v>
      </c>
      <c r="L156" s="8">
        <f t="shared" si="23"/>
        <v>4</v>
      </c>
      <c r="M156" t="s">
        <v>175</v>
      </c>
    </row>
    <row r="157" spans="1:13" x14ac:dyDescent="0.35">
      <c r="A157">
        <f t="shared" si="19"/>
        <v>153</v>
      </c>
      <c r="B157" s="9">
        <f t="shared" si="20"/>
        <v>23.67</v>
      </c>
      <c r="C157" s="3" t="s">
        <v>131</v>
      </c>
      <c r="D157">
        <f t="shared" si="24"/>
        <v>9</v>
      </c>
      <c r="E157">
        <f t="shared" si="21"/>
        <v>4</v>
      </c>
      <c r="F157">
        <f t="shared" si="22"/>
        <v>2023</v>
      </c>
      <c r="G157" t="s">
        <v>7</v>
      </c>
      <c r="H157">
        <v>-1</v>
      </c>
      <c r="K157" t="s">
        <v>9</v>
      </c>
      <c r="L157" s="8">
        <f t="shared" si="23"/>
        <v>-1</v>
      </c>
      <c r="M157" t="s">
        <v>176</v>
      </c>
    </row>
    <row r="158" spans="1:13" x14ac:dyDescent="0.35">
      <c r="A158">
        <f t="shared" si="19"/>
        <v>154</v>
      </c>
      <c r="B158" s="9">
        <f t="shared" si="20"/>
        <v>24.67</v>
      </c>
      <c r="C158" s="3" t="s">
        <v>131</v>
      </c>
      <c r="D158">
        <f t="shared" si="24"/>
        <v>9</v>
      </c>
      <c r="E158">
        <f t="shared" si="21"/>
        <v>4</v>
      </c>
      <c r="F158">
        <f t="shared" si="22"/>
        <v>2023</v>
      </c>
      <c r="G158" t="s">
        <v>7</v>
      </c>
      <c r="H158">
        <v>-1</v>
      </c>
      <c r="I158">
        <v>2</v>
      </c>
      <c r="K158" t="s">
        <v>10</v>
      </c>
      <c r="L158" s="8">
        <f t="shared" si="23"/>
        <v>1</v>
      </c>
      <c r="M158" t="s">
        <v>177</v>
      </c>
    </row>
    <row r="159" spans="1:13" x14ac:dyDescent="0.35">
      <c r="A159">
        <f t="shared" si="19"/>
        <v>155</v>
      </c>
      <c r="B159" s="9">
        <f t="shared" si="20"/>
        <v>28.67</v>
      </c>
      <c r="C159" s="3" t="s">
        <v>178</v>
      </c>
      <c r="D159">
        <f t="shared" si="24"/>
        <v>10</v>
      </c>
      <c r="E159">
        <f t="shared" si="21"/>
        <v>4</v>
      </c>
      <c r="F159">
        <f t="shared" si="22"/>
        <v>2023</v>
      </c>
      <c r="G159" t="s">
        <v>7</v>
      </c>
      <c r="H159">
        <v>-1</v>
      </c>
      <c r="I159">
        <v>5</v>
      </c>
      <c r="K159" t="s">
        <v>10</v>
      </c>
      <c r="L159" s="8">
        <f t="shared" si="23"/>
        <v>4</v>
      </c>
      <c r="M159" t="s">
        <v>179</v>
      </c>
    </row>
    <row r="160" spans="1:13" x14ac:dyDescent="0.35">
      <c r="A160">
        <f t="shared" si="19"/>
        <v>156</v>
      </c>
      <c r="B160" s="9">
        <f t="shared" si="20"/>
        <v>29.67</v>
      </c>
      <c r="C160" s="3" t="s">
        <v>178</v>
      </c>
      <c r="D160">
        <f t="shared" si="24"/>
        <v>10</v>
      </c>
      <c r="E160">
        <f t="shared" si="21"/>
        <v>4</v>
      </c>
      <c r="F160">
        <f t="shared" si="22"/>
        <v>2023</v>
      </c>
      <c r="G160" t="s">
        <v>7</v>
      </c>
      <c r="H160">
        <v>-1</v>
      </c>
      <c r="I160">
        <v>2</v>
      </c>
      <c r="K160" t="s">
        <v>10</v>
      </c>
      <c r="L160" s="8">
        <f t="shared" si="23"/>
        <v>1</v>
      </c>
      <c r="M160" t="s">
        <v>180</v>
      </c>
    </row>
    <row r="161" spans="1:16" x14ac:dyDescent="0.35">
      <c r="A161">
        <f t="shared" si="19"/>
        <v>157</v>
      </c>
      <c r="B161" s="9">
        <f t="shared" si="20"/>
        <v>28.67</v>
      </c>
      <c r="C161" s="3" t="s">
        <v>178</v>
      </c>
      <c r="D161">
        <f t="shared" si="24"/>
        <v>10</v>
      </c>
      <c r="E161">
        <f t="shared" si="21"/>
        <v>4</v>
      </c>
      <c r="F161">
        <f t="shared" si="22"/>
        <v>2023</v>
      </c>
      <c r="G161" t="s">
        <v>7</v>
      </c>
      <c r="H161">
        <v>-1</v>
      </c>
      <c r="K161" t="s">
        <v>9</v>
      </c>
      <c r="L161" s="8">
        <f t="shared" si="23"/>
        <v>-1</v>
      </c>
      <c r="M161" t="s">
        <v>181</v>
      </c>
    </row>
    <row r="162" spans="1:16" x14ac:dyDescent="0.35">
      <c r="A162">
        <f t="shared" si="19"/>
        <v>158</v>
      </c>
      <c r="B162" s="9">
        <f t="shared" si="20"/>
        <v>27.67</v>
      </c>
      <c r="C162" s="3" t="s">
        <v>178</v>
      </c>
      <c r="D162">
        <f t="shared" si="24"/>
        <v>10</v>
      </c>
      <c r="E162">
        <f t="shared" si="21"/>
        <v>4</v>
      </c>
      <c r="F162">
        <f t="shared" si="22"/>
        <v>2023</v>
      </c>
      <c r="G162" t="s">
        <v>7</v>
      </c>
      <c r="H162">
        <v>-1</v>
      </c>
      <c r="K162" t="s">
        <v>9</v>
      </c>
      <c r="L162" s="8">
        <f t="shared" si="23"/>
        <v>-1</v>
      </c>
      <c r="M162" t="s">
        <v>182</v>
      </c>
    </row>
    <row r="163" spans="1:16" x14ac:dyDescent="0.35">
      <c r="A163">
        <f t="shared" si="19"/>
        <v>159</v>
      </c>
      <c r="B163" s="9">
        <f t="shared" si="20"/>
        <v>29.67</v>
      </c>
      <c r="C163" s="3" t="s">
        <v>178</v>
      </c>
      <c r="D163">
        <f t="shared" si="24"/>
        <v>10</v>
      </c>
      <c r="E163">
        <f t="shared" si="21"/>
        <v>4</v>
      </c>
      <c r="F163">
        <f t="shared" si="22"/>
        <v>2023</v>
      </c>
      <c r="G163" t="s">
        <v>7</v>
      </c>
      <c r="H163">
        <v>-1</v>
      </c>
      <c r="I163">
        <v>3</v>
      </c>
      <c r="K163" t="s">
        <v>10</v>
      </c>
      <c r="L163" s="8">
        <f t="shared" si="23"/>
        <v>2</v>
      </c>
      <c r="M163" t="s">
        <v>183</v>
      </c>
    </row>
    <row r="164" spans="1:16" x14ac:dyDescent="0.35">
      <c r="A164">
        <f t="shared" si="19"/>
        <v>160</v>
      </c>
      <c r="B164" s="9">
        <f t="shared" si="20"/>
        <v>28.67</v>
      </c>
      <c r="C164" s="3" t="s">
        <v>178</v>
      </c>
      <c r="D164">
        <f t="shared" si="24"/>
        <v>10</v>
      </c>
      <c r="E164">
        <f t="shared" si="21"/>
        <v>4</v>
      </c>
      <c r="F164">
        <f t="shared" si="22"/>
        <v>2023</v>
      </c>
      <c r="G164" t="s">
        <v>7</v>
      </c>
      <c r="H164">
        <v>-1</v>
      </c>
      <c r="K164" t="s">
        <v>9</v>
      </c>
      <c r="L164" s="8">
        <f t="shared" si="23"/>
        <v>-1</v>
      </c>
      <c r="M164" t="s">
        <v>184</v>
      </c>
      <c r="P164" s="2"/>
    </row>
    <row r="165" spans="1:16" x14ac:dyDescent="0.35">
      <c r="A165">
        <f t="shared" si="19"/>
        <v>161</v>
      </c>
      <c r="B165" s="9">
        <f t="shared" si="20"/>
        <v>27.67</v>
      </c>
      <c r="C165" s="3" t="s">
        <v>178</v>
      </c>
      <c r="D165">
        <f t="shared" si="24"/>
        <v>10</v>
      </c>
      <c r="E165">
        <f t="shared" si="21"/>
        <v>4</v>
      </c>
      <c r="F165">
        <f t="shared" si="22"/>
        <v>2023</v>
      </c>
      <c r="G165" t="s">
        <v>7</v>
      </c>
      <c r="H165">
        <v>-1</v>
      </c>
      <c r="K165" t="s">
        <v>9</v>
      </c>
      <c r="L165" s="8">
        <f t="shared" si="23"/>
        <v>-1</v>
      </c>
      <c r="M165" t="s">
        <v>185</v>
      </c>
    </row>
    <row r="166" spans="1:16" x14ac:dyDescent="0.35">
      <c r="A166">
        <f t="shared" si="19"/>
        <v>162</v>
      </c>
      <c r="B166" s="9">
        <f t="shared" si="20"/>
        <v>26.67</v>
      </c>
      <c r="C166" s="3" t="s">
        <v>178</v>
      </c>
      <c r="D166">
        <f t="shared" si="24"/>
        <v>10</v>
      </c>
      <c r="E166">
        <f t="shared" si="21"/>
        <v>4</v>
      </c>
      <c r="F166">
        <f t="shared" si="22"/>
        <v>2023</v>
      </c>
      <c r="G166" t="s">
        <v>7</v>
      </c>
      <c r="H166">
        <v>-1</v>
      </c>
      <c r="K166" t="s">
        <v>9</v>
      </c>
      <c r="L166" s="8">
        <f t="shared" si="23"/>
        <v>-1</v>
      </c>
      <c r="M166" t="s">
        <v>186</v>
      </c>
    </row>
    <row r="167" spans="1:16" x14ac:dyDescent="0.35">
      <c r="A167">
        <f t="shared" si="19"/>
        <v>163</v>
      </c>
      <c r="B167" s="9">
        <f t="shared" si="20"/>
        <v>25.67</v>
      </c>
      <c r="C167" s="3" t="s">
        <v>178</v>
      </c>
      <c r="D167">
        <f t="shared" si="24"/>
        <v>10</v>
      </c>
      <c r="E167">
        <f t="shared" si="21"/>
        <v>4</v>
      </c>
      <c r="F167">
        <f t="shared" si="22"/>
        <v>2023</v>
      </c>
      <c r="G167" t="s">
        <v>7</v>
      </c>
      <c r="H167">
        <v>-1</v>
      </c>
      <c r="K167" t="s">
        <v>9</v>
      </c>
      <c r="L167" s="8">
        <f t="shared" si="23"/>
        <v>-1</v>
      </c>
      <c r="M167" t="s">
        <v>187</v>
      </c>
    </row>
    <row r="168" spans="1:16" x14ac:dyDescent="0.35">
      <c r="A168">
        <f t="shared" si="19"/>
        <v>164</v>
      </c>
      <c r="B168" s="9">
        <f t="shared" si="20"/>
        <v>27.67</v>
      </c>
      <c r="C168" s="3" t="s">
        <v>178</v>
      </c>
      <c r="D168">
        <f t="shared" si="24"/>
        <v>10</v>
      </c>
      <c r="E168">
        <f t="shared" si="21"/>
        <v>4</v>
      </c>
      <c r="F168">
        <f t="shared" si="22"/>
        <v>2023</v>
      </c>
      <c r="G168" t="s">
        <v>7</v>
      </c>
      <c r="H168">
        <v>-1</v>
      </c>
      <c r="I168">
        <v>3</v>
      </c>
      <c r="K168" t="s">
        <v>10</v>
      </c>
      <c r="L168" s="8">
        <f t="shared" si="23"/>
        <v>2</v>
      </c>
      <c r="M168" t="s">
        <v>188</v>
      </c>
    </row>
    <row r="169" spans="1:16" x14ac:dyDescent="0.35">
      <c r="A169">
        <f t="shared" si="19"/>
        <v>165</v>
      </c>
      <c r="B169" s="9">
        <f t="shared" si="20"/>
        <v>25.470000000000002</v>
      </c>
      <c r="C169" s="3" t="s">
        <v>178</v>
      </c>
      <c r="D169">
        <f t="shared" si="24"/>
        <v>10</v>
      </c>
      <c r="E169">
        <f t="shared" si="21"/>
        <v>4</v>
      </c>
      <c r="F169">
        <f t="shared" si="22"/>
        <v>2023</v>
      </c>
      <c r="G169" t="s">
        <v>44</v>
      </c>
      <c r="H169">
        <v>-2.2000000000000002</v>
      </c>
      <c r="K169" t="s">
        <v>9</v>
      </c>
      <c r="L169" s="8">
        <f t="shared" si="23"/>
        <v>-1</v>
      </c>
      <c r="M169" t="s">
        <v>3514</v>
      </c>
    </row>
    <row r="170" spans="1:16" x14ac:dyDescent="0.35">
      <c r="A170">
        <f>A169+1</f>
        <v>166</v>
      </c>
      <c r="B170" s="9">
        <f>B169+H170+I170+J170</f>
        <v>24.470000000000002</v>
      </c>
      <c r="C170" s="3" t="s">
        <v>178</v>
      </c>
      <c r="D170">
        <f t="shared" si="24"/>
        <v>10</v>
      </c>
      <c r="E170">
        <f t="shared" si="21"/>
        <v>4</v>
      </c>
      <c r="F170">
        <f t="shared" si="22"/>
        <v>2023</v>
      </c>
      <c r="G170" t="s">
        <v>7</v>
      </c>
      <c r="H170">
        <v>-1</v>
      </c>
      <c r="K170" t="s">
        <v>9</v>
      </c>
      <c r="L170" s="8">
        <f t="shared" si="23"/>
        <v>-1</v>
      </c>
      <c r="M170" t="s">
        <v>189</v>
      </c>
    </row>
    <row r="171" spans="1:16" x14ac:dyDescent="0.35">
      <c r="A171">
        <f t="shared" si="19"/>
        <v>167</v>
      </c>
      <c r="B171" s="9">
        <f t="shared" si="20"/>
        <v>26.470000000000002</v>
      </c>
      <c r="C171" s="3" t="s">
        <v>178</v>
      </c>
      <c r="D171">
        <f t="shared" si="24"/>
        <v>10</v>
      </c>
      <c r="E171">
        <f t="shared" si="21"/>
        <v>4</v>
      </c>
      <c r="F171">
        <f t="shared" si="22"/>
        <v>2023</v>
      </c>
      <c r="G171" t="s">
        <v>7</v>
      </c>
      <c r="H171">
        <v>-1</v>
      </c>
      <c r="I171">
        <v>3</v>
      </c>
      <c r="K171" t="s">
        <v>10</v>
      </c>
      <c r="L171" s="8">
        <f t="shared" si="23"/>
        <v>2</v>
      </c>
      <c r="M171" t="s">
        <v>190</v>
      </c>
    </row>
    <row r="172" spans="1:16" x14ac:dyDescent="0.35">
      <c r="A172">
        <f t="shared" si="19"/>
        <v>168</v>
      </c>
      <c r="B172" s="9">
        <f t="shared" si="20"/>
        <v>16.470000000000002</v>
      </c>
      <c r="C172" s="3" t="s">
        <v>178</v>
      </c>
      <c r="D172">
        <f t="shared" si="24"/>
        <v>10</v>
      </c>
      <c r="E172">
        <f t="shared" si="21"/>
        <v>4</v>
      </c>
      <c r="F172">
        <f t="shared" si="22"/>
        <v>2023</v>
      </c>
      <c r="G172" t="s">
        <v>7</v>
      </c>
      <c r="H172">
        <v>-10</v>
      </c>
      <c r="K172" t="s">
        <v>9</v>
      </c>
      <c r="L172" s="8">
        <f t="shared" si="23"/>
        <v>-1</v>
      </c>
      <c r="M172" t="s">
        <v>191</v>
      </c>
    </row>
    <row r="173" spans="1:16" x14ac:dyDescent="0.35">
      <c r="A173">
        <f t="shared" si="19"/>
        <v>169</v>
      </c>
      <c r="B173" s="9">
        <f t="shared" si="20"/>
        <v>15.470000000000002</v>
      </c>
      <c r="C173" s="3" t="s">
        <v>178</v>
      </c>
      <c r="D173">
        <f t="shared" si="24"/>
        <v>10</v>
      </c>
      <c r="E173">
        <f t="shared" si="21"/>
        <v>4</v>
      </c>
      <c r="F173">
        <f t="shared" si="22"/>
        <v>2023</v>
      </c>
      <c r="G173" t="s">
        <v>7</v>
      </c>
      <c r="H173">
        <v>-1</v>
      </c>
      <c r="K173" t="s">
        <v>9</v>
      </c>
      <c r="L173" s="8">
        <f t="shared" si="23"/>
        <v>-1</v>
      </c>
      <c r="M173" t="s">
        <v>192</v>
      </c>
    </row>
    <row r="174" spans="1:16" x14ac:dyDescent="0.35">
      <c r="A174">
        <f t="shared" si="19"/>
        <v>170</v>
      </c>
      <c r="B174" s="9">
        <f t="shared" si="20"/>
        <v>14.470000000000002</v>
      </c>
      <c r="C174" s="3" t="s">
        <v>178</v>
      </c>
      <c r="D174">
        <f t="shared" si="24"/>
        <v>10</v>
      </c>
      <c r="E174">
        <f t="shared" si="21"/>
        <v>4</v>
      </c>
      <c r="F174">
        <f t="shared" si="22"/>
        <v>2023</v>
      </c>
      <c r="G174" t="s">
        <v>7</v>
      </c>
      <c r="H174">
        <v>-1</v>
      </c>
      <c r="K174" t="s">
        <v>9</v>
      </c>
      <c r="L174" s="8">
        <f t="shared" si="23"/>
        <v>-1</v>
      </c>
      <c r="M174" t="s">
        <v>194</v>
      </c>
    </row>
    <row r="175" spans="1:16" x14ac:dyDescent="0.35">
      <c r="A175">
        <f t="shared" si="19"/>
        <v>171</v>
      </c>
      <c r="B175" s="9">
        <f t="shared" si="20"/>
        <v>24.470000000000002</v>
      </c>
      <c r="C175" s="3" t="s">
        <v>178</v>
      </c>
      <c r="D175">
        <f t="shared" si="24"/>
        <v>10</v>
      </c>
      <c r="E175">
        <f t="shared" si="21"/>
        <v>4</v>
      </c>
      <c r="F175">
        <f t="shared" si="22"/>
        <v>2023</v>
      </c>
      <c r="G175" t="s">
        <v>193</v>
      </c>
      <c r="I175">
        <v>10</v>
      </c>
      <c r="K175" t="s">
        <v>10</v>
      </c>
      <c r="L175" s="8"/>
    </row>
    <row r="176" spans="1:16" x14ac:dyDescent="0.35">
      <c r="A176">
        <f t="shared" si="19"/>
        <v>172</v>
      </c>
      <c r="B176" s="9">
        <f t="shared" si="20"/>
        <v>14.470000000000002</v>
      </c>
      <c r="C176" s="3" t="s">
        <v>178</v>
      </c>
      <c r="D176">
        <f t="shared" si="24"/>
        <v>10</v>
      </c>
      <c r="E176">
        <f t="shared" si="21"/>
        <v>4</v>
      </c>
      <c r="F176">
        <f t="shared" si="22"/>
        <v>2023</v>
      </c>
      <c r="G176" t="s">
        <v>7</v>
      </c>
      <c r="H176">
        <v>-10</v>
      </c>
      <c r="K176" t="s">
        <v>9</v>
      </c>
      <c r="L176" s="8">
        <f t="shared" si="23"/>
        <v>-1</v>
      </c>
      <c r="M176" t="s">
        <v>195</v>
      </c>
    </row>
    <row r="177" spans="1:13" x14ac:dyDescent="0.35">
      <c r="A177">
        <f t="shared" si="19"/>
        <v>173</v>
      </c>
      <c r="B177" s="9">
        <f t="shared" si="20"/>
        <v>4.4700000000000024</v>
      </c>
      <c r="C177" s="3" t="s">
        <v>178</v>
      </c>
      <c r="D177">
        <f t="shared" si="24"/>
        <v>10</v>
      </c>
      <c r="E177">
        <f t="shared" si="21"/>
        <v>4</v>
      </c>
      <c r="F177">
        <f t="shared" si="22"/>
        <v>2023</v>
      </c>
      <c r="G177" t="s">
        <v>7</v>
      </c>
      <c r="H177">
        <v>-10</v>
      </c>
      <c r="K177" t="s">
        <v>9</v>
      </c>
      <c r="L177" s="8">
        <f t="shared" si="23"/>
        <v>-1</v>
      </c>
      <c r="M177" t="s">
        <v>196</v>
      </c>
    </row>
    <row r="178" spans="1:13" x14ac:dyDescent="0.35">
      <c r="A178">
        <f t="shared" si="19"/>
        <v>174</v>
      </c>
      <c r="B178" s="9">
        <f t="shared" si="20"/>
        <v>59.349999999999994</v>
      </c>
      <c r="C178" s="3" t="s">
        <v>178</v>
      </c>
      <c r="D178">
        <f>_xlfn.NUMBERVALUE(LEFT(C178,2))</f>
        <v>10</v>
      </c>
      <c r="E178">
        <f t="shared" si="21"/>
        <v>4</v>
      </c>
      <c r="F178">
        <f t="shared" si="22"/>
        <v>2023</v>
      </c>
      <c r="G178" t="s">
        <v>3362</v>
      </c>
      <c r="I178">
        <v>54.879999999999995</v>
      </c>
      <c r="L178" s="8"/>
    </row>
    <row r="179" spans="1:13" x14ac:dyDescent="0.35">
      <c r="A179">
        <f t="shared" si="19"/>
        <v>175</v>
      </c>
      <c r="B179" s="9">
        <f t="shared" si="20"/>
        <v>79.349999999999994</v>
      </c>
      <c r="C179" s="3" t="s">
        <v>178</v>
      </c>
      <c r="D179">
        <f t="shared" ref="D179:D189" si="25">_xlfn.NUMBERVALUE(LEFT(C179,2))</f>
        <v>10</v>
      </c>
      <c r="E179">
        <f t="shared" si="21"/>
        <v>4</v>
      </c>
      <c r="F179">
        <f t="shared" si="22"/>
        <v>2023</v>
      </c>
      <c r="G179" t="s">
        <v>7</v>
      </c>
      <c r="H179">
        <v>-10</v>
      </c>
      <c r="I179">
        <v>30</v>
      </c>
      <c r="K179" t="s">
        <v>10</v>
      </c>
      <c r="L179" s="8">
        <f t="shared" si="23"/>
        <v>2</v>
      </c>
      <c r="M179" t="s">
        <v>197</v>
      </c>
    </row>
    <row r="180" spans="1:13" x14ac:dyDescent="0.35">
      <c r="A180">
        <f t="shared" si="19"/>
        <v>176</v>
      </c>
      <c r="B180" s="9">
        <f t="shared" si="20"/>
        <v>81.349999999999994</v>
      </c>
      <c r="C180" s="3" t="s">
        <v>178</v>
      </c>
      <c r="D180">
        <f t="shared" si="25"/>
        <v>10</v>
      </c>
      <c r="E180">
        <f t="shared" si="21"/>
        <v>4</v>
      </c>
      <c r="F180">
        <f t="shared" si="22"/>
        <v>2023</v>
      </c>
      <c r="G180" t="s">
        <v>7</v>
      </c>
      <c r="H180">
        <v>-1</v>
      </c>
      <c r="I180">
        <v>3</v>
      </c>
      <c r="K180" t="s">
        <v>10</v>
      </c>
      <c r="L180" s="8">
        <f t="shared" si="23"/>
        <v>2</v>
      </c>
      <c r="M180" t="s">
        <v>198</v>
      </c>
    </row>
    <row r="181" spans="1:13" x14ac:dyDescent="0.35">
      <c r="A181">
        <f t="shared" si="19"/>
        <v>177</v>
      </c>
      <c r="B181" s="9">
        <f t="shared" si="20"/>
        <v>80.349999999999994</v>
      </c>
      <c r="C181" s="3" t="s">
        <v>178</v>
      </c>
      <c r="D181">
        <f t="shared" si="25"/>
        <v>10</v>
      </c>
      <c r="E181">
        <f t="shared" si="21"/>
        <v>4</v>
      </c>
      <c r="F181">
        <f t="shared" si="22"/>
        <v>2023</v>
      </c>
      <c r="G181" t="s">
        <v>7</v>
      </c>
      <c r="H181">
        <v>-1</v>
      </c>
      <c r="K181" t="s">
        <v>9</v>
      </c>
      <c r="L181" s="8">
        <f t="shared" si="23"/>
        <v>-1</v>
      </c>
      <c r="M181" t="s">
        <v>199</v>
      </c>
    </row>
    <row r="182" spans="1:13" x14ac:dyDescent="0.35">
      <c r="A182">
        <f t="shared" si="19"/>
        <v>178</v>
      </c>
      <c r="B182" s="9">
        <f t="shared" si="20"/>
        <v>79.349999999999994</v>
      </c>
      <c r="C182" s="3" t="s">
        <v>178</v>
      </c>
      <c r="D182">
        <f t="shared" si="25"/>
        <v>10</v>
      </c>
      <c r="E182">
        <f t="shared" si="21"/>
        <v>4</v>
      </c>
      <c r="F182">
        <f t="shared" si="22"/>
        <v>2023</v>
      </c>
      <c r="G182" t="s">
        <v>7</v>
      </c>
      <c r="H182">
        <v>-1</v>
      </c>
      <c r="K182" t="s">
        <v>9</v>
      </c>
      <c r="L182" s="8">
        <f t="shared" si="23"/>
        <v>-1</v>
      </c>
      <c r="M182" t="s">
        <v>200</v>
      </c>
    </row>
    <row r="183" spans="1:13" x14ac:dyDescent="0.35">
      <c r="A183">
        <f t="shared" si="19"/>
        <v>179</v>
      </c>
      <c r="B183" s="9">
        <f t="shared" si="20"/>
        <v>78.349999999999994</v>
      </c>
      <c r="C183" s="3" t="s">
        <v>178</v>
      </c>
      <c r="D183">
        <f t="shared" si="25"/>
        <v>10</v>
      </c>
      <c r="E183">
        <f t="shared" si="21"/>
        <v>4</v>
      </c>
      <c r="F183">
        <f t="shared" si="22"/>
        <v>2023</v>
      </c>
      <c r="G183" t="s">
        <v>7</v>
      </c>
      <c r="H183">
        <v>-1</v>
      </c>
      <c r="K183" t="s">
        <v>9</v>
      </c>
      <c r="L183" s="8">
        <f t="shared" si="23"/>
        <v>-1</v>
      </c>
      <c r="M183" t="s">
        <v>201</v>
      </c>
    </row>
    <row r="184" spans="1:13" x14ac:dyDescent="0.35">
      <c r="A184">
        <f t="shared" si="19"/>
        <v>180</v>
      </c>
      <c r="B184" s="9">
        <f t="shared" si="20"/>
        <v>79.349999999999994</v>
      </c>
      <c r="C184" s="3" t="s">
        <v>178</v>
      </c>
      <c r="D184">
        <f t="shared" si="25"/>
        <v>10</v>
      </c>
      <c r="E184">
        <f t="shared" si="21"/>
        <v>4</v>
      </c>
      <c r="F184">
        <f t="shared" si="22"/>
        <v>2023</v>
      </c>
      <c r="G184" t="s">
        <v>7</v>
      </c>
      <c r="H184">
        <v>-1</v>
      </c>
      <c r="I184">
        <v>2</v>
      </c>
      <c r="K184" t="s">
        <v>10</v>
      </c>
      <c r="L184" s="8">
        <f t="shared" si="23"/>
        <v>1</v>
      </c>
      <c r="M184" t="s">
        <v>202</v>
      </c>
    </row>
    <row r="185" spans="1:13" x14ac:dyDescent="0.35">
      <c r="A185">
        <f t="shared" si="19"/>
        <v>181</v>
      </c>
      <c r="B185" s="9">
        <f t="shared" si="20"/>
        <v>78.349999999999994</v>
      </c>
      <c r="C185" s="3" t="s">
        <v>178</v>
      </c>
      <c r="D185">
        <f t="shared" si="25"/>
        <v>10</v>
      </c>
      <c r="E185">
        <f t="shared" si="21"/>
        <v>4</v>
      </c>
      <c r="F185">
        <f t="shared" si="22"/>
        <v>2023</v>
      </c>
      <c r="G185" t="s">
        <v>7</v>
      </c>
      <c r="H185">
        <v>-1</v>
      </c>
      <c r="K185" t="s">
        <v>9</v>
      </c>
      <c r="L185" s="8">
        <f t="shared" si="23"/>
        <v>-1</v>
      </c>
      <c r="M185" t="s">
        <v>203</v>
      </c>
    </row>
    <row r="186" spans="1:13" x14ac:dyDescent="0.35">
      <c r="A186">
        <f t="shared" si="19"/>
        <v>182</v>
      </c>
      <c r="B186" s="9">
        <f t="shared" si="20"/>
        <v>77.349999999999994</v>
      </c>
      <c r="C186" s="3" t="s">
        <v>178</v>
      </c>
      <c r="D186">
        <f t="shared" si="25"/>
        <v>10</v>
      </c>
      <c r="E186">
        <f t="shared" si="21"/>
        <v>4</v>
      </c>
      <c r="F186">
        <f t="shared" si="22"/>
        <v>2023</v>
      </c>
      <c r="G186" t="s">
        <v>7</v>
      </c>
      <c r="H186">
        <v>-1</v>
      </c>
      <c r="K186" t="s">
        <v>9</v>
      </c>
      <c r="L186" s="8">
        <f t="shared" si="23"/>
        <v>-1</v>
      </c>
      <c r="M186" t="s">
        <v>204</v>
      </c>
    </row>
    <row r="187" spans="1:13" x14ac:dyDescent="0.35">
      <c r="A187">
        <f t="shared" si="19"/>
        <v>183</v>
      </c>
      <c r="B187" s="9">
        <f t="shared" si="20"/>
        <v>76.349999999999994</v>
      </c>
      <c r="C187" s="3" t="s">
        <v>178</v>
      </c>
      <c r="D187">
        <f t="shared" si="25"/>
        <v>10</v>
      </c>
      <c r="E187">
        <f t="shared" si="21"/>
        <v>4</v>
      </c>
      <c r="F187">
        <f t="shared" si="22"/>
        <v>2023</v>
      </c>
      <c r="G187" t="s">
        <v>7</v>
      </c>
      <c r="H187">
        <v>-1</v>
      </c>
      <c r="K187" t="s">
        <v>9</v>
      </c>
      <c r="L187" s="8">
        <f t="shared" si="23"/>
        <v>-1</v>
      </c>
      <c r="M187" t="s">
        <v>205</v>
      </c>
    </row>
    <row r="188" spans="1:13" x14ac:dyDescent="0.35">
      <c r="A188">
        <f t="shared" si="19"/>
        <v>184</v>
      </c>
      <c r="B188" s="9">
        <f t="shared" si="20"/>
        <v>80.349999999999994</v>
      </c>
      <c r="C188" s="3" t="s">
        <v>178</v>
      </c>
      <c r="D188">
        <f t="shared" si="25"/>
        <v>10</v>
      </c>
      <c r="E188">
        <f t="shared" si="21"/>
        <v>4</v>
      </c>
      <c r="F188">
        <f t="shared" si="22"/>
        <v>2023</v>
      </c>
      <c r="G188" t="s">
        <v>7</v>
      </c>
      <c r="H188">
        <v>-1</v>
      </c>
      <c r="I188">
        <v>5</v>
      </c>
      <c r="K188" t="s">
        <v>10</v>
      </c>
      <c r="L188" s="8">
        <f t="shared" si="23"/>
        <v>4</v>
      </c>
      <c r="M188" t="s">
        <v>206</v>
      </c>
    </row>
    <row r="189" spans="1:13" x14ac:dyDescent="0.35">
      <c r="A189">
        <f t="shared" si="19"/>
        <v>185</v>
      </c>
      <c r="B189" s="9">
        <f t="shared" si="20"/>
        <v>90.35</v>
      </c>
      <c r="C189" s="3" t="s">
        <v>178</v>
      </c>
      <c r="D189">
        <f t="shared" si="25"/>
        <v>10</v>
      </c>
      <c r="E189">
        <f t="shared" si="21"/>
        <v>4</v>
      </c>
      <c r="F189">
        <f t="shared" si="22"/>
        <v>2023</v>
      </c>
      <c r="G189" t="s">
        <v>7</v>
      </c>
      <c r="H189">
        <v>-10</v>
      </c>
      <c r="I189">
        <v>20</v>
      </c>
      <c r="K189" t="s">
        <v>10</v>
      </c>
      <c r="L189" s="8">
        <f t="shared" si="23"/>
        <v>1</v>
      </c>
      <c r="M189" t="s">
        <v>207</v>
      </c>
    </row>
    <row r="190" spans="1:13" x14ac:dyDescent="0.35">
      <c r="A190">
        <f t="shared" si="19"/>
        <v>186</v>
      </c>
      <c r="B190" s="9">
        <f t="shared" si="20"/>
        <v>35.369999999999997</v>
      </c>
      <c r="C190" s="3" t="s">
        <v>178</v>
      </c>
      <c r="D190">
        <f>_xlfn.NUMBERVALUE(LEFT(C190,2))</f>
        <v>10</v>
      </c>
      <c r="E190">
        <f t="shared" si="21"/>
        <v>4</v>
      </c>
      <c r="F190">
        <f t="shared" si="22"/>
        <v>2023</v>
      </c>
      <c r="G190" t="s">
        <v>208</v>
      </c>
      <c r="H190">
        <v>-54.98</v>
      </c>
      <c r="L190" s="8"/>
    </row>
    <row r="191" spans="1:13" x14ac:dyDescent="0.35">
      <c r="A191">
        <f t="shared" si="19"/>
        <v>187</v>
      </c>
      <c r="B191" s="9">
        <f t="shared" si="20"/>
        <v>36.369999999999997</v>
      </c>
      <c r="C191" s="3" t="s">
        <v>209</v>
      </c>
      <c r="D191">
        <f t="shared" ref="D191:D254" si="26">_xlfn.NUMBERVALUE(LEFT(C191,2))</f>
        <v>11</v>
      </c>
      <c r="E191">
        <f t="shared" si="21"/>
        <v>4</v>
      </c>
      <c r="F191">
        <f t="shared" si="22"/>
        <v>2023</v>
      </c>
      <c r="G191" t="s">
        <v>7</v>
      </c>
      <c r="H191">
        <v>-1</v>
      </c>
      <c r="I191">
        <v>2</v>
      </c>
      <c r="K191" t="s">
        <v>10</v>
      </c>
      <c r="L191" s="8">
        <f t="shared" si="23"/>
        <v>1</v>
      </c>
      <c r="M191" t="s">
        <v>210</v>
      </c>
    </row>
    <row r="192" spans="1:13" x14ac:dyDescent="0.35">
      <c r="A192">
        <f t="shared" si="19"/>
        <v>188</v>
      </c>
      <c r="B192" s="9">
        <f t="shared" si="20"/>
        <v>38.369999999999997</v>
      </c>
      <c r="C192" s="3" t="s">
        <v>209</v>
      </c>
      <c r="D192">
        <f t="shared" si="26"/>
        <v>11</v>
      </c>
      <c r="E192">
        <f t="shared" si="21"/>
        <v>4</v>
      </c>
      <c r="F192">
        <f t="shared" si="22"/>
        <v>2023</v>
      </c>
      <c r="G192" t="s">
        <v>7</v>
      </c>
      <c r="H192">
        <v>-1</v>
      </c>
      <c r="I192">
        <v>3</v>
      </c>
      <c r="K192" t="s">
        <v>10</v>
      </c>
      <c r="L192" s="8">
        <f t="shared" si="23"/>
        <v>2</v>
      </c>
      <c r="M192" t="s">
        <v>211</v>
      </c>
    </row>
    <row r="193" spans="1:13" x14ac:dyDescent="0.35">
      <c r="A193">
        <f t="shared" si="19"/>
        <v>189</v>
      </c>
      <c r="B193" s="9">
        <f t="shared" si="20"/>
        <v>35.07</v>
      </c>
      <c r="C193" s="3" t="s">
        <v>209</v>
      </c>
      <c r="D193">
        <f t="shared" si="26"/>
        <v>11</v>
      </c>
      <c r="E193">
        <f t="shared" si="21"/>
        <v>4</v>
      </c>
      <c r="F193">
        <f t="shared" si="22"/>
        <v>2023</v>
      </c>
      <c r="G193" t="s">
        <v>44</v>
      </c>
      <c r="H193">
        <v>-3.3</v>
      </c>
      <c r="K193" t="s">
        <v>9</v>
      </c>
      <c r="L193" s="8">
        <f t="shared" si="23"/>
        <v>-1</v>
      </c>
      <c r="M193" t="s">
        <v>212</v>
      </c>
    </row>
    <row r="194" spans="1:13" x14ac:dyDescent="0.35">
      <c r="A194">
        <f t="shared" si="19"/>
        <v>190</v>
      </c>
      <c r="B194" s="9">
        <f t="shared" si="20"/>
        <v>34.07</v>
      </c>
      <c r="C194" s="3" t="s">
        <v>209</v>
      </c>
      <c r="D194">
        <f t="shared" si="26"/>
        <v>11</v>
      </c>
      <c r="E194">
        <f t="shared" si="21"/>
        <v>4</v>
      </c>
      <c r="F194">
        <f t="shared" si="22"/>
        <v>2023</v>
      </c>
      <c r="G194" t="s">
        <v>7</v>
      </c>
      <c r="H194">
        <v>-1</v>
      </c>
      <c r="K194" t="s">
        <v>9</v>
      </c>
      <c r="L194" s="8">
        <f t="shared" si="23"/>
        <v>-1</v>
      </c>
      <c r="M194" t="s">
        <v>213</v>
      </c>
    </row>
    <row r="195" spans="1:13" x14ac:dyDescent="0.35">
      <c r="A195">
        <f t="shared" si="19"/>
        <v>191</v>
      </c>
      <c r="B195" s="9">
        <f t="shared" si="20"/>
        <v>33.07</v>
      </c>
      <c r="C195" s="3" t="s">
        <v>209</v>
      </c>
      <c r="D195">
        <f t="shared" si="26"/>
        <v>11</v>
      </c>
      <c r="E195">
        <f t="shared" si="21"/>
        <v>4</v>
      </c>
      <c r="F195">
        <f t="shared" si="22"/>
        <v>2023</v>
      </c>
      <c r="G195" t="s">
        <v>7</v>
      </c>
      <c r="H195">
        <v>-1</v>
      </c>
      <c r="K195" t="s">
        <v>9</v>
      </c>
      <c r="L195" s="8">
        <f t="shared" si="23"/>
        <v>-1</v>
      </c>
      <c r="M195" t="s">
        <v>214</v>
      </c>
    </row>
    <row r="196" spans="1:13" x14ac:dyDescent="0.35">
      <c r="A196">
        <f t="shared" si="19"/>
        <v>192</v>
      </c>
      <c r="B196" s="9">
        <f t="shared" si="20"/>
        <v>34.07</v>
      </c>
      <c r="C196" s="3" t="s">
        <v>209</v>
      </c>
      <c r="D196">
        <f t="shared" si="26"/>
        <v>11</v>
      </c>
      <c r="E196">
        <f t="shared" si="21"/>
        <v>4</v>
      </c>
      <c r="F196">
        <f t="shared" si="22"/>
        <v>2023</v>
      </c>
      <c r="G196" t="s">
        <v>7</v>
      </c>
      <c r="H196">
        <v>-1</v>
      </c>
      <c r="I196">
        <v>2</v>
      </c>
      <c r="K196" t="s">
        <v>10</v>
      </c>
      <c r="L196" s="8">
        <f t="shared" si="23"/>
        <v>1</v>
      </c>
      <c r="M196" t="s">
        <v>215</v>
      </c>
    </row>
    <row r="197" spans="1:13" x14ac:dyDescent="0.35">
      <c r="A197">
        <f t="shared" si="19"/>
        <v>193</v>
      </c>
      <c r="B197" s="9">
        <f t="shared" si="20"/>
        <v>33.07</v>
      </c>
      <c r="C197" s="3" t="s">
        <v>209</v>
      </c>
      <c r="D197">
        <f t="shared" si="26"/>
        <v>11</v>
      </c>
      <c r="E197">
        <f t="shared" si="21"/>
        <v>4</v>
      </c>
      <c r="F197">
        <f t="shared" si="22"/>
        <v>2023</v>
      </c>
      <c r="G197" t="s">
        <v>7</v>
      </c>
      <c r="H197">
        <v>-1</v>
      </c>
      <c r="K197" t="s">
        <v>9</v>
      </c>
      <c r="L197" s="8">
        <f t="shared" si="23"/>
        <v>-1</v>
      </c>
      <c r="M197" t="s">
        <v>216</v>
      </c>
    </row>
    <row r="198" spans="1:13" x14ac:dyDescent="0.35">
      <c r="A198">
        <f t="shared" ref="A198:A452" si="27">A197+1</f>
        <v>194</v>
      </c>
      <c r="B198" s="9">
        <f t="shared" ref="B198:B261" si="28">B197+H198+I198+J198</f>
        <v>35.07</v>
      </c>
      <c r="C198" s="3" t="s">
        <v>209</v>
      </c>
      <c r="D198">
        <f t="shared" si="26"/>
        <v>11</v>
      </c>
      <c r="E198">
        <f t="shared" ref="E198:E261" si="29">_xlfn.NUMBERVALUE(MID(C198,4,2))</f>
        <v>4</v>
      </c>
      <c r="F198">
        <f t="shared" ref="F198:F261" si="30">_xlfn.NUMBERVALUE(RIGHT(C198,4))</f>
        <v>2023</v>
      </c>
      <c r="G198" t="s">
        <v>7</v>
      </c>
      <c r="H198">
        <v>-1</v>
      </c>
      <c r="I198">
        <v>3</v>
      </c>
      <c r="K198" t="s">
        <v>10</v>
      </c>
      <c r="L198" s="8">
        <f t="shared" ref="L198:L261" si="31">IF(H198="",0,(SUM(I198:J198)/-H198)-1)</f>
        <v>2</v>
      </c>
      <c r="M198" t="s">
        <v>217</v>
      </c>
    </row>
    <row r="199" spans="1:13" x14ac:dyDescent="0.35">
      <c r="A199">
        <f t="shared" si="27"/>
        <v>195</v>
      </c>
      <c r="B199" s="9">
        <f t="shared" si="28"/>
        <v>36.07</v>
      </c>
      <c r="C199" s="3" t="s">
        <v>209</v>
      </c>
      <c r="D199">
        <f t="shared" si="26"/>
        <v>11</v>
      </c>
      <c r="E199">
        <f t="shared" si="29"/>
        <v>4</v>
      </c>
      <c r="F199">
        <f t="shared" si="30"/>
        <v>2023</v>
      </c>
      <c r="G199" t="s">
        <v>7</v>
      </c>
      <c r="H199">
        <v>-1</v>
      </c>
      <c r="I199">
        <v>2</v>
      </c>
      <c r="K199" t="s">
        <v>10</v>
      </c>
      <c r="L199" s="8">
        <f t="shared" si="31"/>
        <v>1</v>
      </c>
      <c r="M199" t="s">
        <v>218</v>
      </c>
    </row>
    <row r="200" spans="1:13" x14ac:dyDescent="0.35">
      <c r="A200">
        <f t="shared" si="27"/>
        <v>196</v>
      </c>
      <c r="B200" s="9">
        <f t="shared" si="28"/>
        <v>35.07</v>
      </c>
      <c r="C200" s="3" t="s">
        <v>209</v>
      </c>
      <c r="D200">
        <f t="shared" si="26"/>
        <v>11</v>
      </c>
      <c r="E200">
        <f t="shared" si="29"/>
        <v>4</v>
      </c>
      <c r="F200">
        <f t="shared" si="30"/>
        <v>2023</v>
      </c>
      <c r="G200" t="s">
        <v>7</v>
      </c>
      <c r="H200">
        <v>-1</v>
      </c>
      <c r="K200" t="s">
        <v>9</v>
      </c>
      <c r="L200" s="8">
        <f t="shared" si="31"/>
        <v>-1</v>
      </c>
      <c r="M200" t="s">
        <v>219</v>
      </c>
    </row>
    <row r="201" spans="1:13" x14ac:dyDescent="0.35">
      <c r="A201">
        <f t="shared" si="27"/>
        <v>197</v>
      </c>
      <c r="B201" s="9">
        <f t="shared" si="28"/>
        <v>37.07</v>
      </c>
      <c r="C201" s="3" t="s">
        <v>209</v>
      </c>
      <c r="D201">
        <f t="shared" si="26"/>
        <v>11</v>
      </c>
      <c r="E201">
        <f t="shared" si="29"/>
        <v>4</v>
      </c>
      <c r="F201">
        <f t="shared" si="30"/>
        <v>2023</v>
      </c>
      <c r="G201" t="s">
        <v>7</v>
      </c>
      <c r="H201">
        <v>-1</v>
      </c>
      <c r="I201">
        <v>3</v>
      </c>
      <c r="K201" t="s">
        <v>10</v>
      </c>
      <c r="L201" s="8">
        <f t="shared" si="31"/>
        <v>2</v>
      </c>
      <c r="M201" t="s">
        <v>220</v>
      </c>
    </row>
    <row r="202" spans="1:13" x14ac:dyDescent="0.35">
      <c r="A202">
        <f t="shared" si="27"/>
        <v>198</v>
      </c>
      <c r="B202" s="9">
        <f t="shared" si="28"/>
        <v>36.07</v>
      </c>
      <c r="C202" s="3" t="s">
        <v>209</v>
      </c>
      <c r="D202">
        <f t="shared" si="26"/>
        <v>11</v>
      </c>
      <c r="E202">
        <f t="shared" si="29"/>
        <v>4</v>
      </c>
      <c r="F202">
        <f t="shared" si="30"/>
        <v>2023</v>
      </c>
      <c r="G202" t="s">
        <v>7</v>
      </c>
      <c r="H202">
        <v>-1</v>
      </c>
      <c r="K202" t="s">
        <v>9</v>
      </c>
      <c r="L202" s="8">
        <f t="shared" si="31"/>
        <v>-1</v>
      </c>
      <c r="M202" t="s">
        <v>221</v>
      </c>
    </row>
    <row r="203" spans="1:13" x14ac:dyDescent="0.35">
      <c r="A203">
        <f t="shared" si="27"/>
        <v>199</v>
      </c>
      <c r="B203" s="9">
        <f t="shared" si="28"/>
        <v>38.07</v>
      </c>
      <c r="C203" s="3" t="s">
        <v>209</v>
      </c>
      <c r="D203">
        <f t="shared" si="26"/>
        <v>11</v>
      </c>
      <c r="E203">
        <f t="shared" si="29"/>
        <v>4</v>
      </c>
      <c r="F203">
        <f t="shared" si="30"/>
        <v>2023</v>
      </c>
      <c r="G203" t="s">
        <v>7</v>
      </c>
      <c r="H203">
        <v>-1</v>
      </c>
      <c r="I203">
        <v>3</v>
      </c>
      <c r="K203" t="s">
        <v>10</v>
      </c>
      <c r="L203" s="8">
        <f t="shared" si="31"/>
        <v>2</v>
      </c>
      <c r="M203" t="s">
        <v>222</v>
      </c>
    </row>
    <row r="204" spans="1:13" x14ac:dyDescent="0.35">
      <c r="A204">
        <f t="shared" si="27"/>
        <v>200</v>
      </c>
      <c r="B204" s="9">
        <f t="shared" si="28"/>
        <v>37.07</v>
      </c>
      <c r="C204" s="3" t="s">
        <v>209</v>
      </c>
      <c r="D204">
        <f t="shared" si="26"/>
        <v>11</v>
      </c>
      <c r="E204">
        <f t="shared" si="29"/>
        <v>4</v>
      </c>
      <c r="F204">
        <f t="shared" si="30"/>
        <v>2023</v>
      </c>
      <c r="G204" t="s">
        <v>7</v>
      </c>
      <c r="H204">
        <v>-1</v>
      </c>
      <c r="K204" t="s">
        <v>9</v>
      </c>
      <c r="L204" s="8">
        <f t="shared" si="31"/>
        <v>-1</v>
      </c>
      <c r="M204" t="s">
        <v>223</v>
      </c>
    </row>
    <row r="205" spans="1:13" x14ac:dyDescent="0.35">
      <c r="A205">
        <f t="shared" si="27"/>
        <v>201</v>
      </c>
      <c r="B205" s="9">
        <f t="shared" si="28"/>
        <v>36.07</v>
      </c>
      <c r="C205" s="3" t="s">
        <v>224</v>
      </c>
      <c r="D205">
        <f t="shared" si="26"/>
        <v>12</v>
      </c>
      <c r="E205">
        <f t="shared" si="29"/>
        <v>4</v>
      </c>
      <c r="F205">
        <f t="shared" si="30"/>
        <v>2023</v>
      </c>
      <c r="G205" t="s">
        <v>7</v>
      </c>
      <c r="H205">
        <v>-1</v>
      </c>
      <c r="K205" t="s">
        <v>9</v>
      </c>
      <c r="L205" s="8">
        <f t="shared" si="31"/>
        <v>-1</v>
      </c>
      <c r="M205" t="s">
        <v>225</v>
      </c>
    </row>
    <row r="206" spans="1:13" x14ac:dyDescent="0.35">
      <c r="A206">
        <f t="shared" si="27"/>
        <v>202</v>
      </c>
      <c r="B206" s="9">
        <f t="shared" si="28"/>
        <v>37.07</v>
      </c>
      <c r="C206" s="3" t="s">
        <v>224</v>
      </c>
      <c r="D206">
        <f t="shared" si="26"/>
        <v>12</v>
      </c>
      <c r="E206">
        <f t="shared" si="29"/>
        <v>4</v>
      </c>
      <c r="F206">
        <f t="shared" si="30"/>
        <v>2023</v>
      </c>
      <c r="G206" t="s">
        <v>7</v>
      </c>
      <c r="H206">
        <v>-1</v>
      </c>
      <c r="I206">
        <v>2</v>
      </c>
      <c r="K206" t="s">
        <v>10</v>
      </c>
      <c r="L206" s="8">
        <f t="shared" si="31"/>
        <v>1</v>
      </c>
      <c r="M206" t="s">
        <v>226</v>
      </c>
    </row>
    <row r="207" spans="1:13" x14ac:dyDescent="0.35">
      <c r="A207">
        <f t="shared" si="27"/>
        <v>203</v>
      </c>
      <c r="B207" s="9">
        <f t="shared" si="28"/>
        <v>36.07</v>
      </c>
      <c r="C207" s="3" t="s">
        <v>224</v>
      </c>
      <c r="D207">
        <f t="shared" si="26"/>
        <v>12</v>
      </c>
      <c r="E207">
        <f t="shared" si="29"/>
        <v>4</v>
      </c>
      <c r="F207">
        <f t="shared" si="30"/>
        <v>2023</v>
      </c>
      <c r="G207" t="s">
        <v>7</v>
      </c>
      <c r="H207">
        <v>-1</v>
      </c>
      <c r="K207" t="s">
        <v>9</v>
      </c>
      <c r="L207" s="8">
        <f t="shared" si="31"/>
        <v>-1</v>
      </c>
      <c r="M207" t="s">
        <v>227</v>
      </c>
    </row>
    <row r="208" spans="1:13" x14ac:dyDescent="0.35">
      <c r="A208">
        <f t="shared" si="27"/>
        <v>204</v>
      </c>
      <c r="B208" s="9">
        <f t="shared" si="28"/>
        <v>37.07</v>
      </c>
      <c r="C208" s="3" t="s">
        <v>224</v>
      </c>
      <c r="D208">
        <f t="shared" si="26"/>
        <v>12</v>
      </c>
      <c r="E208">
        <f t="shared" si="29"/>
        <v>4</v>
      </c>
      <c r="F208">
        <f t="shared" si="30"/>
        <v>2023</v>
      </c>
      <c r="G208" t="s">
        <v>7</v>
      </c>
      <c r="H208">
        <v>-1</v>
      </c>
      <c r="I208">
        <v>2</v>
      </c>
      <c r="K208" t="s">
        <v>10</v>
      </c>
      <c r="L208" s="8">
        <f t="shared" si="31"/>
        <v>1</v>
      </c>
      <c r="M208" t="s">
        <v>228</v>
      </c>
    </row>
    <row r="209" spans="1:13" x14ac:dyDescent="0.35">
      <c r="A209">
        <f t="shared" si="27"/>
        <v>205</v>
      </c>
      <c r="B209" s="9">
        <f t="shared" si="28"/>
        <v>39.07</v>
      </c>
      <c r="C209" s="3" t="s">
        <v>224</v>
      </c>
      <c r="D209">
        <f t="shared" si="26"/>
        <v>12</v>
      </c>
      <c r="E209">
        <f t="shared" si="29"/>
        <v>4</v>
      </c>
      <c r="F209">
        <f t="shared" si="30"/>
        <v>2023</v>
      </c>
      <c r="G209" t="s">
        <v>7</v>
      </c>
      <c r="H209">
        <v>-1</v>
      </c>
      <c r="I209">
        <v>3</v>
      </c>
      <c r="K209" t="s">
        <v>10</v>
      </c>
      <c r="L209" s="8">
        <f t="shared" si="31"/>
        <v>2</v>
      </c>
      <c r="M209" t="s">
        <v>229</v>
      </c>
    </row>
    <row r="210" spans="1:13" x14ac:dyDescent="0.35">
      <c r="A210">
        <f t="shared" si="27"/>
        <v>206</v>
      </c>
      <c r="B210" s="9">
        <f t="shared" si="28"/>
        <v>38.07</v>
      </c>
      <c r="C210" s="3" t="s">
        <v>224</v>
      </c>
      <c r="D210">
        <f t="shared" si="26"/>
        <v>12</v>
      </c>
      <c r="E210">
        <f t="shared" si="29"/>
        <v>4</v>
      </c>
      <c r="F210">
        <f t="shared" si="30"/>
        <v>2023</v>
      </c>
      <c r="G210" t="s">
        <v>7</v>
      </c>
      <c r="H210">
        <v>-1</v>
      </c>
      <c r="K210" t="s">
        <v>9</v>
      </c>
      <c r="L210" s="8">
        <f t="shared" si="31"/>
        <v>-1</v>
      </c>
      <c r="M210" t="s">
        <v>230</v>
      </c>
    </row>
    <row r="211" spans="1:13" x14ac:dyDescent="0.35">
      <c r="A211">
        <f t="shared" si="27"/>
        <v>207</v>
      </c>
      <c r="B211" s="9">
        <f t="shared" si="28"/>
        <v>39.07</v>
      </c>
      <c r="C211" s="3" t="s">
        <v>224</v>
      </c>
      <c r="D211">
        <f t="shared" si="26"/>
        <v>12</v>
      </c>
      <c r="E211">
        <f t="shared" si="29"/>
        <v>4</v>
      </c>
      <c r="F211">
        <f t="shared" si="30"/>
        <v>2023</v>
      </c>
      <c r="G211" t="s">
        <v>7</v>
      </c>
      <c r="H211">
        <v>-1</v>
      </c>
      <c r="I211">
        <v>2</v>
      </c>
      <c r="K211" t="s">
        <v>10</v>
      </c>
      <c r="L211" s="8">
        <f t="shared" si="31"/>
        <v>1</v>
      </c>
      <c r="M211" t="s">
        <v>231</v>
      </c>
    </row>
    <row r="212" spans="1:13" x14ac:dyDescent="0.35">
      <c r="A212">
        <f t="shared" si="27"/>
        <v>208</v>
      </c>
      <c r="B212" s="9">
        <f t="shared" si="28"/>
        <v>40.07</v>
      </c>
      <c r="C212" s="3" t="s">
        <v>224</v>
      </c>
      <c r="D212">
        <f t="shared" si="26"/>
        <v>12</v>
      </c>
      <c r="E212">
        <f t="shared" si="29"/>
        <v>4</v>
      </c>
      <c r="F212">
        <f t="shared" si="30"/>
        <v>2023</v>
      </c>
      <c r="G212" t="s">
        <v>7</v>
      </c>
      <c r="H212">
        <v>-1</v>
      </c>
      <c r="I212">
        <v>2</v>
      </c>
      <c r="K212" t="s">
        <v>10</v>
      </c>
      <c r="L212" s="8">
        <f t="shared" si="31"/>
        <v>1</v>
      </c>
      <c r="M212" t="s">
        <v>232</v>
      </c>
    </row>
    <row r="213" spans="1:13" x14ac:dyDescent="0.35">
      <c r="A213">
        <f t="shared" si="27"/>
        <v>209</v>
      </c>
      <c r="B213" s="9">
        <f t="shared" si="28"/>
        <v>39.07</v>
      </c>
      <c r="C213" s="3" t="s">
        <v>224</v>
      </c>
      <c r="D213">
        <f t="shared" si="26"/>
        <v>12</v>
      </c>
      <c r="E213">
        <f t="shared" si="29"/>
        <v>4</v>
      </c>
      <c r="F213">
        <f t="shared" si="30"/>
        <v>2023</v>
      </c>
      <c r="G213" t="s">
        <v>7</v>
      </c>
      <c r="H213">
        <v>-1</v>
      </c>
      <c r="K213" t="s">
        <v>9</v>
      </c>
      <c r="L213" s="8">
        <f t="shared" si="31"/>
        <v>-1</v>
      </c>
      <c r="M213" t="s">
        <v>233</v>
      </c>
    </row>
    <row r="214" spans="1:13" x14ac:dyDescent="0.35">
      <c r="A214">
        <f t="shared" si="27"/>
        <v>210</v>
      </c>
      <c r="B214" s="9">
        <f t="shared" si="28"/>
        <v>41.07</v>
      </c>
      <c r="C214" s="3" t="s">
        <v>224</v>
      </c>
      <c r="D214">
        <f t="shared" si="26"/>
        <v>12</v>
      </c>
      <c r="E214">
        <f t="shared" si="29"/>
        <v>4</v>
      </c>
      <c r="F214">
        <f t="shared" si="30"/>
        <v>2023</v>
      </c>
      <c r="G214" t="s">
        <v>7</v>
      </c>
      <c r="H214">
        <v>-1</v>
      </c>
      <c r="I214">
        <v>3</v>
      </c>
      <c r="K214" t="s">
        <v>10</v>
      </c>
      <c r="L214" s="8">
        <f t="shared" si="31"/>
        <v>2</v>
      </c>
      <c r="M214" t="s">
        <v>234</v>
      </c>
    </row>
    <row r="215" spans="1:13" x14ac:dyDescent="0.35">
      <c r="A215">
        <f t="shared" si="27"/>
        <v>211</v>
      </c>
      <c r="B215" s="9">
        <f t="shared" si="28"/>
        <v>43.07</v>
      </c>
      <c r="C215" s="3" t="s">
        <v>224</v>
      </c>
      <c r="D215">
        <f t="shared" si="26"/>
        <v>12</v>
      </c>
      <c r="E215">
        <f t="shared" si="29"/>
        <v>4</v>
      </c>
      <c r="F215">
        <f t="shared" si="30"/>
        <v>2023</v>
      </c>
      <c r="G215" t="s">
        <v>7</v>
      </c>
      <c r="H215">
        <v>-1</v>
      </c>
      <c r="I215">
        <v>3</v>
      </c>
      <c r="K215" t="s">
        <v>10</v>
      </c>
      <c r="L215" s="8">
        <f t="shared" si="31"/>
        <v>2</v>
      </c>
      <c r="M215" t="s">
        <v>235</v>
      </c>
    </row>
    <row r="216" spans="1:13" x14ac:dyDescent="0.35">
      <c r="A216">
        <f t="shared" si="27"/>
        <v>212</v>
      </c>
      <c r="B216" s="9">
        <f t="shared" si="28"/>
        <v>42.07</v>
      </c>
      <c r="C216" s="3" t="s">
        <v>224</v>
      </c>
      <c r="D216">
        <f t="shared" si="26"/>
        <v>12</v>
      </c>
      <c r="E216">
        <f t="shared" si="29"/>
        <v>4</v>
      </c>
      <c r="F216">
        <f t="shared" si="30"/>
        <v>2023</v>
      </c>
      <c r="G216" t="s">
        <v>7</v>
      </c>
      <c r="H216">
        <v>-1</v>
      </c>
      <c r="K216" t="s">
        <v>9</v>
      </c>
      <c r="L216" s="8">
        <f t="shared" si="31"/>
        <v>-1</v>
      </c>
      <c r="M216" t="s">
        <v>236</v>
      </c>
    </row>
    <row r="217" spans="1:13" x14ac:dyDescent="0.35">
      <c r="A217">
        <f t="shared" si="27"/>
        <v>213</v>
      </c>
      <c r="B217" s="9">
        <f t="shared" si="28"/>
        <v>41.07</v>
      </c>
      <c r="C217" s="3" t="s">
        <v>224</v>
      </c>
      <c r="D217">
        <f t="shared" si="26"/>
        <v>12</v>
      </c>
      <c r="E217">
        <f t="shared" si="29"/>
        <v>4</v>
      </c>
      <c r="F217">
        <f t="shared" si="30"/>
        <v>2023</v>
      </c>
      <c r="G217" t="s">
        <v>7</v>
      </c>
      <c r="H217">
        <v>-1</v>
      </c>
      <c r="K217" t="s">
        <v>9</v>
      </c>
      <c r="L217" s="8">
        <f t="shared" si="31"/>
        <v>-1</v>
      </c>
      <c r="M217" t="s">
        <v>237</v>
      </c>
    </row>
    <row r="218" spans="1:13" x14ac:dyDescent="0.35">
      <c r="A218">
        <f t="shared" si="27"/>
        <v>214</v>
      </c>
      <c r="B218" s="9">
        <f t="shared" si="28"/>
        <v>40.07</v>
      </c>
      <c r="C218" s="3" t="s">
        <v>224</v>
      </c>
      <c r="D218">
        <f t="shared" si="26"/>
        <v>12</v>
      </c>
      <c r="E218">
        <f t="shared" si="29"/>
        <v>4</v>
      </c>
      <c r="F218">
        <f t="shared" si="30"/>
        <v>2023</v>
      </c>
      <c r="G218" t="s">
        <v>7</v>
      </c>
      <c r="H218">
        <v>-1</v>
      </c>
      <c r="K218" t="s">
        <v>9</v>
      </c>
      <c r="L218" s="8">
        <f t="shared" si="31"/>
        <v>-1</v>
      </c>
      <c r="M218" t="s">
        <v>238</v>
      </c>
    </row>
    <row r="219" spans="1:13" x14ac:dyDescent="0.35">
      <c r="A219">
        <f t="shared" si="27"/>
        <v>215</v>
      </c>
      <c r="B219" s="9">
        <f t="shared" si="28"/>
        <v>41.07</v>
      </c>
      <c r="C219" s="3" t="s">
        <v>224</v>
      </c>
      <c r="D219">
        <f t="shared" si="26"/>
        <v>12</v>
      </c>
      <c r="E219">
        <f t="shared" si="29"/>
        <v>4</v>
      </c>
      <c r="F219">
        <f t="shared" si="30"/>
        <v>2023</v>
      </c>
      <c r="G219" t="s">
        <v>7</v>
      </c>
      <c r="H219">
        <v>-1</v>
      </c>
      <c r="I219">
        <v>2</v>
      </c>
      <c r="K219" t="s">
        <v>10</v>
      </c>
      <c r="L219" s="8">
        <f t="shared" si="31"/>
        <v>1</v>
      </c>
      <c r="M219" t="s">
        <v>239</v>
      </c>
    </row>
    <row r="220" spans="1:13" x14ac:dyDescent="0.35">
      <c r="A220">
        <f t="shared" si="27"/>
        <v>216</v>
      </c>
      <c r="B220" s="9">
        <f t="shared" si="28"/>
        <v>43.07</v>
      </c>
      <c r="C220" s="3" t="s">
        <v>224</v>
      </c>
      <c r="D220">
        <f t="shared" si="26"/>
        <v>12</v>
      </c>
      <c r="E220">
        <f t="shared" si="29"/>
        <v>4</v>
      </c>
      <c r="F220">
        <f t="shared" si="30"/>
        <v>2023</v>
      </c>
      <c r="G220" t="s">
        <v>7</v>
      </c>
      <c r="H220">
        <v>-1</v>
      </c>
      <c r="I220">
        <v>3</v>
      </c>
      <c r="K220" t="s">
        <v>10</v>
      </c>
      <c r="L220" s="8">
        <f t="shared" si="31"/>
        <v>2</v>
      </c>
      <c r="M220" t="s">
        <v>240</v>
      </c>
    </row>
    <row r="221" spans="1:13" x14ac:dyDescent="0.35">
      <c r="A221">
        <f t="shared" si="27"/>
        <v>217</v>
      </c>
      <c r="B221" s="9">
        <f t="shared" si="28"/>
        <v>42.07</v>
      </c>
      <c r="C221" s="3" t="s">
        <v>224</v>
      </c>
      <c r="D221">
        <f t="shared" si="26"/>
        <v>12</v>
      </c>
      <c r="E221">
        <f t="shared" si="29"/>
        <v>4</v>
      </c>
      <c r="F221">
        <f t="shared" si="30"/>
        <v>2023</v>
      </c>
      <c r="G221" t="s">
        <v>7</v>
      </c>
      <c r="H221">
        <v>-1</v>
      </c>
      <c r="K221" t="s">
        <v>9</v>
      </c>
      <c r="L221" s="8">
        <f t="shared" si="31"/>
        <v>-1</v>
      </c>
      <c r="M221" t="s">
        <v>241</v>
      </c>
    </row>
    <row r="222" spans="1:13" x14ac:dyDescent="0.35">
      <c r="A222">
        <f t="shared" si="27"/>
        <v>218</v>
      </c>
      <c r="B222" s="9">
        <f t="shared" si="28"/>
        <v>43.07</v>
      </c>
      <c r="C222" s="3" t="s">
        <v>224</v>
      </c>
      <c r="D222">
        <f t="shared" si="26"/>
        <v>12</v>
      </c>
      <c r="E222">
        <f t="shared" si="29"/>
        <v>4</v>
      </c>
      <c r="F222">
        <f t="shared" si="30"/>
        <v>2023</v>
      </c>
      <c r="G222" t="s">
        <v>7</v>
      </c>
      <c r="H222">
        <v>-1</v>
      </c>
      <c r="I222">
        <v>2</v>
      </c>
      <c r="K222" t="s">
        <v>10</v>
      </c>
      <c r="L222" s="8">
        <f t="shared" si="31"/>
        <v>1</v>
      </c>
      <c r="M222" t="s">
        <v>242</v>
      </c>
    </row>
    <row r="223" spans="1:13" x14ac:dyDescent="0.35">
      <c r="A223">
        <f t="shared" si="27"/>
        <v>219</v>
      </c>
      <c r="B223" s="9">
        <f t="shared" si="28"/>
        <v>42.07</v>
      </c>
      <c r="C223" s="3" t="s">
        <v>224</v>
      </c>
      <c r="D223">
        <f t="shared" si="26"/>
        <v>12</v>
      </c>
      <c r="E223">
        <f t="shared" si="29"/>
        <v>4</v>
      </c>
      <c r="F223">
        <f t="shared" si="30"/>
        <v>2023</v>
      </c>
      <c r="G223" t="s">
        <v>7</v>
      </c>
      <c r="H223">
        <v>-1</v>
      </c>
      <c r="K223" t="s">
        <v>9</v>
      </c>
      <c r="L223" s="8">
        <f t="shared" si="31"/>
        <v>-1</v>
      </c>
      <c r="M223" t="s">
        <v>243</v>
      </c>
    </row>
    <row r="224" spans="1:13" x14ac:dyDescent="0.35">
      <c r="A224">
        <f t="shared" si="27"/>
        <v>220</v>
      </c>
      <c r="B224" s="9">
        <f t="shared" si="28"/>
        <v>44.07</v>
      </c>
      <c r="C224" s="3" t="s">
        <v>224</v>
      </c>
      <c r="D224">
        <f t="shared" si="26"/>
        <v>12</v>
      </c>
      <c r="E224">
        <f t="shared" si="29"/>
        <v>4</v>
      </c>
      <c r="F224">
        <f t="shared" si="30"/>
        <v>2023</v>
      </c>
      <c r="G224" t="s">
        <v>7</v>
      </c>
      <c r="H224">
        <v>-1</v>
      </c>
      <c r="I224">
        <v>3</v>
      </c>
      <c r="K224" t="s">
        <v>10</v>
      </c>
      <c r="L224" s="8">
        <f t="shared" si="31"/>
        <v>2</v>
      </c>
      <c r="M224" t="s">
        <v>244</v>
      </c>
    </row>
    <row r="225" spans="1:13" x14ac:dyDescent="0.35">
      <c r="A225">
        <f t="shared" si="27"/>
        <v>221</v>
      </c>
      <c r="B225" s="9">
        <f t="shared" si="28"/>
        <v>47.29</v>
      </c>
      <c r="C225" s="3" t="s">
        <v>224</v>
      </c>
      <c r="D225">
        <f t="shared" si="26"/>
        <v>12</v>
      </c>
      <c r="E225">
        <f t="shared" si="29"/>
        <v>4</v>
      </c>
      <c r="F225">
        <f t="shared" si="30"/>
        <v>2023</v>
      </c>
      <c r="G225" t="s">
        <v>44</v>
      </c>
      <c r="H225">
        <v>-4.4000000000000004</v>
      </c>
      <c r="I225">
        <v>5.62</v>
      </c>
      <c r="J225">
        <v>2</v>
      </c>
      <c r="K225" t="s">
        <v>10</v>
      </c>
      <c r="L225" s="8">
        <f t="shared" si="31"/>
        <v>0.7318181818181817</v>
      </c>
      <c r="M225" t="s">
        <v>245</v>
      </c>
    </row>
    <row r="226" spans="1:13" x14ac:dyDescent="0.35">
      <c r="A226">
        <f t="shared" si="27"/>
        <v>222</v>
      </c>
      <c r="B226" s="9">
        <f t="shared" si="28"/>
        <v>49.29</v>
      </c>
      <c r="C226" s="3" t="s">
        <v>246</v>
      </c>
      <c r="D226">
        <f t="shared" si="26"/>
        <v>13</v>
      </c>
      <c r="E226">
        <f t="shared" si="29"/>
        <v>4</v>
      </c>
      <c r="F226">
        <f t="shared" si="30"/>
        <v>2023</v>
      </c>
      <c r="G226" t="s">
        <v>7</v>
      </c>
      <c r="H226">
        <v>-1</v>
      </c>
      <c r="I226">
        <v>3</v>
      </c>
      <c r="K226" t="s">
        <v>10</v>
      </c>
      <c r="L226" s="8">
        <f t="shared" si="31"/>
        <v>2</v>
      </c>
      <c r="M226" t="s">
        <v>247</v>
      </c>
    </row>
    <row r="227" spans="1:13" x14ac:dyDescent="0.35">
      <c r="A227">
        <f t="shared" si="27"/>
        <v>223</v>
      </c>
      <c r="B227" s="9">
        <f t="shared" si="28"/>
        <v>48.29</v>
      </c>
      <c r="C227" s="3" t="s">
        <v>246</v>
      </c>
      <c r="D227">
        <f t="shared" si="26"/>
        <v>13</v>
      </c>
      <c r="E227">
        <f t="shared" si="29"/>
        <v>4</v>
      </c>
      <c r="F227">
        <f t="shared" si="30"/>
        <v>2023</v>
      </c>
      <c r="G227" t="s">
        <v>7</v>
      </c>
      <c r="H227">
        <v>-1</v>
      </c>
      <c r="K227" t="s">
        <v>9</v>
      </c>
      <c r="L227" s="8">
        <f t="shared" si="31"/>
        <v>-1</v>
      </c>
      <c r="M227" t="s">
        <v>248</v>
      </c>
    </row>
    <row r="228" spans="1:13" x14ac:dyDescent="0.35">
      <c r="A228">
        <f t="shared" si="27"/>
        <v>224</v>
      </c>
      <c r="B228" s="9">
        <f t="shared" si="28"/>
        <v>47.29</v>
      </c>
      <c r="C228" s="3" t="s">
        <v>246</v>
      </c>
      <c r="D228">
        <f t="shared" si="26"/>
        <v>13</v>
      </c>
      <c r="E228">
        <f t="shared" si="29"/>
        <v>4</v>
      </c>
      <c r="F228">
        <f t="shared" si="30"/>
        <v>2023</v>
      </c>
      <c r="G228" t="s">
        <v>7</v>
      </c>
      <c r="H228">
        <v>-1</v>
      </c>
      <c r="K228" t="s">
        <v>9</v>
      </c>
      <c r="L228" s="8">
        <f t="shared" si="31"/>
        <v>-1</v>
      </c>
      <c r="M228" t="s">
        <v>249</v>
      </c>
    </row>
    <row r="229" spans="1:13" x14ac:dyDescent="0.35">
      <c r="A229">
        <f t="shared" si="27"/>
        <v>225</v>
      </c>
      <c r="B229" s="9">
        <f t="shared" si="28"/>
        <v>46.29</v>
      </c>
      <c r="C229" s="3" t="s">
        <v>246</v>
      </c>
      <c r="D229">
        <f t="shared" si="26"/>
        <v>13</v>
      </c>
      <c r="E229">
        <f t="shared" si="29"/>
        <v>4</v>
      </c>
      <c r="F229">
        <f t="shared" si="30"/>
        <v>2023</v>
      </c>
      <c r="G229" t="s">
        <v>7</v>
      </c>
      <c r="H229">
        <v>-1</v>
      </c>
      <c r="K229" t="s">
        <v>9</v>
      </c>
      <c r="L229" s="8">
        <f t="shared" si="31"/>
        <v>-1</v>
      </c>
      <c r="M229" t="s">
        <v>250</v>
      </c>
    </row>
    <row r="230" spans="1:13" x14ac:dyDescent="0.35">
      <c r="A230">
        <f t="shared" si="27"/>
        <v>226</v>
      </c>
      <c r="B230" s="9">
        <f t="shared" si="28"/>
        <v>45.29</v>
      </c>
      <c r="C230" s="3" t="s">
        <v>246</v>
      </c>
      <c r="D230">
        <f t="shared" si="26"/>
        <v>13</v>
      </c>
      <c r="E230">
        <f t="shared" si="29"/>
        <v>4</v>
      </c>
      <c r="F230">
        <f t="shared" si="30"/>
        <v>2023</v>
      </c>
      <c r="G230" t="s">
        <v>7</v>
      </c>
      <c r="H230">
        <v>-1</v>
      </c>
      <c r="K230" t="s">
        <v>9</v>
      </c>
      <c r="L230" s="8">
        <f t="shared" si="31"/>
        <v>-1</v>
      </c>
      <c r="M230" t="s">
        <v>251</v>
      </c>
    </row>
    <row r="231" spans="1:13" x14ac:dyDescent="0.35">
      <c r="A231">
        <f t="shared" si="27"/>
        <v>227</v>
      </c>
      <c r="B231" s="9">
        <f t="shared" si="28"/>
        <v>48.39</v>
      </c>
      <c r="C231" s="3" t="s">
        <v>252</v>
      </c>
      <c r="D231">
        <f t="shared" si="26"/>
        <v>15</v>
      </c>
      <c r="E231">
        <f t="shared" si="29"/>
        <v>4</v>
      </c>
      <c r="F231">
        <f t="shared" si="30"/>
        <v>2023</v>
      </c>
      <c r="G231" t="s">
        <v>44</v>
      </c>
      <c r="H231">
        <v>-4.4000000000000004</v>
      </c>
      <c r="J231">
        <v>7.5</v>
      </c>
      <c r="K231" t="s">
        <v>9</v>
      </c>
      <c r="L231" s="8">
        <f t="shared" si="31"/>
        <v>0.70454545454545436</v>
      </c>
      <c r="M231" t="s">
        <v>253</v>
      </c>
    </row>
    <row r="232" spans="1:13" x14ac:dyDescent="0.35">
      <c r="A232">
        <f t="shared" si="27"/>
        <v>228</v>
      </c>
      <c r="B232" s="9">
        <f t="shared" si="28"/>
        <v>49.39</v>
      </c>
      <c r="C232" s="3" t="s">
        <v>252</v>
      </c>
      <c r="D232">
        <f t="shared" si="26"/>
        <v>15</v>
      </c>
      <c r="E232">
        <f t="shared" si="29"/>
        <v>4</v>
      </c>
      <c r="F232">
        <f t="shared" si="30"/>
        <v>2023</v>
      </c>
      <c r="G232" t="s">
        <v>7</v>
      </c>
      <c r="H232">
        <v>-1</v>
      </c>
      <c r="I232">
        <v>2</v>
      </c>
      <c r="K232" t="s">
        <v>10</v>
      </c>
      <c r="L232" s="8">
        <f t="shared" si="31"/>
        <v>1</v>
      </c>
      <c r="M232" t="s">
        <v>254</v>
      </c>
    </row>
    <row r="233" spans="1:13" x14ac:dyDescent="0.35">
      <c r="A233">
        <f t="shared" si="27"/>
        <v>229</v>
      </c>
      <c r="B233" s="9">
        <f t="shared" si="28"/>
        <v>48.39</v>
      </c>
      <c r="C233" s="3" t="s">
        <v>252</v>
      </c>
      <c r="D233">
        <f t="shared" si="26"/>
        <v>15</v>
      </c>
      <c r="E233">
        <f t="shared" si="29"/>
        <v>4</v>
      </c>
      <c r="F233">
        <f t="shared" si="30"/>
        <v>2023</v>
      </c>
      <c r="G233" t="s">
        <v>7</v>
      </c>
      <c r="H233">
        <v>-1</v>
      </c>
      <c r="K233" t="s">
        <v>9</v>
      </c>
      <c r="L233" s="8">
        <f t="shared" si="31"/>
        <v>-1</v>
      </c>
      <c r="M233" t="s">
        <v>255</v>
      </c>
    </row>
    <row r="234" spans="1:13" x14ac:dyDescent="0.35">
      <c r="A234">
        <f t="shared" si="27"/>
        <v>230</v>
      </c>
      <c r="B234" s="9">
        <f t="shared" si="28"/>
        <v>47.39</v>
      </c>
      <c r="C234" s="3" t="s">
        <v>252</v>
      </c>
      <c r="D234">
        <f t="shared" si="26"/>
        <v>15</v>
      </c>
      <c r="E234">
        <f t="shared" si="29"/>
        <v>4</v>
      </c>
      <c r="F234">
        <f t="shared" si="30"/>
        <v>2023</v>
      </c>
      <c r="G234" t="s">
        <v>7</v>
      </c>
      <c r="H234">
        <v>-1</v>
      </c>
      <c r="K234" t="s">
        <v>9</v>
      </c>
      <c r="L234" s="8">
        <f t="shared" si="31"/>
        <v>-1</v>
      </c>
      <c r="M234" t="s">
        <v>256</v>
      </c>
    </row>
    <row r="235" spans="1:13" x14ac:dyDescent="0.35">
      <c r="A235">
        <f t="shared" si="27"/>
        <v>231</v>
      </c>
      <c r="B235" s="9">
        <f t="shared" si="28"/>
        <v>46.39</v>
      </c>
      <c r="C235" s="3" t="s">
        <v>252</v>
      </c>
      <c r="D235">
        <f t="shared" si="26"/>
        <v>15</v>
      </c>
      <c r="E235">
        <f t="shared" si="29"/>
        <v>4</v>
      </c>
      <c r="F235">
        <f t="shared" si="30"/>
        <v>2023</v>
      </c>
      <c r="G235" t="s">
        <v>7</v>
      </c>
      <c r="H235">
        <v>-1</v>
      </c>
      <c r="K235" t="s">
        <v>9</v>
      </c>
      <c r="L235" s="8">
        <f t="shared" si="31"/>
        <v>-1</v>
      </c>
      <c r="M235" t="s">
        <v>257</v>
      </c>
    </row>
    <row r="236" spans="1:13" x14ac:dyDescent="0.35">
      <c r="A236">
        <f t="shared" si="27"/>
        <v>232</v>
      </c>
      <c r="B236" s="9">
        <f t="shared" si="28"/>
        <v>45.39</v>
      </c>
      <c r="C236" s="3" t="s">
        <v>252</v>
      </c>
      <c r="D236">
        <f t="shared" si="26"/>
        <v>15</v>
      </c>
      <c r="E236">
        <f t="shared" si="29"/>
        <v>4</v>
      </c>
      <c r="F236">
        <f t="shared" si="30"/>
        <v>2023</v>
      </c>
      <c r="G236" t="s">
        <v>7</v>
      </c>
      <c r="H236">
        <v>-1</v>
      </c>
      <c r="K236" t="s">
        <v>9</v>
      </c>
      <c r="L236" s="8">
        <f t="shared" si="31"/>
        <v>-1</v>
      </c>
      <c r="M236" t="s">
        <v>258</v>
      </c>
    </row>
    <row r="237" spans="1:13" x14ac:dyDescent="0.35">
      <c r="A237">
        <f t="shared" si="27"/>
        <v>233</v>
      </c>
      <c r="B237" s="9">
        <f t="shared" si="28"/>
        <v>44.39</v>
      </c>
      <c r="C237" s="3" t="s">
        <v>260</v>
      </c>
      <c r="D237">
        <f t="shared" si="26"/>
        <v>16</v>
      </c>
      <c r="E237">
        <f t="shared" si="29"/>
        <v>4</v>
      </c>
      <c r="F237">
        <f t="shared" si="30"/>
        <v>2023</v>
      </c>
      <c r="G237" t="s">
        <v>7</v>
      </c>
      <c r="H237">
        <v>-1</v>
      </c>
      <c r="K237" t="s">
        <v>9</v>
      </c>
      <c r="L237" s="8">
        <f t="shared" si="31"/>
        <v>-1</v>
      </c>
      <c r="M237" t="s">
        <v>259</v>
      </c>
    </row>
    <row r="238" spans="1:13" x14ac:dyDescent="0.35">
      <c r="A238">
        <f t="shared" si="27"/>
        <v>234</v>
      </c>
      <c r="B238" s="9">
        <f t="shared" si="28"/>
        <v>45.39</v>
      </c>
      <c r="C238" s="3" t="s">
        <v>260</v>
      </c>
      <c r="D238">
        <f t="shared" si="26"/>
        <v>16</v>
      </c>
      <c r="E238">
        <f t="shared" si="29"/>
        <v>4</v>
      </c>
      <c r="F238">
        <f t="shared" si="30"/>
        <v>2023</v>
      </c>
      <c r="G238" t="s">
        <v>7</v>
      </c>
      <c r="H238">
        <v>-1</v>
      </c>
      <c r="I238">
        <v>2</v>
      </c>
      <c r="K238" t="s">
        <v>10</v>
      </c>
      <c r="L238" s="8">
        <f t="shared" si="31"/>
        <v>1</v>
      </c>
      <c r="M238" t="s">
        <v>261</v>
      </c>
    </row>
    <row r="239" spans="1:13" x14ac:dyDescent="0.35">
      <c r="A239">
        <f t="shared" si="27"/>
        <v>235</v>
      </c>
      <c r="B239" s="9">
        <f t="shared" si="28"/>
        <v>52.39</v>
      </c>
      <c r="C239" s="3" t="s">
        <v>260</v>
      </c>
      <c r="D239">
        <f t="shared" si="26"/>
        <v>16</v>
      </c>
      <c r="E239">
        <f t="shared" si="29"/>
        <v>4</v>
      </c>
      <c r="F239">
        <f t="shared" si="30"/>
        <v>2023</v>
      </c>
      <c r="G239" t="s">
        <v>7</v>
      </c>
      <c r="H239">
        <v>-1</v>
      </c>
      <c r="I239">
        <v>8</v>
      </c>
      <c r="K239" t="s">
        <v>10</v>
      </c>
      <c r="L239" s="8">
        <f t="shared" si="31"/>
        <v>7</v>
      </c>
      <c r="M239" t="s">
        <v>262</v>
      </c>
    </row>
    <row r="240" spans="1:13" x14ac:dyDescent="0.35">
      <c r="A240">
        <f t="shared" si="27"/>
        <v>236</v>
      </c>
      <c r="B240" s="9">
        <f t="shared" si="28"/>
        <v>51.39</v>
      </c>
      <c r="C240" s="3" t="s">
        <v>260</v>
      </c>
      <c r="D240">
        <f t="shared" si="26"/>
        <v>16</v>
      </c>
      <c r="E240">
        <f t="shared" si="29"/>
        <v>4</v>
      </c>
      <c r="F240">
        <f t="shared" si="30"/>
        <v>2023</v>
      </c>
      <c r="G240" t="s">
        <v>7</v>
      </c>
      <c r="H240">
        <v>-1</v>
      </c>
      <c r="K240" t="s">
        <v>9</v>
      </c>
      <c r="L240" s="8">
        <f t="shared" si="31"/>
        <v>-1</v>
      </c>
      <c r="M240" t="s">
        <v>263</v>
      </c>
    </row>
    <row r="241" spans="1:13" x14ac:dyDescent="0.35">
      <c r="A241">
        <f t="shared" si="27"/>
        <v>237</v>
      </c>
      <c r="B241" s="9">
        <f t="shared" si="28"/>
        <v>50.39</v>
      </c>
      <c r="C241" s="3" t="s">
        <v>260</v>
      </c>
      <c r="D241">
        <f t="shared" si="26"/>
        <v>16</v>
      </c>
      <c r="E241">
        <f t="shared" si="29"/>
        <v>4</v>
      </c>
      <c r="F241">
        <f t="shared" si="30"/>
        <v>2023</v>
      </c>
      <c r="G241" t="s">
        <v>7</v>
      </c>
      <c r="H241">
        <v>-1</v>
      </c>
      <c r="K241" t="s">
        <v>9</v>
      </c>
      <c r="L241" s="8">
        <f t="shared" si="31"/>
        <v>-1</v>
      </c>
      <c r="M241" t="s">
        <v>264</v>
      </c>
    </row>
    <row r="242" spans="1:13" x14ac:dyDescent="0.35">
      <c r="A242">
        <f t="shared" si="27"/>
        <v>238</v>
      </c>
      <c r="B242" s="9">
        <f t="shared" si="28"/>
        <v>49.39</v>
      </c>
      <c r="C242" s="3" t="s">
        <v>260</v>
      </c>
      <c r="D242">
        <f t="shared" si="26"/>
        <v>16</v>
      </c>
      <c r="E242">
        <f t="shared" si="29"/>
        <v>4</v>
      </c>
      <c r="F242">
        <f t="shared" si="30"/>
        <v>2023</v>
      </c>
      <c r="G242" t="s">
        <v>7</v>
      </c>
      <c r="H242">
        <v>-1</v>
      </c>
      <c r="K242" t="s">
        <v>9</v>
      </c>
      <c r="L242" s="8">
        <f t="shared" si="31"/>
        <v>-1</v>
      </c>
      <c r="M242" t="s">
        <v>265</v>
      </c>
    </row>
    <row r="243" spans="1:13" x14ac:dyDescent="0.35">
      <c r="A243">
        <f t="shared" si="27"/>
        <v>239</v>
      </c>
      <c r="B243" s="9">
        <f t="shared" si="28"/>
        <v>48.39</v>
      </c>
      <c r="C243" s="3" t="s">
        <v>260</v>
      </c>
      <c r="D243">
        <f t="shared" si="26"/>
        <v>16</v>
      </c>
      <c r="E243">
        <f t="shared" si="29"/>
        <v>4</v>
      </c>
      <c r="F243">
        <f t="shared" si="30"/>
        <v>2023</v>
      </c>
      <c r="G243" t="s">
        <v>7</v>
      </c>
      <c r="H243">
        <v>-1</v>
      </c>
      <c r="K243" t="s">
        <v>9</v>
      </c>
      <c r="L243" s="8">
        <f t="shared" si="31"/>
        <v>-1</v>
      </c>
      <c r="M243" t="s">
        <v>266</v>
      </c>
    </row>
    <row r="244" spans="1:13" x14ac:dyDescent="0.35">
      <c r="A244">
        <f t="shared" si="27"/>
        <v>240</v>
      </c>
      <c r="B244" s="9">
        <f t="shared" si="28"/>
        <v>47.39</v>
      </c>
      <c r="C244" s="3" t="s">
        <v>260</v>
      </c>
      <c r="D244">
        <f t="shared" si="26"/>
        <v>16</v>
      </c>
      <c r="E244">
        <f t="shared" si="29"/>
        <v>4</v>
      </c>
      <c r="F244">
        <f t="shared" si="30"/>
        <v>2023</v>
      </c>
      <c r="G244" t="s">
        <v>7</v>
      </c>
      <c r="H244">
        <v>-1</v>
      </c>
      <c r="K244" t="s">
        <v>9</v>
      </c>
      <c r="L244" s="8">
        <f t="shared" si="31"/>
        <v>-1</v>
      </c>
      <c r="M244" t="s">
        <v>267</v>
      </c>
    </row>
    <row r="245" spans="1:13" x14ac:dyDescent="0.35">
      <c r="A245">
        <f t="shared" si="27"/>
        <v>241</v>
      </c>
      <c r="B245" s="9">
        <f t="shared" si="28"/>
        <v>51.39</v>
      </c>
      <c r="C245" s="3" t="s">
        <v>260</v>
      </c>
      <c r="D245">
        <f t="shared" si="26"/>
        <v>16</v>
      </c>
      <c r="E245">
        <f t="shared" si="29"/>
        <v>4</v>
      </c>
      <c r="F245">
        <f t="shared" si="30"/>
        <v>2023</v>
      </c>
      <c r="G245" t="s">
        <v>7</v>
      </c>
      <c r="H245">
        <v>-1</v>
      </c>
      <c r="I245">
        <v>5</v>
      </c>
      <c r="K245" t="s">
        <v>10</v>
      </c>
      <c r="L245" s="8">
        <f t="shared" si="31"/>
        <v>4</v>
      </c>
      <c r="M245" t="s">
        <v>268</v>
      </c>
    </row>
    <row r="246" spans="1:13" x14ac:dyDescent="0.35">
      <c r="A246">
        <f t="shared" si="27"/>
        <v>242</v>
      </c>
      <c r="B246" s="9">
        <f t="shared" si="28"/>
        <v>55.39</v>
      </c>
      <c r="C246" s="3" t="s">
        <v>260</v>
      </c>
      <c r="D246">
        <f t="shared" si="26"/>
        <v>16</v>
      </c>
      <c r="E246">
        <f t="shared" si="29"/>
        <v>4</v>
      </c>
      <c r="F246">
        <f t="shared" si="30"/>
        <v>2023</v>
      </c>
      <c r="G246" t="s">
        <v>7</v>
      </c>
      <c r="H246">
        <v>-1</v>
      </c>
      <c r="I246">
        <v>5</v>
      </c>
      <c r="K246" t="s">
        <v>10</v>
      </c>
      <c r="L246" s="8">
        <f t="shared" si="31"/>
        <v>4</v>
      </c>
      <c r="M246" t="s">
        <v>269</v>
      </c>
    </row>
    <row r="247" spans="1:13" x14ac:dyDescent="0.35">
      <c r="A247">
        <f t="shared" si="27"/>
        <v>243</v>
      </c>
      <c r="B247" s="9">
        <f t="shared" si="28"/>
        <v>57.39</v>
      </c>
      <c r="C247" s="3" t="s">
        <v>260</v>
      </c>
      <c r="D247">
        <f t="shared" si="26"/>
        <v>16</v>
      </c>
      <c r="E247">
        <f t="shared" si="29"/>
        <v>4</v>
      </c>
      <c r="F247">
        <f t="shared" si="30"/>
        <v>2023</v>
      </c>
      <c r="G247" t="s">
        <v>7</v>
      </c>
      <c r="H247">
        <v>-1</v>
      </c>
      <c r="I247">
        <v>3</v>
      </c>
      <c r="K247" t="s">
        <v>10</v>
      </c>
      <c r="L247" s="8">
        <f t="shared" si="31"/>
        <v>2</v>
      </c>
      <c r="M247" t="s">
        <v>270</v>
      </c>
    </row>
    <row r="248" spans="1:13" x14ac:dyDescent="0.35">
      <c r="A248">
        <f t="shared" si="27"/>
        <v>244</v>
      </c>
      <c r="B248" s="9">
        <f t="shared" si="28"/>
        <v>59.39</v>
      </c>
      <c r="C248" s="3" t="s">
        <v>260</v>
      </c>
      <c r="D248">
        <f t="shared" si="26"/>
        <v>16</v>
      </c>
      <c r="E248">
        <f t="shared" si="29"/>
        <v>4</v>
      </c>
      <c r="F248">
        <f t="shared" si="30"/>
        <v>2023</v>
      </c>
      <c r="G248" t="s">
        <v>7</v>
      </c>
      <c r="H248">
        <v>-1</v>
      </c>
      <c r="I248">
        <v>3</v>
      </c>
      <c r="K248" t="s">
        <v>10</v>
      </c>
      <c r="L248" s="8">
        <f t="shared" si="31"/>
        <v>2</v>
      </c>
      <c r="M248" t="s">
        <v>271</v>
      </c>
    </row>
    <row r="249" spans="1:13" x14ac:dyDescent="0.35">
      <c r="A249">
        <f t="shared" si="27"/>
        <v>245</v>
      </c>
      <c r="B249" s="9">
        <f t="shared" si="28"/>
        <v>58.39</v>
      </c>
      <c r="C249" s="3" t="s">
        <v>260</v>
      </c>
      <c r="D249">
        <f t="shared" si="26"/>
        <v>16</v>
      </c>
      <c r="E249">
        <f t="shared" si="29"/>
        <v>4</v>
      </c>
      <c r="F249">
        <f t="shared" si="30"/>
        <v>2023</v>
      </c>
      <c r="G249" t="s">
        <v>7</v>
      </c>
      <c r="H249">
        <v>-1</v>
      </c>
      <c r="K249" t="s">
        <v>9</v>
      </c>
      <c r="L249" s="8">
        <f t="shared" si="31"/>
        <v>-1</v>
      </c>
      <c r="M249" t="s">
        <v>272</v>
      </c>
    </row>
    <row r="250" spans="1:13" x14ac:dyDescent="0.35">
      <c r="A250">
        <f t="shared" si="27"/>
        <v>246</v>
      </c>
      <c r="B250" s="9">
        <f t="shared" si="28"/>
        <v>60.39</v>
      </c>
      <c r="C250" s="3" t="s">
        <v>260</v>
      </c>
      <c r="D250">
        <f t="shared" si="26"/>
        <v>16</v>
      </c>
      <c r="E250">
        <f t="shared" si="29"/>
        <v>4</v>
      </c>
      <c r="F250">
        <f t="shared" si="30"/>
        <v>2023</v>
      </c>
      <c r="G250" t="s">
        <v>7</v>
      </c>
      <c r="H250">
        <v>-1</v>
      </c>
      <c r="I250">
        <v>3</v>
      </c>
      <c r="K250" t="s">
        <v>10</v>
      </c>
      <c r="L250" s="8">
        <f t="shared" si="31"/>
        <v>2</v>
      </c>
      <c r="M250" t="s">
        <v>273</v>
      </c>
    </row>
    <row r="251" spans="1:13" x14ac:dyDescent="0.35">
      <c r="A251">
        <f t="shared" si="27"/>
        <v>247</v>
      </c>
      <c r="B251" s="9">
        <f t="shared" si="28"/>
        <v>57.09</v>
      </c>
      <c r="C251" s="3" t="s">
        <v>274</v>
      </c>
      <c r="D251">
        <f t="shared" si="26"/>
        <v>17</v>
      </c>
      <c r="E251">
        <f t="shared" si="29"/>
        <v>4</v>
      </c>
      <c r="F251">
        <f t="shared" si="30"/>
        <v>2023</v>
      </c>
      <c r="G251" t="s">
        <v>44</v>
      </c>
      <c r="H251">
        <v>-3.3</v>
      </c>
      <c r="K251" t="s">
        <v>9</v>
      </c>
      <c r="L251" s="8">
        <f t="shared" si="31"/>
        <v>-1</v>
      </c>
      <c r="M251" t="s">
        <v>275</v>
      </c>
    </row>
    <row r="252" spans="1:13" x14ac:dyDescent="0.35">
      <c r="A252">
        <f t="shared" si="27"/>
        <v>248</v>
      </c>
      <c r="B252" s="9">
        <f t="shared" si="28"/>
        <v>47.09</v>
      </c>
      <c r="C252" s="3" t="s">
        <v>274</v>
      </c>
      <c r="D252">
        <f t="shared" si="26"/>
        <v>17</v>
      </c>
      <c r="E252">
        <f t="shared" si="29"/>
        <v>4</v>
      </c>
      <c r="F252">
        <f t="shared" si="30"/>
        <v>2023</v>
      </c>
      <c r="G252" t="s">
        <v>7</v>
      </c>
      <c r="H252">
        <v>-10</v>
      </c>
      <c r="K252" t="s">
        <v>9</v>
      </c>
      <c r="L252" s="8">
        <f t="shared" si="31"/>
        <v>-1</v>
      </c>
      <c r="M252" t="s">
        <v>276</v>
      </c>
    </row>
    <row r="253" spans="1:13" x14ac:dyDescent="0.35">
      <c r="A253">
        <f t="shared" si="27"/>
        <v>249</v>
      </c>
      <c r="B253" s="9">
        <f t="shared" si="28"/>
        <v>37.090000000000003</v>
      </c>
      <c r="C253" s="3" t="s">
        <v>274</v>
      </c>
      <c r="D253">
        <f t="shared" si="26"/>
        <v>17</v>
      </c>
      <c r="E253">
        <f t="shared" si="29"/>
        <v>4</v>
      </c>
      <c r="F253">
        <f t="shared" si="30"/>
        <v>2023</v>
      </c>
      <c r="G253" t="s">
        <v>7</v>
      </c>
      <c r="H253">
        <v>-10</v>
      </c>
      <c r="K253" t="s">
        <v>9</v>
      </c>
      <c r="L253" s="8">
        <f t="shared" si="31"/>
        <v>-1</v>
      </c>
      <c r="M253" t="s">
        <v>277</v>
      </c>
    </row>
    <row r="254" spans="1:13" x14ac:dyDescent="0.35">
      <c r="A254">
        <f t="shared" si="27"/>
        <v>250</v>
      </c>
      <c r="B254" s="9">
        <f t="shared" si="28"/>
        <v>27.090000000000003</v>
      </c>
      <c r="C254" s="3" t="s">
        <v>274</v>
      </c>
      <c r="D254">
        <f t="shared" si="26"/>
        <v>17</v>
      </c>
      <c r="E254">
        <f t="shared" si="29"/>
        <v>4</v>
      </c>
      <c r="F254">
        <f t="shared" si="30"/>
        <v>2023</v>
      </c>
      <c r="G254" t="s">
        <v>7</v>
      </c>
      <c r="H254">
        <v>-10</v>
      </c>
      <c r="K254" t="s">
        <v>9</v>
      </c>
      <c r="L254" s="8">
        <f t="shared" si="31"/>
        <v>-1</v>
      </c>
      <c r="M254" t="s">
        <v>278</v>
      </c>
    </row>
    <row r="255" spans="1:13" x14ac:dyDescent="0.35">
      <c r="A255">
        <f t="shared" si="27"/>
        <v>251</v>
      </c>
      <c r="B255" s="9">
        <f t="shared" si="28"/>
        <v>26.090000000000003</v>
      </c>
      <c r="C255" s="3" t="s">
        <v>274</v>
      </c>
      <c r="D255">
        <f t="shared" ref="D255:D318" si="32">_xlfn.NUMBERVALUE(LEFT(C255,2))</f>
        <v>17</v>
      </c>
      <c r="E255">
        <f t="shared" si="29"/>
        <v>4</v>
      </c>
      <c r="F255">
        <f t="shared" si="30"/>
        <v>2023</v>
      </c>
      <c r="G255" t="s">
        <v>7</v>
      </c>
      <c r="H255">
        <v>-1</v>
      </c>
      <c r="K255" t="s">
        <v>9</v>
      </c>
      <c r="L255" s="8">
        <f t="shared" si="31"/>
        <v>-1</v>
      </c>
      <c r="M255" t="s">
        <v>279</v>
      </c>
    </row>
    <row r="256" spans="1:13" x14ac:dyDescent="0.35">
      <c r="A256">
        <f t="shared" si="27"/>
        <v>252</v>
      </c>
      <c r="B256" s="9">
        <f t="shared" si="28"/>
        <v>25.090000000000003</v>
      </c>
      <c r="C256" s="3" t="s">
        <v>274</v>
      </c>
      <c r="D256">
        <f t="shared" si="32"/>
        <v>17</v>
      </c>
      <c r="E256">
        <f t="shared" si="29"/>
        <v>4</v>
      </c>
      <c r="F256">
        <f t="shared" si="30"/>
        <v>2023</v>
      </c>
      <c r="G256" t="s">
        <v>7</v>
      </c>
      <c r="H256">
        <v>-1</v>
      </c>
      <c r="K256" t="s">
        <v>9</v>
      </c>
      <c r="L256" s="8">
        <f t="shared" si="31"/>
        <v>-1</v>
      </c>
      <c r="M256" t="s">
        <v>280</v>
      </c>
    </row>
    <row r="257" spans="1:13" x14ac:dyDescent="0.35">
      <c r="A257">
        <f t="shared" si="27"/>
        <v>253</v>
      </c>
      <c r="B257" s="9">
        <f t="shared" si="28"/>
        <v>24.090000000000003</v>
      </c>
      <c r="C257" s="3" t="s">
        <v>274</v>
      </c>
      <c r="D257">
        <f t="shared" si="32"/>
        <v>17</v>
      </c>
      <c r="E257">
        <f t="shared" si="29"/>
        <v>4</v>
      </c>
      <c r="F257">
        <f t="shared" si="30"/>
        <v>2023</v>
      </c>
      <c r="G257" t="s">
        <v>7</v>
      </c>
      <c r="H257">
        <v>-1</v>
      </c>
      <c r="K257" t="s">
        <v>9</v>
      </c>
      <c r="L257" s="8">
        <f t="shared" si="31"/>
        <v>-1</v>
      </c>
      <c r="M257" t="s">
        <v>281</v>
      </c>
    </row>
    <row r="258" spans="1:13" x14ac:dyDescent="0.35">
      <c r="A258">
        <f t="shared" si="27"/>
        <v>254</v>
      </c>
      <c r="B258" s="9">
        <f t="shared" si="28"/>
        <v>23.090000000000003</v>
      </c>
      <c r="C258" s="3" t="s">
        <v>274</v>
      </c>
      <c r="D258">
        <f t="shared" si="32"/>
        <v>17</v>
      </c>
      <c r="E258">
        <f t="shared" si="29"/>
        <v>4</v>
      </c>
      <c r="F258">
        <f t="shared" si="30"/>
        <v>2023</v>
      </c>
      <c r="G258" t="s">
        <v>7</v>
      </c>
      <c r="H258">
        <v>-1</v>
      </c>
      <c r="K258" t="s">
        <v>9</v>
      </c>
      <c r="L258" s="8">
        <f t="shared" si="31"/>
        <v>-1</v>
      </c>
      <c r="M258" t="s">
        <v>282</v>
      </c>
    </row>
    <row r="259" spans="1:13" x14ac:dyDescent="0.35">
      <c r="A259">
        <f t="shared" si="27"/>
        <v>255</v>
      </c>
      <c r="B259" s="9">
        <f t="shared" si="28"/>
        <v>22.090000000000003</v>
      </c>
      <c r="C259" s="3" t="s">
        <v>274</v>
      </c>
      <c r="D259">
        <f t="shared" si="32"/>
        <v>17</v>
      </c>
      <c r="E259">
        <f t="shared" si="29"/>
        <v>4</v>
      </c>
      <c r="F259">
        <f t="shared" si="30"/>
        <v>2023</v>
      </c>
      <c r="G259" t="s">
        <v>7</v>
      </c>
      <c r="H259">
        <v>-1</v>
      </c>
      <c r="K259" t="s">
        <v>9</v>
      </c>
      <c r="L259" s="8">
        <f t="shared" si="31"/>
        <v>-1</v>
      </c>
      <c r="M259" t="s">
        <v>283</v>
      </c>
    </row>
    <row r="260" spans="1:13" x14ac:dyDescent="0.35">
      <c r="A260">
        <f t="shared" si="27"/>
        <v>256</v>
      </c>
      <c r="B260" s="9">
        <f t="shared" si="28"/>
        <v>23.090000000000003</v>
      </c>
      <c r="C260" s="3" t="s">
        <v>274</v>
      </c>
      <c r="D260">
        <f t="shared" si="32"/>
        <v>17</v>
      </c>
      <c r="E260">
        <f t="shared" si="29"/>
        <v>4</v>
      </c>
      <c r="F260">
        <f t="shared" si="30"/>
        <v>2023</v>
      </c>
      <c r="G260" t="s">
        <v>7</v>
      </c>
      <c r="H260">
        <v>-1</v>
      </c>
      <c r="I260">
        <v>2</v>
      </c>
      <c r="K260" t="s">
        <v>10</v>
      </c>
      <c r="L260" s="8">
        <f t="shared" si="31"/>
        <v>1</v>
      </c>
      <c r="M260" t="s">
        <v>284</v>
      </c>
    </row>
    <row r="261" spans="1:13" x14ac:dyDescent="0.35">
      <c r="A261">
        <f t="shared" si="27"/>
        <v>257</v>
      </c>
      <c r="B261" s="9">
        <f t="shared" si="28"/>
        <v>22.090000000000003</v>
      </c>
      <c r="C261" s="3" t="s">
        <v>274</v>
      </c>
      <c r="D261">
        <f t="shared" si="32"/>
        <v>17</v>
      </c>
      <c r="E261">
        <f t="shared" si="29"/>
        <v>4</v>
      </c>
      <c r="F261">
        <f t="shared" si="30"/>
        <v>2023</v>
      </c>
      <c r="G261" t="s">
        <v>7</v>
      </c>
      <c r="H261">
        <v>-1</v>
      </c>
      <c r="K261" t="s">
        <v>9</v>
      </c>
      <c r="L261" s="8">
        <f t="shared" si="31"/>
        <v>-1</v>
      </c>
      <c r="M261" t="s">
        <v>285</v>
      </c>
    </row>
    <row r="262" spans="1:13" x14ac:dyDescent="0.35">
      <c r="A262">
        <f t="shared" si="27"/>
        <v>258</v>
      </c>
      <c r="B262" s="9">
        <f t="shared" ref="B262:B325" si="33">B261+H262+I262+J262</f>
        <v>21.090000000000003</v>
      </c>
      <c r="C262" s="3" t="s">
        <v>274</v>
      </c>
      <c r="D262">
        <f t="shared" si="32"/>
        <v>17</v>
      </c>
      <c r="E262">
        <f t="shared" ref="E262:E325" si="34">_xlfn.NUMBERVALUE(MID(C262,4,2))</f>
        <v>4</v>
      </c>
      <c r="F262">
        <f t="shared" ref="F262:F325" si="35">_xlfn.NUMBERVALUE(RIGHT(C262,4))</f>
        <v>2023</v>
      </c>
      <c r="G262" t="s">
        <v>7</v>
      </c>
      <c r="H262">
        <v>-1</v>
      </c>
      <c r="K262" t="s">
        <v>9</v>
      </c>
      <c r="L262" s="8">
        <f t="shared" ref="L262:L325" si="36">IF(H262="",0,(SUM(I262:J262)/-H262)-1)</f>
        <v>-1</v>
      </c>
      <c r="M262" t="s">
        <v>286</v>
      </c>
    </row>
    <row r="263" spans="1:13" x14ac:dyDescent="0.35">
      <c r="A263">
        <f t="shared" si="27"/>
        <v>259</v>
      </c>
      <c r="B263" s="9">
        <f t="shared" si="33"/>
        <v>20.090000000000003</v>
      </c>
      <c r="C263" s="3" t="s">
        <v>274</v>
      </c>
      <c r="D263">
        <f t="shared" si="32"/>
        <v>17</v>
      </c>
      <c r="E263">
        <f t="shared" si="34"/>
        <v>4</v>
      </c>
      <c r="F263">
        <f t="shared" si="35"/>
        <v>2023</v>
      </c>
      <c r="G263" t="s">
        <v>7</v>
      </c>
      <c r="H263">
        <v>-1</v>
      </c>
      <c r="K263" t="s">
        <v>9</v>
      </c>
      <c r="L263" s="8">
        <f t="shared" si="36"/>
        <v>-1</v>
      </c>
      <c r="M263" t="s">
        <v>287</v>
      </c>
    </row>
    <row r="264" spans="1:13" x14ac:dyDescent="0.35">
      <c r="A264">
        <f t="shared" si="27"/>
        <v>260</v>
      </c>
      <c r="B264" s="9">
        <f t="shared" si="33"/>
        <v>19.090000000000003</v>
      </c>
      <c r="C264" s="3" t="s">
        <v>274</v>
      </c>
      <c r="D264">
        <f t="shared" si="32"/>
        <v>17</v>
      </c>
      <c r="E264">
        <f t="shared" si="34"/>
        <v>4</v>
      </c>
      <c r="F264">
        <f t="shared" si="35"/>
        <v>2023</v>
      </c>
      <c r="G264" t="s">
        <v>7</v>
      </c>
      <c r="H264">
        <v>-1</v>
      </c>
      <c r="K264" t="s">
        <v>9</v>
      </c>
      <c r="L264" s="8">
        <f t="shared" si="36"/>
        <v>-1</v>
      </c>
      <c r="M264" t="s">
        <v>288</v>
      </c>
    </row>
    <row r="265" spans="1:13" x14ac:dyDescent="0.35">
      <c r="A265">
        <f t="shared" si="27"/>
        <v>261</v>
      </c>
      <c r="B265" s="9">
        <f t="shared" si="33"/>
        <v>18.090000000000003</v>
      </c>
      <c r="C265" s="3" t="s">
        <v>289</v>
      </c>
      <c r="D265">
        <f t="shared" si="32"/>
        <v>18</v>
      </c>
      <c r="E265">
        <f t="shared" si="34"/>
        <v>4</v>
      </c>
      <c r="F265">
        <f t="shared" si="35"/>
        <v>2023</v>
      </c>
      <c r="G265" t="s">
        <v>7</v>
      </c>
      <c r="H265">
        <v>-1</v>
      </c>
      <c r="K265" t="s">
        <v>9</v>
      </c>
      <c r="L265" s="8">
        <f t="shared" si="36"/>
        <v>-1</v>
      </c>
      <c r="M265" t="s">
        <v>290</v>
      </c>
    </row>
    <row r="266" spans="1:13" x14ac:dyDescent="0.35">
      <c r="A266">
        <f t="shared" si="27"/>
        <v>262</v>
      </c>
      <c r="B266" s="9">
        <f t="shared" si="33"/>
        <v>17.090000000000003</v>
      </c>
      <c r="C266" s="3" t="s">
        <v>289</v>
      </c>
      <c r="D266">
        <f t="shared" si="32"/>
        <v>18</v>
      </c>
      <c r="E266">
        <f t="shared" si="34"/>
        <v>4</v>
      </c>
      <c r="F266">
        <f t="shared" si="35"/>
        <v>2023</v>
      </c>
      <c r="G266" t="s">
        <v>7</v>
      </c>
      <c r="H266">
        <v>-1</v>
      </c>
      <c r="K266" t="s">
        <v>9</v>
      </c>
      <c r="L266" s="8">
        <f t="shared" si="36"/>
        <v>-1</v>
      </c>
      <c r="M266" t="s">
        <v>291</v>
      </c>
    </row>
    <row r="267" spans="1:13" x14ac:dyDescent="0.35">
      <c r="A267">
        <f t="shared" si="27"/>
        <v>263</v>
      </c>
      <c r="B267" s="9">
        <f t="shared" si="33"/>
        <v>18.090000000000003</v>
      </c>
      <c r="C267" s="3" t="s">
        <v>289</v>
      </c>
      <c r="D267">
        <f t="shared" si="32"/>
        <v>18</v>
      </c>
      <c r="E267">
        <f t="shared" si="34"/>
        <v>4</v>
      </c>
      <c r="F267">
        <f t="shared" si="35"/>
        <v>2023</v>
      </c>
      <c r="G267" t="s">
        <v>7</v>
      </c>
      <c r="H267">
        <v>-1</v>
      </c>
      <c r="I267">
        <v>2</v>
      </c>
      <c r="K267" t="s">
        <v>10</v>
      </c>
      <c r="L267" s="8">
        <f t="shared" si="36"/>
        <v>1</v>
      </c>
      <c r="M267" t="s">
        <v>292</v>
      </c>
    </row>
    <row r="268" spans="1:13" x14ac:dyDescent="0.35">
      <c r="A268">
        <f t="shared" si="27"/>
        <v>264</v>
      </c>
      <c r="B268" s="9">
        <f t="shared" si="33"/>
        <v>17.090000000000003</v>
      </c>
      <c r="C268" s="3" t="s">
        <v>289</v>
      </c>
      <c r="D268">
        <f t="shared" si="32"/>
        <v>18</v>
      </c>
      <c r="E268">
        <f t="shared" si="34"/>
        <v>4</v>
      </c>
      <c r="F268">
        <f t="shared" si="35"/>
        <v>2023</v>
      </c>
      <c r="G268" t="s">
        <v>7</v>
      </c>
      <c r="H268">
        <v>-1</v>
      </c>
      <c r="K268" t="s">
        <v>9</v>
      </c>
      <c r="L268" s="8">
        <f t="shared" si="36"/>
        <v>-1</v>
      </c>
      <c r="M268" t="s">
        <v>293</v>
      </c>
    </row>
    <row r="269" spans="1:13" x14ac:dyDescent="0.35">
      <c r="A269">
        <f t="shared" si="27"/>
        <v>265</v>
      </c>
      <c r="B269" s="9">
        <f t="shared" si="33"/>
        <v>16.090000000000003</v>
      </c>
      <c r="C269" s="3" t="s">
        <v>289</v>
      </c>
      <c r="D269">
        <f t="shared" si="32"/>
        <v>18</v>
      </c>
      <c r="E269">
        <f t="shared" si="34"/>
        <v>4</v>
      </c>
      <c r="F269">
        <f t="shared" si="35"/>
        <v>2023</v>
      </c>
      <c r="G269" t="s">
        <v>7</v>
      </c>
      <c r="H269">
        <v>-1</v>
      </c>
      <c r="K269" t="s">
        <v>9</v>
      </c>
      <c r="L269" s="8">
        <f t="shared" si="36"/>
        <v>-1</v>
      </c>
      <c r="M269" t="s">
        <v>294</v>
      </c>
    </row>
    <row r="270" spans="1:13" x14ac:dyDescent="0.35">
      <c r="A270">
        <f t="shared" si="27"/>
        <v>266</v>
      </c>
      <c r="B270" s="9">
        <f t="shared" si="33"/>
        <v>18.090000000000003</v>
      </c>
      <c r="C270" s="3" t="s">
        <v>289</v>
      </c>
      <c r="D270">
        <f t="shared" si="32"/>
        <v>18</v>
      </c>
      <c r="E270">
        <f t="shared" si="34"/>
        <v>4</v>
      </c>
      <c r="F270">
        <f t="shared" si="35"/>
        <v>2023</v>
      </c>
      <c r="G270" t="s">
        <v>7</v>
      </c>
      <c r="H270">
        <v>-1</v>
      </c>
      <c r="I270">
        <v>3</v>
      </c>
      <c r="K270" t="s">
        <v>10</v>
      </c>
      <c r="L270" s="8">
        <f t="shared" si="36"/>
        <v>2</v>
      </c>
      <c r="M270" t="s">
        <v>295</v>
      </c>
    </row>
    <row r="271" spans="1:13" x14ac:dyDescent="0.35">
      <c r="A271">
        <f t="shared" si="27"/>
        <v>267</v>
      </c>
      <c r="B271" s="9">
        <f t="shared" si="33"/>
        <v>19.090000000000003</v>
      </c>
      <c r="C271" s="3" t="s">
        <v>289</v>
      </c>
      <c r="D271">
        <f t="shared" si="32"/>
        <v>18</v>
      </c>
      <c r="E271">
        <f t="shared" si="34"/>
        <v>4</v>
      </c>
      <c r="F271">
        <f t="shared" si="35"/>
        <v>2023</v>
      </c>
      <c r="G271" t="s">
        <v>7</v>
      </c>
      <c r="H271">
        <v>-1</v>
      </c>
      <c r="I271">
        <v>2</v>
      </c>
      <c r="K271" t="s">
        <v>10</v>
      </c>
      <c r="L271" s="8">
        <f t="shared" si="36"/>
        <v>1</v>
      </c>
      <c r="M271" t="s">
        <v>296</v>
      </c>
    </row>
    <row r="272" spans="1:13" x14ac:dyDescent="0.35">
      <c r="A272">
        <f t="shared" si="27"/>
        <v>268</v>
      </c>
      <c r="B272" s="9">
        <f t="shared" si="33"/>
        <v>18.090000000000003</v>
      </c>
      <c r="C272" s="3" t="s">
        <v>289</v>
      </c>
      <c r="D272">
        <f t="shared" si="32"/>
        <v>18</v>
      </c>
      <c r="E272">
        <f t="shared" si="34"/>
        <v>4</v>
      </c>
      <c r="F272">
        <f t="shared" si="35"/>
        <v>2023</v>
      </c>
      <c r="G272" t="s">
        <v>7</v>
      </c>
      <c r="H272">
        <v>-1</v>
      </c>
      <c r="K272" t="s">
        <v>9</v>
      </c>
      <c r="L272" s="8">
        <f t="shared" si="36"/>
        <v>-1</v>
      </c>
      <c r="M272" t="s">
        <v>297</v>
      </c>
    </row>
    <row r="273" spans="1:13" x14ac:dyDescent="0.35">
      <c r="A273">
        <f t="shared" si="27"/>
        <v>269</v>
      </c>
      <c r="B273" s="9">
        <f t="shared" si="33"/>
        <v>20.090000000000003</v>
      </c>
      <c r="C273" s="3" t="s">
        <v>289</v>
      </c>
      <c r="D273">
        <f t="shared" si="32"/>
        <v>18</v>
      </c>
      <c r="E273">
        <f t="shared" si="34"/>
        <v>4</v>
      </c>
      <c r="F273">
        <f t="shared" si="35"/>
        <v>2023</v>
      </c>
      <c r="G273" t="s">
        <v>7</v>
      </c>
      <c r="H273">
        <v>-1</v>
      </c>
      <c r="I273">
        <v>3</v>
      </c>
      <c r="K273" t="s">
        <v>10</v>
      </c>
      <c r="L273" s="8">
        <f t="shared" si="36"/>
        <v>2</v>
      </c>
      <c r="M273" t="s">
        <v>298</v>
      </c>
    </row>
    <row r="274" spans="1:13" x14ac:dyDescent="0.35">
      <c r="A274">
        <f t="shared" si="27"/>
        <v>270</v>
      </c>
      <c r="B274" s="9">
        <f t="shared" si="33"/>
        <v>19.090000000000003</v>
      </c>
      <c r="C274" s="3" t="s">
        <v>289</v>
      </c>
      <c r="D274">
        <f t="shared" si="32"/>
        <v>18</v>
      </c>
      <c r="E274">
        <f t="shared" si="34"/>
        <v>4</v>
      </c>
      <c r="F274">
        <f t="shared" si="35"/>
        <v>2023</v>
      </c>
      <c r="G274" t="s">
        <v>7</v>
      </c>
      <c r="H274">
        <v>-1</v>
      </c>
      <c r="K274" t="s">
        <v>9</v>
      </c>
      <c r="L274" s="8">
        <f t="shared" si="36"/>
        <v>-1</v>
      </c>
      <c r="M274" t="s">
        <v>299</v>
      </c>
    </row>
    <row r="275" spans="1:13" x14ac:dyDescent="0.35">
      <c r="A275">
        <f t="shared" si="27"/>
        <v>271</v>
      </c>
      <c r="B275" s="9">
        <f t="shared" si="33"/>
        <v>18.090000000000003</v>
      </c>
      <c r="C275" s="3" t="s">
        <v>289</v>
      </c>
      <c r="D275">
        <f t="shared" si="32"/>
        <v>18</v>
      </c>
      <c r="E275">
        <f t="shared" si="34"/>
        <v>4</v>
      </c>
      <c r="F275">
        <f t="shared" si="35"/>
        <v>2023</v>
      </c>
      <c r="G275" t="s">
        <v>7</v>
      </c>
      <c r="H275">
        <v>-1</v>
      </c>
      <c r="K275" t="s">
        <v>9</v>
      </c>
      <c r="L275" s="8">
        <f t="shared" si="36"/>
        <v>-1</v>
      </c>
      <c r="M275" t="s">
        <v>300</v>
      </c>
    </row>
    <row r="276" spans="1:13" x14ac:dyDescent="0.35">
      <c r="A276">
        <f t="shared" si="27"/>
        <v>272</v>
      </c>
      <c r="B276" s="9">
        <f t="shared" si="33"/>
        <v>17.090000000000003</v>
      </c>
      <c r="C276" s="3" t="s">
        <v>289</v>
      </c>
      <c r="D276">
        <f t="shared" si="32"/>
        <v>18</v>
      </c>
      <c r="E276">
        <f t="shared" si="34"/>
        <v>4</v>
      </c>
      <c r="F276">
        <f t="shared" si="35"/>
        <v>2023</v>
      </c>
      <c r="G276" t="s">
        <v>7</v>
      </c>
      <c r="H276">
        <v>-1</v>
      </c>
      <c r="K276" t="s">
        <v>9</v>
      </c>
      <c r="L276" s="8">
        <f t="shared" si="36"/>
        <v>-1</v>
      </c>
      <c r="M276" t="s">
        <v>301</v>
      </c>
    </row>
    <row r="277" spans="1:13" x14ac:dyDescent="0.35">
      <c r="A277">
        <f t="shared" si="27"/>
        <v>273</v>
      </c>
      <c r="B277" s="9">
        <f t="shared" si="33"/>
        <v>16.090000000000003</v>
      </c>
      <c r="C277" s="3" t="s">
        <v>289</v>
      </c>
      <c r="D277">
        <f t="shared" si="32"/>
        <v>18</v>
      </c>
      <c r="E277">
        <f t="shared" si="34"/>
        <v>4</v>
      </c>
      <c r="F277">
        <f t="shared" si="35"/>
        <v>2023</v>
      </c>
      <c r="G277" t="s">
        <v>7</v>
      </c>
      <c r="H277">
        <v>-1</v>
      </c>
      <c r="K277" t="s">
        <v>9</v>
      </c>
      <c r="L277" s="8">
        <f t="shared" si="36"/>
        <v>-1</v>
      </c>
      <c r="M277" t="s">
        <v>302</v>
      </c>
    </row>
    <row r="278" spans="1:13" x14ac:dyDescent="0.35">
      <c r="A278">
        <f t="shared" si="27"/>
        <v>274</v>
      </c>
      <c r="B278" s="9">
        <f t="shared" si="33"/>
        <v>18.090000000000003</v>
      </c>
      <c r="C278" s="3" t="s">
        <v>289</v>
      </c>
      <c r="D278">
        <f t="shared" si="32"/>
        <v>18</v>
      </c>
      <c r="E278">
        <f t="shared" si="34"/>
        <v>4</v>
      </c>
      <c r="F278">
        <f t="shared" si="35"/>
        <v>2023</v>
      </c>
      <c r="G278" t="s">
        <v>7</v>
      </c>
      <c r="H278">
        <v>-1</v>
      </c>
      <c r="I278">
        <v>3</v>
      </c>
      <c r="K278" t="s">
        <v>10</v>
      </c>
      <c r="L278" s="8">
        <f t="shared" si="36"/>
        <v>2</v>
      </c>
      <c r="M278" t="s">
        <v>303</v>
      </c>
    </row>
    <row r="279" spans="1:13" x14ac:dyDescent="0.35">
      <c r="A279">
        <f t="shared" si="27"/>
        <v>275</v>
      </c>
      <c r="B279" s="9">
        <f t="shared" si="33"/>
        <v>19.090000000000003</v>
      </c>
      <c r="C279" s="3" t="s">
        <v>289</v>
      </c>
      <c r="D279">
        <f t="shared" si="32"/>
        <v>18</v>
      </c>
      <c r="E279">
        <f t="shared" si="34"/>
        <v>4</v>
      </c>
      <c r="F279">
        <f t="shared" si="35"/>
        <v>2023</v>
      </c>
      <c r="G279" t="s">
        <v>7</v>
      </c>
      <c r="H279">
        <v>-1</v>
      </c>
      <c r="I279">
        <v>2</v>
      </c>
      <c r="K279" t="s">
        <v>10</v>
      </c>
      <c r="L279" s="8">
        <f t="shared" si="36"/>
        <v>1</v>
      </c>
      <c r="M279" t="s">
        <v>304</v>
      </c>
    </row>
    <row r="280" spans="1:13" x14ac:dyDescent="0.35">
      <c r="A280">
        <f t="shared" si="27"/>
        <v>276</v>
      </c>
      <c r="B280" s="9">
        <f t="shared" si="33"/>
        <v>18.090000000000003</v>
      </c>
      <c r="C280" s="3" t="s">
        <v>289</v>
      </c>
      <c r="D280">
        <f t="shared" si="32"/>
        <v>18</v>
      </c>
      <c r="E280">
        <f t="shared" si="34"/>
        <v>4</v>
      </c>
      <c r="F280">
        <f t="shared" si="35"/>
        <v>2023</v>
      </c>
      <c r="G280" t="s">
        <v>7</v>
      </c>
      <c r="H280">
        <v>-1</v>
      </c>
      <c r="K280" t="s">
        <v>9</v>
      </c>
      <c r="L280" s="8">
        <f t="shared" si="36"/>
        <v>-1</v>
      </c>
      <c r="M280" t="s">
        <v>305</v>
      </c>
    </row>
    <row r="281" spans="1:13" x14ac:dyDescent="0.35">
      <c r="A281">
        <f t="shared" si="27"/>
        <v>277</v>
      </c>
      <c r="B281" s="9">
        <f t="shared" si="33"/>
        <v>17.090000000000003</v>
      </c>
      <c r="C281" s="3" t="s">
        <v>289</v>
      </c>
      <c r="D281">
        <f t="shared" si="32"/>
        <v>18</v>
      </c>
      <c r="E281">
        <f t="shared" si="34"/>
        <v>4</v>
      </c>
      <c r="F281">
        <f t="shared" si="35"/>
        <v>2023</v>
      </c>
      <c r="G281" t="s">
        <v>7</v>
      </c>
      <c r="H281">
        <v>-1</v>
      </c>
      <c r="K281" t="s">
        <v>9</v>
      </c>
      <c r="L281" s="8">
        <f t="shared" si="36"/>
        <v>-1</v>
      </c>
      <c r="M281" t="s">
        <v>306</v>
      </c>
    </row>
    <row r="282" spans="1:13" x14ac:dyDescent="0.35">
      <c r="A282">
        <f t="shared" si="27"/>
        <v>278</v>
      </c>
      <c r="B282" s="9">
        <f t="shared" si="33"/>
        <v>16.090000000000003</v>
      </c>
      <c r="C282" s="3" t="s">
        <v>307</v>
      </c>
      <c r="D282">
        <f t="shared" si="32"/>
        <v>19</v>
      </c>
      <c r="E282">
        <f t="shared" si="34"/>
        <v>4</v>
      </c>
      <c r="F282">
        <f t="shared" si="35"/>
        <v>2023</v>
      </c>
      <c r="G282" t="s">
        <v>7</v>
      </c>
      <c r="H282">
        <v>-1</v>
      </c>
      <c r="K282" t="s">
        <v>9</v>
      </c>
      <c r="L282" s="8">
        <f t="shared" si="36"/>
        <v>-1</v>
      </c>
      <c r="M282" t="s">
        <v>308</v>
      </c>
    </row>
    <row r="283" spans="1:13" x14ac:dyDescent="0.35">
      <c r="A283">
        <f t="shared" si="27"/>
        <v>279</v>
      </c>
      <c r="B283" s="9">
        <f t="shared" si="33"/>
        <v>15.090000000000003</v>
      </c>
      <c r="C283" s="3" t="s">
        <v>307</v>
      </c>
      <c r="D283">
        <f t="shared" si="32"/>
        <v>19</v>
      </c>
      <c r="E283">
        <f t="shared" si="34"/>
        <v>4</v>
      </c>
      <c r="F283">
        <f t="shared" si="35"/>
        <v>2023</v>
      </c>
      <c r="G283" t="s">
        <v>7</v>
      </c>
      <c r="H283">
        <v>-1</v>
      </c>
      <c r="K283" t="s">
        <v>9</v>
      </c>
      <c r="L283" s="8">
        <f t="shared" si="36"/>
        <v>-1</v>
      </c>
      <c r="M283" t="s">
        <v>309</v>
      </c>
    </row>
    <row r="284" spans="1:13" x14ac:dyDescent="0.35">
      <c r="A284">
        <f t="shared" si="27"/>
        <v>280</v>
      </c>
      <c r="B284" s="9">
        <f t="shared" si="33"/>
        <v>14.090000000000003</v>
      </c>
      <c r="C284" s="3" t="s">
        <v>307</v>
      </c>
      <c r="D284">
        <f t="shared" si="32"/>
        <v>19</v>
      </c>
      <c r="E284">
        <f t="shared" si="34"/>
        <v>4</v>
      </c>
      <c r="F284">
        <f t="shared" si="35"/>
        <v>2023</v>
      </c>
      <c r="G284" t="s">
        <v>7</v>
      </c>
      <c r="H284">
        <v>-1</v>
      </c>
      <c r="K284" t="s">
        <v>9</v>
      </c>
      <c r="L284" s="8">
        <f t="shared" si="36"/>
        <v>-1</v>
      </c>
      <c r="M284" t="s">
        <v>310</v>
      </c>
    </row>
    <row r="285" spans="1:13" x14ac:dyDescent="0.35">
      <c r="A285">
        <f t="shared" si="27"/>
        <v>281</v>
      </c>
      <c r="B285" s="9">
        <f t="shared" si="33"/>
        <v>13.090000000000003</v>
      </c>
      <c r="C285" s="3" t="s">
        <v>307</v>
      </c>
      <c r="D285">
        <f t="shared" si="32"/>
        <v>19</v>
      </c>
      <c r="E285">
        <f t="shared" si="34"/>
        <v>4</v>
      </c>
      <c r="F285">
        <f t="shared" si="35"/>
        <v>2023</v>
      </c>
      <c r="G285" t="s">
        <v>7</v>
      </c>
      <c r="H285">
        <v>-1</v>
      </c>
      <c r="K285" t="s">
        <v>9</v>
      </c>
      <c r="L285" s="8">
        <f t="shared" si="36"/>
        <v>-1</v>
      </c>
      <c r="M285" t="s">
        <v>311</v>
      </c>
    </row>
    <row r="286" spans="1:13" x14ac:dyDescent="0.35">
      <c r="A286">
        <f t="shared" si="27"/>
        <v>282</v>
      </c>
      <c r="B286" s="9">
        <f t="shared" si="33"/>
        <v>12.090000000000003</v>
      </c>
      <c r="C286" s="3" t="s">
        <v>307</v>
      </c>
      <c r="D286">
        <f t="shared" si="32"/>
        <v>19</v>
      </c>
      <c r="E286">
        <f t="shared" si="34"/>
        <v>4</v>
      </c>
      <c r="F286">
        <f t="shared" si="35"/>
        <v>2023</v>
      </c>
      <c r="G286" t="s">
        <v>7</v>
      </c>
      <c r="H286">
        <v>-1</v>
      </c>
      <c r="K286" t="s">
        <v>9</v>
      </c>
      <c r="L286" s="8">
        <f t="shared" si="36"/>
        <v>-1</v>
      </c>
      <c r="M286" t="s">
        <v>312</v>
      </c>
    </row>
    <row r="287" spans="1:13" x14ac:dyDescent="0.35">
      <c r="A287">
        <f t="shared" si="27"/>
        <v>283</v>
      </c>
      <c r="B287" s="9">
        <f t="shared" si="33"/>
        <v>16.090000000000003</v>
      </c>
      <c r="C287" s="3" t="s">
        <v>307</v>
      </c>
      <c r="D287">
        <f t="shared" si="32"/>
        <v>19</v>
      </c>
      <c r="E287">
        <f t="shared" si="34"/>
        <v>4</v>
      </c>
      <c r="F287">
        <f t="shared" si="35"/>
        <v>2023</v>
      </c>
      <c r="G287" t="s">
        <v>7</v>
      </c>
      <c r="H287">
        <v>-1</v>
      </c>
      <c r="I287">
        <v>5</v>
      </c>
      <c r="K287" t="s">
        <v>10</v>
      </c>
      <c r="L287" s="8">
        <f t="shared" si="36"/>
        <v>4</v>
      </c>
      <c r="M287" t="s">
        <v>313</v>
      </c>
    </row>
    <row r="288" spans="1:13" x14ac:dyDescent="0.35">
      <c r="A288">
        <f t="shared" si="27"/>
        <v>284</v>
      </c>
      <c r="B288" s="9">
        <f t="shared" si="33"/>
        <v>15.090000000000003</v>
      </c>
      <c r="C288" s="3" t="s">
        <v>307</v>
      </c>
      <c r="D288">
        <f t="shared" si="32"/>
        <v>19</v>
      </c>
      <c r="E288">
        <f t="shared" si="34"/>
        <v>4</v>
      </c>
      <c r="F288">
        <f t="shared" si="35"/>
        <v>2023</v>
      </c>
      <c r="G288" t="s">
        <v>7</v>
      </c>
      <c r="H288">
        <v>-1</v>
      </c>
      <c r="K288" t="s">
        <v>9</v>
      </c>
      <c r="L288" s="8">
        <f t="shared" si="36"/>
        <v>-1</v>
      </c>
      <c r="M288" t="s">
        <v>314</v>
      </c>
    </row>
    <row r="289" spans="1:13" x14ac:dyDescent="0.35">
      <c r="A289">
        <f t="shared" si="27"/>
        <v>285</v>
      </c>
      <c r="B289" s="9">
        <f t="shared" si="33"/>
        <v>14.090000000000003</v>
      </c>
      <c r="C289" s="3" t="s">
        <v>307</v>
      </c>
      <c r="D289">
        <f t="shared" si="32"/>
        <v>19</v>
      </c>
      <c r="E289">
        <f t="shared" si="34"/>
        <v>4</v>
      </c>
      <c r="F289">
        <f t="shared" si="35"/>
        <v>2023</v>
      </c>
      <c r="G289" t="s">
        <v>7</v>
      </c>
      <c r="H289">
        <v>-1</v>
      </c>
      <c r="K289" t="s">
        <v>9</v>
      </c>
      <c r="L289" s="8">
        <f t="shared" si="36"/>
        <v>-1</v>
      </c>
      <c r="M289" t="s">
        <v>315</v>
      </c>
    </row>
    <row r="290" spans="1:13" x14ac:dyDescent="0.35">
      <c r="A290">
        <f t="shared" si="27"/>
        <v>286</v>
      </c>
      <c r="B290" s="9">
        <f t="shared" si="33"/>
        <v>15.090000000000003</v>
      </c>
      <c r="C290" s="3" t="s">
        <v>307</v>
      </c>
      <c r="D290">
        <f t="shared" si="32"/>
        <v>19</v>
      </c>
      <c r="E290">
        <f t="shared" si="34"/>
        <v>4</v>
      </c>
      <c r="F290">
        <f t="shared" si="35"/>
        <v>2023</v>
      </c>
      <c r="G290" t="s">
        <v>7</v>
      </c>
      <c r="H290">
        <v>-1</v>
      </c>
      <c r="I290">
        <v>2</v>
      </c>
      <c r="K290" t="s">
        <v>10</v>
      </c>
      <c r="L290" s="8">
        <f t="shared" si="36"/>
        <v>1</v>
      </c>
      <c r="M290" t="s">
        <v>316</v>
      </c>
    </row>
    <row r="291" spans="1:13" x14ac:dyDescent="0.35">
      <c r="A291">
        <f t="shared" si="27"/>
        <v>287</v>
      </c>
      <c r="B291" s="9">
        <f t="shared" si="33"/>
        <v>14.090000000000003</v>
      </c>
      <c r="C291" s="3" t="s">
        <v>307</v>
      </c>
      <c r="D291">
        <f t="shared" si="32"/>
        <v>19</v>
      </c>
      <c r="E291">
        <f t="shared" si="34"/>
        <v>4</v>
      </c>
      <c r="F291">
        <f t="shared" si="35"/>
        <v>2023</v>
      </c>
      <c r="G291" t="s">
        <v>7</v>
      </c>
      <c r="H291">
        <v>-1</v>
      </c>
      <c r="K291" t="s">
        <v>9</v>
      </c>
      <c r="L291" s="8">
        <f t="shared" si="36"/>
        <v>-1</v>
      </c>
      <c r="M291" t="s">
        <v>317</v>
      </c>
    </row>
    <row r="292" spans="1:13" x14ac:dyDescent="0.35">
      <c r="A292">
        <f t="shared" si="27"/>
        <v>288</v>
      </c>
      <c r="B292" s="9">
        <f t="shared" si="33"/>
        <v>13.090000000000003</v>
      </c>
      <c r="C292" s="3" t="s">
        <v>307</v>
      </c>
      <c r="D292">
        <f t="shared" si="32"/>
        <v>19</v>
      </c>
      <c r="E292">
        <f t="shared" si="34"/>
        <v>4</v>
      </c>
      <c r="F292">
        <f t="shared" si="35"/>
        <v>2023</v>
      </c>
      <c r="G292" t="s">
        <v>7</v>
      </c>
      <c r="H292">
        <v>-1</v>
      </c>
      <c r="K292" t="s">
        <v>9</v>
      </c>
      <c r="L292" s="8">
        <f t="shared" si="36"/>
        <v>-1</v>
      </c>
      <c r="M292" t="s">
        <v>318</v>
      </c>
    </row>
    <row r="293" spans="1:13" x14ac:dyDescent="0.35">
      <c r="A293">
        <f t="shared" si="27"/>
        <v>289</v>
      </c>
      <c r="B293" s="9">
        <f t="shared" si="33"/>
        <v>12.090000000000003</v>
      </c>
      <c r="C293" s="3" t="s">
        <v>307</v>
      </c>
      <c r="D293">
        <f t="shared" si="32"/>
        <v>19</v>
      </c>
      <c r="E293">
        <f t="shared" si="34"/>
        <v>4</v>
      </c>
      <c r="F293">
        <f t="shared" si="35"/>
        <v>2023</v>
      </c>
      <c r="G293" t="s">
        <v>7</v>
      </c>
      <c r="H293">
        <v>-1</v>
      </c>
      <c r="K293" t="s">
        <v>9</v>
      </c>
      <c r="L293" s="8">
        <f t="shared" si="36"/>
        <v>-1</v>
      </c>
      <c r="M293" t="s">
        <v>319</v>
      </c>
    </row>
    <row r="294" spans="1:13" x14ac:dyDescent="0.35">
      <c r="A294">
        <f t="shared" si="27"/>
        <v>290</v>
      </c>
      <c r="B294" s="9">
        <f t="shared" si="33"/>
        <v>11.090000000000003</v>
      </c>
      <c r="C294" s="3" t="s">
        <v>307</v>
      </c>
      <c r="D294">
        <f t="shared" si="32"/>
        <v>19</v>
      </c>
      <c r="E294">
        <f t="shared" si="34"/>
        <v>4</v>
      </c>
      <c r="F294">
        <f t="shared" si="35"/>
        <v>2023</v>
      </c>
      <c r="G294" t="s">
        <v>7</v>
      </c>
      <c r="H294">
        <v>-1</v>
      </c>
      <c r="K294" t="s">
        <v>9</v>
      </c>
      <c r="L294" s="8">
        <f t="shared" si="36"/>
        <v>-1</v>
      </c>
      <c r="M294" t="s">
        <v>320</v>
      </c>
    </row>
    <row r="295" spans="1:13" x14ac:dyDescent="0.35">
      <c r="A295">
        <f t="shared" si="27"/>
        <v>291</v>
      </c>
      <c r="B295" s="9">
        <f t="shared" si="33"/>
        <v>10.090000000000003</v>
      </c>
      <c r="C295" s="3" t="s">
        <v>307</v>
      </c>
      <c r="D295">
        <f t="shared" si="32"/>
        <v>19</v>
      </c>
      <c r="E295">
        <f t="shared" si="34"/>
        <v>4</v>
      </c>
      <c r="F295">
        <f t="shared" si="35"/>
        <v>2023</v>
      </c>
      <c r="G295" t="s">
        <v>7</v>
      </c>
      <c r="H295">
        <v>-1</v>
      </c>
      <c r="K295" t="s">
        <v>9</v>
      </c>
      <c r="L295" s="8">
        <f t="shared" si="36"/>
        <v>-1</v>
      </c>
      <c r="M295" t="s">
        <v>321</v>
      </c>
    </row>
    <row r="296" spans="1:13" x14ac:dyDescent="0.35">
      <c r="A296">
        <f t="shared" si="27"/>
        <v>292</v>
      </c>
      <c r="B296" s="9">
        <f t="shared" si="33"/>
        <v>20.090000000000003</v>
      </c>
      <c r="C296" s="3" t="s">
        <v>307</v>
      </c>
      <c r="D296">
        <f t="shared" si="32"/>
        <v>19</v>
      </c>
      <c r="E296">
        <f t="shared" si="34"/>
        <v>4</v>
      </c>
      <c r="F296">
        <f t="shared" si="35"/>
        <v>2023</v>
      </c>
      <c r="G296" t="s">
        <v>7</v>
      </c>
      <c r="H296">
        <v>-10</v>
      </c>
      <c r="I296">
        <v>20</v>
      </c>
      <c r="K296" t="s">
        <v>10</v>
      </c>
      <c r="L296" s="8">
        <f t="shared" si="36"/>
        <v>1</v>
      </c>
      <c r="M296" t="s">
        <v>322</v>
      </c>
    </row>
    <row r="297" spans="1:13" x14ac:dyDescent="0.35">
      <c r="A297">
        <f t="shared" si="27"/>
        <v>293</v>
      </c>
      <c r="B297" s="9">
        <f t="shared" si="33"/>
        <v>10.090000000000003</v>
      </c>
      <c r="C297" s="3" t="s">
        <v>307</v>
      </c>
      <c r="D297">
        <f t="shared" si="32"/>
        <v>19</v>
      </c>
      <c r="E297">
        <f t="shared" si="34"/>
        <v>4</v>
      </c>
      <c r="F297">
        <f t="shared" si="35"/>
        <v>2023</v>
      </c>
      <c r="G297" t="s">
        <v>7</v>
      </c>
      <c r="H297">
        <v>-10</v>
      </c>
      <c r="K297" t="s">
        <v>9</v>
      </c>
      <c r="L297" s="8">
        <f t="shared" si="36"/>
        <v>-1</v>
      </c>
      <c r="M297" t="s">
        <v>323</v>
      </c>
    </row>
    <row r="298" spans="1:13" x14ac:dyDescent="0.35">
      <c r="A298">
        <f t="shared" si="27"/>
        <v>294</v>
      </c>
      <c r="B298" s="9">
        <f t="shared" si="33"/>
        <v>30.090000000000003</v>
      </c>
      <c r="C298" s="3" t="s">
        <v>307</v>
      </c>
      <c r="D298">
        <f t="shared" si="32"/>
        <v>19</v>
      </c>
      <c r="E298">
        <f t="shared" si="34"/>
        <v>4</v>
      </c>
      <c r="F298">
        <f t="shared" si="35"/>
        <v>2023</v>
      </c>
      <c r="G298" t="s">
        <v>7</v>
      </c>
      <c r="H298">
        <v>-10</v>
      </c>
      <c r="I298">
        <v>30</v>
      </c>
      <c r="K298" t="s">
        <v>10</v>
      </c>
      <c r="L298" s="8">
        <f t="shared" si="36"/>
        <v>2</v>
      </c>
      <c r="M298" t="s">
        <v>324</v>
      </c>
    </row>
    <row r="299" spans="1:13" x14ac:dyDescent="0.35">
      <c r="A299">
        <f t="shared" si="27"/>
        <v>295</v>
      </c>
      <c r="B299" s="9">
        <f t="shared" si="33"/>
        <v>29.090000000000003</v>
      </c>
      <c r="C299" s="3" t="s">
        <v>307</v>
      </c>
      <c r="D299">
        <f t="shared" si="32"/>
        <v>19</v>
      </c>
      <c r="E299">
        <f t="shared" si="34"/>
        <v>4</v>
      </c>
      <c r="F299">
        <f t="shared" si="35"/>
        <v>2023</v>
      </c>
      <c r="G299" t="s">
        <v>7</v>
      </c>
      <c r="H299">
        <v>-1</v>
      </c>
      <c r="K299" t="s">
        <v>9</v>
      </c>
      <c r="L299" s="8">
        <f t="shared" si="36"/>
        <v>-1</v>
      </c>
      <c r="M299" t="s">
        <v>325</v>
      </c>
    </row>
    <row r="300" spans="1:13" x14ac:dyDescent="0.35">
      <c r="A300">
        <f t="shared" si="27"/>
        <v>296</v>
      </c>
      <c r="B300" s="9">
        <f t="shared" si="33"/>
        <v>30.090000000000003</v>
      </c>
      <c r="C300" s="3" t="s">
        <v>307</v>
      </c>
      <c r="D300">
        <f t="shared" si="32"/>
        <v>19</v>
      </c>
      <c r="E300">
        <f t="shared" si="34"/>
        <v>4</v>
      </c>
      <c r="F300">
        <f t="shared" si="35"/>
        <v>2023</v>
      </c>
      <c r="G300" t="s">
        <v>7</v>
      </c>
      <c r="H300">
        <v>-1</v>
      </c>
      <c r="I300">
        <v>2</v>
      </c>
      <c r="K300" t="s">
        <v>10</v>
      </c>
      <c r="L300" s="8">
        <f t="shared" si="36"/>
        <v>1</v>
      </c>
      <c r="M300" t="s">
        <v>326</v>
      </c>
    </row>
    <row r="301" spans="1:13" x14ac:dyDescent="0.35">
      <c r="A301">
        <f t="shared" si="27"/>
        <v>297</v>
      </c>
      <c r="B301" s="9">
        <f t="shared" si="33"/>
        <v>31.090000000000003</v>
      </c>
      <c r="C301" s="3" t="s">
        <v>307</v>
      </c>
      <c r="D301">
        <f t="shared" si="32"/>
        <v>19</v>
      </c>
      <c r="E301">
        <f t="shared" si="34"/>
        <v>4</v>
      </c>
      <c r="F301">
        <f t="shared" si="35"/>
        <v>2023</v>
      </c>
      <c r="G301" t="s">
        <v>7</v>
      </c>
      <c r="H301">
        <v>-1</v>
      </c>
      <c r="I301">
        <v>2</v>
      </c>
      <c r="K301" t="s">
        <v>10</v>
      </c>
      <c r="L301" s="8">
        <f t="shared" si="36"/>
        <v>1</v>
      </c>
      <c r="M301" t="s">
        <v>327</v>
      </c>
    </row>
    <row r="302" spans="1:13" x14ac:dyDescent="0.35">
      <c r="A302">
        <f t="shared" si="27"/>
        <v>298</v>
      </c>
      <c r="B302" s="9">
        <f t="shared" si="33"/>
        <v>30.090000000000003</v>
      </c>
      <c r="C302" s="3" t="s">
        <v>307</v>
      </c>
      <c r="D302">
        <f t="shared" si="32"/>
        <v>19</v>
      </c>
      <c r="E302">
        <f t="shared" si="34"/>
        <v>4</v>
      </c>
      <c r="F302">
        <f t="shared" si="35"/>
        <v>2023</v>
      </c>
      <c r="G302" t="s">
        <v>7</v>
      </c>
      <c r="H302">
        <v>-1</v>
      </c>
      <c r="K302" t="s">
        <v>9</v>
      </c>
      <c r="L302" s="8">
        <f t="shared" si="36"/>
        <v>-1</v>
      </c>
      <c r="M302" t="s">
        <v>328</v>
      </c>
    </row>
    <row r="303" spans="1:13" x14ac:dyDescent="0.35">
      <c r="A303">
        <f t="shared" si="27"/>
        <v>299</v>
      </c>
      <c r="B303" s="9">
        <f t="shared" si="33"/>
        <v>29.090000000000003</v>
      </c>
      <c r="C303" s="3" t="s">
        <v>307</v>
      </c>
      <c r="D303">
        <f t="shared" si="32"/>
        <v>19</v>
      </c>
      <c r="E303">
        <f t="shared" si="34"/>
        <v>4</v>
      </c>
      <c r="F303">
        <f t="shared" si="35"/>
        <v>2023</v>
      </c>
      <c r="G303" t="s">
        <v>7</v>
      </c>
      <c r="H303">
        <v>-1</v>
      </c>
      <c r="K303" t="s">
        <v>9</v>
      </c>
      <c r="L303" s="8">
        <f t="shared" si="36"/>
        <v>-1</v>
      </c>
      <c r="M303" t="s">
        <v>329</v>
      </c>
    </row>
    <row r="304" spans="1:13" x14ac:dyDescent="0.35">
      <c r="A304">
        <f t="shared" si="27"/>
        <v>300</v>
      </c>
      <c r="B304" s="9">
        <f t="shared" si="33"/>
        <v>28.090000000000003</v>
      </c>
      <c r="C304" s="3" t="s">
        <v>307</v>
      </c>
      <c r="D304">
        <f t="shared" si="32"/>
        <v>19</v>
      </c>
      <c r="E304">
        <f t="shared" si="34"/>
        <v>4</v>
      </c>
      <c r="F304">
        <f t="shared" si="35"/>
        <v>2023</v>
      </c>
      <c r="G304" t="s">
        <v>7</v>
      </c>
      <c r="H304">
        <v>-1</v>
      </c>
      <c r="K304" t="s">
        <v>9</v>
      </c>
      <c r="L304" s="8">
        <f t="shared" si="36"/>
        <v>-1</v>
      </c>
      <c r="M304" t="s">
        <v>330</v>
      </c>
    </row>
    <row r="305" spans="1:13" x14ac:dyDescent="0.35">
      <c r="A305">
        <f t="shared" si="27"/>
        <v>301</v>
      </c>
      <c r="B305" s="9">
        <f t="shared" si="33"/>
        <v>27.090000000000003</v>
      </c>
      <c r="C305" s="3" t="s">
        <v>307</v>
      </c>
      <c r="D305">
        <f t="shared" si="32"/>
        <v>19</v>
      </c>
      <c r="E305">
        <f t="shared" si="34"/>
        <v>4</v>
      </c>
      <c r="F305">
        <f t="shared" si="35"/>
        <v>2023</v>
      </c>
      <c r="G305" t="s">
        <v>7</v>
      </c>
      <c r="H305">
        <v>-1</v>
      </c>
      <c r="K305" t="s">
        <v>9</v>
      </c>
      <c r="L305" s="8">
        <f t="shared" si="36"/>
        <v>-1</v>
      </c>
      <c r="M305" t="s">
        <v>331</v>
      </c>
    </row>
    <row r="306" spans="1:13" x14ac:dyDescent="0.35">
      <c r="A306">
        <f t="shared" si="27"/>
        <v>302</v>
      </c>
      <c r="B306" s="9">
        <f t="shared" si="33"/>
        <v>26.090000000000003</v>
      </c>
      <c r="C306" s="3" t="s">
        <v>307</v>
      </c>
      <c r="D306">
        <f t="shared" si="32"/>
        <v>19</v>
      </c>
      <c r="E306">
        <f t="shared" si="34"/>
        <v>4</v>
      </c>
      <c r="F306">
        <f t="shared" si="35"/>
        <v>2023</v>
      </c>
      <c r="G306" t="s">
        <v>7</v>
      </c>
      <c r="H306">
        <v>-1</v>
      </c>
      <c r="K306" t="s">
        <v>9</v>
      </c>
      <c r="L306" s="8">
        <f t="shared" si="36"/>
        <v>-1</v>
      </c>
      <c r="M306" t="s">
        <v>332</v>
      </c>
    </row>
    <row r="307" spans="1:13" x14ac:dyDescent="0.35">
      <c r="A307">
        <f t="shared" si="27"/>
        <v>303</v>
      </c>
      <c r="B307" s="9">
        <f t="shared" si="33"/>
        <v>28.090000000000003</v>
      </c>
      <c r="C307" s="3" t="s">
        <v>307</v>
      </c>
      <c r="D307">
        <f t="shared" si="32"/>
        <v>19</v>
      </c>
      <c r="E307">
        <f t="shared" si="34"/>
        <v>4</v>
      </c>
      <c r="F307">
        <f t="shared" si="35"/>
        <v>2023</v>
      </c>
      <c r="G307" t="s">
        <v>7</v>
      </c>
      <c r="H307">
        <v>-1</v>
      </c>
      <c r="I307">
        <v>3</v>
      </c>
      <c r="K307" t="s">
        <v>10</v>
      </c>
      <c r="L307" s="8">
        <f t="shared" si="36"/>
        <v>2</v>
      </c>
      <c r="M307" t="s">
        <v>333</v>
      </c>
    </row>
    <row r="308" spans="1:13" x14ac:dyDescent="0.35">
      <c r="A308">
        <f t="shared" si="27"/>
        <v>304</v>
      </c>
      <c r="B308" s="9">
        <f t="shared" si="33"/>
        <v>27.090000000000003</v>
      </c>
      <c r="C308" s="3" t="s">
        <v>307</v>
      </c>
      <c r="D308">
        <f t="shared" si="32"/>
        <v>19</v>
      </c>
      <c r="E308">
        <f t="shared" si="34"/>
        <v>4</v>
      </c>
      <c r="F308">
        <f t="shared" si="35"/>
        <v>2023</v>
      </c>
      <c r="G308" t="s">
        <v>7</v>
      </c>
      <c r="H308">
        <v>-1</v>
      </c>
      <c r="K308" t="s">
        <v>9</v>
      </c>
      <c r="L308" s="8">
        <f t="shared" si="36"/>
        <v>-1</v>
      </c>
      <c r="M308" t="s">
        <v>334</v>
      </c>
    </row>
    <row r="309" spans="1:13" x14ac:dyDescent="0.35">
      <c r="A309">
        <f t="shared" si="27"/>
        <v>305</v>
      </c>
      <c r="B309" s="9">
        <f t="shared" si="33"/>
        <v>26.090000000000003</v>
      </c>
      <c r="C309" s="3" t="s">
        <v>307</v>
      </c>
      <c r="D309">
        <f t="shared" si="32"/>
        <v>19</v>
      </c>
      <c r="E309">
        <f t="shared" si="34"/>
        <v>4</v>
      </c>
      <c r="F309">
        <f t="shared" si="35"/>
        <v>2023</v>
      </c>
      <c r="G309" t="s">
        <v>7</v>
      </c>
      <c r="H309">
        <v>-1</v>
      </c>
      <c r="K309" t="s">
        <v>9</v>
      </c>
      <c r="L309" s="8">
        <f t="shared" si="36"/>
        <v>-1</v>
      </c>
      <c r="M309" t="s">
        <v>335</v>
      </c>
    </row>
    <row r="310" spans="1:13" x14ac:dyDescent="0.35">
      <c r="A310">
        <f t="shared" si="27"/>
        <v>306</v>
      </c>
      <c r="B310" s="9">
        <f t="shared" si="33"/>
        <v>30.090000000000003</v>
      </c>
      <c r="C310" s="3" t="s">
        <v>307</v>
      </c>
      <c r="D310">
        <f t="shared" si="32"/>
        <v>19</v>
      </c>
      <c r="E310">
        <f t="shared" si="34"/>
        <v>4</v>
      </c>
      <c r="F310">
        <f t="shared" si="35"/>
        <v>2023</v>
      </c>
      <c r="G310" t="s">
        <v>7</v>
      </c>
      <c r="H310">
        <v>-1</v>
      </c>
      <c r="I310">
        <v>5</v>
      </c>
      <c r="K310" t="s">
        <v>10</v>
      </c>
      <c r="L310" s="8">
        <f t="shared" si="36"/>
        <v>4</v>
      </c>
      <c r="M310" t="s">
        <v>336</v>
      </c>
    </row>
    <row r="311" spans="1:13" x14ac:dyDescent="0.35">
      <c r="A311">
        <f t="shared" si="27"/>
        <v>307</v>
      </c>
      <c r="B311" s="9">
        <f t="shared" si="33"/>
        <v>29.090000000000003</v>
      </c>
      <c r="C311" s="3" t="s">
        <v>307</v>
      </c>
      <c r="D311">
        <f t="shared" si="32"/>
        <v>19</v>
      </c>
      <c r="E311">
        <f t="shared" si="34"/>
        <v>4</v>
      </c>
      <c r="F311">
        <f t="shared" si="35"/>
        <v>2023</v>
      </c>
      <c r="G311" t="s">
        <v>7</v>
      </c>
      <c r="H311">
        <v>-1</v>
      </c>
      <c r="K311" t="s">
        <v>9</v>
      </c>
      <c r="L311" s="8">
        <f t="shared" si="36"/>
        <v>-1</v>
      </c>
      <c r="M311" t="s">
        <v>337</v>
      </c>
    </row>
    <row r="312" spans="1:13" x14ac:dyDescent="0.35">
      <c r="A312">
        <f t="shared" si="27"/>
        <v>308</v>
      </c>
      <c r="B312" s="9">
        <f t="shared" si="33"/>
        <v>28.090000000000003</v>
      </c>
      <c r="C312" s="3" t="s">
        <v>307</v>
      </c>
      <c r="D312">
        <f t="shared" si="32"/>
        <v>19</v>
      </c>
      <c r="E312">
        <f t="shared" si="34"/>
        <v>4</v>
      </c>
      <c r="F312">
        <f t="shared" si="35"/>
        <v>2023</v>
      </c>
      <c r="G312" t="s">
        <v>7</v>
      </c>
      <c r="H312">
        <v>-1</v>
      </c>
      <c r="K312" t="s">
        <v>9</v>
      </c>
      <c r="L312" s="8">
        <f t="shared" si="36"/>
        <v>-1</v>
      </c>
      <c r="M312" t="s">
        <v>338</v>
      </c>
    </row>
    <row r="313" spans="1:13" x14ac:dyDescent="0.35">
      <c r="A313">
        <f t="shared" si="27"/>
        <v>309</v>
      </c>
      <c r="B313" s="9">
        <f t="shared" si="33"/>
        <v>30.090000000000003</v>
      </c>
      <c r="C313" s="3" t="s">
        <v>307</v>
      </c>
      <c r="D313">
        <f t="shared" si="32"/>
        <v>19</v>
      </c>
      <c r="E313">
        <f t="shared" si="34"/>
        <v>4</v>
      </c>
      <c r="F313">
        <f t="shared" si="35"/>
        <v>2023</v>
      </c>
      <c r="G313" t="s">
        <v>7</v>
      </c>
      <c r="H313">
        <v>-1</v>
      </c>
      <c r="I313">
        <v>3</v>
      </c>
      <c r="K313" t="s">
        <v>10</v>
      </c>
      <c r="L313" s="8">
        <f t="shared" si="36"/>
        <v>2</v>
      </c>
      <c r="M313" t="s">
        <v>339</v>
      </c>
    </row>
    <row r="314" spans="1:13" x14ac:dyDescent="0.35">
      <c r="A314">
        <f t="shared" si="27"/>
        <v>310</v>
      </c>
      <c r="B314" s="9">
        <f t="shared" si="33"/>
        <v>29.090000000000003</v>
      </c>
      <c r="C314" s="3" t="s">
        <v>307</v>
      </c>
      <c r="D314">
        <f t="shared" si="32"/>
        <v>19</v>
      </c>
      <c r="E314">
        <f t="shared" si="34"/>
        <v>4</v>
      </c>
      <c r="F314">
        <f t="shared" si="35"/>
        <v>2023</v>
      </c>
      <c r="G314" t="s">
        <v>7</v>
      </c>
      <c r="H314">
        <v>-1</v>
      </c>
      <c r="K314" t="s">
        <v>9</v>
      </c>
      <c r="L314" s="8">
        <f t="shared" si="36"/>
        <v>-1</v>
      </c>
      <c r="M314" t="s">
        <v>340</v>
      </c>
    </row>
    <row r="315" spans="1:13" x14ac:dyDescent="0.35">
      <c r="A315">
        <f t="shared" si="27"/>
        <v>311</v>
      </c>
      <c r="B315" s="9">
        <f t="shared" si="33"/>
        <v>31.090000000000003</v>
      </c>
      <c r="C315" s="3" t="s">
        <v>307</v>
      </c>
      <c r="D315">
        <f t="shared" si="32"/>
        <v>19</v>
      </c>
      <c r="E315">
        <f t="shared" si="34"/>
        <v>4</v>
      </c>
      <c r="F315">
        <f t="shared" si="35"/>
        <v>2023</v>
      </c>
      <c r="G315" t="s">
        <v>7</v>
      </c>
      <c r="H315">
        <v>-1</v>
      </c>
      <c r="I315">
        <v>3</v>
      </c>
      <c r="K315" t="s">
        <v>10</v>
      </c>
      <c r="L315" s="8">
        <f t="shared" si="36"/>
        <v>2</v>
      </c>
      <c r="M315" t="s">
        <v>341</v>
      </c>
    </row>
    <row r="316" spans="1:13" x14ac:dyDescent="0.35">
      <c r="A316">
        <f t="shared" si="27"/>
        <v>312</v>
      </c>
      <c r="B316" s="9">
        <f t="shared" si="33"/>
        <v>30.090000000000003</v>
      </c>
      <c r="C316" s="3" t="s">
        <v>307</v>
      </c>
      <c r="D316">
        <f t="shared" si="32"/>
        <v>19</v>
      </c>
      <c r="E316">
        <f t="shared" si="34"/>
        <v>4</v>
      </c>
      <c r="F316">
        <f t="shared" si="35"/>
        <v>2023</v>
      </c>
      <c r="G316" t="s">
        <v>7</v>
      </c>
      <c r="H316">
        <v>-1</v>
      </c>
      <c r="K316" t="s">
        <v>9</v>
      </c>
      <c r="L316" s="8">
        <f t="shared" si="36"/>
        <v>-1</v>
      </c>
      <c r="M316" t="s">
        <v>342</v>
      </c>
    </row>
    <row r="317" spans="1:13" x14ac:dyDescent="0.35">
      <c r="A317">
        <f t="shared" si="27"/>
        <v>313</v>
      </c>
      <c r="B317" s="9">
        <f t="shared" si="33"/>
        <v>29.090000000000003</v>
      </c>
      <c r="C317" s="3" t="s">
        <v>307</v>
      </c>
      <c r="D317">
        <f t="shared" si="32"/>
        <v>19</v>
      </c>
      <c r="E317">
        <f t="shared" si="34"/>
        <v>4</v>
      </c>
      <c r="F317">
        <f t="shared" si="35"/>
        <v>2023</v>
      </c>
      <c r="G317" t="s">
        <v>7</v>
      </c>
      <c r="H317">
        <v>-1</v>
      </c>
      <c r="K317" t="s">
        <v>9</v>
      </c>
      <c r="L317" s="8">
        <f t="shared" si="36"/>
        <v>-1</v>
      </c>
      <c r="M317" t="s">
        <v>343</v>
      </c>
    </row>
    <row r="318" spans="1:13" x14ac:dyDescent="0.35">
      <c r="A318">
        <f t="shared" si="27"/>
        <v>314</v>
      </c>
      <c r="B318" s="9">
        <f t="shared" si="33"/>
        <v>28.090000000000003</v>
      </c>
      <c r="C318" s="3" t="s">
        <v>307</v>
      </c>
      <c r="D318">
        <f t="shared" si="32"/>
        <v>19</v>
      </c>
      <c r="E318">
        <f t="shared" si="34"/>
        <v>4</v>
      </c>
      <c r="F318">
        <f t="shared" si="35"/>
        <v>2023</v>
      </c>
      <c r="G318" t="s">
        <v>7</v>
      </c>
      <c r="H318">
        <v>-1</v>
      </c>
      <c r="K318" t="s">
        <v>9</v>
      </c>
      <c r="L318" s="8">
        <f t="shared" si="36"/>
        <v>-1</v>
      </c>
      <c r="M318" t="s">
        <v>344</v>
      </c>
    </row>
    <row r="319" spans="1:13" x14ac:dyDescent="0.35">
      <c r="A319">
        <f t="shared" si="27"/>
        <v>315</v>
      </c>
      <c r="B319" s="9">
        <f t="shared" si="33"/>
        <v>27.090000000000003</v>
      </c>
      <c r="C319" s="3" t="s">
        <v>307</v>
      </c>
      <c r="D319">
        <f t="shared" ref="D319:D382" si="37">_xlfn.NUMBERVALUE(LEFT(C319,2))</f>
        <v>19</v>
      </c>
      <c r="E319">
        <f t="shared" si="34"/>
        <v>4</v>
      </c>
      <c r="F319">
        <f t="shared" si="35"/>
        <v>2023</v>
      </c>
      <c r="G319" t="s">
        <v>7</v>
      </c>
      <c r="H319">
        <v>-1</v>
      </c>
      <c r="K319" t="s">
        <v>9</v>
      </c>
      <c r="L319" s="8">
        <f t="shared" si="36"/>
        <v>-1</v>
      </c>
      <c r="M319" t="s">
        <v>345</v>
      </c>
    </row>
    <row r="320" spans="1:13" x14ac:dyDescent="0.35">
      <c r="A320">
        <f t="shared" si="27"/>
        <v>316</v>
      </c>
      <c r="B320" s="9">
        <f t="shared" si="33"/>
        <v>26.090000000000003</v>
      </c>
      <c r="C320" s="3" t="s">
        <v>307</v>
      </c>
      <c r="D320">
        <f t="shared" si="37"/>
        <v>19</v>
      </c>
      <c r="E320">
        <f t="shared" si="34"/>
        <v>4</v>
      </c>
      <c r="F320">
        <f t="shared" si="35"/>
        <v>2023</v>
      </c>
      <c r="G320" t="s">
        <v>7</v>
      </c>
      <c r="H320">
        <v>-1</v>
      </c>
      <c r="K320" t="s">
        <v>9</v>
      </c>
      <c r="L320" s="8">
        <f t="shared" si="36"/>
        <v>-1</v>
      </c>
      <c r="M320" t="s">
        <v>346</v>
      </c>
    </row>
    <row r="321" spans="1:13" x14ac:dyDescent="0.35">
      <c r="A321">
        <f t="shared" si="27"/>
        <v>317</v>
      </c>
      <c r="B321" s="9">
        <f t="shared" si="33"/>
        <v>27.090000000000003</v>
      </c>
      <c r="C321" s="3" t="s">
        <v>307</v>
      </c>
      <c r="D321">
        <f t="shared" si="37"/>
        <v>19</v>
      </c>
      <c r="E321">
        <f t="shared" si="34"/>
        <v>4</v>
      </c>
      <c r="F321">
        <f t="shared" si="35"/>
        <v>2023</v>
      </c>
      <c r="G321" t="s">
        <v>7</v>
      </c>
      <c r="H321">
        <v>-1</v>
      </c>
      <c r="I321">
        <v>2</v>
      </c>
      <c r="K321" t="s">
        <v>10</v>
      </c>
      <c r="L321" s="8">
        <f t="shared" si="36"/>
        <v>1</v>
      </c>
      <c r="M321" t="s">
        <v>347</v>
      </c>
    </row>
    <row r="322" spans="1:13" x14ac:dyDescent="0.35">
      <c r="A322">
        <f t="shared" si="27"/>
        <v>318</v>
      </c>
      <c r="B322" s="9">
        <f t="shared" si="33"/>
        <v>28.090000000000003</v>
      </c>
      <c r="C322" s="3" t="s">
        <v>307</v>
      </c>
      <c r="D322">
        <f t="shared" si="37"/>
        <v>19</v>
      </c>
      <c r="E322">
        <f t="shared" si="34"/>
        <v>4</v>
      </c>
      <c r="F322">
        <f t="shared" si="35"/>
        <v>2023</v>
      </c>
      <c r="G322" t="s">
        <v>7</v>
      </c>
      <c r="H322">
        <v>-1</v>
      </c>
      <c r="I322">
        <v>2</v>
      </c>
      <c r="K322" t="s">
        <v>10</v>
      </c>
      <c r="L322" s="8">
        <f t="shared" si="36"/>
        <v>1</v>
      </c>
      <c r="M322" t="s">
        <v>348</v>
      </c>
    </row>
    <row r="323" spans="1:13" x14ac:dyDescent="0.35">
      <c r="A323">
        <f t="shared" si="27"/>
        <v>319</v>
      </c>
      <c r="B323" s="9">
        <f t="shared" si="33"/>
        <v>27.090000000000003</v>
      </c>
      <c r="C323" s="3" t="s">
        <v>307</v>
      </c>
      <c r="D323">
        <f t="shared" si="37"/>
        <v>19</v>
      </c>
      <c r="E323">
        <f t="shared" si="34"/>
        <v>4</v>
      </c>
      <c r="F323">
        <f t="shared" si="35"/>
        <v>2023</v>
      </c>
      <c r="G323" t="s">
        <v>7</v>
      </c>
      <c r="H323">
        <v>-1</v>
      </c>
      <c r="K323" t="s">
        <v>9</v>
      </c>
      <c r="L323" s="8">
        <f t="shared" si="36"/>
        <v>-1</v>
      </c>
      <c r="M323" t="s">
        <v>349</v>
      </c>
    </row>
    <row r="324" spans="1:13" x14ac:dyDescent="0.35">
      <c r="A324">
        <f t="shared" si="27"/>
        <v>320</v>
      </c>
      <c r="B324" s="9">
        <f t="shared" si="33"/>
        <v>28.090000000000003</v>
      </c>
      <c r="C324" s="3" t="s">
        <v>307</v>
      </c>
      <c r="D324">
        <f t="shared" si="37"/>
        <v>19</v>
      </c>
      <c r="E324">
        <f t="shared" si="34"/>
        <v>4</v>
      </c>
      <c r="F324">
        <f t="shared" si="35"/>
        <v>2023</v>
      </c>
      <c r="G324" t="s">
        <v>7</v>
      </c>
      <c r="H324">
        <v>-1</v>
      </c>
      <c r="I324">
        <v>2</v>
      </c>
      <c r="K324" t="s">
        <v>10</v>
      </c>
      <c r="L324" s="8">
        <f t="shared" si="36"/>
        <v>1</v>
      </c>
      <c r="M324" t="s">
        <v>350</v>
      </c>
    </row>
    <row r="325" spans="1:13" x14ac:dyDescent="0.35">
      <c r="A325">
        <f t="shared" si="27"/>
        <v>321</v>
      </c>
      <c r="B325" s="9">
        <f t="shared" si="33"/>
        <v>27.090000000000003</v>
      </c>
      <c r="C325" s="3" t="s">
        <v>307</v>
      </c>
      <c r="D325">
        <f t="shared" si="37"/>
        <v>19</v>
      </c>
      <c r="E325">
        <f t="shared" si="34"/>
        <v>4</v>
      </c>
      <c r="F325">
        <f t="shared" si="35"/>
        <v>2023</v>
      </c>
      <c r="G325" t="s">
        <v>7</v>
      </c>
      <c r="H325">
        <v>-1</v>
      </c>
      <c r="K325" t="s">
        <v>9</v>
      </c>
      <c r="L325" s="8">
        <f t="shared" si="36"/>
        <v>-1</v>
      </c>
      <c r="M325" t="s">
        <v>351</v>
      </c>
    </row>
    <row r="326" spans="1:13" x14ac:dyDescent="0.35">
      <c r="A326">
        <f t="shared" si="27"/>
        <v>322</v>
      </c>
      <c r="B326" s="9">
        <f t="shared" ref="B326:B389" si="38">B325+H326+I326+J326</f>
        <v>26.090000000000003</v>
      </c>
      <c r="C326" s="3" t="s">
        <v>307</v>
      </c>
      <c r="D326">
        <f t="shared" si="37"/>
        <v>19</v>
      </c>
      <c r="E326">
        <f t="shared" ref="E326:E389" si="39">_xlfn.NUMBERVALUE(MID(C326,4,2))</f>
        <v>4</v>
      </c>
      <c r="F326">
        <f t="shared" ref="F326:F389" si="40">_xlfn.NUMBERVALUE(RIGHT(C326,4))</f>
        <v>2023</v>
      </c>
      <c r="G326" t="s">
        <v>7</v>
      </c>
      <c r="H326">
        <v>-1</v>
      </c>
      <c r="K326" t="s">
        <v>9</v>
      </c>
      <c r="L326" s="8">
        <f t="shared" ref="L326:L389" si="41">IF(H326="",0,(SUM(I326:J326)/-H326)-1)</f>
        <v>-1</v>
      </c>
      <c r="M326" t="s">
        <v>352</v>
      </c>
    </row>
    <row r="327" spans="1:13" x14ac:dyDescent="0.35">
      <c r="A327">
        <f t="shared" si="27"/>
        <v>323</v>
      </c>
      <c r="B327" s="9">
        <f t="shared" si="38"/>
        <v>28.090000000000003</v>
      </c>
      <c r="C327" s="3" t="s">
        <v>307</v>
      </c>
      <c r="D327">
        <f t="shared" si="37"/>
        <v>19</v>
      </c>
      <c r="E327">
        <f t="shared" si="39"/>
        <v>4</v>
      </c>
      <c r="F327">
        <f t="shared" si="40"/>
        <v>2023</v>
      </c>
      <c r="G327" t="s">
        <v>7</v>
      </c>
      <c r="H327">
        <v>-1</v>
      </c>
      <c r="I327">
        <v>3</v>
      </c>
      <c r="K327" t="s">
        <v>10</v>
      </c>
      <c r="L327" s="8">
        <f t="shared" si="41"/>
        <v>2</v>
      </c>
      <c r="M327" t="s">
        <v>353</v>
      </c>
    </row>
    <row r="328" spans="1:13" x14ac:dyDescent="0.35">
      <c r="A328">
        <f t="shared" si="27"/>
        <v>324</v>
      </c>
      <c r="B328" s="9">
        <f t="shared" si="38"/>
        <v>27.090000000000003</v>
      </c>
      <c r="C328" s="3" t="s">
        <v>355</v>
      </c>
      <c r="D328">
        <f t="shared" si="37"/>
        <v>20</v>
      </c>
      <c r="E328">
        <f t="shared" si="39"/>
        <v>4</v>
      </c>
      <c r="F328">
        <f t="shared" si="40"/>
        <v>2023</v>
      </c>
      <c r="G328" t="s">
        <v>7</v>
      </c>
      <c r="H328">
        <v>-1</v>
      </c>
      <c r="K328" t="s">
        <v>9</v>
      </c>
      <c r="L328" s="8">
        <f t="shared" si="41"/>
        <v>-1</v>
      </c>
      <c r="M328" t="s">
        <v>354</v>
      </c>
    </row>
    <row r="329" spans="1:13" x14ac:dyDescent="0.35">
      <c r="A329">
        <f t="shared" si="27"/>
        <v>325</v>
      </c>
      <c r="B329" s="9">
        <f t="shared" si="38"/>
        <v>29.090000000000003</v>
      </c>
      <c r="C329" s="3" t="s">
        <v>355</v>
      </c>
      <c r="D329">
        <f t="shared" si="37"/>
        <v>20</v>
      </c>
      <c r="E329">
        <f t="shared" si="39"/>
        <v>4</v>
      </c>
      <c r="F329">
        <f t="shared" si="40"/>
        <v>2023</v>
      </c>
      <c r="G329" t="s">
        <v>7</v>
      </c>
      <c r="H329">
        <v>-1</v>
      </c>
      <c r="I329">
        <v>3</v>
      </c>
      <c r="K329" t="s">
        <v>10</v>
      </c>
      <c r="L329" s="8">
        <f t="shared" si="41"/>
        <v>2</v>
      </c>
      <c r="M329" t="s">
        <v>356</v>
      </c>
    </row>
    <row r="330" spans="1:13" x14ac:dyDescent="0.35">
      <c r="A330">
        <f t="shared" si="27"/>
        <v>326</v>
      </c>
      <c r="B330" s="9">
        <f t="shared" si="38"/>
        <v>28.090000000000003</v>
      </c>
      <c r="C330" s="3" t="s">
        <v>355</v>
      </c>
      <c r="D330">
        <f t="shared" si="37"/>
        <v>20</v>
      </c>
      <c r="E330">
        <f t="shared" si="39"/>
        <v>4</v>
      </c>
      <c r="F330">
        <f t="shared" si="40"/>
        <v>2023</v>
      </c>
      <c r="G330" t="s">
        <v>7</v>
      </c>
      <c r="H330">
        <v>-1</v>
      </c>
      <c r="K330" t="s">
        <v>9</v>
      </c>
      <c r="L330" s="8">
        <f t="shared" si="41"/>
        <v>-1</v>
      </c>
      <c r="M330" t="s">
        <v>357</v>
      </c>
    </row>
    <row r="331" spans="1:13" x14ac:dyDescent="0.35">
      <c r="A331">
        <f t="shared" si="27"/>
        <v>327</v>
      </c>
      <c r="B331" s="9">
        <f t="shared" si="38"/>
        <v>27.090000000000003</v>
      </c>
      <c r="C331" s="3" t="s">
        <v>355</v>
      </c>
      <c r="D331">
        <f t="shared" si="37"/>
        <v>20</v>
      </c>
      <c r="E331">
        <f t="shared" si="39"/>
        <v>4</v>
      </c>
      <c r="F331">
        <f t="shared" si="40"/>
        <v>2023</v>
      </c>
      <c r="G331" t="s">
        <v>7</v>
      </c>
      <c r="H331">
        <v>-1</v>
      </c>
      <c r="K331" t="s">
        <v>9</v>
      </c>
      <c r="L331" s="8">
        <f t="shared" si="41"/>
        <v>-1</v>
      </c>
      <c r="M331" t="s">
        <v>358</v>
      </c>
    </row>
    <row r="332" spans="1:13" x14ac:dyDescent="0.35">
      <c r="A332">
        <f t="shared" si="27"/>
        <v>328</v>
      </c>
      <c r="B332" s="9">
        <f t="shared" si="38"/>
        <v>26.090000000000003</v>
      </c>
      <c r="C332" s="3" t="s">
        <v>355</v>
      </c>
      <c r="D332">
        <f t="shared" si="37"/>
        <v>20</v>
      </c>
      <c r="E332">
        <f t="shared" si="39"/>
        <v>4</v>
      </c>
      <c r="F332">
        <f t="shared" si="40"/>
        <v>2023</v>
      </c>
      <c r="G332" t="s">
        <v>7</v>
      </c>
      <c r="H332">
        <v>-1</v>
      </c>
      <c r="K332" t="s">
        <v>9</v>
      </c>
      <c r="L332" s="8">
        <f t="shared" si="41"/>
        <v>-1</v>
      </c>
      <c r="M332" t="s">
        <v>359</v>
      </c>
    </row>
    <row r="333" spans="1:13" x14ac:dyDescent="0.35">
      <c r="A333">
        <f t="shared" si="27"/>
        <v>329</v>
      </c>
      <c r="B333" s="9">
        <f t="shared" si="38"/>
        <v>27.090000000000003</v>
      </c>
      <c r="C333" s="3" t="s">
        <v>355</v>
      </c>
      <c r="D333">
        <f t="shared" si="37"/>
        <v>20</v>
      </c>
      <c r="E333">
        <f t="shared" si="39"/>
        <v>4</v>
      </c>
      <c r="F333">
        <f t="shared" si="40"/>
        <v>2023</v>
      </c>
      <c r="G333" t="s">
        <v>7</v>
      </c>
      <c r="H333">
        <v>-1</v>
      </c>
      <c r="I333">
        <v>2</v>
      </c>
      <c r="K333" t="s">
        <v>10</v>
      </c>
      <c r="L333" s="8">
        <f t="shared" si="41"/>
        <v>1</v>
      </c>
      <c r="M333" t="s">
        <v>360</v>
      </c>
    </row>
    <row r="334" spans="1:13" x14ac:dyDescent="0.35">
      <c r="A334">
        <f t="shared" si="27"/>
        <v>330</v>
      </c>
      <c r="B334" s="9">
        <f t="shared" si="38"/>
        <v>28.090000000000003</v>
      </c>
      <c r="C334" s="3" t="s">
        <v>355</v>
      </c>
      <c r="D334">
        <f t="shared" si="37"/>
        <v>20</v>
      </c>
      <c r="E334">
        <f t="shared" si="39"/>
        <v>4</v>
      </c>
      <c r="F334">
        <f t="shared" si="40"/>
        <v>2023</v>
      </c>
      <c r="G334" t="s">
        <v>7</v>
      </c>
      <c r="H334">
        <v>-1</v>
      </c>
      <c r="I334">
        <v>2</v>
      </c>
      <c r="K334" t="s">
        <v>10</v>
      </c>
      <c r="L334" s="8">
        <f t="shared" si="41"/>
        <v>1</v>
      </c>
      <c r="M334" t="s">
        <v>361</v>
      </c>
    </row>
    <row r="335" spans="1:13" x14ac:dyDescent="0.35">
      <c r="A335">
        <f t="shared" si="27"/>
        <v>331</v>
      </c>
      <c r="B335" s="9">
        <f t="shared" si="38"/>
        <v>29.090000000000003</v>
      </c>
      <c r="C335" s="3" t="s">
        <v>355</v>
      </c>
      <c r="D335">
        <f t="shared" si="37"/>
        <v>20</v>
      </c>
      <c r="E335">
        <f t="shared" si="39"/>
        <v>4</v>
      </c>
      <c r="F335">
        <f t="shared" si="40"/>
        <v>2023</v>
      </c>
      <c r="G335" t="s">
        <v>7</v>
      </c>
      <c r="H335">
        <v>-1</v>
      </c>
      <c r="I335">
        <v>2</v>
      </c>
      <c r="K335" t="s">
        <v>10</v>
      </c>
      <c r="L335" s="8">
        <f t="shared" si="41"/>
        <v>1</v>
      </c>
      <c r="M335" t="s">
        <v>362</v>
      </c>
    </row>
    <row r="336" spans="1:13" x14ac:dyDescent="0.35">
      <c r="A336">
        <f t="shared" si="27"/>
        <v>332</v>
      </c>
      <c r="B336" s="9">
        <f t="shared" si="38"/>
        <v>28.090000000000003</v>
      </c>
      <c r="C336" s="3" t="s">
        <v>355</v>
      </c>
      <c r="D336">
        <f t="shared" si="37"/>
        <v>20</v>
      </c>
      <c r="E336">
        <f t="shared" si="39"/>
        <v>4</v>
      </c>
      <c r="F336">
        <f t="shared" si="40"/>
        <v>2023</v>
      </c>
      <c r="G336" t="s">
        <v>7</v>
      </c>
      <c r="H336">
        <v>-1</v>
      </c>
      <c r="K336" t="s">
        <v>9</v>
      </c>
      <c r="L336" s="8">
        <f t="shared" si="41"/>
        <v>-1</v>
      </c>
      <c r="M336" t="s">
        <v>363</v>
      </c>
    </row>
    <row r="337" spans="1:13" x14ac:dyDescent="0.35">
      <c r="A337">
        <f t="shared" si="27"/>
        <v>333</v>
      </c>
      <c r="B337" s="9">
        <f t="shared" si="38"/>
        <v>27.090000000000003</v>
      </c>
      <c r="C337" s="3" t="s">
        <v>355</v>
      </c>
      <c r="D337">
        <f t="shared" si="37"/>
        <v>20</v>
      </c>
      <c r="E337">
        <f t="shared" si="39"/>
        <v>4</v>
      </c>
      <c r="F337">
        <f t="shared" si="40"/>
        <v>2023</v>
      </c>
      <c r="G337" t="s">
        <v>7</v>
      </c>
      <c r="H337">
        <v>-1</v>
      </c>
      <c r="K337" t="s">
        <v>9</v>
      </c>
      <c r="L337" s="8">
        <f t="shared" si="41"/>
        <v>-1</v>
      </c>
      <c r="M337" t="s">
        <v>364</v>
      </c>
    </row>
    <row r="338" spans="1:13" x14ac:dyDescent="0.35">
      <c r="A338">
        <f t="shared" si="27"/>
        <v>334</v>
      </c>
      <c r="B338" s="9">
        <f t="shared" si="38"/>
        <v>28.090000000000003</v>
      </c>
      <c r="C338" s="3" t="s">
        <v>355</v>
      </c>
      <c r="D338">
        <f t="shared" si="37"/>
        <v>20</v>
      </c>
      <c r="E338">
        <f t="shared" si="39"/>
        <v>4</v>
      </c>
      <c r="F338">
        <f t="shared" si="40"/>
        <v>2023</v>
      </c>
      <c r="G338" t="s">
        <v>7</v>
      </c>
      <c r="H338">
        <v>-1</v>
      </c>
      <c r="I338">
        <v>2</v>
      </c>
      <c r="K338" t="s">
        <v>10</v>
      </c>
      <c r="L338" s="8">
        <f t="shared" si="41"/>
        <v>1</v>
      </c>
      <c r="M338" t="s">
        <v>365</v>
      </c>
    </row>
    <row r="339" spans="1:13" x14ac:dyDescent="0.35">
      <c r="A339">
        <f t="shared" si="27"/>
        <v>335</v>
      </c>
      <c r="B339" s="9">
        <f t="shared" si="38"/>
        <v>27.090000000000003</v>
      </c>
      <c r="C339" s="3" t="s">
        <v>355</v>
      </c>
      <c r="D339">
        <f t="shared" si="37"/>
        <v>20</v>
      </c>
      <c r="E339">
        <f t="shared" si="39"/>
        <v>4</v>
      </c>
      <c r="F339">
        <f t="shared" si="40"/>
        <v>2023</v>
      </c>
      <c r="G339" t="s">
        <v>7</v>
      </c>
      <c r="H339">
        <v>-1</v>
      </c>
      <c r="K339" t="s">
        <v>9</v>
      </c>
      <c r="L339" s="8">
        <f t="shared" si="41"/>
        <v>-1</v>
      </c>
      <c r="M339" t="s">
        <v>366</v>
      </c>
    </row>
    <row r="340" spans="1:13" x14ac:dyDescent="0.35">
      <c r="A340">
        <f t="shared" si="27"/>
        <v>336</v>
      </c>
      <c r="B340" s="9">
        <f t="shared" si="38"/>
        <v>26.090000000000003</v>
      </c>
      <c r="C340" s="3" t="s">
        <v>355</v>
      </c>
      <c r="D340">
        <f t="shared" si="37"/>
        <v>20</v>
      </c>
      <c r="E340">
        <f t="shared" si="39"/>
        <v>4</v>
      </c>
      <c r="F340">
        <f t="shared" si="40"/>
        <v>2023</v>
      </c>
      <c r="G340" t="s">
        <v>7</v>
      </c>
      <c r="H340">
        <v>-1</v>
      </c>
      <c r="K340" t="s">
        <v>9</v>
      </c>
      <c r="L340" s="8">
        <f t="shared" si="41"/>
        <v>-1</v>
      </c>
      <c r="M340" t="s">
        <v>367</v>
      </c>
    </row>
    <row r="341" spans="1:13" x14ac:dyDescent="0.35">
      <c r="A341">
        <f t="shared" si="27"/>
        <v>337</v>
      </c>
      <c r="B341" s="9">
        <f t="shared" si="38"/>
        <v>27.090000000000003</v>
      </c>
      <c r="C341" s="3" t="s">
        <v>355</v>
      </c>
      <c r="D341">
        <f t="shared" si="37"/>
        <v>20</v>
      </c>
      <c r="E341">
        <f t="shared" si="39"/>
        <v>4</v>
      </c>
      <c r="F341">
        <f t="shared" si="40"/>
        <v>2023</v>
      </c>
      <c r="G341" t="s">
        <v>7</v>
      </c>
      <c r="H341">
        <v>-1</v>
      </c>
      <c r="I341">
        <v>2</v>
      </c>
      <c r="K341" t="s">
        <v>10</v>
      </c>
      <c r="L341" s="8">
        <f t="shared" si="41"/>
        <v>1</v>
      </c>
      <c r="M341" t="s">
        <v>368</v>
      </c>
    </row>
    <row r="342" spans="1:13" x14ac:dyDescent="0.35">
      <c r="A342">
        <f t="shared" si="27"/>
        <v>338</v>
      </c>
      <c r="B342" s="9">
        <f t="shared" si="38"/>
        <v>26.090000000000003</v>
      </c>
      <c r="C342" s="3" t="s">
        <v>355</v>
      </c>
      <c r="D342">
        <f t="shared" si="37"/>
        <v>20</v>
      </c>
      <c r="E342">
        <f t="shared" si="39"/>
        <v>4</v>
      </c>
      <c r="F342">
        <f t="shared" si="40"/>
        <v>2023</v>
      </c>
      <c r="G342" t="s">
        <v>7</v>
      </c>
      <c r="H342">
        <v>-1</v>
      </c>
      <c r="K342" t="s">
        <v>9</v>
      </c>
      <c r="L342" s="8">
        <f t="shared" si="41"/>
        <v>-1</v>
      </c>
      <c r="M342" t="s">
        <v>369</v>
      </c>
    </row>
    <row r="343" spans="1:13" x14ac:dyDescent="0.35">
      <c r="A343">
        <f t="shared" si="27"/>
        <v>339</v>
      </c>
      <c r="B343" s="9">
        <f t="shared" si="38"/>
        <v>25.090000000000003</v>
      </c>
      <c r="C343" s="3" t="s">
        <v>370</v>
      </c>
      <c r="D343">
        <f t="shared" si="37"/>
        <v>21</v>
      </c>
      <c r="E343">
        <f t="shared" si="39"/>
        <v>4</v>
      </c>
      <c r="F343">
        <f t="shared" si="40"/>
        <v>2023</v>
      </c>
      <c r="G343" t="s">
        <v>7</v>
      </c>
      <c r="H343">
        <v>-1</v>
      </c>
      <c r="K343" t="s">
        <v>9</v>
      </c>
      <c r="L343" s="8">
        <f t="shared" si="41"/>
        <v>-1</v>
      </c>
      <c r="M343" t="s">
        <v>371</v>
      </c>
    </row>
    <row r="344" spans="1:13" x14ac:dyDescent="0.35">
      <c r="A344">
        <f t="shared" si="27"/>
        <v>340</v>
      </c>
      <c r="B344" s="9">
        <f t="shared" si="38"/>
        <v>24.090000000000003</v>
      </c>
      <c r="C344" s="3" t="s">
        <v>370</v>
      </c>
      <c r="D344">
        <f t="shared" si="37"/>
        <v>21</v>
      </c>
      <c r="E344">
        <f t="shared" si="39"/>
        <v>4</v>
      </c>
      <c r="F344">
        <f t="shared" si="40"/>
        <v>2023</v>
      </c>
      <c r="G344" t="s">
        <v>7</v>
      </c>
      <c r="H344">
        <v>-1</v>
      </c>
      <c r="K344" t="s">
        <v>9</v>
      </c>
      <c r="L344" s="8">
        <f t="shared" si="41"/>
        <v>-1</v>
      </c>
      <c r="M344" t="s">
        <v>372</v>
      </c>
    </row>
    <row r="345" spans="1:13" x14ac:dyDescent="0.35">
      <c r="A345">
        <f t="shared" si="27"/>
        <v>341</v>
      </c>
      <c r="B345" s="9">
        <f t="shared" si="38"/>
        <v>26.090000000000003</v>
      </c>
      <c r="C345" s="3" t="s">
        <v>370</v>
      </c>
      <c r="D345">
        <f t="shared" si="37"/>
        <v>21</v>
      </c>
      <c r="E345">
        <f t="shared" si="39"/>
        <v>4</v>
      </c>
      <c r="F345">
        <f t="shared" si="40"/>
        <v>2023</v>
      </c>
      <c r="G345" t="s">
        <v>7</v>
      </c>
      <c r="H345">
        <v>-1</v>
      </c>
      <c r="I345">
        <v>3</v>
      </c>
      <c r="K345" t="s">
        <v>10</v>
      </c>
      <c r="L345" s="8">
        <f t="shared" si="41"/>
        <v>2</v>
      </c>
      <c r="M345" t="s">
        <v>373</v>
      </c>
    </row>
    <row r="346" spans="1:13" x14ac:dyDescent="0.35">
      <c r="A346">
        <f t="shared" si="27"/>
        <v>342</v>
      </c>
      <c r="B346" s="9">
        <f t="shared" si="38"/>
        <v>28.090000000000003</v>
      </c>
      <c r="C346" s="3" t="s">
        <v>370</v>
      </c>
      <c r="D346">
        <f t="shared" si="37"/>
        <v>21</v>
      </c>
      <c r="E346">
        <f t="shared" si="39"/>
        <v>4</v>
      </c>
      <c r="F346">
        <f t="shared" si="40"/>
        <v>2023</v>
      </c>
      <c r="G346" t="s">
        <v>7</v>
      </c>
      <c r="H346">
        <v>-1</v>
      </c>
      <c r="I346">
        <v>3</v>
      </c>
      <c r="K346" t="s">
        <v>10</v>
      </c>
      <c r="L346" s="8">
        <f t="shared" si="41"/>
        <v>2</v>
      </c>
      <c r="M346" t="s">
        <v>374</v>
      </c>
    </row>
    <row r="347" spans="1:13" x14ac:dyDescent="0.35">
      <c r="A347">
        <f t="shared" si="27"/>
        <v>343</v>
      </c>
      <c r="B347" s="9">
        <f t="shared" si="38"/>
        <v>27.090000000000003</v>
      </c>
      <c r="C347" s="3" t="s">
        <v>370</v>
      </c>
      <c r="D347">
        <f t="shared" si="37"/>
        <v>21</v>
      </c>
      <c r="E347">
        <f t="shared" si="39"/>
        <v>4</v>
      </c>
      <c r="F347">
        <f t="shared" si="40"/>
        <v>2023</v>
      </c>
      <c r="G347" t="s">
        <v>7</v>
      </c>
      <c r="H347">
        <v>-1</v>
      </c>
      <c r="K347" t="s">
        <v>9</v>
      </c>
      <c r="L347" s="8">
        <f t="shared" si="41"/>
        <v>-1</v>
      </c>
      <c r="M347" t="s">
        <v>375</v>
      </c>
    </row>
    <row r="348" spans="1:13" x14ac:dyDescent="0.35">
      <c r="A348">
        <f t="shared" si="27"/>
        <v>344</v>
      </c>
      <c r="B348" s="9">
        <f t="shared" si="38"/>
        <v>26.090000000000003</v>
      </c>
      <c r="C348" s="3" t="s">
        <v>370</v>
      </c>
      <c r="D348">
        <f t="shared" si="37"/>
        <v>21</v>
      </c>
      <c r="E348">
        <f t="shared" si="39"/>
        <v>4</v>
      </c>
      <c r="F348">
        <f t="shared" si="40"/>
        <v>2023</v>
      </c>
      <c r="G348" t="s">
        <v>7</v>
      </c>
      <c r="H348">
        <v>-1</v>
      </c>
      <c r="K348" t="s">
        <v>9</v>
      </c>
      <c r="L348" s="8">
        <f t="shared" si="41"/>
        <v>-1</v>
      </c>
      <c r="M348" t="s">
        <v>376</v>
      </c>
    </row>
    <row r="349" spans="1:13" x14ac:dyDescent="0.35">
      <c r="A349">
        <f t="shared" si="27"/>
        <v>345</v>
      </c>
      <c r="B349" s="9">
        <f t="shared" si="38"/>
        <v>25.090000000000003</v>
      </c>
      <c r="C349" s="3" t="s">
        <v>370</v>
      </c>
      <c r="D349">
        <f t="shared" si="37"/>
        <v>21</v>
      </c>
      <c r="E349">
        <f t="shared" si="39"/>
        <v>4</v>
      </c>
      <c r="F349">
        <f t="shared" si="40"/>
        <v>2023</v>
      </c>
      <c r="G349" t="s">
        <v>7</v>
      </c>
      <c r="H349">
        <v>-1</v>
      </c>
      <c r="K349" t="s">
        <v>9</v>
      </c>
      <c r="L349" s="8">
        <f t="shared" si="41"/>
        <v>-1</v>
      </c>
      <c r="M349" t="s">
        <v>377</v>
      </c>
    </row>
    <row r="350" spans="1:13" x14ac:dyDescent="0.35">
      <c r="A350">
        <f t="shared" si="27"/>
        <v>346</v>
      </c>
      <c r="B350" s="9">
        <f t="shared" si="38"/>
        <v>26.090000000000003</v>
      </c>
      <c r="C350" s="3" t="s">
        <v>370</v>
      </c>
      <c r="D350">
        <f t="shared" si="37"/>
        <v>21</v>
      </c>
      <c r="E350">
        <f t="shared" si="39"/>
        <v>4</v>
      </c>
      <c r="F350">
        <f t="shared" si="40"/>
        <v>2023</v>
      </c>
      <c r="G350" t="s">
        <v>7</v>
      </c>
      <c r="H350">
        <v>-1</v>
      </c>
      <c r="I350">
        <v>2</v>
      </c>
      <c r="K350" t="s">
        <v>10</v>
      </c>
      <c r="L350" s="8">
        <f t="shared" si="41"/>
        <v>1</v>
      </c>
      <c r="M350" t="s">
        <v>378</v>
      </c>
    </row>
    <row r="351" spans="1:13" x14ac:dyDescent="0.35">
      <c r="A351">
        <f t="shared" si="27"/>
        <v>347</v>
      </c>
      <c r="B351" s="9">
        <f t="shared" si="38"/>
        <v>25.090000000000003</v>
      </c>
      <c r="C351" s="3" t="s">
        <v>370</v>
      </c>
      <c r="D351">
        <f t="shared" si="37"/>
        <v>21</v>
      </c>
      <c r="E351">
        <f t="shared" si="39"/>
        <v>4</v>
      </c>
      <c r="F351">
        <f t="shared" si="40"/>
        <v>2023</v>
      </c>
      <c r="G351" t="s">
        <v>7</v>
      </c>
      <c r="H351">
        <v>-1</v>
      </c>
      <c r="K351" t="s">
        <v>9</v>
      </c>
      <c r="L351" s="8">
        <f t="shared" si="41"/>
        <v>-1</v>
      </c>
      <c r="M351" t="s">
        <v>379</v>
      </c>
    </row>
    <row r="352" spans="1:13" x14ac:dyDescent="0.35">
      <c r="A352">
        <f t="shared" si="27"/>
        <v>348</v>
      </c>
      <c r="B352" s="9">
        <f t="shared" si="38"/>
        <v>24.090000000000003</v>
      </c>
      <c r="C352" s="3" t="s">
        <v>370</v>
      </c>
      <c r="D352">
        <f t="shared" si="37"/>
        <v>21</v>
      </c>
      <c r="E352">
        <f t="shared" si="39"/>
        <v>4</v>
      </c>
      <c r="F352">
        <f t="shared" si="40"/>
        <v>2023</v>
      </c>
      <c r="G352" t="s">
        <v>7</v>
      </c>
      <c r="H352">
        <v>-1</v>
      </c>
      <c r="K352" t="s">
        <v>9</v>
      </c>
      <c r="L352" s="8">
        <f t="shared" si="41"/>
        <v>-1</v>
      </c>
      <c r="M352" t="s">
        <v>380</v>
      </c>
    </row>
    <row r="353" spans="1:13" x14ac:dyDescent="0.35">
      <c r="A353">
        <f t="shared" si="27"/>
        <v>349</v>
      </c>
      <c r="B353" s="9">
        <f t="shared" si="38"/>
        <v>23.090000000000003</v>
      </c>
      <c r="C353" s="3" t="s">
        <v>370</v>
      </c>
      <c r="D353">
        <f t="shared" si="37"/>
        <v>21</v>
      </c>
      <c r="E353">
        <f t="shared" si="39"/>
        <v>4</v>
      </c>
      <c r="F353">
        <f t="shared" si="40"/>
        <v>2023</v>
      </c>
      <c r="G353" t="s">
        <v>7</v>
      </c>
      <c r="H353">
        <v>-1</v>
      </c>
      <c r="K353" t="s">
        <v>9</v>
      </c>
      <c r="L353" s="8">
        <f t="shared" si="41"/>
        <v>-1</v>
      </c>
      <c r="M353" t="s">
        <v>381</v>
      </c>
    </row>
    <row r="354" spans="1:13" x14ac:dyDescent="0.35">
      <c r="A354">
        <f t="shared" si="27"/>
        <v>350</v>
      </c>
      <c r="B354" s="9">
        <f t="shared" si="38"/>
        <v>22.090000000000003</v>
      </c>
      <c r="C354" s="3" t="s">
        <v>370</v>
      </c>
      <c r="D354">
        <f t="shared" si="37"/>
        <v>21</v>
      </c>
      <c r="E354">
        <f t="shared" si="39"/>
        <v>4</v>
      </c>
      <c r="F354">
        <f t="shared" si="40"/>
        <v>2023</v>
      </c>
      <c r="G354" t="s">
        <v>7</v>
      </c>
      <c r="H354">
        <v>-1</v>
      </c>
      <c r="K354" t="s">
        <v>9</v>
      </c>
      <c r="L354" s="8">
        <f t="shared" si="41"/>
        <v>-1</v>
      </c>
      <c r="M354" t="s">
        <v>382</v>
      </c>
    </row>
    <row r="355" spans="1:13" x14ac:dyDescent="0.35">
      <c r="A355">
        <f t="shared" si="27"/>
        <v>351</v>
      </c>
      <c r="B355" s="9">
        <f t="shared" si="38"/>
        <v>23.090000000000003</v>
      </c>
      <c r="C355" s="3" t="s">
        <v>370</v>
      </c>
      <c r="D355">
        <f t="shared" si="37"/>
        <v>21</v>
      </c>
      <c r="E355">
        <f t="shared" si="39"/>
        <v>4</v>
      </c>
      <c r="F355">
        <f t="shared" si="40"/>
        <v>2023</v>
      </c>
      <c r="G355" t="s">
        <v>7</v>
      </c>
      <c r="H355">
        <v>-1</v>
      </c>
      <c r="I355">
        <v>2</v>
      </c>
      <c r="K355" t="s">
        <v>10</v>
      </c>
      <c r="L355" s="8">
        <f t="shared" si="41"/>
        <v>1</v>
      </c>
      <c r="M355" t="s">
        <v>383</v>
      </c>
    </row>
    <row r="356" spans="1:13" x14ac:dyDescent="0.35">
      <c r="A356">
        <f t="shared" si="27"/>
        <v>352</v>
      </c>
      <c r="B356" s="9">
        <f t="shared" si="38"/>
        <v>22.090000000000003</v>
      </c>
      <c r="C356" s="3" t="s">
        <v>370</v>
      </c>
      <c r="D356">
        <f t="shared" si="37"/>
        <v>21</v>
      </c>
      <c r="E356">
        <f t="shared" si="39"/>
        <v>4</v>
      </c>
      <c r="F356">
        <f t="shared" si="40"/>
        <v>2023</v>
      </c>
      <c r="G356" t="s">
        <v>7</v>
      </c>
      <c r="H356">
        <v>-1</v>
      </c>
      <c r="K356" t="s">
        <v>9</v>
      </c>
      <c r="L356" s="8">
        <f t="shared" si="41"/>
        <v>-1</v>
      </c>
      <c r="M356" t="s">
        <v>384</v>
      </c>
    </row>
    <row r="357" spans="1:13" x14ac:dyDescent="0.35">
      <c r="A357">
        <f t="shared" si="27"/>
        <v>353</v>
      </c>
      <c r="B357" s="9">
        <f t="shared" si="38"/>
        <v>21.090000000000003</v>
      </c>
      <c r="C357" s="3" t="s">
        <v>370</v>
      </c>
      <c r="D357">
        <f t="shared" si="37"/>
        <v>21</v>
      </c>
      <c r="E357">
        <f t="shared" si="39"/>
        <v>4</v>
      </c>
      <c r="F357">
        <f t="shared" si="40"/>
        <v>2023</v>
      </c>
      <c r="G357" t="s">
        <v>7</v>
      </c>
      <c r="H357">
        <v>-1</v>
      </c>
      <c r="K357" t="s">
        <v>9</v>
      </c>
      <c r="L357" s="8">
        <f t="shared" si="41"/>
        <v>-1</v>
      </c>
      <c r="M357" t="s">
        <v>385</v>
      </c>
    </row>
    <row r="358" spans="1:13" x14ac:dyDescent="0.35">
      <c r="A358">
        <f t="shared" si="27"/>
        <v>354</v>
      </c>
      <c r="B358" s="9">
        <f t="shared" si="38"/>
        <v>23.090000000000003</v>
      </c>
      <c r="C358" s="3" t="s">
        <v>370</v>
      </c>
      <c r="D358">
        <f t="shared" si="37"/>
        <v>21</v>
      </c>
      <c r="E358">
        <f t="shared" si="39"/>
        <v>4</v>
      </c>
      <c r="F358">
        <f t="shared" si="40"/>
        <v>2023</v>
      </c>
      <c r="G358" t="s">
        <v>7</v>
      </c>
      <c r="H358">
        <v>-1</v>
      </c>
      <c r="I358">
        <v>3</v>
      </c>
      <c r="K358" t="s">
        <v>10</v>
      </c>
      <c r="L358" s="8">
        <f t="shared" si="41"/>
        <v>2</v>
      </c>
      <c r="M358" t="s">
        <v>386</v>
      </c>
    </row>
    <row r="359" spans="1:13" x14ac:dyDescent="0.35">
      <c r="A359">
        <f t="shared" si="27"/>
        <v>355</v>
      </c>
      <c r="B359" s="9">
        <f t="shared" si="38"/>
        <v>22.090000000000003</v>
      </c>
      <c r="C359" s="3" t="s">
        <v>370</v>
      </c>
      <c r="D359">
        <f t="shared" si="37"/>
        <v>21</v>
      </c>
      <c r="E359">
        <f t="shared" si="39"/>
        <v>4</v>
      </c>
      <c r="F359">
        <f t="shared" si="40"/>
        <v>2023</v>
      </c>
      <c r="G359" t="s">
        <v>7</v>
      </c>
      <c r="H359">
        <v>-1</v>
      </c>
      <c r="K359" t="s">
        <v>9</v>
      </c>
      <c r="L359" s="8">
        <f t="shared" si="41"/>
        <v>-1</v>
      </c>
      <c r="M359" t="s">
        <v>387</v>
      </c>
    </row>
    <row r="360" spans="1:13" x14ac:dyDescent="0.35">
      <c r="A360">
        <f t="shared" si="27"/>
        <v>356</v>
      </c>
      <c r="B360" s="9">
        <f t="shared" si="38"/>
        <v>26.090000000000003</v>
      </c>
      <c r="C360" s="3" t="s">
        <v>370</v>
      </c>
      <c r="D360">
        <f t="shared" si="37"/>
        <v>21</v>
      </c>
      <c r="E360">
        <f t="shared" si="39"/>
        <v>4</v>
      </c>
      <c r="F360">
        <f t="shared" si="40"/>
        <v>2023</v>
      </c>
      <c r="G360" t="s">
        <v>7</v>
      </c>
      <c r="H360">
        <v>-1</v>
      </c>
      <c r="I360">
        <v>5</v>
      </c>
      <c r="K360" t="s">
        <v>10</v>
      </c>
      <c r="L360" s="8">
        <f t="shared" si="41"/>
        <v>4</v>
      </c>
      <c r="M360" t="s">
        <v>388</v>
      </c>
    </row>
    <row r="361" spans="1:13" x14ac:dyDescent="0.35">
      <c r="A361">
        <f t="shared" si="27"/>
        <v>357</v>
      </c>
      <c r="B361" s="9">
        <f t="shared" si="38"/>
        <v>25.090000000000003</v>
      </c>
      <c r="C361" s="3" t="s">
        <v>370</v>
      </c>
      <c r="D361">
        <f t="shared" si="37"/>
        <v>21</v>
      </c>
      <c r="E361">
        <f t="shared" si="39"/>
        <v>4</v>
      </c>
      <c r="F361">
        <f t="shared" si="40"/>
        <v>2023</v>
      </c>
      <c r="G361" t="s">
        <v>7</v>
      </c>
      <c r="H361">
        <v>-1</v>
      </c>
      <c r="K361" t="s">
        <v>9</v>
      </c>
      <c r="L361" s="8">
        <f t="shared" si="41"/>
        <v>-1</v>
      </c>
      <c r="M361" t="s">
        <v>389</v>
      </c>
    </row>
    <row r="362" spans="1:13" x14ac:dyDescent="0.35">
      <c r="A362">
        <f t="shared" si="27"/>
        <v>358</v>
      </c>
      <c r="B362" s="9">
        <f t="shared" si="38"/>
        <v>24.090000000000003</v>
      </c>
      <c r="C362" s="3" t="s">
        <v>370</v>
      </c>
      <c r="D362">
        <f t="shared" si="37"/>
        <v>21</v>
      </c>
      <c r="E362">
        <f t="shared" si="39"/>
        <v>4</v>
      </c>
      <c r="F362">
        <f t="shared" si="40"/>
        <v>2023</v>
      </c>
      <c r="G362" t="s">
        <v>7</v>
      </c>
      <c r="H362">
        <v>-1</v>
      </c>
      <c r="K362" t="s">
        <v>9</v>
      </c>
      <c r="L362" s="8">
        <f t="shared" si="41"/>
        <v>-1</v>
      </c>
      <c r="M362" t="s">
        <v>390</v>
      </c>
    </row>
    <row r="363" spans="1:13" x14ac:dyDescent="0.35">
      <c r="A363">
        <f t="shared" si="27"/>
        <v>359</v>
      </c>
      <c r="B363" s="9">
        <f t="shared" si="38"/>
        <v>23.090000000000003</v>
      </c>
      <c r="C363" s="3" t="s">
        <v>370</v>
      </c>
      <c r="D363">
        <f t="shared" si="37"/>
        <v>21</v>
      </c>
      <c r="E363">
        <f t="shared" si="39"/>
        <v>4</v>
      </c>
      <c r="F363">
        <f t="shared" si="40"/>
        <v>2023</v>
      </c>
      <c r="G363" t="s">
        <v>7</v>
      </c>
      <c r="H363">
        <v>-1</v>
      </c>
      <c r="K363" t="s">
        <v>9</v>
      </c>
      <c r="L363" s="8">
        <f t="shared" si="41"/>
        <v>-1</v>
      </c>
      <c r="M363" t="s">
        <v>391</v>
      </c>
    </row>
    <row r="364" spans="1:13" x14ac:dyDescent="0.35">
      <c r="A364">
        <f t="shared" si="27"/>
        <v>360</v>
      </c>
      <c r="B364" s="9">
        <f t="shared" si="38"/>
        <v>22.090000000000003</v>
      </c>
      <c r="C364" s="3" t="s">
        <v>370</v>
      </c>
      <c r="D364">
        <f t="shared" si="37"/>
        <v>21</v>
      </c>
      <c r="E364">
        <f t="shared" si="39"/>
        <v>4</v>
      </c>
      <c r="F364">
        <f t="shared" si="40"/>
        <v>2023</v>
      </c>
      <c r="G364" t="s">
        <v>7</v>
      </c>
      <c r="H364">
        <v>-1</v>
      </c>
      <c r="K364" t="s">
        <v>9</v>
      </c>
      <c r="L364" s="8">
        <f t="shared" si="41"/>
        <v>-1</v>
      </c>
      <c r="M364" t="s">
        <v>392</v>
      </c>
    </row>
    <row r="365" spans="1:13" x14ac:dyDescent="0.35">
      <c r="A365">
        <f t="shared" si="27"/>
        <v>361</v>
      </c>
      <c r="B365" s="9">
        <f t="shared" si="38"/>
        <v>24.090000000000003</v>
      </c>
      <c r="C365" s="3" t="s">
        <v>370</v>
      </c>
      <c r="D365">
        <f t="shared" si="37"/>
        <v>21</v>
      </c>
      <c r="E365">
        <f t="shared" si="39"/>
        <v>4</v>
      </c>
      <c r="F365">
        <f t="shared" si="40"/>
        <v>2023</v>
      </c>
      <c r="G365" t="s">
        <v>7</v>
      </c>
      <c r="H365">
        <v>-1</v>
      </c>
      <c r="I365">
        <v>3</v>
      </c>
      <c r="K365" t="s">
        <v>10</v>
      </c>
      <c r="L365" s="8">
        <f t="shared" si="41"/>
        <v>2</v>
      </c>
      <c r="M365" t="s">
        <v>393</v>
      </c>
    </row>
    <row r="366" spans="1:13" x14ac:dyDescent="0.35">
      <c r="A366">
        <f t="shared" si="27"/>
        <v>362</v>
      </c>
      <c r="B366" s="9">
        <f t="shared" si="38"/>
        <v>25.090000000000003</v>
      </c>
      <c r="C366" s="3" t="s">
        <v>370</v>
      </c>
      <c r="D366">
        <f t="shared" si="37"/>
        <v>21</v>
      </c>
      <c r="E366">
        <f t="shared" si="39"/>
        <v>4</v>
      </c>
      <c r="F366">
        <f t="shared" si="40"/>
        <v>2023</v>
      </c>
      <c r="G366" t="s">
        <v>7</v>
      </c>
      <c r="H366">
        <v>-1</v>
      </c>
      <c r="I366">
        <v>2</v>
      </c>
      <c r="K366" t="s">
        <v>10</v>
      </c>
      <c r="L366" s="8">
        <f t="shared" si="41"/>
        <v>1</v>
      </c>
      <c r="M366" t="s">
        <v>394</v>
      </c>
    </row>
    <row r="367" spans="1:13" x14ac:dyDescent="0.35">
      <c r="A367">
        <f t="shared" si="27"/>
        <v>363</v>
      </c>
      <c r="B367" s="9">
        <f t="shared" si="38"/>
        <v>24.090000000000003</v>
      </c>
      <c r="C367" s="3" t="s">
        <v>370</v>
      </c>
      <c r="D367">
        <f t="shared" si="37"/>
        <v>21</v>
      </c>
      <c r="E367">
        <f t="shared" si="39"/>
        <v>4</v>
      </c>
      <c r="F367">
        <f t="shared" si="40"/>
        <v>2023</v>
      </c>
      <c r="G367" t="s">
        <v>7</v>
      </c>
      <c r="H367">
        <v>-1</v>
      </c>
      <c r="K367" t="s">
        <v>9</v>
      </c>
      <c r="L367" s="8">
        <f t="shared" si="41"/>
        <v>-1</v>
      </c>
      <c r="M367" t="s">
        <v>395</v>
      </c>
    </row>
    <row r="368" spans="1:13" x14ac:dyDescent="0.35">
      <c r="A368">
        <f t="shared" si="27"/>
        <v>364</v>
      </c>
      <c r="B368" s="9">
        <f t="shared" si="38"/>
        <v>28.090000000000003</v>
      </c>
      <c r="C368" s="3" t="s">
        <v>370</v>
      </c>
      <c r="D368">
        <f t="shared" si="37"/>
        <v>21</v>
      </c>
      <c r="E368">
        <f t="shared" si="39"/>
        <v>4</v>
      </c>
      <c r="F368">
        <f t="shared" si="40"/>
        <v>2023</v>
      </c>
      <c r="G368" t="s">
        <v>7</v>
      </c>
      <c r="H368">
        <v>-1</v>
      </c>
      <c r="I368">
        <v>5</v>
      </c>
      <c r="K368" t="s">
        <v>10</v>
      </c>
      <c r="L368" s="8">
        <f t="shared" si="41"/>
        <v>4</v>
      </c>
      <c r="M368" t="s">
        <v>396</v>
      </c>
    </row>
    <row r="369" spans="1:13" x14ac:dyDescent="0.35">
      <c r="A369">
        <f t="shared" si="27"/>
        <v>365</v>
      </c>
      <c r="B369" s="9">
        <f t="shared" si="38"/>
        <v>30.090000000000003</v>
      </c>
      <c r="C369" s="3" t="s">
        <v>370</v>
      </c>
      <c r="D369">
        <f t="shared" si="37"/>
        <v>21</v>
      </c>
      <c r="E369">
        <f t="shared" si="39"/>
        <v>4</v>
      </c>
      <c r="F369">
        <f t="shared" si="40"/>
        <v>2023</v>
      </c>
      <c r="G369" t="s">
        <v>7</v>
      </c>
      <c r="H369">
        <v>-1</v>
      </c>
      <c r="I369">
        <v>3</v>
      </c>
      <c r="K369" t="s">
        <v>10</v>
      </c>
      <c r="L369" s="8">
        <f t="shared" si="41"/>
        <v>2</v>
      </c>
      <c r="M369" t="s">
        <v>397</v>
      </c>
    </row>
    <row r="370" spans="1:13" x14ac:dyDescent="0.35">
      <c r="A370">
        <f t="shared" si="27"/>
        <v>366</v>
      </c>
      <c r="B370" s="9">
        <f t="shared" si="38"/>
        <v>29.090000000000003</v>
      </c>
      <c r="C370" s="3" t="s">
        <v>370</v>
      </c>
      <c r="D370">
        <f t="shared" si="37"/>
        <v>21</v>
      </c>
      <c r="E370">
        <f t="shared" si="39"/>
        <v>4</v>
      </c>
      <c r="F370">
        <f t="shared" si="40"/>
        <v>2023</v>
      </c>
      <c r="G370" t="s">
        <v>7</v>
      </c>
      <c r="H370">
        <v>-1</v>
      </c>
      <c r="K370" t="s">
        <v>9</v>
      </c>
      <c r="L370" s="8">
        <f t="shared" si="41"/>
        <v>-1</v>
      </c>
      <c r="M370" t="s">
        <v>398</v>
      </c>
    </row>
    <row r="371" spans="1:13" x14ac:dyDescent="0.35">
      <c r="A371">
        <f t="shared" si="27"/>
        <v>367</v>
      </c>
      <c r="B371" s="9">
        <f t="shared" si="38"/>
        <v>28.090000000000003</v>
      </c>
      <c r="C371" s="3" t="s">
        <v>370</v>
      </c>
      <c r="D371">
        <f t="shared" si="37"/>
        <v>21</v>
      </c>
      <c r="E371">
        <f t="shared" si="39"/>
        <v>4</v>
      </c>
      <c r="F371">
        <f t="shared" si="40"/>
        <v>2023</v>
      </c>
      <c r="G371" t="s">
        <v>7</v>
      </c>
      <c r="H371">
        <v>-1</v>
      </c>
      <c r="K371" t="s">
        <v>9</v>
      </c>
      <c r="L371" s="8">
        <f t="shared" si="41"/>
        <v>-1</v>
      </c>
      <c r="M371" t="s">
        <v>399</v>
      </c>
    </row>
    <row r="372" spans="1:13" x14ac:dyDescent="0.35">
      <c r="A372">
        <f t="shared" si="27"/>
        <v>368</v>
      </c>
      <c r="B372" s="9">
        <f t="shared" si="38"/>
        <v>30.090000000000003</v>
      </c>
      <c r="C372" s="3" t="s">
        <v>370</v>
      </c>
      <c r="D372">
        <f t="shared" si="37"/>
        <v>21</v>
      </c>
      <c r="E372">
        <f t="shared" si="39"/>
        <v>4</v>
      </c>
      <c r="F372">
        <f t="shared" si="40"/>
        <v>2023</v>
      </c>
      <c r="G372" t="s">
        <v>7</v>
      </c>
      <c r="H372">
        <v>-1</v>
      </c>
      <c r="I372">
        <v>3</v>
      </c>
      <c r="K372" t="s">
        <v>10</v>
      </c>
      <c r="L372" s="8">
        <f t="shared" si="41"/>
        <v>2</v>
      </c>
      <c r="M372" t="s">
        <v>400</v>
      </c>
    </row>
    <row r="373" spans="1:13" x14ac:dyDescent="0.35">
      <c r="A373">
        <f t="shared" si="27"/>
        <v>369</v>
      </c>
      <c r="B373" s="9">
        <f t="shared" si="38"/>
        <v>29.090000000000003</v>
      </c>
      <c r="C373" s="3" t="s">
        <v>370</v>
      </c>
      <c r="D373">
        <f t="shared" si="37"/>
        <v>21</v>
      </c>
      <c r="E373">
        <f t="shared" si="39"/>
        <v>4</v>
      </c>
      <c r="F373">
        <f t="shared" si="40"/>
        <v>2023</v>
      </c>
      <c r="G373" t="s">
        <v>7</v>
      </c>
      <c r="H373">
        <v>-1</v>
      </c>
      <c r="K373" t="s">
        <v>9</v>
      </c>
      <c r="L373" s="8">
        <f t="shared" si="41"/>
        <v>-1</v>
      </c>
      <c r="M373" t="s">
        <v>401</v>
      </c>
    </row>
    <row r="374" spans="1:13" x14ac:dyDescent="0.35">
      <c r="A374">
        <f t="shared" si="27"/>
        <v>370</v>
      </c>
      <c r="B374" s="9">
        <f t="shared" si="38"/>
        <v>30.090000000000003</v>
      </c>
      <c r="C374" s="3" t="s">
        <v>370</v>
      </c>
      <c r="D374">
        <f t="shared" si="37"/>
        <v>21</v>
      </c>
      <c r="E374">
        <f t="shared" si="39"/>
        <v>4</v>
      </c>
      <c r="F374">
        <f t="shared" si="40"/>
        <v>2023</v>
      </c>
      <c r="G374" t="s">
        <v>7</v>
      </c>
      <c r="H374">
        <v>-1</v>
      </c>
      <c r="I374">
        <v>2</v>
      </c>
      <c r="K374" t="s">
        <v>10</v>
      </c>
      <c r="L374" s="8">
        <f t="shared" si="41"/>
        <v>1</v>
      </c>
      <c r="M374" t="s">
        <v>402</v>
      </c>
    </row>
    <row r="375" spans="1:13" x14ac:dyDescent="0.35">
      <c r="A375">
        <f t="shared" si="27"/>
        <v>371</v>
      </c>
      <c r="B375" s="9">
        <f t="shared" si="38"/>
        <v>29.090000000000003</v>
      </c>
      <c r="C375" s="3" t="s">
        <v>370</v>
      </c>
      <c r="D375">
        <f t="shared" si="37"/>
        <v>21</v>
      </c>
      <c r="E375">
        <f t="shared" si="39"/>
        <v>4</v>
      </c>
      <c r="F375">
        <f t="shared" si="40"/>
        <v>2023</v>
      </c>
      <c r="G375" t="s">
        <v>7</v>
      </c>
      <c r="H375">
        <v>-1</v>
      </c>
      <c r="K375" t="s">
        <v>9</v>
      </c>
      <c r="L375" s="8">
        <f t="shared" si="41"/>
        <v>-1</v>
      </c>
      <c r="M375" t="s">
        <v>403</v>
      </c>
    </row>
    <row r="376" spans="1:13" x14ac:dyDescent="0.35">
      <c r="A376">
        <f t="shared" si="27"/>
        <v>372</v>
      </c>
      <c r="B376" s="9">
        <f t="shared" si="38"/>
        <v>28.090000000000003</v>
      </c>
      <c r="C376" s="3" t="s">
        <v>370</v>
      </c>
      <c r="D376">
        <f t="shared" si="37"/>
        <v>21</v>
      </c>
      <c r="E376">
        <f t="shared" si="39"/>
        <v>4</v>
      </c>
      <c r="F376">
        <f t="shared" si="40"/>
        <v>2023</v>
      </c>
      <c r="G376" t="s">
        <v>7</v>
      </c>
      <c r="H376">
        <v>-1</v>
      </c>
      <c r="K376" t="s">
        <v>9</v>
      </c>
      <c r="L376" s="8">
        <f t="shared" si="41"/>
        <v>-1</v>
      </c>
      <c r="M376" t="s">
        <v>404</v>
      </c>
    </row>
    <row r="377" spans="1:13" x14ac:dyDescent="0.35">
      <c r="A377">
        <f t="shared" si="27"/>
        <v>373</v>
      </c>
      <c r="B377" s="9">
        <f t="shared" si="38"/>
        <v>27.090000000000003</v>
      </c>
      <c r="C377" s="3" t="s">
        <v>370</v>
      </c>
      <c r="D377">
        <f t="shared" si="37"/>
        <v>21</v>
      </c>
      <c r="E377">
        <f t="shared" si="39"/>
        <v>4</v>
      </c>
      <c r="F377">
        <f t="shared" si="40"/>
        <v>2023</v>
      </c>
      <c r="G377" t="s">
        <v>7</v>
      </c>
      <c r="H377">
        <v>-1</v>
      </c>
      <c r="K377" t="s">
        <v>9</v>
      </c>
      <c r="L377" s="8">
        <f t="shared" si="41"/>
        <v>-1</v>
      </c>
      <c r="M377" t="s">
        <v>405</v>
      </c>
    </row>
    <row r="378" spans="1:13" x14ac:dyDescent="0.35">
      <c r="A378">
        <f t="shared" si="27"/>
        <v>374</v>
      </c>
      <c r="B378" s="9">
        <f t="shared" si="38"/>
        <v>28.090000000000003</v>
      </c>
      <c r="C378" s="3" t="s">
        <v>370</v>
      </c>
      <c r="D378">
        <f t="shared" si="37"/>
        <v>21</v>
      </c>
      <c r="E378">
        <f t="shared" si="39"/>
        <v>4</v>
      </c>
      <c r="F378">
        <f t="shared" si="40"/>
        <v>2023</v>
      </c>
      <c r="G378" t="s">
        <v>7</v>
      </c>
      <c r="H378">
        <v>-1</v>
      </c>
      <c r="I378">
        <v>2</v>
      </c>
      <c r="K378" t="s">
        <v>10</v>
      </c>
      <c r="L378" s="8">
        <f t="shared" si="41"/>
        <v>1</v>
      </c>
      <c r="M378" t="s">
        <v>406</v>
      </c>
    </row>
    <row r="379" spans="1:13" x14ac:dyDescent="0.35">
      <c r="A379">
        <f t="shared" si="27"/>
        <v>375</v>
      </c>
      <c r="B379" s="9">
        <f t="shared" si="38"/>
        <v>27.090000000000003</v>
      </c>
      <c r="C379" s="3" t="s">
        <v>370</v>
      </c>
      <c r="D379">
        <f t="shared" si="37"/>
        <v>21</v>
      </c>
      <c r="E379">
        <f t="shared" si="39"/>
        <v>4</v>
      </c>
      <c r="F379">
        <f t="shared" si="40"/>
        <v>2023</v>
      </c>
      <c r="G379" t="s">
        <v>7</v>
      </c>
      <c r="H379">
        <v>-1</v>
      </c>
      <c r="K379" t="s">
        <v>9</v>
      </c>
      <c r="L379" s="8">
        <f t="shared" si="41"/>
        <v>-1</v>
      </c>
      <c r="M379" t="s">
        <v>407</v>
      </c>
    </row>
    <row r="380" spans="1:13" x14ac:dyDescent="0.35">
      <c r="A380">
        <f t="shared" si="27"/>
        <v>376</v>
      </c>
      <c r="B380" s="9">
        <f t="shared" si="38"/>
        <v>26.090000000000003</v>
      </c>
      <c r="C380" s="3" t="s">
        <v>370</v>
      </c>
      <c r="D380">
        <f t="shared" si="37"/>
        <v>21</v>
      </c>
      <c r="E380">
        <f t="shared" si="39"/>
        <v>4</v>
      </c>
      <c r="F380">
        <f t="shared" si="40"/>
        <v>2023</v>
      </c>
      <c r="G380" t="s">
        <v>7</v>
      </c>
      <c r="H380">
        <v>-1</v>
      </c>
      <c r="K380" t="s">
        <v>9</v>
      </c>
      <c r="L380" s="8">
        <f t="shared" si="41"/>
        <v>-1</v>
      </c>
      <c r="M380" t="s">
        <v>408</v>
      </c>
    </row>
    <row r="381" spans="1:13" x14ac:dyDescent="0.35">
      <c r="A381">
        <f t="shared" si="27"/>
        <v>377</v>
      </c>
      <c r="B381" s="9">
        <f t="shared" si="38"/>
        <v>25.090000000000003</v>
      </c>
      <c r="C381" s="3" t="s">
        <v>370</v>
      </c>
      <c r="D381">
        <f t="shared" si="37"/>
        <v>21</v>
      </c>
      <c r="E381">
        <f t="shared" si="39"/>
        <v>4</v>
      </c>
      <c r="F381">
        <f t="shared" si="40"/>
        <v>2023</v>
      </c>
      <c r="G381" t="s">
        <v>7</v>
      </c>
      <c r="H381">
        <v>-1</v>
      </c>
      <c r="K381" t="s">
        <v>9</v>
      </c>
      <c r="L381" s="8">
        <f t="shared" si="41"/>
        <v>-1</v>
      </c>
      <c r="M381" t="s">
        <v>409</v>
      </c>
    </row>
    <row r="382" spans="1:13" x14ac:dyDescent="0.35">
      <c r="A382">
        <f t="shared" si="27"/>
        <v>378</v>
      </c>
      <c r="B382" s="9">
        <f t="shared" si="38"/>
        <v>26.090000000000003</v>
      </c>
      <c r="C382" s="3" t="s">
        <v>370</v>
      </c>
      <c r="D382">
        <f t="shared" si="37"/>
        <v>21</v>
      </c>
      <c r="E382">
        <f t="shared" si="39"/>
        <v>4</v>
      </c>
      <c r="F382">
        <f t="shared" si="40"/>
        <v>2023</v>
      </c>
      <c r="G382" t="s">
        <v>7</v>
      </c>
      <c r="H382">
        <v>-1</v>
      </c>
      <c r="I382">
        <v>2</v>
      </c>
      <c r="K382" t="s">
        <v>10</v>
      </c>
      <c r="L382" s="8">
        <f t="shared" si="41"/>
        <v>1</v>
      </c>
      <c r="M382" t="s">
        <v>410</v>
      </c>
    </row>
    <row r="383" spans="1:13" x14ac:dyDescent="0.35">
      <c r="A383">
        <f t="shared" si="27"/>
        <v>379</v>
      </c>
      <c r="B383" s="9">
        <f t="shared" si="38"/>
        <v>25.090000000000003</v>
      </c>
      <c r="C383" s="3" t="s">
        <v>370</v>
      </c>
      <c r="D383">
        <f t="shared" ref="D383:D446" si="42">_xlfn.NUMBERVALUE(LEFT(C383,2))</f>
        <v>21</v>
      </c>
      <c r="E383">
        <f t="shared" si="39"/>
        <v>4</v>
      </c>
      <c r="F383">
        <f t="shared" si="40"/>
        <v>2023</v>
      </c>
      <c r="G383" t="s">
        <v>7</v>
      </c>
      <c r="H383">
        <v>-1</v>
      </c>
      <c r="K383" t="s">
        <v>9</v>
      </c>
      <c r="L383" s="8">
        <f t="shared" si="41"/>
        <v>-1</v>
      </c>
      <c r="M383" t="s">
        <v>411</v>
      </c>
    </row>
    <row r="384" spans="1:13" x14ac:dyDescent="0.35">
      <c r="A384">
        <f t="shared" si="27"/>
        <v>380</v>
      </c>
      <c r="B384" s="9">
        <f t="shared" si="38"/>
        <v>26.090000000000003</v>
      </c>
      <c r="C384" s="3" t="s">
        <v>370</v>
      </c>
      <c r="D384">
        <f t="shared" si="42"/>
        <v>21</v>
      </c>
      <c r="E384">
        <f t="shared" si="39"/>
        <v>4</v>
      </c>
      <c r="F384">
        <f t="shared" si="40"/>
        <v>2023</v>
      </c>
      <c r="G384" t="s">
        <v>7</v>
      </c>
      <c r="H384">
        <v>-1</v>
      </c>
      <c r="I384">
        <v>2</v>
      </c>
      <c r="K384" t="s">
        <v>10</v>
      </c>
      <c r="L384" s="8">
        <f t="shared" si="41"/>
        <v>1</v>
      </c>
      <c r="M384" t="s">
        <v>412</v>
      </c>
    </row>
    <row r="385" spans="1:13" x14ac:dyDescent="0.35">
      <c r="A385">
        <f t="shared" si="27"/>
        <v>381</v>
      </c>
      <c r="B385" s="9">
        <f t="shared" si="38"/>
        <v>25.090000000000003</v>
      </c>
      <c r="C385" s="3" t="s">
        <v>370</v>
      </c>
      <c r="D385">
        <f t="shared" si="42"/>
        <v>21</v>
      </c>
      <c r="E385">
        <f t="shared" si="39"/>
        <v>4</v>
      </c>
      <c r="F385">
        <f t="shared" si="40"/>
        <v>2023</v>
      </c>
      <c r="G385" t="s">
        <v>7</v>
      </c>
      <c r="H385">
        <v>-1</v>
      </c>
      <c r="K385" t="s">
        <v>9</v>
      </c>
      <c r="L385" s="8">
        <f t="shared" si="41"/>
        <v>-1</v>
      </c>
      <c r="M385" t="s">
        <v>413</v>
      </c>
    </row>
    <row r="386" spans="1:13" x14ac:dyDescent="0.35">
      <c r="A386">
        <f t="shared" si="27"/>
        <v>382</v>
      </c>
      <c r="B386" s="9">
        <f t="shared" si="38"/>
        <v>24.090000000000003</v>
      </c>
      <c r="C386" s="3" t="s">
        <v>370</v>
      </c>
      <c r="D386">
        <f t="shared" si="42"/>
        <v>21</v>
      </c>
      <c r="E386">
        <f t="shared" si="39"/>
        <v>4</v>
      </c>
      <c r="F386">
        <f t="shared" si="40"/>
        <v>2023</v>
      </c>
      <c r="G386" t="s">
        <v>7</v>
      </c>
      <c r="H386">
        <v>-1</v>
      </c>
      <c r="K386" t="s">
        <v>9</v>
      </c>
      <c r="L386" s="8">
        <f t="shared" si="41"/>
        <v>-1</v>
      </c>
      <c r="M386" t="s">
        <v>414</v>
      </c>
    </row>
    <row r="387" spans="1:13" x14ac:dyDescent="0.35">
      <c r="A387">
        <f t="shared" si="27"/>
        <v>383</v>
      </c>
      <c r="B387" s="9">
        <f t="shared" si="38"/>
        <v>23.090000000000003</v>
      </c>
      <c r="C387" s="3" t="s">
        <v>370</v>
      </c>
      <c r="D387">
        <f t="shared" si="42"/>
        <v>21</v>
      </c>
      <c r="E387">
        <f t="shared" si="39"/>
        <v>4</v>
      </c>
      <c r="F387">
        <f t="shared" si="40"/>
        <v>2023</v>
      </c>
      <c r="G387" t="s">
        <v>7</v>
      </c>
      <c r="H387">
        <v>-1</v>
      </c>
      <c r="K387" t="s">
        <v>9</v>
      </c>
      <c r="L387" s="8">
        <f t="shared" si="41"/>
        <v>-1</v>
      </c>
      <c r="M387" t="s">
        <v>415</v>
      </c>
    </row>
    <row r="388" spans="1:13" x14ac:dyDescent="0.35">
      <c r="A388">
        <f t="shared" si="27"/>
        <v>384</v>
      </c>
      <c r="B388" s="9">
        <f t="shared" si="38"/>
        <v>27.090000000000003</v>
      </c>
      <c r="C388" s="3" t="s">
        <v>370</v>
      </c>
      <c r="D388">
        <f t="shared" si="42"/>
        <v>21</v>
      </c>
      <c r="E388">
        <f t="shared" si="39"/>
        <v>4</v>
      </c>
      <c r="F388">
        <f t="shared" si="40"/>
        <v>2023</v>
      </c>
      <c r="G388" t="s">
        <v>7</v>
      </c>
      <c r="H388">
        <v>-1</v>
      </c>
      <c r="I388">
        <v>5</v>
      </c>
      <c r="K388" t="s">
        <v>10</v>
      </c>
      <c r="L388" s="8">
        <f t="shared" si="41"/>
        <v>4</v>
      </c>
      <c r="M388" t="s">
        <v>416</v>
      </c>
    </row>
    <row r="389" spans="1:13" x14ac:dyDescent="0.35">
      <c r="A389">
        <f t="shared" si="27"/>
        <v>385</v>
      </c>
      <c r="B389" s="9">
        <f t="shared" si="38"/>
        <v>26.090000000000003</v>
      </c>
      <c r="C389" s="3" t="s">
        <v>370</v>
      </c>
      <c r="D389">
        <f t="shared" si="42"/>
        <v>21</v>
      </c>
      <c r="E389">
        <f t="shared" si="39"/>
        <v>4</v>
      </c>
      <c r="F389">
        <f t="shared" si="40"/>
        <v>2023</v>
      </c>
      <c r="G389" t="s">
        <v>7</v>
      </c>
      <c r="H389">
        <v>-1</v>
      </c>
      <c r="K389" t="s">
        <v>9</v>
      </c>
      <c r="L389" s="8">
        <f t="shared" si="41"/>
        <v>-1</v>
      </c>
      <c r="M389" t="s">
        <v>417</v>
      </c>
    </row>
    <row r="390" spans="1:13" x14ac:dyDescent="0.35">
      <c r="A390">
        <f t="shared" si="27"/>
        <v>386</v>
      </c>
      <c r="B390" s="9">
        <f t="shared" ref="B390:B453" si="43">B389+H390+I390+J390</f>
        <v>25.090000000000003</v>
      </c>
      <c r="C390" s="3" t="s">
        <v>370</v>
      </c>
      <c r="D390">
        <f t="shared" si="42"/>
        <v>21</v>
      </c>
      <c r="E390">
        <f t="shared" ref="E390:E453" si="44">_xlfn.NUMBERVALUE(MID(C390,4,2))</f>
        <v>4</v>
      </c>
      <c r="F390">
        <f t="shared" ref="F390:F453" si="45">_xlfn.NUMBERVALUE(RIGHT(C390,4))</f>
        <v>2023</v>
      </c>
      <c r="G390" t="s">
        <v>7</v>
      </c>
      <c r="H390">
        <v>-1</v>
      </c>
      <c r="K390" t="s">
        <v>9</v>
      </c>
      <c r="L390" s="8">
        <f t="shared" ref="L390:L453" si="46">IF(H390="",0,(SUM(I390:J390)/-H390)-1)</f>
        <v>-1</v>
      </c>
      <c r="M390" t="s">
        <v>418</v>
      </c>
    </row>
    <row r="391" spans="1:13" x14ac:dyDescent="0.35">
      <c r="A391">
        <f t="shared" si="27"/>
        <v>387</v>
      </c>
      <c r="B391" s="9">
        <f t="shared" si="43"/>
        <v>29.090000000000003</v>
      </c>
      <c r="C391" s="3" t="s">
        <v>370</v>
      </c>
      <c r="D391">
        <f t="shared" si="42"/>
        <v>21</v>
      </c>
      <c r="E391">
        <f t="shared" si="44"/>
        <v>4</v>
      </c>
      <c r="F391">
        <f t="shared" si="45"/>
        <v>2023</v>
      </c>
      <c r="G391" t="s">
        <v>7</v>
      </c>
      <c r="H391">
        <v>-1</v>
      </c>
      <c r="I391">
        <v>5</v>
      </c>
      <c r="K391" t="s">
        <v>10</v>
      </c>
      <c r="L391" s="8">
        <f t="shared" si="46"/>
        <v>4</v>
      </c>
      <c r="M391" t="s">
        <v>419</v>
      </c>
    </row>
    <row r="392" spans="1:13" x14ac:dyDescent="0.35">
      <c r="A392">
        <f t="shared" si="27"/>
        <v>388</v>
      </c>
      <c r="B392" s="9">
        <f t="shared" si="43"/>
        <v>31.090000000000003</v>
      </c>
      <c r="C392" s="3" t="s">
        <v>370</v>
      </c>
      <c r="D392">
        <f t="shared" si="42"/>
        <v>21</v>
      </c>
      <c r="E392">
        <f t="shared" si="44"/>
        <v>4</v>
      </c>
      <c r="F392">
        <f t="shared" si="45"/>
        <v>2023</v>
      </c>
      <c r="G392" t="s">
        <v>7</v>
      </c>
      <c r="H392">
        <v>-1</v>
      </c>
      <c r="I392">
        <v>3</v>
      </c>
      <c r="K392" t="s">
        <v>10</v>
      </c>
      <c r="L392" s="8">
        <f t="shared" si="46"/>
        <v>2</v>
      </c>
      <c r="M392" t="s">
        <v>420</v>
      </c>
    </row>
    <row r="393" spans="1:13" x14ac:dyDescent="0.35">
      <c r="A393">
        <f t="shared" si="27"/>
        <v>389</v>
      </c>
      <c r="B393" s="9">
        <f t="shared" si="43"/>
        <v>33.090000000000003</v>
      </c>
      <c r="C393" s="3" t="s">
        <v>422</v>
      </c>
      <c r="D393">
        <f t="shared" si="42"/>
        <v>22</v>
      </c>
      <c r="E393">
        <f t="shared" si="44"/>
        <v>4</v>
      </c>
      <c r="F393">
        <f t="shared" si="45"/>
        <v>2023</v>
      </c>
      <c r="G393" t="s">
        <v>7</v>
      </c>
      <c r="H393">
        <v>-1</v>
      </c>
      <c r="I393">
        <v>3</v>
      </c>
      <c r="K393" t="s">
        <v>10</v>
      </c>
      <c r="L393" s="8">
        <f t="shared" si="46"/>
        <v>2</v>
      </c>
      <c r="M393" t="s">
        <v>421</v>
      </c>
    </row>
    <row r="394" spans="1:13" x14ac:dyDescent="0.35">
      <c r="A394">
        <f t="shared" si="27"/>
        <v>390</v>
      </c>
      <c r="B394" s="9">
        <f t="shared" si="43"/>
        <v>32.090000000000003</v>
      </c>
      <c r="C394" s="3" t="s">
        <v>422</v>
      </c>
      <c r="D394">
        <f t="shared" si="42"/>
        <v>22</v>
      </c>
      <c r="E394">
        <f t="shared" si="44"/>
        <v>4</v>
      </c>
      <c r="F394">
        <f t="shared" si="45"/>
        <v>2023</v>
      </c>
      <c r="G394" t="s">
        <v>7</v>
      </c>
      <c r="H394">
        <v>-1</v>
      </c>
      <c r="K394" t="s">
        <v>9</v>
      </c>
      <c r="L394" s="8">
        <f t="shared" si="46"/>
        <v>-1</v>
      </c>
      <c r="M394" t="s">
        <v>423</v>
      </c>
    </row>
    <row r="395" spans="1:13" x14ac:dyDescent="0.35">
      <c r="A395">
        <f t="shared" si="27"/>
        <v>391</v>
      </c>
      <c r="B395" s="9">
        <f t="shared" si="43"/>
        <v>31.090000000000003</v>
      </c>
      <c r="C395" s="3" t="s">
        <v>422</v>
      </c>
      <c r="D395">
        <f t="shared" si="42"/>
        <v>22</v>
      </c>
      <c r="E395">
        <f t="shared" si="44"/>
        <v>4</v>
      </c>
      <c r="F395">
        <f t="shared" si="45"/>
        <v>2023</v>
      </c>
      <c r="G395" t="s">
        <v>7</v>
      </c>
      <c r="H395">
        <v>-1</v>
      </c>
      <c r="K395" t="s">
        <v>9</v>
      </c>
      <c r="L395" s="8">
        <f t="shared" si="46"/>
        <v>-1</v>
      </c>
      <c r="M395" t="s">
        <v>424</v>
      </c>
    </row>
    <row r="396" spans="1:13" x14ac:dyDescent="0.35">
      <c r="A396">
        <f t="shared" si="27"/>
        <v>392</v>
      </c>
      <c r="B396" s="9">
        <f t="shared" si="43"/>
        <v>33.090000000000003</v>
      </c>
      <c r="C396" s="3" t="s">
        <v>422</v>
      </c>
      <c r="D396">
        <f t="shared" si="42"/>
        <v>22</v>
      </c>
      <c r="E396">
        <f t="shared" si="44"/>
        <v>4</v>
      </c>
      <c r="F396">
        <f t="shared" si="45"/>
        <v>2023</v>
      </c>
      <c r="G396" t="s">
        <v>7</v>
      </c>
      <c r="H396">
        <v>-1</v>
      </c>
      <c r="I396">
        <v>3</v>
      </c>
      <c r="K396" t="s">
        <v>10</v>
      </c>
      <c r="L396" s="8">
        <f t="shared" si="46"/>
        <v>2</v>
      </c>
      <c r="M396" t="s">
        <v>425</v>
      </c>
    </row>
    <row r="397" spans="1:13" x14ac:dyDescent="0.35">
      <c r="A397">
        <f t="shared" si="27"/>
        <v>393</v>
      </c>
      <c r="B397" s="9">
        <f t="shared" si="43"/>
        <v>32.090000000000003</v>
      </c>
      <c r="C397" s="3" t="s">
        <v>422</v>
      </c>
      <c r="D397">
        <f t="shared" si="42"/>
        <v>22</v>
      </c>
      <c r="E397">
        <f t="shared" si="44"/>
        <v>4</v>
      </c>
      <c r="F397">
        <f t="shared" si="45"/>
        <v>2023</v>
      </c>
      <c r="G397" t="s">
        <v>7</v>
      </c>
      <c r="H397">
        <v>-1</v>
      </c>
      <c r="K397" t="s">
        <v>9</v>
      </c>
      <c r="L397" s="8">
        <f t="shared" si="46"/>
        <v>-1</v>
      </c>
      <c r="M397" t="s">
        <v>426</v>
      </c>
    </row>
    <row r="398" spans="1:13" x14ac:dyDescent="0.35">
      <c r="A398">
        <f t="shared" si="27"/>
        <v>394</v>
      </c>
      <c r="B398" s="9">
        <f t="shared" si="43"/>
        <v>31.090000000000003</v>
      </c>
      <c r="C398" s="3" t="s">
        <v>422</v>
      </c>
      <c r="D398">
        <f t="shared" si="42"/>
        <v>22</v>
      </c>
      <c r="E398">
        <f t="shared" si="44"/>
        <v>4</v>
      </c>
      <c r="F398">
        <f t="shared" si="45"/>
        <v>2023</v>
      </c>
      <c r="G398" t="s">
        <v>7</v>
      </c>
      <c r="H398">
        <v>-1</v>
      </c>
      <c r="K398" t="s">
        <v>9</v>
      </c>
      <c r="L398" s="8">
        <f t="shared" si="46"/>
        <v>-1</v>
      </c>
      <c r="M398" t="s">
        <v>427</v>
      </c>
    </row>
    <row r="399" spans="1:13" x14ac:dyDescent="0.35">
      <c r="A399">
        <f t="shared" si="27"/>
        <v>395</v>
      </c>
      <c r="B399" s="9">
        <f t="shared" si="43"/>
        <v>33.090000000000003</v>
      </c>
      <c r="C399" s="3" t="s">
        <v>422</v>
      </c>
      <c r="D399">
        <f t="shared" si="42"/>
        <v>22</v>
      </c>
      <c r="E399">
        <f t="shared" si="44"/>
        <v>4</v>
      </c>
      <c r="F399">
        <f t="shared" si="45"/>
        <v>2023</v>
      </c>
      <c r="G399" t="s">
        <v>7</v>
      </c>
      <c r="H399">
        <v>-1</v>
      </c>
      <c r="I399">
        <v>3</v>
      </c>
      <c r="K399" t="s">
        <v>10</v>
      </c>
      <c r="L399" s="8">
        <f t="shared" si="46"/>
        <v>2</v>
      </c>
      <c r="M399" t="s">
        <v>428</v>
      </c>
    </row>
    <row r="400" spans="1:13" x14ac:dyDescent="0.35">
      <c r="A400">
        <f t="shared" si="27"/>
        <v>396</v>
      </c>
      <c r="B400" s="9">
        <f t="shared" si="43"/>
        <v>32.090000000000003</v>
      </c>
      <c r="C400" s="3" t="s">
        <v>422</v>
      </c>
      <c r="D400">
        <f t="shared" si="42"/>
        <v>22</v>
      </c>
      <c r="E400">
        <f t="shared" si="44"/>
        <v>4</v>
      </c>
      <c r="F400">
        <f t="shared" si="45"/>
        <v>2023</v>
      </c>
      <c r="G400" t="s">
        <v>7</v>
      </c>
      <c r="H400">
        <v>-1</v>
      </c>
      <c r="K400" t="s">
        <v>9</v>
      </c>
      <c r="L400" s="8">
        <f t="shared" si="46"/>
        <v>-1</v>
      </c>
      <c r="M400" t="s">
        <v>429</v>
      </c>
    </row>
    <row r="401" spans="1:13" x14ac:dyDescent="0.35">
      <c r="A401">
        <f t="shared" si="27"/>
        <v>397</v>
      </c>
      <c r="B401" s="9">
        <f t="shared" si="43"/>
        <v>31.090000000000003</v>
      </c>
      <c r="C401" s="3" t="s">
        <v>422</v>
      </c>
      <c r="D401">
        <f t="shared" si="42"/>
        <v>22</v>
      </c>
      <c r="E401">
        <f t="shared" si="44"/>
        <v>4</v>
      </c>
      <c r="F401">
        <f t="shared" si="45"/>
        <v>2023</v>
      </c>
      <c r="G401" t="s">
        <v>7</v>
      </c>
      <c r="H401">
        <v>-1</v>
      </c>
      <c r="K401" t="s">
        <v>9</v>
      </c>
      <c r="L401" s="8">
        <f t="shared" si="46"/>
        <v>-1</v>
      </c>
      <c r="M401" t="s">
        <v>430</v>
      </c>
    </row>
    <row r="402" spans="1:13" x14ac:dyDescent="0.35">
      <c r="A402">
        <f t="shared" si="27"/>
        <v>398</v>
      </c>
      <c r="B402" s="9">
        <f t="shared" si="43"/>
        <v>30.090000000000003</v>
      </c>
      <c r="C402" s="3" t="s">
        <v>422</v>
      </c>
      <c r="D402">
        <f t="shared" si="42"/>
        <v>22</v>
      </c>
      <c r="E402">
        <f t="shared" si="44"/>
        <v>4</v>
      </c>
      <c r="F402">
        <f t="shared" si="45"/>
        <v>2023</v>
      </c>
      <c r="G402" t="s">
        <v>7</v>
      </c>
      <c r="H402">
        <v>-1</v>
      </c>
      <c r="K402" t="s">
        <v>9</v>
      </c>
      <c r="L402" s="8">
        <f t="shared" si="46"/>
        <v>-1</v>
      </c>
      <c r="M402" t="s">
        <v>431</v>
      </c>
    </row>
    <row r="403" spans="1:13" x14ac:dyDescent="0.35">
      <c r="A403">
        <f t="shared" si="27"/>
        <v>399</v>
      </c>
      <c r="B403" s="9">
        <f t="shared" si="43"/>
        <v>29.090000000000003</v>
      </c>
      <c r="C403" s="3" t="s">
        <v>422</v>
      </c>
      <c r="D403">
        <f t="shared" si="42"/>
        <v>22</v>
      </c>
      <c r="E403">
        <f t="shared" si="44"/>
        <v>4</v>
      </c>
      <c r="F403">
        <f t="shared" si="45"/>
        <v>2023</v>
      </c>
      <c r="G403" t="s">
        <v>7</v>
      </c>
      <c r="H403">
        <v>-1</v>
      </c>
      <c r="K403" t="s">
        <v>9</v>
      </c>
      <c r="L403" s="8">
        <f t="shared" si="46"/>
        <v>-1</v>
      </c>
      <c r="M403" t="s">
        <v>432</v>
      </c>
    </row>
    <row r="404" spans="1:13" x14ac:dyDescent="0.35">
      <c r="A404">
        <f t="shared" si="27"/>
        <v>400</v>
      </c>
      <c r="B404" s="9">
        <f t="shared" si="43"/>
        <v>28.090000000000003</v>
      </c>
      <c r="C404" s="3" t="s">
        <v>422</v>
      </c>
      <c r="D404">
        <f t="shared" si="42"/>
        <v>22</v>
      </c>
      <c r="E404">
        <f t="shared" si="44"/>
        <v>4</v>
      </c>
      <c r="F404">
        <f t="shared" si="45"/>
        <v>2023</v>
      </c>
      <c r="G404" t="s">
        <v>7</v>
      </c>
      <c r="H404">
        <v>-1</v>
      </c>
      <c r="K404" t="s">
        <v>9</v>
      </c>
      <c r="L404" s="8">
        <f t="shared" si="46"/>
        <v>-1</v>
      </c>
      <c r="M404" t="s">
        <v>433</v>
      </c>
    </row>
    <row r="405" spans="1:13" x14ac:dyDescent="0.35">
      <c r="A405">
        <f t="shared" si="27"/>
        <v>401</v>
      </c>
      <c r="B405" s="9">
        <f t="shared" si="43"/>
        <v>27.090000000000003</v>
      </c>
      <c r="C405" s="3" t="s">
        <v>422</v>
      </c>
      <c r="D405">
        <f t="shared" si="42"/>
        <v>22</v>
      </c>
      <c r="E405">
        <f t="shared" si="44"/>
        <v>4</v>
      </c>
      <c r="F405">
        <f t="shared" si="45"/>
        <v>2023</v>
      </c>
      <c r="G405" t="s">
        <v>7</v>
      </c>
      <c r="H405">
        <v>-1</v>
      </c>
      <c r="K405" t="s">
        <v>9</v>
      </c>
      <c r="L405" s="8">
        <f t="shared" si="46"/>
        <v>-1</v>
      </c>
      <c r="M405" t="s">
        <v>434</v>
      </c>
    </row>
    <row r="406" spans="1:13" x14ac:dyDescent="0.35">
      <c r="A406">
        <f t="shared" si="27"/>
        <v>402</v>
      </c>
      <c r="B406" s="9">
        <f t="shared" si="43"/>
        <v>31.090000000000003</v>
      </c>
      <c r="C406" s="3" t="s">
        <v>422</v>
      </c>
      <c r="D406">
        <f t="shared" si="42"/>
        <v>22</v>
      </c>
      <c r="E406">
        <f t="shared" si="44"/>
        <v>4</v>
      </c>
      <c r="F406">
        <f t="shared" si="45"/>
        <v>2023</v>
      </c>
      <c r="G406" t="s">
        <v>7</v>
      </c>
      <c r="H406">
        <v>-1</v>
      </c>
      <c r="I406">
        <v>5</v>
      </c>
      <c r="K406" t="s">
        <v>10</v>
      </c>
      <c r="L406" s="8">
        <f t="shared" si="46"/>
        <v>4</v>
      </c>
      <c r="M406" t="s">
        <v>435</v>
      </c>
    </row>
    <row r="407" spans="1:13" x14ac:dyDescent="0.35">
      <c r="A407">
        <f t="shared" si="27"/>
        <v>403</v>
      </c>
      <c r="B407" s="9">
        <f t="shared" si="43"/>
        <v>30.090000000000003</v>
      </c>
      <c r="C407" s="3" t="s">
        <v>422</v>
      </c>
      <c r="D407">
        <f t="shared" si="42"/>
        <v>22</v>
      </c>
      <c r="E407">
        <f t="shared" si="44"/>
        <v>4</v>
      </c>
      <c r="F407">
        <f t="shared" si="45"/>
        <v>2023</v>
      </c>
      <c r="G407" t="s">
        <v>7</v>
      </c>
      <c r="H407">
        <v>-1</v>
      </c>
      <c r="K407" t="s">
        <v>9</v>
      </c>
      <c r="L407" s="8">
        <f t="shared" si="46"/>
        <v>-1</v>
      </c>
      <c r="M407" t="s">
        <v>436</v>
      </c>
    </row>
    <row r="408" spans="1:13" x14ac:dyDescent="0.35">
      <c r="A408">
        <f t="shared" si="27"/>
        <v>404</v>
      </c>
      <c r="B408" s="9">
        <f t="shared" si="43"/>
        <v>32.090000000000003</v>
      </c>
      <c r="C408" s="3" t="s">
        <v>422</v>
      </c>
      <c r="D408">
        <f t="shared" si="42"/>
        <v>22</v>
      </c>
      <c r="E408">
        <f t="shared" si="44"/>
        <v>4</v>
      </c>
      <c r="F408">
        <f t="shared" si="45"/>
        <v>2023</v>
      </c>
      <c r="G408" t="s">
        <v>7</v>
      </c>
      <c r="H408">
        <v>-1</v>
      </c>
      <c r="I408">
        <v>3</v>
      </c>
      <c r="K408" t="s">
        <v>10</v>
      </c>
      <c r="L408" s="8">
        <f t="shared" si="46"/>
        <v>2</v>
      </c>
      <c r="M408" t="s">
        <v>437</v>
      </c>
    </row>
    <row r="409" spans="1:13" x14ac:dyDescent="0.35">
      <c r="A409">
        <f t="shared" si="27"/>
        <v>405</v>
      </c>
      <c r="B409" s="9">
        <f t="shared" si="43"/>
        <v>31.090000000000003</v>
      </c>
      <c r="C409" s="3" t="s">
        <v>422</v>
      </c>
      <c r="D409">
        <f t="shared" si="42"/>
        <v>22</v>
      </c>
      <c r="E409">
        <f t="shared" si="44"/>
        <v>4</v>
      </c>
      <c r="F409">
        <f t="shared" si="45"/>
        <v>2023</v>
      </c>
      <c r="G409" t="s">
        <v>7</v>
      </c>
      <c r="H409">
        <v>-1</v>
      </c>
      <c r="K409" t="s">
        <v>9</v>
      </c>
      <c r="L409" s="8">
        <f t="shared" si="46"/>
        <v>-1</v>
      </c>
      <c r="M409" t="s">
        <v>438</v>
      </c>
    </row>
    <row r="410" spans="1:13" x14ac:dyDescent="0.35">
      <c r="A410">
        <f t="shared" si="27"/>
        <v>406</v>
      </c>
      <c r="B410" s="9">
        <f t="shared" si="43"/>
        <v>30.090000000000003</v>
      </c>
      <c r="C410" s="3" t="s">
        <v>422</v>
      </c>
      <c r="D410">
        <f t="shared" si="42"/>
        <v>22</v>
      </c>
      <c r="E410">
        <f t="shared" si="44"/>
        <v>4</v>
      </c>
      <c r="F410">
        <f t="shared" si="45"/>
        <v>2023</v>
      </c>
      <c r="G410" t="s">
        <v>7</v>
      </c>
      <c r="H410">
        <v>-1</v>
      </c>
      <c r="K410" t="s">
        <v>9</v>
      </c>
      <c r="L410" s="8">
        <f t="shared" si="46"/>
        <v>-1</v>
      </c>
      <c r="M410" t="s">
        <v>439</v>
      </c>
    </row>
    <row r="411" spans="1:13" x14ac:dyDescent="0.35">
      <c r="A411">
        <f t="shared" si="27"/>
        <v>407</v>
      </c>
      <c r="B411" s="9">
        <f t="shared" si="43"/>
        <v>29.090000000000003</v>
      </c>
      <c r="C411" s="3" t="s">
        <v>422</v>
      </c>
      <c r="D411">
        <f t="shared" si="42"/>
        <v>22</v>
      </c>
      <c r="E411">
        <f t="shared" si="44"/>
        <v>4</v>
      </c>
      <c r="F411">
        <f t="shared" si="45"/>
        <v>2023</v>
      </c>
      <c r="G411" t="s">
        <v>7</v>
      </c>
      <c r="H411">
        <v>-1</v>
      </c>
      <c r="K411" t="s">
        <v>9</v>
      </c>
      <c r="L411" s="8">
        <f t="shared" si="46"/>
        <v>-1</v>
      </c>
      <c r="M411" t="s">
        <v>440</v>
      </c>
    </row>
    <row r="412" spans="1:13" x14ac:dyDescent="0.35">
      <c r="A412">
        <f t="shared" si="27"/>
        <v>408</v>
      </c>
      <c r="B412" s="9">
        <f t="shared" si="43"/>
        <v>28.090000000000003</v>
      </c>
      <c r="C412" s="3" t="s">
        <v>422</v>
      </c>
      <c r="D412">
        <f t="shared" si="42"/>
        <v>22</v>
      </c>
      <c r="E412">
        <f t="shared" si="44"/>
        <v>4</v>
      </c>
      <c r="F412">
        <f t="shared" si="45"/>
        <v>2023</v>
      </c>
      <c r="G412" t="s">
        <v>7</v>
      </c>
      <c r="H412">
        <v>-1</v>
      </c>
      <c r="K412" t="s">
        <v>9</v>
      </c>
      <c r="L412" s="8">
        <f t="shared" si="46"/>
        <v>-1</v>
      </c>
      <c r="M412" t="s">
        <v>441</v>
      </c>
    </row>
    <row r="413" spans="1:13" x14ac:dyDescent="0.35">
      <c r="A413">
        <f t="shared" si="27"/>
        <v>409</v>
      </c>
      <c r="B413" s="9">
        <f t="shared" si="43"/>
        <v>27.090000000000003</v>
      </c>
      <c r="C413" s="3" t="s">
        <v>422</v>
      </c>
      <c r="D413">
        <f t="shared" si="42"/>
        <v>22</v>
      </c>
      <c r="E413">
        <f t="shared" si="44"/>
        <v>4</v>
      </c>
      <c r="F413">
        <f t="shared" si="45"/>
        <v>2023</v>
      </c>
      <c r="G413" t="s">
        <v>7</v>
      </c>
      <c r="H413">
        <v>-1</v>
      </c>
      <c r="K413" t="s">
        <v>9</v>
      </c>
      <c r="L413" s="8">
        <f t="shared" si="46"/>
        <v>-1</v>
      </c>
      <c r="M413" t="s">
        <v>442</v>
      </c>
    </row>
    <row r="414" spans="1:13" x14ac:dyDescent="0.35">
      <c r="A414">
        <f t="shared" si="27"/>
        <v>410</v>
      </c>
      <c r="B414" s="9">
        <f t="shared" si="43"/>
        <v>26.090000000000003</v>
      </c>
      <c r="C414" s="3" t="s">
        <v>422</v>
      </c>
      <c r="D414">
        <f t="shared" si="42"/>
        <v>22</v>
      </c>
      <c r="E414">
        <f t="shared" si="44"/>
        <v>4</v>
      </c>
      <c r="F414">
        <f t="shared" si="45"/>
        <v>2023</v>
      </c>
      <c r="G414" t="s">
        <v>7</v>
      </c>
      <c r="H414">
        <v>-1</v>
      </c>
      <c r="K414" t="s">
        <v>9</v>
      </c>
      <c r="L414" s="8">
        <f t="shared" si="46"/>
        <v>-1</v>
      </c>
      <c r="M414" t="s">
        <v>443</v>
      </c>
    </row>
    <row r="415" spans="1:13" x14ac:dyDescent="0.35">
      <c r="A415">
        <f t="shared" si="27"/>
        <v>411</v>
      </c>
      <c r="B415" s="9">
        <f t="shared" si="43"/>
        <v>27.090000000000003</v>
      </c>
      <c r="C415" s="3" t="s">
        <v>422</v>
      </c>
      <c r="D415">
        <f t="shared" si="42"/>
        <v>22</v>
      </c>
      <c r="E415">
        <f t="shared" si="44"/>
        <v>4</v>
      </c>
      <c r="F415">
        <f t="shared" si="45"/>
        <v>2023</v>
      </c>
      <c r="G415" t="s">
        <v>7</v>
      </c>
      <c r="H415">
        <v>-1</v>
      </c>
      <c r="I415">
        <v>2</v>
      </c>
      <c r="K415" t="s">
        <v>10</v>
      </c>
      <c r="L415" s="8">
        <f t="shared" si="46"/>
        <v>1</v>
      </c>
      <c r="M415" t="s">
        <v>444</v>
      </c>
    </row>
    <row r="416" spans="1:13" x14ac:dyDescent="0.35">
      <c r="A416">
        <f t="shared" si="27"/>
        <v>412</v>
      </c>
      <c r="B416" s="9">
        <f t="shared" si="43"/>
        <v>26.090000000000003</v>
      </c>
      <c r="C416" s="3" t="s">
        <v>445</v>
      </c>
      <c r="D416">
        <f t="shared" si="42"/>
        <v>23</v>
      </c>
      <c r="E416">
        <f t="shared" si="44"/>
        <v>4</v>
      </c>
      <c r="F416">
        <f t="shared" si="45"/>
        <v>2023</v>
      </c>
      <c r="G416" t="s">
        <v>7</v>
      </c>
      <c r="H416">
        <v>-1</v>
      </c>
      <c r="K416" t="s">
        <v>9</v>
      </c>
      <c r="L416" s="8">
        <f t="shared" si="46"/>
        <v>-1</v>
      </c>
      <c r="M416" t="s">
        <v>446</v>
      </c>
    </row>
    <row r="417" spans="1:13" x14ac:dyDescent="0.35">
      <c r="A417">
        <f t="shared" si="27"/>
        <v>413</v>
      </c>
      <c r="B417" s="9">
        <f t="shared" si="43"/>
        <v>25.090000000000003</v>
      </c>
      <c r="C417" s="3" t="s">
        <v>445</v>
      </c>
      <c r="D417">
        <f t="shared" si="42"/>
        <v>23</v>
      </c>
      <c r="E417">
        <f t="shared" si="44"/>
        <v>4</v>
      </c>
      <c r="F417">
        <f t="shared" si="45"/>
        <v>2023</v>
      </c>
      <c r="G417" t="s">
        <v>7</v>
      </c>
      <c r="H417">
        <v>-1</v>
      </c>
      <c r="K417" t="s">
        <v>9</v>
      </c>
      <c r="L417" s="8">
        <f t="shared" si="46"/>
        <v>-1</v>
      </c>
      <c r="M417" t="s">
        <v>447</v>
      </c>
    </row>
    <row r="418" spans="1:13" x14ac:dyDescent="0.35">
      <c r="A418">
        <f t="shared" si="27"/>
        <v>414</v>
      </c>
      <c r="B418" s="9">
        <f t="shared" si="43"/>
        <v>24.090000000000003</v>
      </c>
      <c r="C418" s="3" t="s">
        <v>445</v>
      </c>
      <c r="D418">
        <f t="shared" si="42"/>
        <v>23</v>
      </c>
      <c r="E418">
        <f t="shared" si="44"/>
        <v>4</v>
      </c>
      <c r="F418">
        <f t="shared" si="45"/>
        <v>2023</v>
      </c>
      <c r="G418" t="s">
        <v>7</v>
      </c>
      <c r="H418">
        <v>-1</v>
      </c>
      <c r="K418" t="s">
        <v>9</v>
      </c>
      <c r="L418" s="8">
        <f t="shared" si="46"/>
        <v>-1</v>
      </c>
      <c r="M418" t="s">
        <v>448</v>
      </c>
    </row>
    <row r="419" spans="1:13" x14ac:dyDescent="0.35">
      <c r="A419">
        <f t="shared" si="27"/>
        <v>415</v>
      </c>
      <c r="B419" s="9">
        <f t="shared" si="43"/>
        <v>23.090000000000003</v>
      </c>
      <c r="C419" s="3" t="s">
        <v>445</v>
      </c>
      <c r="D419">
        <f t="shared" si="42"/>
        <v>23</v>
      </c>
      <c r="E419">
        <f t="shared" si="44"/>
        <v>4</v>
      </c>
      <c r="F419">
        <f t="shared" si="45"/>
        <v>2023</v>
      </c>
      <c r="G419" t="s">
        <v>7</v>
      </c>
      <c r="H419">
        <v>-1</v>
      </c>
      <c r="K419" t="s">
        <v>9</v>
      </c>
      <c r="L419" s="8">
        <f t="shared" si="46"/>
        <v>-1</v>
      </c>
      <c r="M419" t="s">
        <v>449</v>
      </c>
    </row>
    <row r="420" spans="1:13" x14ac:dyDescent="0.35">
      <c r="A420">
        <f t="shared" si="27"/>
        <v>416</v>
      </c>
      <c r="B420" s="9">
        <f t="shared" si="43"/>
        <v>27.090000000000003</v>
      </c>
      <c r="C420" s="3" t="s">
        <v>445</v>
      </c>
      <c r="D420">
        <f t="shared" si="42"/>
        <v>23</v>
      </c>
      <c r="E420">
        <f t="shared" si="44"/>
        <v>4</v>
      </c>
      <c r="F420">
        <f t="shared" si="45"/>
        <v>2023</v>
      </c>
      <c r="G420" t="s">
        <v>7</v>
      </c>
      <c r="H420">
        <v>-1</v>
      </c>
      <c r="I420">
        <v>5</v>
      </c>
      <c r="K420" t="s">
        <v>10</v>
      </c>
      <c r="L420" s="8">
        <f t="shared" si="46"/>
        <v>4</v>
      </c>
      <c r="M420" t="s">
        <v>450</v>
      </c>
    </row>
    <row r="421" spans="1:13" x14ac:dyDescent="0.35">
      <c r="A421">
        <f t="shared" si="27"/>
        <v>417</v>
      </c>
      <c r="B421" s="9">
        <f t="shared" si="43"/>
        <v>26.090000000000003</v>
      </c>
      <c r="C421" s="3" t="s">
        <v>445</v>
      </c>
      <c r="D421">
        <f t="shared" si="42"/>
        <v>23</v>
      </c>
      <c r="E421">
        <f t="shared" si="44"/>
        <v>4</v>
      </c>
      <c r="F421">
        <f t="shared" si="45"/>
        <v>2023</v>
      </c>
      <c r="G421" t="s">
        <v>7</v>
      </c>
      <c r="H421">
        <v>-1</v>
      </c>
      <c r="K421" t="s">
        <v>9</v>
      </c>
      <c r="L421" s="8">
        <f t="shared" si="46"/>
        <v>-1</v>
      </c>
      <c r="M421" t="s">
        <v>451</v>
      </c>
    </row>
    <row r="422" spans="1:13" x14ac:dyDescent="0.35">
      <c r="A422">
        <f t="shared" si="27"/>
        <v>418</v>
      </c>
      <c r="B422" s="9">
        <f t="shared" si="43"/>
        <v>28.090000000000003</v>
      </c>
      <c r="C422" s="3" t="s">
        <v>445</v>
      </c>
      <c r="D422">
        <f t="shared" si="42"/>
        <v>23</v>
      </c>
      <c r="E422">
        <f t="shared" si="44"/>
        <v>4</v>
      </c>
      <c r="F422">
        <f t="shared" si="45"/>
        <v>2023</v>
      </c>
      <c r="G422" t="s">
        <v>7</v>
      </c>
      <c r="H422">
        <v>-1</v>
      </c>
      <c r="I422">
        <v>3</v>
      </c>
      <c r="K422" t="s">
        <v>10</v>
      </c>
      <c r="L422" s="8">
        <f t="shared" si="46"/>
        <v>2</v>
      </c>
      <c r="M422" t="s">
        <v>452</v>
      </c>
    </row>
    <row r="423" spans="1:13" x14ac:dyDescent="0.35">
      <c r="A423">
        <f t="shared" si="27"/>
        <v>419</v>
      </c>
      <c r="B423" s="9">
        <f t="shared" si="43"/>
        <v>27.090000000000003</v>
      </c>
      <c r="C423" s="3" t="s">
        <v>445</v>
      </c>
      <c r="D423">
        <f t="shared" si="42"/>
        <v>23</v>
      </c>
      <c r="E423">
        <f t="shared" si="44"/>
        <v>4</v>
      </c>
      <c r="F423">
        <f t="shared" si="45"/>
        <v>2023</v>
      </c>
      <c r="G423" t="s">
        <v>7</v>
      </c>
      <c r="H423">
        <v>-1</v>
      </c>
      <c r="K423" t="s">
        <v>9</v>
      </c>
      <c r="L423" s="8">
        <f t="shared" si="46"/>
        <v>-1</v>
      </c>
      <c r="M423" t="s">
        <v>453</v>
      </c>
    </row>
    <row r="424" spans="1:13" x14ac:dyDescent="0.35">
      <c r="A424">
        <f t="shared" si="27"/>
        <v>420</v>
      </c>
      <c r="B424" s="9">
        <f t="shared" si="43"/>
        <v>29.090000000000003</v>
      </c>
      <c r="C424" s="3" t="s">
        <v>445</v>
      </c>
      <c r="D424">
        <f t="shared" si="42"/>
        <v>23</v>
      </c>
      <c r="E424">
        <f t="shared" si="44"/>
        <v>4</v>
      </c>
      <c r="F424">
        <f t="shared" si="45"/>
        <v>2023</v>
      </c>
      <c r="G424" t="s">
        <v>7</v>
      </c>
      <c r="H424">
        <v>-1</v>
      </c>
      <c r="I424">
        <v>3</v>
      </c>
      <c r="K424" t="s">
        <v>10</v>
      </c>
      <c r="L424" s="8">
        <f t="shared" si="46"/>
        <v>2</v>
      </c>
      <c r="M424" t="s">
        <v>454</v>
      </c>
    </row>
    <row r="425" spans="1:13" x14ac:dyDescent="0.35">
      <c r="A425">
        <f t="shared" si="27"/>
        <v>421</v>
      </c>
      <c r="B425" s="9">
        <f t="shared" si="43"/>
        <v>28.090000000000003</v>
      </c>
      <c r="C425" s="3" t="s">
        <v>445</v>
      </c>
      <c r="D425">
        <f t="shared" si="42"/>
        <v>23</v>
      </c>
      <c r="E425">
        <f t="shared" si="44"/>
        <v>4</v>
      </c>
      <c r="F425">
        <f t="shared" si="45"/>
        <v>2023</v>
      </c>
      <c r="G425" t="s">
        <v>7</v>
      </c>
      <c r="H425">
        <v>-1</v>
      </c>
      <c r="K425" t="s">
        <v>9</v>
      </c>
      <c r="L425" s="8">
        <f t="shared" si="46"/>
        <v>-1</v>
      </c>
      <c r="M425" t="s">
        <v>455</v>
      </c>
    </row>
    <row r="426" spans="1:13" x14ac:dyDescent="0.35">
      <c r="A426">
        <f t="shared" si="27"/>
        <v>422</v>
      </c>
      <c r="B426" s="9">
        <f t="shared" si="43"/>
        <v>27.090000000000003</v>
      </c>
      <c r="C426" s="3" t="s">
        <v>445</v>
      </c>
      <c r="D426">
        <f t="shared" si="42"/>
        <v>23</v>
      </c>
      <c r="E426">
        <f t="shared" si="44"/>
        <v>4</v>
      </c>
      <c r="F426">
        <f t="shared" si="45"/>
        <v>2023</v>
      </c>
      <c r="G426" t="s">
        <v>7</v>
      </c>
      <c r="H426">
        <v>-1</v>
      </c>
      <c r="K426" t="s">
        <v>9</v>
      </c>
      <c r="L426" s="8">
        <f t="shared" si="46"/>
        <v>-1</v>
      </c>
      <c r="M426" t="s">
        <v>456</v>
      </c>
    </row>
    <row r="427" spans="1:13" x14ac:dyDescent="0.35">
      <c r="A427">
        <f t="shared" si="27"/>
        <v>423</v>
      </c>
      <c r="B427" s="9">
        <f t="shared" si="43"/>
        <v>28.090000000000003</v>
      </c>
      <c r="C427" s="3" t="s">
        <v>445</v>
      </c>
      <c r="D427">
        <f t="shared" si="42"/>
        <v>23</v>
      </c>
      <c r="E427">
        <f t="shared" si="44"/>
        <v>4</v>
      </c>
      <c r="F427">
        <f t="shared" si="45"/>
        <v>2023</v>
      </c>
      <c r="G427" t="s">
        <v>7</v>
      </c>
      <c r="H427">
        <v>-1</v>
      </c>
      <c r="I427">
        <v>2</v>
      </c>
      <c r="K427" t="s">
        <v>10</v>
      </c>
      <c r="L427" s="8">
        <f t="shared" si="46"/>
        <v>1</v>
      </c>
      <c r="M427" t="s">
        <v>457</v>
      </c>
    </row>
    <row r="428" spans="1:13" x14ac:dyDescent="0.35">
      <c r="A428">
        <f t="shared" si="27"/>
        <v>424</v>
      </c>
      <c r="B428" s="9">
        <f t="shared" si="43"/>
        <v>27.090000000000003</v>
      </c>
      <c r="C428" s="3" t="s">
        <v>445</v>
      </c>
      <c r="D428">
        <f t="shared" si="42"/>
        <v>23</v>
      </c>
      <c r="E428">
        <f t="shared" si="44"/>
        <v>4</v>
      </c>
      <c r="F428">
        <f t="shared" si="45"/>
        <v>2023</v>
      </c>
      <c r="G428" t="s">
        <v>7</v>
      </c>
      <c r="H428">
        <v>-1</v>
      </c>
      <c r="K428" t="s">
        <v>9</v>
      </c>
      <c r="L428" s="8">
        <f t="shared" si="46"/>
        <v>-1</v>
      </c>
      <c r="M428" t="s">
        <v>458</v>
      </c>
    </row>
    <row r="429" spans="1:13" x14ac:dyDescent="0.35">
      <c r="A429">
        <f t="shared" si="27"/>
        <v>425</v>
      </c>
      <c r="B429" s="9">
        <f t="shared" si="43"/>
        <v>29.090000000000003</v>
      </c>
      <c r="C429" s="3" t="s">
        <v>445</v>
      </c>
      <c r="D429">
        <f t="shared" si="42"/>
        <v>23</v>
      </c>
      <c r="E429">
        <f t="shared" si="44"/>
        <v>4</v>
      </c>
      <c r="F429">
        <f t="shared" si="45"/>
        <v>2023</v>
      </c>
      <c r="G429" t="s">
        <v>7</v>
      </c>
      <c r="H429">
        <v>-1</v>
      </c>
      <c r="I429">
        <v>3</v>
      </c>
      <c r="K429" t="s">
        <v>10</v>
      </c>
      <c r="L429" s="8">
        <f t="shared" si="46"/>
        <v>2</v>
      </c>
      <c r="M429" t="s">
        <v>459</v>
      </c>
    </row>
    <row r="430" spans="1:13" x14ac:dyDescent="0.35">
      <c r="A430">
        <f t="shared" si="27"/>
        <v>426</v>
      </c>
      <c r="B430" s="9">
        <f t="shared" si="43"/>
        <v>26.890000000000004</v>
      </c>
      <c r="C430" s="3" t="s">
        <v>445</v>
      </c>
      <c r="D430">
        <f t="shared" si="42"/>
        <v>23</v>
      </c>
      <c r="E430">
        <f t="shared" si="44"/>
        <v>4</v>
      </c>
      <c r="F430">
        <f t="shared" si="45"/>
        <v>2023</v>
      </c>
      <c r="G430" t="s">
        <v>44</v>
      </c>
      <c r="H430">
        <v>-2.2000000000000002</v>
      </c>
      <c r="K430" t="s">
        <v>9</v>
      </c>
      <c r="L430" s="8">
        <f t="shared" si="46"/>
        <v>-1</v>
      </c>
      <c r="M430" t="s">
        <v>460</v>
      </c>
    </row>
    <row r="431" spans="1:13" x14ac:dyDescent="0.35">
      <c r="A431">
        <f t="shared" si="27"/>
        <v>427</v>
      </c>
      <c r="B431" s="9">
        <f t="shared" si="43"/>
        <v>25.890000000000004</v>
      </c>
      <c r="C431" s="3" t="s">
        <v>445</v>
      </c>
      <c r="D431">
        <f t="shared" si="42"/>
        <v>23</v>
      </c>
      <c r="E431">
        <f t="shared" si="44"/>
        <v>4</v>
      </c>
      <c r="F431">
        <f t="shared" si="45"/>
        <v>2023</v>
      </c>
      <c r="G431" t="s">
        <v>7</v>
      </c>
      <c r="H431">
        <v>-1</v>
      </c>
      <c r="K431" t="s">
        <v>9</v>
      </c>
      <c r="L431" s="8">
        <f t="shared" si="46"/>
        <v>-1</v>
      </c>
      <c r="M431" t="s">
        <v>461</v>
      </c>
    </row>
    <row r="432" spans="1:13" x14ac:dyDescent="0.35">
      <c r="A432">
        <f t="shared" si="27"/>
        <v>428</v>
      </c>
      <c r="B432" s="9">
        <f t="shared" si="43"/>
        <v>24.890000000000004</v>
      </c>
      <c r="C432" s="3" t="s">
        <v>445</v>
      </c>
      <c r="D432">
        <f t="shared" si="42"/>
        <v>23</v>
      </c>
      <c r="E432">
        <f t="shared" si="44"/>
        <v>4</v>
      </c>
      <c r="F432">
        <f t="shared" si="45"/>
        <v>2023</v>
      </c>
      <c r="G432" t="s">
        <v>7</v>
      </c>
      <c r="H432">
        <v>-1</v>
      </c>
      <c r="K432" t="s">
        <v>9</v>
      </c>
      <c r="L432" s="8">
        <f t="shared" si="46"/>
        <v>-1</v>
      </c>
      <c r="M432" t="s">
        <v>462</v>
      </c>
    </row>
    <row r="433" spans="1:13" x14ac:dyDescent="0.35">
      <c r="A433">
        <f t="shared" si="27"/>
        <v>429</v>
      </c>
      <c r="B433" s="9">
        <f t="shared" si="43"/>
        <v>26.890000000000004</v>
      </c>
      <c r="C433" s="3" t="s">
        <v>445</v>
      </c>
      <c r="D433">
        <f t="shared" si="42"/>
        <v>23</v>
      </c>
      <c r="E433">
        <f t="shared" si="44"/>
        <v>4</v>
      </c>
      <c r="F433">
        <f t="shared" si="45"/>
        <v>2023</v>
      </c>
      <c r="G433" t="s">
        <v>7</v>
      </c>
      <c r="H433">
        <v>-1</v>
      </c>
      <c r="I433">
        <v>3</v>
      </c>
      <c r="K433" t="s">
        <v>10</v>
      </c>
      <c r="L433" s="8">
        <f t="shared" si="46"/>
        <v>2</v>
      </c>
      <c r="M433" t="s">
        <v>463</v>
      </c>
    </row>
    <row r="434" spans="1:13" x14ac:dyDescent="0.35">
      <c r="A434">
        <f t="shared" si="27"/>
        <v>430</v>
      </c>
      <c r="B434" s="9">
        <f t="shared" si="43"/>
        <v>27.890000000000004</v>
      </c>
      <c r="C434" s="3" t="s">
        <v>445</v>
      </c>
      <c r="D434">
        <f t="shared" si="42"/>
        <v>23</v>
      </c>
      <c r="E434">
        <f t="shared" si="44"/>
        <v>4</v>
      </c>
      <c r="F434">
        <f t="shared" si="45"/>
        <v>2023</v>
      </c>
      <c r="G434" t="s">
        <v>7</v>
      </c>
      <c r="H434">
        <v>-1</v>
      </c>
      <c r="I434">
        <v>2</v>
      </c>
      <c r="K434" t="s">
        <v>10</v>
      </c>
      <c r="L434" s="8">
        <f t="shared" si="46"/>
        <v>1</v>
      </c>
      <c r="M434" t="s">
        <v>464</v>
      </c>
    </row>
    <row r="435" spans="1:13" x14ac:dyDescent="0.35">
      <c r="A435">
        <f t="shared" si="27"/>
        <v>431</v>
      </c>
      <c r="B435" s="9">
        <f t="shared" si="43"/>
        <v>26.890000000000004</v>
      </c>
      <c r="C435" s="3" t="s">
        <v>445</v>
      </c>
      <c r="D435">
        <f t="shared" si="42"/>
        <v>23</v>
      </c>
      <c r="E435">
        <f t="shared" si="44"/>
        <v>4</v>
      </c>
      <c r="F435">
        <f t="shared" si="45"/>
        <v>2023</v>
      </c>
      <c r="G435" t="s">
        <v>7</v>
      </c>
      <c r="H435">
        <v>-1</v>
      </c>
      <c r="K435" t="s">
        <v>9</v>
      </c>
      <c r="L435" s="8">
        <f t="shared" si="46"/>
        <v>-1</v>
      </c>
      <c r="M435" t="s">
        <v>465</v>
      </c>
    </row>
    <row r="436" spans="1:13" x14ac:dyDescent="0.35">
      <c r="A436">
        <f t="shared" si="27"/>
        <v>432</v>
      </c>
      <c r="B436" s="9">
        <f t="shared" si="43"/>
        <v>25.890000000000004</v>
      </c>
      <c r="C436" s="3" t="s">
        <v>445</v>
      </c>
      <c r="D436">
        <f t="shared" si="42"/>
        <v>23</v>
      </c>
      <c r="E436">
        <f t="shared" si="44"/>
        <v>4</v>
      </c>
      <c r="F436">
        <f t="shared" si="45"/>
        <v>2023</v>
      </c>
      <c r="G436" t="s">
        <v>7</v>
      </c>
      <c r="H436">
        <v>-1</v>
      </c>
      <c r="K436" t="s">
        <v>9</v>
      </c>
      <c r="L436" s="8">
        <f t="shared" si="46"/>
        <v>-1</v>
      </c>
      <c r="M436" t="s">
        <v>466</v>
      </c>
    </row>
    <row r="437" spans="1:13" x14ac:dyDescent="0.35">
      <c r="A437">
        <f t="shared" si="27"/>
        <v>433</v>
      </c>
      <c r="B437" s="9">
        <f t="shared" si="43"/>
        <v>24.890000000000004</v>
      </c>
      <c r="C437" s="3" t="s">
        <v>445</v>
      </c>
      <c r="D437">
        <f t="shared" si="42"/>
        <v>23</v>
      </c>
      <c r="E437">
        <f t="shared" si="44"/>
        <v>4</v>
      </c>
      <c r="F437">
        <f t="shared" si="45"/>
        <v>2023</v>
      </c>
      <c r="G437" t="s">
        <v>7</v>
      </c>
      <c r="H437">
        <v>-1</v>
      </c>
      <c r="K437" t="s">
        <v>9</v>
      </c>
      <c r="L437" s="8">
        <f t="shared" si="46"/>
        <v>-1</v>
      </c>
      <c r="M437" t="s">
        <v>467</v>
      </c>
    </row>
    <row r="438" spans="1:13" x14ac:dyDescent="0.35">
      <c r="A438">
        <f t="shared" si="27"/>
        <v>434</v>
      </c>
      <c r="B438" s="9">
        <f t="shared" si="43"/>
        <v>23.890000000000004</v>
      </c>
      <c r="C438" s="3" t="s">
        <v>445</v>
      </c>
      <c r="D438">
        <f t="shared" si="42"/>
        <v>23</v>
      </c>
      <c r="E438">
        <f t="shared" si="44"/>
        <v>4</v>
      </c>
      <c r="F438">
        <f t="shared" si="45"/>
        <v>2023</v>
      </c>
      <c r="G438" t="s">
        <v>7</v>
      </c>
      <c r="H438">
        <v>-1</v>
      </c>
      <c r="K438" t="s">
        <v>9</v>
      </c>
      <c r="L438" s="8">
        <f t="shared" si="46"/>
        <v>-1</v>
      </c>
      <c r="M438" t="s">
        <v>468</v>
      </c>
    </row>
    <row r="439" spans="1:13" x14ac:dyDescent="0.35">
      <c r="A439">
        <f t="shared" si="27"/>
        <v>435</v>
      </c>
      <c r="B439" s="9">
        <f t="shared" si="43"/>
        <v>22.890000000000004</v>
      </c>
      <c r="C439" s="3" t="s">
        <v>445</v>
      </c>
      <c r="D439">
        <f t="shared" si="42"/>
        <v>23</v>
      </c>
      <c r="E439">
        <f t="shared" si="44"/>
        <v>4</v>
      </c>
      <c r="F439">
        <f t="shared" si="45"/>
        <v>2023</v>
      </c>
      <c r="G439" t="s">
        <v>7</v>
      </c>
      <c r="H439">
        <v>-1</v>
      </c>
      <c r="K439" t="s">
        <v>9</v>
      </c>
      <c r="L439" s="8">
        <f t="shared" si="46"/>
        <v>-1</v>
      </c>
      <c r="M439" t="s">
        <v>469</v>
      </c>
    </row>
    <row r="440" spans="1:13" x14ac:dyDescent="0.35">
      <c r="A440">
        <f t="shared" si="27"/>
        <v>436</v>
      </c>
      <c r="B440" s="9">
        <f t="shared" si="43"/>
        <v>23.890000000000004</v>
      </c>
      <c r="C440" s="3" t="s">
        <v>445</v>
      </c>
      <c r="D440">
        <f t="shared" si="42"/>
        <v>23</v>
      </c>
      <c r="E440">
        <f t="shared" si="44"/>
        <v>4</v>
      </c>
      <c r="F440">
        <f t="shared" si="45"/>
        <v>2023</v>
      </c>
      <c r="G440" t="s">
        <v>7</v>
      </c>
      <c r="H440">
        <v>-1</v>
      </c>
      <c r="I440">
        <v>2</v>
      </c>
      <c r="K440" t="s">
        <v>10</v>
      </c>
      <c r="L440" s="8">
        <f t="shared" si="46"/>
        <v>1</v>
      </c>
      <c r="M440" t="s">
        <v>470</v>
      </c>
    </row>
    <row r="441" spans="1:13" x14ac:dyDescent="0.35">
      <c r="A441">
        <f t="shared" si="27"/>
        <v>437</v>
      </c>
      <c r="B441" s="9">
        <f t="shared" si="43"/>
        <v>24.890000000000004</v>
      </c>
      <c r="C441" s="3" t="s">
        <v>445</v>
      </c>
      <c r="D441">
        <f t="shared" si="42"/>
        <v>23</v>
      </c>
      <c r="E441">
        <f t="shared" si="44"/>
        <v>4</v>
      </c>
      <c r="F441">
        <f t="shared" si="45"/>
        <v>2023</v>
      </c>
      <c r="G441" t="s">
        <v>7</v>
      </c>
      <c r="H441">
        <v>-1</v>
      </c>
      <c r="I441">
        <v>2</v>
      </c>
      <c r="K441" t="s">
        <v>10</v>
      </c>
      <c r="L441" s="8">
        <f t="shared" si="46"/>
        <v>1</v>
      </c>
      <c r="M441" t="s">
        <v>471</v>
      </c>
    </row>
    <row r="442" spans="1:13" x14ac:dyDescent="0.35">
      <c r="A442">
        <f t="shared" si="27"/>
        <v>438</v>
      </c>
      <c r="B442" s="9">
        <f t="shared" si="43"/>
        <v>23.890000000000004</v>
      </c>
      <c r="C442" s="3" t="s">
        <v>445</v>
      </c>
      <c r="D442">
        <f t="shared" si="42"/>
        <v>23</v>
      </c>
      <c r="E442">
        <f t="shared" si="44"/>
        <v>4</v>
      </c>
      <c r="F442">
        <f t="shared" si="45"/>
        <v>2023</v>
      </c>
      <c r="G442" t="s">
        <v>7</v>
      </c>
      <c r="H442">
        <v>-1</v>
      </c>
      <c r="K442" t="s">
        <v>9</v>
      </c>
      <c r="L442" s="8">
        <f t="shared" si="46"/>
        <v>-1</v>
      </c>
      <c r="M442" t="s">
        <v>472</v>
      </c>
    </row>
    <row r="443" spans="1:13" x14ac:dyDescent="0.35">
      <c r="A443">
        <f t="shared" si="27"/>
        <v>439</v>
      </c>
      <c r="B443" s="9">
        <f t="shared" si="43"/>
        <v>25.890000000000004</v>
      </c>
      <c r="C443" s="3" t="s">
        <v>445</v>
      </c>
      <c r="D443">
        <f t="shared" si="42"/>
        <v>23</v>
      </c>
      <c r="E443">
        <f t="shared" si="44"/>
        <v>4</v>
      </c>
      <c r="F443">
        <f t="shared" si="45"/>
        <v>2023</v>
      </c>
      <c r="G443" t="s">
        <v>7</v>
      </c>
      <c r="H443">
        <v>-1</v>
      </c>
      <c r="I443">
        <v>3</v>
      </c>
      <c r="K443" t="s">
        <v>10</v>
      </c>
      <c r="L443" s="8">
        <f t="shared" si="46"/>
        <v>2</v>
      </c>
      <c r="M443" t="s">
        <v>473</v>
      </c>
    </row>
    <row r="444" spans="1:13" x14ac:dyDescent="0.35">
      <c r="A444">
        <f t="shared" si="27"/>
        <v>440</v>
      </c>
      <c r="B444" s="9">
        <f t="shared" si="43"/>
        <v>24.890000000000004</v>
      </c>
      <c r="C444" s="3" t="s">
        <v>445</v>
      </c>
      <c r="D444">
        <f t="shared" si="42"/>
        <v>23</v>
      </c>
      <c r="E444">
        <f t="shared" si="44"/>
        <v>4</v>
      </c>
      <c r="F444">
        <f t="shared" si="45"/>
        <v>2023</v>
      </c>
      <c r="G444" t="s">
        <v>7</v>
      </c>
      <c r="H444">
        <v>-1</v>
      </c>
      <c r="K444" t="s">
        <v>9</v>
      </c>
      <c r="L444" s="8">
        <f t="shared" si="46"/>
        <v>-1</v>
      </c>
      <c r="M444" t="s">
        <v>474</v>
      </c>
    </row>
    <row r="445" spans="1:13" x14ac:dyDescent="0.35">
      <c r="A445">
        <f t="shared" si="27"/>
        <v>441</v>
      </c>
      <c r="B445" s="9">
        <f t="shared" si="43"/>
        <v>26.890000000000004</v>
      </c>
      <c r="C445" s="3" t="s">
        <v>445</v>
      </c>
      <c r="D445">
        <f t="shared" si="42"/>
        <v>23</v>
      </c>
      <c r="E445">
        <f t="shared" si="44"/>
        <v>4</v>
      </c>
      <c r="F445">
        <f t="shared" si="45"/>
        <v>2023</v>
      </c>
      <c r="G445" t="s">
        <v>7</v>
      </c>
      <c r="H445">
        <v>-1</v>
      </c>
      <c r="I445">
        <v>3</v>
      </c>
      <c r="K445" t="s">
        <v>10</v>
      </c>
      <c r="L445" s="8">
        <f t="shared" si="46"/>
        <v>2</v>
      </c>
      <c r="M445" t="s">
        <v>475</v>
      </c>
    </row>
    <row r="446" spans="1:13" x14ac:dyDescent="0.35">
      <c r="A446">
        <f t="shared" si="27"/>
        <v>442</v>
      </c>
      <c r="B446" s="9">
        <f t="shared" si="43"/>
        <v>27.890000000000004</v>
      </c>
      <c r="C446" s="3" t="s">
        <v>445</v>
      </c>
      <c r="D446">
        <f t="shared" si="42"/>
        <v>23</v>
      </c>
      <c r="E446">
        <f t="shared" si="44"/>
        <v>4</v>
      </c>
      <c r="F446">
        <f t="shared" si="45"/>
        <v>2023</v>
      </c>
      <c r="G446" t="s">
        <v>7</v>
      </c>
      <c r="H446">
        <v>-1</v>
      </c>
      <c r="I446">
        <v>2</v>
      </c>
      <c r="K446" t="s">
        <v>10</v>
      </c>
      <c r="L446" s="8">
        <f t="shared" si="46"/>
        <v>1</v>
      </c>
      <c r="M446" t="s">
        <v>476</v>
      </c>
    </row>
    <row r="447" spans="1:13" x14ac:dyDescent="0.35">
      <c r="A447">
        <f t="shared" si="27"/>
        <v>443</v>
      </c>
      <c r="B447" s="9">
        <f t="shared" si="43"/>
        <v>26.890000000000004</v>
      </c>
      <c r="C447" s="3" t="s">
        <v>445</v>
      </c>
      <c r="D447">
        <f t="shared" ref="D447:D467" si="47">_xlfn.NUMBERVALUE(LEFT(C447,2))</f>
        <v>23</v>
      </c>
      <c r="E447">
        <f t="shared" si="44"/>
        <v>4</v>
      </c>
      <c r="F447">
        <f t="shared" si="45"/>
        <v>2023</v>
      </c>
      <c r="G447" t="s">
        <v>7</v>
      </c>
      <c r="H447">
        <v>-1</v>
      </c>
      <c r="K447" t="s">
        <v>9</v>
      </c>
      <c r="L447" s="8">
        <f t="shared" si="46"/>
        <v>-1</v>
      </c>
      <c r="M447" t="s">
        <v>477</v>
      </c>
    </row>
    <row r="448" spans="1:13" x14ac:dyDescent="0.35">
      <c r="A448">
        <f t="shared" si="27"/>
        <v>444</v>
      </c>
      <c r="B448" s="9">
        <f t="shared" si="43"/>
        <v>25.890000000000004</v>
      </c>
      <c r="C448" s="3" t="s">
        <v>445</v>
      </c>
      <c r="D448">
        <f t="shared" si="47"/>
        <v>23</v>
      </c>
      <c r="E448">
        <f t="shared" si="44"/>
        <v>4</v>
      </c>
      <c r="F448">
        <f t="shared" si="45"/>
        <v>2023</v>
      </c>
      <c r="G448" t="s">
        <v>7</v>
      </c>
      <c r="H448">
        <v>-1</v>
      </c>
      <c r="K448" t="s">
        <v>9</v>
      </c>
      <c r="L448" s="8">
        <f t="shared" si="46"/>
        <v>-1</v>
      </c>
      <c r="M448" t="s">
        <v>478</v>
      </c>
    </row>
    <row r="449" spans="1:13" x14ac:dyDescent="0.35">
      <c r="A449">
        <f t="shared" si="27"/>
        <v>445</v>
      </c>
      <c r="B449" s="9">
        <f t="shared" si="43"/>
        <v>24.890000000000004</v>
      </c>
      <c r="C449" s="3" t="s">
        <v>445</v>
      </c>
      <c r="D449">
        <f t="shared" si="47"/>
        <v>23</v>
      </c>
      <c r="E449">
        <f t="shared" si="44"/>
        <v>4</v>
      </c>
      <c r="F449">
        <f t="shared" si="45"/>
        <v>2023</v>
      </c>
      <c r="G449" t="s">
        <v>7</v>
      </c>
      <c r="H449">
        <v>-1</v>
      </c>
      <c r="K449" t="s">
        <v>9</v>
      </c>
      <c r="L449" s="8">
        <f t="shared" si="46"/>
        <v>-1</v>
      </c>
      <c r="M449" t="s">
        <v>479</v>
      </c>
    </row>
    <row r="450" spans="1:13" x14ac:dyDescent="0.35">
      <c r="A450">
        <f t="shared" si="27"/>
        <v>446</v>
      </c>
      <c r="B450" s="9">
        <f t="shared" si="43"/>
        <v>23.890000000000004</v>
      </c>
      <c r="C450" s="3" t="s">
        <v>445</v>
      </c>
      <c r="D450">
        <f t="shared" si="47"/>
        <v>23</v>
      </c>
      <c r="E450">
        <f t="shared" si="44"/>
        <v>4</v>
      </c>
      <c r="F450">
        <f t="shared" si="45"/>
        <v>2023</v>
      </c>
      <c r="G450" t="s">
        <v>7</v>
      </c>
      <c r="H450">
        <v>-1</v>
      </c>
      <c r="K450" t="s">
        <v>9</v>
      </c>
      <c r="L450" s="8">
        <f t="shared" si="46"/>
        <v>-1</v>
      </c>
      <c r="M450" t="s">
        <v>480</v>
      </c>
    </row>
    <row r="451" spans="1:13" x14ac:dyDescent="0.35">
      <c r="A451">
        <f t="shared" si="27"/>
        <v>447</v>
      </c>
      <c r="B451" s="9">
        <f t="shared" si="43"/>
        <v>22.890000000000004</v>
      </c>
      <c r="C451" s="3" t="s">
        <v>445</v>
      </c>
      <c r="D451">
        <f t="shared" si="47"/>
        <v>23</v>
      </c>
      <c r="E451">
        <f t="shared" si="44"/>
        <v>4</v>
      </c>
      <c r="F451">
        <f t="shared" si="45"/>
        <v>2023</v>
      </c>
      <c r="G451" t="s">
        <v>7</v>
      </c>
      <c r="H451">
        <v>-1</v>
      </c>
      <c r="K451" t="s">
        <v>9</v>
      </c>
      <c r="L451" s="8">
        <f t="shared" si="46"/>
        <v>-1</v>
      </c>
      <c r="M451" t="s">
        <v>481</v>
      </c>
    </row>
    <row r="452" spans="1:13" x14ac:dyDescent="0.35">
      <c r="A452">
        <f t="shared" si="27"/>
        <v>448</v>
      </c>
      <c r="B452" s="9">
        <f t="shared" si="43"/>
        <v>21.890000000000004</v>
      </c>
      <c r="C452" s="3" t="s">
        <v>445</v>
      </c>
      <c r="D452">
        <f t="shared" si="47"/>
        <v>23</v>
      </c>
      <c r="E452">
        <f t="shared" si="44"/>
        <v>4</v>
      </c>
      <c r="F452">
        <f t="shared" si="45"/>
        <v>2023</v>
      </c>
      <c r="G452" t="s">
        <v>7</v>
      </c>
      <c r="H452">
        <v>-1</v>
      </c>
      <c r="K452" t="s">
        <v>9</v>
      </c>
      <c r="L452" s="8">
        <f t="shared" si="46"/>
        <v>-1</v>
      </c>
      <c r="M452" t="s">
        <v>482</v>
      </c>
    </row>
    <row r="453" spans="1:13" x14ac:dyDescent="0.35">
      <c r="A453">
        <f t="shared" ref="A453:A708" si="48">A452+1</f>
        <v>449</v>
      </c>
      <c r="B453" s="9">
        <f t="shared" si="43"/>
        <v>22.890000000000004</v>
      </c>
      <c r="C453" s="3" t="s">
        <v>445</v>
      </c>
      <c r="D453">
        <f t="shared" si="47"/>
        <v>23</v>
      </c>
      <c r="E453">
        <f t="shared" si="44"/>
        <v>4</v>
      </c>
      <c r="F453">
        <f t="shared" si="45"/>
        <v>2023</v>
      </c>
      <c r="G453" t="s">
        <v>7</v>
      </c>
      <c r="H453">
        <v>-1</v>
      </c>
      <c r="I453">
        <v>2</v>
      </c>
      <c r="K453" t="s">
        <v>10</v>
      </c>
      <c r="L453" s="8">
        <f t="shared" si="46"/>
        <v>1</v>
      </c>
      <c r="M453" t="s">
        <v>483</v>
      </c>
    </row>
    <row r="454" spans="1:13" x14ac:dyDescent="0.35">
      <c r="A454">
        <f t="shared" si="48"/>
        <v>450</v>
      </c>
      <c r="B454" s="9">
        <f t="shared" ref="B454:B521" si="49">B453+H454+I454+J454</f>
        <v>21.890000000000004</v>
      </c>
      <c r="C454" s="3" t="s">
        <v>445</v>
      </c>
      <c r="D454">
        <f t="shared" si="47"/>
        <v>23</v>
      </c>
      <c r="E454">
        <f t="shared" ref="E454:E517" si="50">_xlfn.NUMBERVALUE(MID(C454,4,2))</f>
        <v>4</v>
      </c>
      <c r="F454">
        <f t="shared" ref="F454:F517" si="51">_xlfn.NUMBERVALUE(RIGHT(C454,4))</f>
        <v>2023</v>
      </c>
      <c r="G454" t="s">
        <v>7</v>
      </c>
      <c r="H454">
        <v>-1</v>
      </c>
      <c r="K454" t="s">
        <v>9</v>
      </c>
      <c r="L454" s="8">
        <f t="shared" ref="L454:L517" si="52">IF(H454="",0,(SUM(I454:J454)/-H454)-1)</f>
        <v>-1</v>
      </c>
      <c r="M454" t="s">
        <v>484</v>
      </c>
    </row>
    <row r="455" spans="1:13" x14ac:dyDescent="0.35">
      <c r="A455">
        <f t="shared" si="48"/>
        <v>451</v>
      </c>
      <c r="B455" s="9">
        <f t="shared" si="49"/>
        <v>23.890000000000004</v>
      </c>
      <c r="C455" s="3" t="s">
        <v>445</v>
      </c>
      <c r="D455">
        <f t="shared" si="47"/>
        <v>23</v>
      </c>
      <c r="E455">
        <f t="shared" si="50"/>
        <v>4</v>
      </c>
      <c r="F455">
        <f t="shared" si="51"/>
        <v>2023</v>
      </c>
      <c r="G455" t="s">
        <v>7</v>
      </c>
      <c r="H455">
        <v>-1</v>
      </c>
      <c r="I455">
        <v>3</v>
      </c>
      <c r="K455" t="s">
        <v>10</v>
      </c>
      <c r="L455" s="8">
        <f t="shared" si="52"/>
        <v>2</v>
      </c>
      <c r="M455" t="s">
        <v>485</v>
      </c>
    </row>
    <row r="456" spans="1:13" x14ac:dyDescent="0.35">
      <c r="A456">
        <f t="shared" si="48"/>
        <v>452</v>
      </c>
      <c r="B456" s="9">
        <f t="shared" si="49"/>
        <v>22.890000000000004</v>
      </c>
      <c r="C456" s="3" t="s">
        <v>445</v>
      </c>
      <c r="D456">
        <f t="shared" si="47"/>
        <v>23</v>
      </c>
      <c r="E456">
        <f t="shared" si="50"/>
        <v>4</v>
      </c>
      <c r="F456">
        <f t="shared" si="51"/>
        <v>2023</v>
      </c>
      <c r="G456" t="s">
        <v>7</v>
      </c>
      <c r="H456">
        <v>-1</v>
      </c>
      <c r="K456" t="s">
        <v>9</v>
      </c>
      <c r="L456" s="8">
        <f t="shared" si="52"/>
        <v>-1</v>
      </c>
      <c r="M456" t="s">
        <v>486</v>
      </c>
    </row>
    <row r="457" spans="1:13" x14ac:dyDescent="0.35">
      <c r="A457">
        <f t="shared" si="48"/>
        <v>453</v>
      </c>
      <c r="B457" s="9">
        <f t="shared" si="49"/>
        <v>21.890000000000004</v>
      </c>
      <c r="C457" s="3" t="s">
        <v>445</v>
      </c>
      <c r="D457">
        <f t="shared" si="47"/>
        <v>23</v>
      </c>
      <c r="E457">
        <f t="shared" si="50"/>
        <v>4</v>
      </c>
      <c r="F457">
        <f t="shared" si="51"/>
        <v>2023</v>
      </c>
      <c r="G457" t="s">
        <v>7</v>
      </c>
      <c r="H457">
        <v>-1</v>
      </c>
      <c r="K457" t="s">
        <v>9</v>
      </c>
      <c r="L457" s="8">
        <f t="shared" si="52"/>
        <v>-1</v>
      </c>
      <c r="M457" t="s">
        <v>487</v>
      </c>
    </row>
    <row r="458" spans="1:13" x14ac:dyDescent="0.35">
      <c r="A458">
        <f t="shared" si="48"/>
        <v>454</v>
      </c>
      <c r="B458" s="9">
        <f t="shared" si="49"/>
        <v>20.890000000000004</v>
      </c>
      <c r="C458" s="3" t="s">
        <v>445</v>
      </c>
      <c r="D458">
        <f t="shared" si="47"/>
        <v>23</v>
      </c>
      <c r="E458">
        <f t="shared" si="50"/>
        <v>4</v>
      </c>
      <c r="F458">
        <f t="shared" si="51"/>
        <v>2023</v>
      </c>
      <c r="G458" t="s">
        <v>7</v>
      </c>
      <c r="H458">
        <v>-1</v>
      </c>
      <c r="K458" t="s">
        <v>9</v>
      </c>
      <c r="L458" s="8">
        <f t="shared" si="52"/>
        <v>-1</v>
      </c>
      <c r="M458" t="s">
        <v>488</v>
      </c>
    </row>
    <row r="459" spans="1:13" x14ac:dyDescent="0.35">
      <c r="A459">
        <f t="shared" si="48"/>
        <v>455</v>
      </c>
      <c r="B459" s="9">
        <f t="shared" si="49"/>
        <v>21.890000000000004</v>
      </c>
      <c r="C459" s="3" t="s">
        <v>445</v>
      </c>
      <c r="D459">
        <f t="shared" si="47"/>
        <v>23</v>
      </c>
      <c r="E459">
        <f t="shared" si="50"/>
        <v>4</v>
      </c>
      <c r="F459">
        <f t="shared" si="51"/>
        <v>2023</v>
      </c>
      <c r="G459" t="s">
        <v>7</v>
      </c>
      <c r="H459">
        <v>-1</v>
      </c>
      <c r="I459">
        <v>2</v>
      </c>
      <c r="K459" t="s">
        <v>10</v>
      </c>
      <c r="L459" s="8">
        <f t="shared" si="52"/>
        <v>1</v>
      </c>
      <c r="M459" t="s">
        <v>489</v>
      </c>
    </row>
    <row r="460" spans="1:13" x14ac:dyDescent="0.35">
      <c r="A460">
        <f t="shared" si="48"/>
        <v>456</v>
      </c>
      <c r="B460" s="9">
        <f t="shared" si="49"/>
        <v>20.890000000000004</v>
      </c>
      <c r="C460" s="3" t="s">
        <v>445</v>
      </c>
      <c r="D460">
        <f t="shared" si="47"/>
        <v>23</v>
      </c>
      <c r="E460">
        <f t="shared" si="50"/>
        <v>4</v>
      </c>
      <c r="F460">
        <f t="shared" si="51"/>
        <v>2023</v>
      </c>
      <c r="G460" t="s">
        <v>7</v>
      </c>
      <c r="H460">
        <v>-1</v>
      </c>
      <c r="K460" t="s">
        <v>9</v>
      </c>
      <c r="L460" s="8">
        <f t="shared" si="52"/>
        <v>-1</v>
      </c>
      <c r="M460" t="s">
        <v>490</v>
      </c>
    </row>
    <row r="461" spans="1:13" x14ac:dyDescent="0.35">
      <c r="A461">
        <f t="shared" si="48"/>
        <v>457</v>
      </c>
      <c r="B461" s="9">
        <f t="shared" si="49"/>
        <v>19.890000000000004</v>
      </c>
      <c r="C461" s="3" t="s">
        <v>445</v>
      </c>
      <c r="D461">
        <f t="shared" si="47"/>
        <v>23</v>
      </c>
      <c r="E461">
        <f t="shared" si="50"/>
        <v>4</v>
      </c>
      <c r="F461">
        <f t="shared" si="51"/>
        <v>2023</v>
      </c>
      <c r="G461" t="s">
        <v>7</v>
      </c>
      <c r="H461">
        <v>-1</v>
      </c>
      <c r="K461" t="s">
        <v>9</v>
      </c>
      <c r="L461" s="8">
        <f t="shared" si="52"/>
        <v>-1</v>
      </c>
      <c r="M461" t="s">
        <v>491</v>
      </c>
    </row>
    <row r="462" spans="1:13" x14ac:dyDescent="0.35">
      <c r="A462">
        <f t="shared" si="48"/>
        <v>458</v>
      </c>
      <c r="B462" s="9">
        <f t="shared" si="49"/>
        <v>18.890000000000004</v>
      </c>
      <c r="C462" s="3" t="s">
        <v>445</v>
      </c>
      <c r="D462">
        <f t="shared" si="47"/>
        <v>23</v>
      </c>
      <c r="E462">
        <f t="shared" si="50"/>
        <v>4</v>
      </c>
      <c r="F462">
        <f t="shared" si="51"/>
        <v>2023</v>
      </c>
      <c r="G462" t="s">
        <v>7</v>
      </c>
      <c r="H462">
        <v>-1</v>
      </c>
      <c r="K462" t="s">
        <v>9</v>
      </c>
      <c r="L462" s="8">
        <f t="shared" si="52"/>
        <v>-1</v>
      </c>
      <c r="M462" t="s">
        <v>492</v>
      </c>
    </row>
    <row r="463" spans="1:13" x14ac:dyDescent="0.35">
      <c r="A463">
        <f t="shared" si="48"/>
        <v>459</v>
      </c>
      <c r="B463" s="9">
        <f t="shared" si="49"/>
        <v>17.890000000000004</v>
      </c>
      <c r="C463" s="3" t="s">
        <v>445</v>
      </c>
      <c r="D463">
        <f t="shared" si="47"/>
        <v>23</v>
      </c>
      <c r="E463">
        <f t="shared" si="50"/>
        <v>4</v>
      </c>
      <c r="F463">
        <f t="shared" si="51"/>
        <v>2023</v>
      </c>
      <c r="G463" t="s">
        <v>7</v>
      </c>
      <c r="H463">
        <v>-1</v>
      </c>
      <c r="K463" t="s">
        <v>9</v>
      </c>
      <c r="L463" s="8">
        <f t="shared" si="52"/>
        <v>-1</v>
      </c>
      <c r="M463" t="s">
        <v>493</v>
      </c>
    </row>
    <row r="464" spans="1:13" x14ac:dyDescent="0.35">
      <c r="A464">
        <f t="shared" si="48"/>
        <v>460</v>
      </c>
      <c r="B464" s="9">
        <f t="shared" si="49"/>
        <v>16.890000000000004</v>
      </c>
      <c r="C464" s="3" t="s">
        <v>445</v>
      </c>
      <c r="D464">
        <f t="shared" si="47"/>
        <v>23</v>
      </c>
      <c r="E464">
        <f t="shared" si="50"/>
        <v>4</v>
      </c>
      <c r="F464">
        <f t="shared" si="51"/>
        <v>2023</v>
      </c>
      <c r="G464" t="s">
        <v>7</v>
      </c>
      <c r="H464">
        <v>-1</v>
      </c>
      <c r="K464" t="s">
        <v>9</v>
      </c>
      <c r="L464" s="8">
        <f t="shared" si="52"/>
        <v>-1</v>
      </c>
      <c r="M464" t="s">
        <v>494</v>
      </c>
    </row>
    <row r="465" spans="1:13" x14ac:dyDescent="0.35">
      <c r="A465">
        <f t="shared" si="48"/>
        <v>461</v>
      </c>
      <c r="B465" s="9">
        <f t="shared" si="49"/>
        <v>15.890000000000004</v>
      </c>
      <c r="C465" s="3" t="s">
        <v>445</v>
      </c>
      <c r="D465">
        <f t="shared" si="47"/>
        <v>23</v>
      </c>
      <c r="E465">
        <f t="shared" si="50"/>
        <v>4</v>
      </c>
      <c r="F465">
        <f t="shared" si="51"/>
        <v>2023</v>
      </c>
      <c r="G465" t="s">
        <v>7</v>
      </c>
      <c r="H465">
        <v>-1</v>
      </c>
      <c r="K465" t="s">
        <v>9</v>
      </c>
      <c r="L465" s="8">
        <f t="shared" si="52"/>
        <v>-1</v>
      </c>
      <c r="M465" t="s">
        <v>495</v>
      </c>
    </row>
    <row r="466" spans="1:13" x14ac:dyDescent="0.35">
      <c r="A466">
        <f t="shared" si="48"/>
        <v>462</v>
      </c>
      <c r="B466" s="9">
        <f t="shared" si="49"/>
        <v>5.8900000000000041</v>
      </c>
      <c r="C466" s="3" t="s">
        <v>445</v>
      </c>
      <c r="D466">
        <f t="shared" si="47"/>
        <v>23</v>
      </c>
      <c r="E466">
        <f t="shared" si="50"/>
        <v>4</v>
      </c>
      <c r="F466">
        <f t="shared" si="51"/>
        <v>2023</v>
      </c>
      <c r="G466" t="s">
        <v>7</v>
      </c>
      <c r="H466">
        <v>-10</v>
      </c>
      <c r="K466" t="s">
        <v>9</v>
      </c>
      <c r="L466" s="8">
        <f t="shared" si="52"/>
        <v>-1</v>
      </c>
      <c r="M466" t="s">
        <v>496</v>
      </c>
    </row>
    <row r="467" spans="1:13" x14ac:dyDescent="0.35">
      <c r="A467">
        <f t="shared" si="48"/>
        <v>463</v>
      </c>
      <c r="B467" s="9">
        <f t="shared" si="49"/>
        <v>0.89000000000000412</v>
      </c>
      <c r="C467" s="3" t="s">
        <v>445</v>
      </c>
      <c r="D467">
        <f t="shared" si="47"/>
        <v>23</v>
      </c>
      <c r="E467">
        <f t="shared" si="50"/>
        <v>4</v>
      </c>
      <c r="F467">
        <f t="shared" si="51"/>
        <v>2023</v>
      </c>
      <c r="G467" t="s">
        <v>7</v>
      </c>
      <c r="H467">
        <v>-5</v>
      </c>
      <c r="K467" t="s">
        <v>9</v>
      </c>
      <c r="L467" s="8">
        <f t="shared" si="52"/>
        <v>-1</v>
      </c>
      <c r="M467" t="s">
        <v>497</v>
      </c>
    </row>
    <row r="468" spans="1:13" x14ac:dyDescent="0.35">
      <c r="A468">
        <v>464</v>
      </c>
      <c r="B468" s="9">
        <f t="shared" si="49"/>
        <v>112.93</v>
      </c>
      <c r="C468" s="3" t="s">
        <v>445</v>
      </c>
      <c r="D468">
        <f>_xlfn.NUMBERVALUE(LEFT(C468,2))</f>
        <v>23</v>
      </c>
      <c r="E468">
        <f t="shared" si="50"/>
        <v>4</v>
      </c>
      <c r="F468">
        <f t="shared" si="51"/>
        <v>2023</v>
      </c>
      <c r="G468" t="s">
        <v>3362</v>
      </c>
      <c r="I468">
        <v>112.04</v>
      </c>
      <c r="L468" s="8"/>
    </row>
    <row r="469" spans="1:13" x14ac:dyDescent="0.35">
      <c r="A469">
        <f t="shared" si="48"/>
        <v>465</v>
      </c>
      <c r="B469" s="9">
        <f t="shared" si="49"/>
        <v>132.93</v>
      </c>
      <c r="C469" s="3" t="s">
        <v>445</v>
      </c>
      <c r="D469">
        <f t="shared" ref="D469:D520" si="53">_xlfn.NUMBERVALUE(LEFT(C469,2))</f>
        <v>23</v>
      </c>
      <c r="E469">
        <f t="shared" si="50"/>
        <v>4</v>
      </c>
      <c r="F469">
        <f t="shared" si="51"/>
        <v>2023</v>
      </c>
      <c r="G469" t="s">
        <v>7</v>
      </c>
      <c r="H469">
        <v>-10</v>
      </c>
      <c r="I469">
        <v>30</v>
      </c>
      <c r="K469" t="s">
        <v>10</v>
      </c>
      <c r="L469" s="8">
        <f t="shared" si="52"/>
        <v>2</v>
      </c>
      <c r="M469" t="s">
        <v>498</v>
      </c>
    </row>
    <row r="470" spans="1:13" x14ac:dyDescent="0.35">
      <c r="A470">
        <f t="shared" si="48"/>
        <v>466</v>
      </c>
      <c r="B470" s="9">
        <f t="shared" si="49"/>
        <v>134.93</v>
      </c>
      <c r="C470" s="3" t="s">
        <v>499</v>
      </c>
      <c r="D470">
        <f t="shared" si="53"/>
        <v>24</v>
      </c>
      <c r="E470">
        <f t="shared" si="50"/>
        <v>4</v>
      </c>
      <c r="F470">
        <f t="shared" si="51"/>
        <v>2023</v>
      </c>
      <c r="G470" t="s">
        <v>7</v>
      </c>
      <c r="H470">
        <v>-1</v>
      </c>
      <c r="I470">
        <v>3</v>
      </c>
      <c r="K470" t="s">
        <v>10</v>
      </c>
      <c r="L470" s="8">
        <f t="shared" si="52"/>
        <v>2</v>
      </c>
      <c r="M470" t="s">
        <v>500</v>
      </c>
    </row>
    <row r="471" spans="1:13" x14ac:dyDescent="0.35">
      <c r="A471">
        <f t="shared" si="48"/>
        <v>467</v>
      </c>
      <c r="B471" s="9">
        <f t="shared" si="49"/>
        <v>133.93</v>
      </c>
      <c r="C471" s="3" t="s">
        <v>499</v>
      </c>
      <c r="D471">
        <f t="shared" si="53"/>
        <v>24</v>
      </c>
      <c r="E471">
        <f t="shared" si="50"/>
        <v>4</v>
      </c>
      <c r="F471">
        <f t="shared" si="51"/>
        <v>2023</v>
      </c>
      <c r="G471" t="s">
        <v>7</v>
      </c>
      <c r="H471">
        <v>-1</v>
      </c>
      <c r="K471" t="s">
        <v>9</v>
      </c>
      <c r="L471" s="8">
        <f t="shared" si="52"/>
        <v>-1</v>
      </c>
      <c r="M471" t="s">
        <v>501</v>
      </c>
    </row>
    <row r="472" spans="1:13" x14ac:dyDescent="0.35">
      <c r="A472">
        <f t="shared" si="48"/>
        <v>468</v>
      </c>
      <c r="B472" s="9">
        <f t="shared" si="49"/>
        <v>132.93</v>
      </c>
      <c r="C472" s="3" t="s">
        <v>499</v>
      </c>
      <c r="D472">
        <f t="shared" si="53"/>
        <v>24</v>
      </c>
      <c r="E472">
        <f t="shared" si="50"/>
        <v>4</v>
      </c>
      <c r="F472">
        <f t="shared" si="51"/>
        <v>2023</v>
      </c>
      <c r="G472" t="s">
        <v>7</v>
      </c>
      <c r="H472">
        <v>-1</v>
      </c>
      <c r="K472" t="s">
        <v>9</v>
      </c>
      <c r="L472" s="8">
        <f t="shared" si="52"/>
        <v>-1</v>
      </c>
      <c r="M472" t="s">
        <v>502</v>
      </c>
    </row>
    <row r="473" spans="1:13" x14ac:dyDescent="0.35">
      <c r="A473">
        <f t="shared" si="48"/>
        <v>469</v>
      </c>
      <c r="B473" s="9">
        <f t="shared" si="49"/>
        <v>133.93</v>
      </c>
      <c r="C473" s="3" t="s">
        <v>499</v>
      </c>
      <c r="D473">
        <f t="shared" si="53"/>
        <v>24</v>
      </c>
      <c r="E473">
        <f t="shared" si="50"/>
        <v>4</v>
      </c>
      <c r="F473">
        <f t="shared" si="51"/>
        <v>2023</v>
      </c>
      <c r="G473" t="s">
        <v>7</v>
      </c>
      <c r="H473">
        <v>-1</v>
      </c>
      <c r="I473">
        <v>2</v>
      </c>
      <c r="K473" t="s">
        <v>10</v>
      </c>
      <c r="L473" s="8">
        <f t="shared" si="52"/>
        <v>1</v>
      </c>
      <c r="M473" t="s">
        <v>503</v>
      </c>
    </row>
    <row r="474" spans="1:13" x14ac:dyDescent="0.35">
      <c r="A474">
        <f t="shared" si="48"/>
        <v>470</v>
      </c>
      <c r="B474" s="9">
        <f t="shared" si="49"/>
        <v>132.93</v>
      </c>
      <c r="C474" s="3" t="s">
        <v>499</v>
      </c>
      <c r="D474">
        <f t="shared" si="53"/>
        <v>24</v>
      </c>
      <c r="E474">
        <f t="shared" si="50"/>
        <v>4</v>
      </c>
      <c r="F474">
        <f t="shared" si="51"/>
        <v>2023</v>
      </c>
      <c r="G474" t="s">
        <v>7</v>
      </c>
      <c r="H474">
        <v>-1</v>
      </c>
      <c r="K474" t="s">
        <v>9</v>
      </c>
      <c r="L474" s="8">
        <f t="shared" si="52"/>
        <v>-1</v>
      </c>
      <c r="M474" t="s">
        <v>504</v>
      </c>
    </row>
    <row r="475" spans="1:13" x14ac:dyDescent="0.35">
      <c r="A475">
        <f t="shared" si="48"/>
        <v>471</v>
      </c>
      <c r="B475" s="9">
        <f t="shared" si="49"/>
        <v>131.93</v>
      </c>
      <c r="C475" s="3" t="s">
        <v>499</v>
      </c>
      <c r="D475">
        <f t="shared" si="53"/>
        <v>24</v>
      </c>
      <c r="E475">
        <f t="shared" si="50"/>
        <v>4</v>
      </c>
      <c r="F475">
        <f t="shared" si="51"/>
        <v>2023</v>
      </c>
      <c r="G475" t="s">
        <v>7</v>
      </c>
      <c r="H475">
        <v>-1</v>
      </c>
      <c r="K475" t="s">
        <v>9</v>
      </c>
      <c r="L475" s="8">
        <f t="shared" si="52"/>
        <v>-1</v>
      </c>
      <c r="M475" t="s">
        <v>505</v>
      </c>
    </row>
    <row r="476" spans="1:13" x14ac:dyDescent="0.35">
      <c r="A476">
        <f t="shared" si="48"/>
        <v>472</v>
      </c>
      <c r="B476" s="9">
        <f t="shared" si="49"/>
        <v>130.93</v>
      </c>
      <c r="C476" s="3" t="s">
        <v>499</v>
      </c>
      <c r="D476">
        <f t="shared" si="53"/>
        <v>24</v>
      </c>
      <c r="E476">
        <f t="shared" si="50"/>
        <v>4</v>
      </c>
      <c r="F476">
        <f t="shared" si="51"/>
        <v>2023</v>
      </c>
      <c r="G476" t="s">
        <v>7</v>
      </c>
      <c r="H476">
        <v>-1</v>
      </c>
      <c r="K476" t="s">
        <v>9</v>
      </c>
      <c r="L476" s="8">
        <f t="shared" si="52"/>
        <v>-1</v>
      </c>
      <c r="M476" t="s">
        <v>506</v>
      </c>
    </row>
    <row r="477" spans="1:13" x14ac:dyDescent="0.35">
      <c r="A477">
        <f t="shared" si="48"/>
        <v>473</v>
      </c>
      <c r="B477" s="9">
        <f t="shared" si="49"/>
        <v>129.93</v>
      </c>
      <c r="C477" s="3" t="s">
        <v>499</v>
      </c>
      <c r="D477">
        <f t="shared" si="53"/>
        <v>24</v>
      </c>
      <c r="E477">
        <f t="shared" si="50"/>
        <v>4</v>
      </c>
      <c r="F477">
        <f t="shared" si="51"/>
        <v>2023</v>
      </c>
      <c r="G477" t="s">
        <v>7</v>
      </c>
      <c r="H477">
        <v>-1</v>
      </c>
      <c r="K477" t="s">
        <v>9</v>
      </c>
      <c r="L477" s="8">
        <f t="shared" si="52"/>
        <v>-1</v>
      </c>
      <c r="M477" t="s">
        <v>507</v>
      </c>
    </row>
    <row r="478" spans="1:13" x14ac:dyDescent="0.35">
      <c r="A478">
        <f t="shared" si="48"/>
        <v>474</v>
      </c>
      <c r="B478" s="9">
        <f t="shared" si="49"/>
        <v>131.93</v>
      </c>
      <c r="C478" s="3" t="s">
        <v>499</v>
      </c>
      <c r="D478">
        <f t="shared" si="53"/>
        <v>24</v>
      </c>
      <c r="E478">
        <f t="shared" si="50"/>
        <v>4</v>
      </c>
      <c r="F478">
        <f t="shared" si="51"/>
        <v>2023</v>
      </c>
      <c r="G478" t="s">
        <v>7</v>
      </c>
      <c r="H478">
        <v>-1</v>
      </c>
      <c r="I478">
        <v>3</v>
      </c>
      <c r="K478" t="s">
        <v>10</v>
      </c>
      <c r="L478" s="8">
        <f t="shared" si="52"/>
        <v>2</v>
      </c>
      <c r="M478" t="s">
        <v>508</v>
      </c>
    </row>
    <row r="479" spans="1:13" x14ac:dyDescent="0.35">
      <c r="A479">
        <f t="shared" si="48"/>
        <v>475</v>
      </c>
      <c r="B479" s="9">
        <f t="shared" si="49"/>
        <v>135.93</v>
      </c>
      <c r="C479" s="3" t="s">
        <v>499</v>
      </c>
      <c r="D479">
        <f t="shared" si="53"/>
        <v>24</v>
      </c>
      <c r="E479">
        <f t="shared" si="50"/>
        <v>4</v>
      </c>
      <c r="F479">
        <f t="shared" si="51"/>
        <v>2023</v>
      </c>
      <c r="G479" t="s">
        <v>7</v>
      </c>
      <c r="H479">
        <v>-1</v>
      </c>
      <c r="I479">
        <v>5</v>
      </c>
      <c r="K479" t="s">
        <v>10</v>
      </c>
      <c r="L479" s="8">
        <f t="shared" si="52"/>
        <v>4</v>
      </c>
      <c r="M479" t="s">
        <v>509</v>
      </c>
    </row>
    <row r="480" spans="1:13" x14ac:dyDescent="0.35">
      <c r="A480">
        <f t="shared" si="48"/>
        <v>476</v>
      </c>
      <c r="B480" s="9">
        <f t="shared" si="49"/>
        <v>134.93</v>
      </c>
      <c r="C480" s="3" t="s">
        <v>499</v>
      </c>
      <c r="D480">
        <f t="shared" si="53"/>
        <v>24</v>
      </c>
      <c r="E480">
        <f t="shared" si="50"/>
        <v>4</v>
      </c>
      <c r="F480">
        <f t="shared" si="51"/>
        <v>2023</v>
      </c>
      <c r="G480" t="s">
        <v>7</v>
      </c>
      <c r="H480">
        <v>-1</v>
      </c>
      <c r="K480" t="s">
        <v>9</v>
      </c>
      <c r="L480" s="8">
        <f t="shared" si="52"/>
        <v>-1</v>
      </c>
      <c r="M480" t="s">
        <v>510</v>
      </c>
    </row>
    <row r="481" spans="1:13" x14ac:dyDescent="0.35">
      <c r="A481">
        <f t="shared" si="48"/>
        <v>477</v>
      </c>
      <c r="B481" s="9">
        <f t="shared" si="49"/>
        <v>135.93</v>
      </c>
      <c r="C481" s="3" t="s">
        <v>499</v>
      </c>
      <c r="D481">
        <f t="shared" si="53"/>
        <v>24</v>
      </c>
      <c r="E481">
        <f t="shared" si="50"/>
        <v>4</v>
      </c>
      <c r="F481">
        <f t="shared" si="51"/>
        <v>2023</v>
      </c>
      <c r="G481" t="s">
        <v>7</v>
      </c>
      <c r="H481">
        <v>-1</v>
      </c>
      <c r="I481">
        <v>2</v>
      </c>
      <c r="K481" t="s">
        <v>10</v>
      </c>
      <c r="L481" s="8">
        <f t="shared" si="52"/>
        <v>1</v>
      </c>
      <c r="M481" t="s">
        <v>511</v>
      </c>
    </row>
    <row r="482" spans="1:13" x14ac:dyDescent="0.35">
      <c r="A482">
        <f t="shared" si="48"/>
        <v>478</v>
      </c>
      <c r="B482" s="9">
        <f t="shared" si="49"/>
        <v>136.93</v>
      </c>
      <c r="C482" s="3" t="s">
        <v>512</v>
      </c>
      <c r="D482">
        <f t="shared" si="53"/>
        <v>28</v>
      </c>
      <c r="E482">
        <f t="shared" si="50"/>
        <v>4</v>
      </c>
      <c r="F482">
        <f t="shared" si="51"/>
        <v>2023</v>
      </c>
      <c r="G482" t="s">
        <v>7</v>
      </c>
      <c r="H482">
        <v>-1</v>
      </c>
      <c r="I482">
        <v>2</v>
      </c>
      <c r="K482" t="s">
        <v>10</v>
      </c>
      <c r="L482" s="8">
        <f t="shared" si="52"/>
        <v>1</v>
      </c>
      <c r="M482" t="s">
        <v>513</v>
      </c>
    </row>
    <row r="483" spans="1:13" x14ac:dyDescent="0.35">
      <c r="A483">
        <f t="shared" si="48"/>
        <v>479</v>
      </c>
      <c r="B483" s="9">
        <f t="shared" si="49"/>
        <v>140.93</v>
      </c>
      <c r="C483" s="3" t="s">
        <v>512</v>
      </c>
      <c r="D483">
        <f t="shared" si="53"/>
        <v>28</v>
      </c>
      <c r="E483">
        <f t="shared" si="50"/>
        <v>4</v>
      </c>
      <c r="F483">
        <f t="shared" si="51"/>
        <v>2023</v>
      </c>
      <c r="G483" t="s">
        <v>7</v>
      </c>
      <c r="H483">
        <v>-1</v>
      </c>
      <c r="I483">
        <v>5</v>
      </c>
      <c r="K483" t="s">
        <v>10</v>
      </c>
      <c r="L483" s="8">
        <f t="shared" si="52"/>
        <v>4</v>
      </c>
      <c r="M483" t="s">
        <v>514</v>
      </c>
    </row>
    <row r="484" spans="1:13" x14ac:dyDescent="0.35">
      <c r="A484">
        <f t="shared" si="48"/>
        <v>480</v>
      </c>
      <c r="B484" s="9">
        <f t="shared" si="49"/>
        <v>140.9</v>
      </c>
      <c r="C484" s="3" t="s">
        <v>512</v>
      </c>
      <c r="D484">
        <f t="shared" si="53"/>
        <v>28</v>
      </c>
      <c r="E484">
        <f t="shared" si="50"/>
        <v>4</v>
      </c>
      <c r="F484">
        <f t="shared" si="51"/>
        <v>2023</v>
      </c>
      <c r="G484" t="s">
        <v>515</v>
      </c>
      <c r="H484">
        <v>-0.03</v>
      </c>
      <c r="L484" s="8"/>
    </row>
    <row r="485" spans="1:13" x14ac:dyDescent="0.35">
      <c r="A485">
        <f t="shared" si="48"/>
        <v>481</v>
      </c>
      <c r="B485" s="9">
        <f t="shared" si="49"/>
        <v>139.9</v>
      </c>
      <c r="C485" s="3" t="s">
        <v>512</v>
      </c>
      <c r="D485">
        <f t="shared" si="53"/>
        <v>28</v>
      </c>
      <c r="E485">
        <f t="shared" si="50"/>
        <v>4</v>
      </c>
      <c r="F485">
        <f t="shared" si="51"/>
        <v>2023</v>
      </c>
      <c r="G485" t="s">
        <v>7</v>
      </c>
      <c r="H485">
        <v>-1</v>
      </c>
      <c r="K485" t="s">
        <v>9</v>
      </c>
      <c r="L485" s="8">
        <f t="shared" si="52"/>
        <v>-1</v>
      </c>
      <c r="M485" t="s">
        <v>516</v>
      </c>
    </row>
    <row r="486" spans="1:13" x14ac:dyDescent="0.35">
      <c r="A486">
        <f t="shared" si="48"/>
        <v>482</v>
      </c>
      <c r="B486" s="9">
        <f t="shared" si="49"/>
        <v>138.9</v>
      </c>
      <c r="C486" s="3" t="s">
        <v>512</v>
      </c>
      <c r="D486">
        <f t="shared" si="53"/>
        <v>28</v>
      </c>
      <c r="E486">
        <f t="shared" si="50"/>
        <v>4</v>
      </c>
      <c r="F486">
        <f t="shared" si="51"/>
        <v>2023</v>
      </c>
      <c r="G486" t="s">
        <v>7</v>
      </c>
      <c r="H486">
        <v>-1</v>
      </c>
      <c r="K486" t="s">
        <v>9</v>
      </c>
      <c r="L486" s="8">
        <f t="shared" si="52"/>
        <v>-1</v>
      </c>
      <c r="M486" t="s">
        <v>517</v>
      </c>
    </row>
    <row r="487" spans="1:13" x14ac:dyDescent="0.35">
      <c r="A487">
        <f t="shared" si="48"/>
        <v>483</v>
      </c>
      <c r="B487" s="9">
        <f t="shared" si="49"/>
        <v>137.9</v>
      </c>
      <c r="C487" s="3" t="s">
        <v>512</v>
      </c>
      <c r="D487">
        <f t="shared" si="53"/>
        <v>28</v>
      </c>
      <c r="E487">
        <f t="shared" si="50"/>
        <v>4</v>
      </c>
      <c r="F487">
        <f t="shared" si="51"/>
        <v>2023</v>
      </c>
      <c r="G487" t="s">
        <v>7</v>
      </c>
      <c r="H487">
        <v>-1</v>
      </c>
      <c r="K487" t="s">
        <v>9</v>
      </c>
      <c r="L487" s="8">
        <f t="shared" si="52"/>
        <v>-1</v>
      </c>
      <c r="M487" t="s">
        <v>518</v>
      </c>
    </row>
    <row r="488" spans="1:13" x14ac:dyDescent="0.35">
      <c r="A488">
        <f t="shared" si="48"/>
        <v>484</v>
      </c>
      <c r="B488" s="9">
        <f t="shared" si="49"/>
        <v>136.9</v>
      </c>
      <c r="C488" s="3" t="s">
        <v>512</v>
      </c>
      <c r="D488">
        <f t="shared" si="53"/>
        <v>28</v>
      </c>
      <c r="E488">
        <f t="shared" si="50"/>
        <v>4</v>
      </c>
      <c r="F488">
        <f t="shared" si="51"/>
        <v>2023</v>
      </c>
      <c r="G488" t="s">
        <v>7</v>
      </c>
      <c r="H488">
        <v>-1</v>
      </c>
      <c r="K488" t="s">
        <v>9</v>
      </c>
      <c r="L488" s="8">
        <f t="shared" si="52"/>
        <v>-1</v>
      </c>
      <c r="M488" t="s">
        <v>519</v>
      </c>
    </row>
    <row r="489" spans="1:13" x14ac:dyDescent="0.35">
      <c r="A489">
        <f t="shared" si="48"/>
        <v>485</v>
      </c>
      <c r="B489" s="9">
        <f t="shared" si="49"/>
        <v>135.9</v>
      </c>
      <c r="C489" s="3" t="s">
        <v>520</v>
      </c>
      <c r="D489">
        <f t="shared" si="53"/>
        <v>29</v>
      </c>
      <c r="E489">
        <f t="shared" si="50"/>
        <v>4</v>
      </c>
      <c r="F489">
        <f t="shared" si="51"/>
        <v>2023</v>
      </c>
      <c r="G489" t="s">
        <v>7</v>
      </c>
      <c r="H489">
        <v>-1</v>
      </c>
      <c r="K489" t="s">
        <v>9</v>
      </c>
      <c r="L489" s="8">
        <f t="shared" si="52"/>
        <v>-1</v>
      </c>
      <c r="M489" t="s">
        <v>521</v>
      </c>
    </row>
    <row r="490" spans="1:13" x14ac:dyDescent="0.35">
      <c r="A490">
        <f t="shared" si="48"/>
        <v>486</v>
      </c>
      <c r="B490" s="9">
        <f t="shared" si="49"/>
        <v>134.9</v>
      </c>
      <c r="C490" s="3" t="s">
        <v>520</v>
      </c>
      <c r="D490">
        <f t="shared" si="53"/>
        <v>29</v>
      </c>
      <c r="E490">
        <f t="shared" si="50"/>
        <v>4</v>
      </c>
      <c r="F490">
        <f t="shared" si="51"/>
        <v>2023</v>
      </c>
      <c r="G490" t="s">
        <v>7</v>
      </c>
      <c r="H490">
        <v>-1</v>
      </c>
      <c r="K490" t="s">
        <v>9</v>
      </c>
      <c r="L490" s="8">
        <f t="shared" si="52"/>
        <v>-1</v>
      </c>
      <c r="M490" t="s">
        <v>522</v>
      </c>
    </row>
    <row r="491" spans="1:13" x14ac:dyDescent="0.35">
      <c r="A491">
        <f t="shared" si="48"/>
        <v>487</v>
      </c>
      <c r="B491" s="9">
        <f t="shared" si="49"/>
        <v>133.9</v>
      </c>
      <c r="C491" s="3" t="s">
        <v>520</v>
      </c>
      <c r="D491">
        <f t="shared" si="53"/>
        <v>29</v>
      </c>
      <c r="E491">
        <f t="shared" si="50"/>
        <v>4</v>
      </c>
      <c r="F491">
        <f t="shared" si="51"/>
        <v>2023</v>
      </c>
      <c r="G491" t="s">
        <v>7</v>
      </c>
      <c r="H491">
        <v>-1</v>
      </c>
      <c r="K491" t="s">
        <v>9</v>
      </c>
      <c r="L491" s="8">
        <f t="shared" si="52"/>
        <v>-1</v>
      </c>
      <c r="M491" t="s">
        <v>523</v>
      </c>
    </row>
    <row r="492" spans="1:13" x14ac:dyDescent="0.35">
      <c r="A492">
        <f t="shared" si="48"/>
        <v>488</v>
      </c>
      <c r="B492" s="9">
        <f t="shared" si="49"/>
        <v>132.9</v>
      </c>
      <c r="C492" s="3" t="s">
        <v>520</v>
      </c>
      <c r="D492">
        <f t="shared" si="53"/>
        <v>29</v>
      </c>
      <c r="E492">
        <f t="shared" si="50"/>
        <v>4</v>
      </c>
      <c r="F492">
        <f t="shared" si="51"/>
        <v>2023</v>
      </c>
      <c r="G492" t="s">
        <v>7</v>
      </c>
      <c r="H492">
        <v>-1</v>
      </c>
      <c r="K492" t="s">
        <v>9</v>
      </c>
      <c r="L492" s="8">
        <f t="shared" si="52"/>
        <v>-1</v>
      </c>
      <c r="M492" t="s">
        <v>524</v>
      </c>
    </row>
    <row r="493" spans="1:13" x14ac:dyDescent="0.35">
      <c r="A493">
        <f t="shared" si="48"/>
        <v>489</v>
      </c>
      <c r="B493" s="9">
        <f t="shared" si="49"/>
        <v>131.9</v>
      </c>
      <c r="C493" s="3" t="s">
        <v>520</v>
      </c>
      <c r="D493">
        <f t="shared" si="53"/>
        <v>29</v>
      </c>
      <c r="E493">
        <f t="shared" si="50"/>
        <v>4</v>
      </c>
      <c r="F493">
        <f t="shared" si="51"/>
        <v>2023</v>
      </c>
      <c r="G493" t="s">
        <v>7</v>
      </c>
      <c r="H493">
        <v>-1</v>
      </c>
      <c r="K493" t="s">
        <v>9</v>
      </c>
      <c r="L493" s="8">
        <f t="shared" si="52"/>
        <v>-1</v>
      </c>
      <c r="M493" t="s">
        <v>525</v>
      </c>
    </row>
    <row r="494" spans="1:13" x14ac:dyDescent="0.35">
      <c r="A494">
        <f t="shared" si="48"/>
        <v>490</v>
      </c>
      <c r="B494" s="9">
        <f t="shared" si="49"/>
        <v>130.9</v>
      </c>
      <c r="C494" s="3" t="s">
        <v>520</v>
      </c>
      <c r="D494">
        <f t="shared" si="53"/>
        <v>29</v>
      </c>
      <c r="E494">
        <f t="shared" si="50"/>
        <v>4</v>
      </c>
      <c r="F494">
        <f t="shared" si="51"/>
        <v>2023</v>
      </c>
      <c r="G494" t="s">
        <v>7</v>
      </c>
      <c r="H494">
        <v>-1</v>
      </c>
      <c r="K494" t="s">
        <v>9</v>
      </c>
      <c r="L494" s="8">
        <f t="shared" si="52"/>
        <v>-1</v>
      </c>
      <c r="M494" t="s">
        <v>526</v>
      </c>
    </row>
    <row r="495" spans="1:13" x14ac:dyDescent="0.35">
      <c r="A495">
        <f t="shared" si="48"/>
        <v>491</v>
      </c>
      <c r="B495" s="9">
        <f t="shared" si="49"/>
        <v>131.9</v>
      </c>
      <c r="C495" s="3" t="s">
        <v>520</v>
      </c>
      <c r="D495">
        <f t="shared" si="53"/>
        <v>29</v>
      </c>
      <c r="E495">
        <f t="shared" si="50"/>
        <v>4</v>
      </c>
      <c r="F495">
        <f t="shared" si="51"/>
        <v>2023</v>
      </c>
      <c r="G495" t="s">
        <v>7</v>
      </c>
      <c r="H495">
        <v>-1</v>
      </c>
      <c r="I495">
        <v>2</v>
      </c>
      <c r="K495" t="s">
        <v>10</v>
      </c>
      <c r="L495" s="8">
        <f t="shared" si="52"/>
        <v>1</v>
      </c>
      <c r="M495" t="s">
        <v>527</v>
      </c>
    </row>
    <row r="496" spans="1:13" x14ac:dyDescent="0.35">
      <c r="A496">
        <f t="shared" si="48"/>
        <v>492</v>
      </c>
      <c r="B496" s="9">
        <f t="shared" si="49"/>
        <v>132.9</v>
      </c>
      <c r="C496" s="3" t="s">
        <v>520</v>
      </c>
      <c r="D496">
        <f t="shared" si="53"/>
        <v>29</v>
      </c>
      <c r="E496">
        <f t="shared" si="50"/>
        <v>4</v>
      </c>
      <c r="F496">
        <f t="shared" si="51"/>
        <v>2023</v>
      </c>
      <c r="G496" t="s">
        <v>7</v>
      </c>
      <c r="H496">
        <v>-1</v>
      </c>
      <c r="I496">
        <v>2</v>
      </c>
      <c r="K496" t="s">
        <v>10</v>
      </c>
      <c r="L496" s="8">
        <f t="shared" si="52"/>
        <v>1</v>
      </c>
      <c r="M496" t="s">
        <v>528</v>
      </c>
    </row>
    <row r="497" spans="1:13" x14ac:dyDescent="0.35">
      <c r="A497">
        <f t="shared" si="48"/>
        <v>493</v>
      </c>
      <c r="B497" s="9">
        <f t="shared" si="49"/>
        <v>131.9</v>
      </c>
      <c r="C497" s="3" t="s">
        <v>520</v>
      </c>
      <c r="D497">
        <f t="shared" si="53"/>
        <v>29</v>
      </c>
      <c r="E497">
        <f t="shared" si="50"/>
        <v>4</v>
      </c>
      <c r="F497">
        <f t="shared" si="51"/>
        <v>2023</v>
      </c>
      <c r="G497" t="s">
        <v>7</v>
      </c>
      <c r="H497">
        <v>-1</v>
      </c>
      <c r="K497" t="s">
        <v>9</v>
      </c>
      <c r="L497" s="8">
        <f t="shared" si="52"/>
        <v>-1</v>
      </c>
      <c r="M497" t="s">
        <v>529</v>
      </c>
    </row>
    <row r="498" spans="1:13" x14ac:dyDescent="0.35">
      <c r="A498">
        <f t="shared" si="48"/>
        <v>494</v>
      </c>
      <c r="B498" s="9">
        <f t="shared" si="49"/>
        <v>130.9</v>
      </c>
      <c r="C498" s="3" t="s">
        <v>520</v>
      </c>
      <c r="D498">
        <f t="shared" si="53"/>
        <v>29</v>
      </c>
      <c r="E498">
        <f t="shared" si="50"/>
        <v>4</v>
      </c>
      <c r="F498">
        <f t="shared" si="51"/>
        <v>2023</v>
      </c>
      <c r="G498" t="s">
        <v>7</v>
      </c>
      <c r="H498">
        <v>-1</v>
      </c>
      <c r="K498" t="s">
        <v>9</v>
      </c>
      <c r="L498" s="8">
        <f t="shared" si="52"/>
        <v>-1</v>
      </c>
      <c r="M498" t="s">
        <v>530</v>
      </c>
    </row>
    <row r="499" spans="1:13" x14ac:dyDescent="0.35">
      <c r="A499">
        <f t="shared" si="48"/>
        <v>495</v>
      </c>
      <c r="B499" s="9">
        <f t="shared" si="49"/>
        <v>132.9</v>
      </c>
      <c r="C499" s="3" t="s">
        <v>520</v>
      </c>
      <c r="D499">
        <f t="shared" si="53"/>
        <v>29</v>
      </c>
      <c r="E499">
        <f t="shared" si="50"/>
        <v>4</v>
      </c>
      <c r="F499">
        <f t="shared" si="51"/>
        <v>2023</v>
      </c>
      <c r="G499" t="s">
        <v>7</v>
      </c>
      <c r="H499">
        <v>-1</v>
      </c>
      <c r="I499">
        <v>3</v>
      </c>
      <c r="K499" t="s">
        <v>10</v>
      </c>
      <c r="L499" s="8">
        <f t="shared" si="52"/>
        <v>2</v>
      </c>
      <c r="M499" t="s">
        <v>531</v>
      </c>
    </row>
    <row r="500" spans="1:13" x14ac:dyDescent="0.35">
      <c r="A500">
        <f t="shared" si="48"/>
        <v>496</v>
      </c>
      <c r="B500" s="9">
        <f t="shared" si="49"/>
        <v>131.9</v>
      </c>
      <c r="C500" s="3" t="s">
        <v>520</v>
      </c>
      <c r="D500">
        <f t="shared" si="53"/>
        <v>29</v>
      </c>
      <c r="E500">
        <f t="shared" si="50"/>
        <v>4</v>
      </c>
      <c r="F500">
        <f t="shared" si="51"/>
        <v>2023</v>
      </c>
      <c r="G500" t="s">
        <v>7</v>
      </c>
      <c r="H500">
        <v>-1</v>
      </c>
      <c r="K500" t="s">
        <v>9</v>
      </c>
      <c r="L500" s="8">
        <f t="shared" si="52"/>
        <v>-1</v>
      </c>
      <c r="M500" t="s">
        <v>532</v>
      </c>
    </row>
    <row r="501" spans="1:13" x14ac:dyDescent="0.35">
      <c r="A501">
        <f t="shared" si="48"/>
        <v>497</v>
      </c>
      <c r="B501" s="9">
        <f t="shared" si="49"/>
        <v>130.9</v>
      </c>
      <c r="C501" s="3" t="s">
        <v>520</v>
      </c>
      <c r="D501">
        <f t="shared" si="53"/>
        <v>29</v>
      </c>
      <c r="E501">
        <f t="shared" si="50"/>
        <v>4</v>
      </c>
      <c r="F501">
        <f t="shared" si="51"/>
        <v>2023</v>
      </c>
      <c r="G501" t="s">
        <v>7</v>
      </c>
      <c r="H501">
        <v>-1</v>
      </c>
      <c r="K501" t="s">
        <v>9</v>
      </c>
      <c r="L501" s="8">
        <f t="shared" si="52"/>
        <v>-1</v>
      </c>
      <c r="M501" t="s">
        <v>533</v>
      </c>
    </row>
    <row r="502" spans="1:13" x14ac:dyDescent="0.35">
      <c r="A502">
        <f t="shared" si="48"/>
        <v>498</v>
      </c>
      <c r="B502" s="9">
        <f t="shared" si="49"/>
        <v>129.9</v>
      </c>
      <c r="C502" s="3" t="s">
        <v>520</v>
      </c>
      <c r="D502">
        <f t="shared" si="53"/>
        <v>29</v>
      </c>
      <c r="E502">
        <f t="shared" si="50"/>
        <v>4</v>
      </c>
      <c r="F502">
        <f t="shared" si="51"/>
        <v>2023</v>
      </c>
      <c r="G502" t="s">
        <v>7</v>
      </c>
      <c r="H502">
        <v>-1</v>
      </c>
      <c r="K502" t="s">
        <v>9</v>
      </c>
      <c r="L502" s="8">
        <f t="shared" si="52"/>
        <v>-1</v>
      </c>
      <c r="M502" t="s">
        <v>534</v>
      </c>
    </row>
    <row r="503" spans="1:13" x14ac:dyDescent="0.35">
      <c r="A503">
        <f t="shared" si="48"/>
        <v>499</v>
      </c>
      <c r="B503" s="9">
        <f t="shared" si="49"/>
        <v>131.9</v>
      </c>
      <c r="C503" s="3" t="s">
        <v>520</v>
      </c>
      <c r="D503">
        <f t="shared" si="53"/>
        <v>29</v>
      </c>
      <c r="E503">
        <f t="shared" si="50"/>
        <v>4</v>
      </c>
      <c r="F503">
        <f t="shared" si="51"/>
        <v>2023</v>
      </c>
      <c r="G503" t="s">
        <v>7</v>
      </c>
      <c r="H503">
        <v>-1</v>
      </c>
      <c r="I503">
        <v>3</v>
      </c>
      <c r="K503" t="s">
        <v>10</v>
      </c>
      <c r="L503" s="8">
        <f t="shared" si="52"/>
        <v>2</v>
      </c>
      <c r="M503" t="s">
        <v>535</v>
      </c>
    </row>
    <row r="504" spans="1:13" x14ac:dyDescent="0.35">
      <c r="A504">
        <f t="shared" si="48"/>
        <v>500</v>
      </c>
      <c r="B504" s="9">
        <f t="shared" si="49"/>
        <v>130.9</v>
      </c>
      <c r="C504" s="3" t="s">
        <v>520</v>
      </c>
      <c r="D504">
        <f t="shared" si="53"/>
        <v>29</v>
      </c>
      <c r="E504">
        <f t="shared" si="50"/>
        <v>4</v>
      </c>
      <c r="F504">
        <f t="shared" si="51"/>
        <v>2023</v>
      </c>
      <c r="G504" t="s">
        <v>7</v>
      </c>
      <c r="H504">
        <v>-1</v>
      </c>
      <c r="K504" t="s">
        <v>9</v>
      </c>
      <c r="L504" s="8">
        <f t="shared" si="52"/>
        <v>-1</v>
      </c>
      <c r="M504" t="s">
        <v>536</v>
      </c>
    </row>
    <row r="505" spans="1:13" x14ac:dyDescent="0.35">
      <c r="A505">
        <f t="shared" si="48"/>
        <v>501</v>
      </c>
      <c r="B505" s="9">
        <f t="shared" si="49"/>
        <v>129.9</v>
      </c>
      <c r="C505" s="3" t="s">
        <v>520</v>
      </c>
      <c r="D505">
        <f t="shared" si="53"/>
        <v>29</v>
      </c>
      <c r="E505">
        <f t="shared" si="50"/>
        <v>4</v>
      </c>
      <c r="F505">
        <f t="shared" si="51"/>
        <v>2023</v>
      </c>
      <c r="G505" t="s">
        <v>7</v>
      </c>
      <c r="H505">
        <v>-1</v>
      </c>
      <c r="K505" t="s">
        <v>9</v>
      </c>
      <c r="L505" s="8">
        <f t="shared" si="52"/>
        <v>-1</v>
      </c>
      <c r="M505" t="s">
        <v>537</v>
      </c>
    </row>
    <row r="506" spans="1:13" x14ac:dyDescent="0.35">
      <c r="A506">
        <f t="shared" si="48"/>
        <v>502</v>
      </c>
      <c r="B506" s="9">
        <f t="shared" si="49"/>
        <v>131.9</v>
      </c>
      <c r="C506" s="3" t="s">
        <v>520</v>
      </c>
      <c r="D506">
        <f t="shared" si="53"/>
        <v>29</v>
      </c>
      <c r="E506">
        <f t="shared" si="50"/>
        <v>4</v>
      </c>
      <c r="F506">
        <f t="shared" si="51"/>
        <v>2023</v>
      </c>
      <c r="G506" t="s">
        <v>7</v>
      </c>
      <c r="H506">
        <v>-1</v>
      </c>
      <c r="I506">
        <v>3</v>
      </c>
      <c r="K506" t="s">
        <v>10</v>
      </c>
      <c r="L506" s="8">
        <f t="shared" si="52"/>
        <v>2</v>
      </c>
      <c r="M506" t="s">
        <v>538</v>
      </c>
    </row>
    <row r="507" spans="1:13" x14ac:dyDescent="0.35">
      <c r="A507">
        <f t="shared" si="48"/>
        <v>503</v>
      </c>
      <c r="B507" s="9">
        <f t="shared" si="49"/>
        <v>130.9</v>
      </c>
      <c r="C507" s="3" t="s">
        <v>520</v>
      </c>
      <c r="D507">
        <f t="shared" si="53"/>
        <v>29</v>
      </c>
      <c r="E507">
        <f t="shared" si="50"/>
        <v>4</v>
      </c>
      <c r="F507">
        <f t="shared" si="51"/>
        <v>2023</v>
      </c>
      <c r="G507" t="s">
        <v>7</v>
      </c>
      <c r="H507">
        <v>-1</v>
      </c>
      <c r="K507" t="s">
        <v>9</v>
      </c>
      <c r="L507" s="8">
        <f t="shared" si="52"/>
        <v>-1</v>
      </c>
      <c r="M507" t="s">
        <v>539</v>
      </c>
    </row>
    <row r="508" spans="1:13" x14ac:dyDescent="0.35">
      <c r="A508">
        <f t="shared" si="48"/>
        <v>504</v>
      </c>
      <c r="B508" s="9">
        <f t="shared" si="49"/>
        <v>131.9</v>
      </c>
      <c r="C508" s="3" t="s">
        <v>520</v>
      </c>
      <c r="D508">
        <f t="shared" si="53"/>
        <v>29</v>
      </c>
      <c r="E508">
        <f t="shared" si="50"/>
        <v>4</v>
      </c>
      <c r="F508">
        <f t="shared" si="51"/>
        <v>2023</v>
      </c>
      <c r="G508" t="s">
        <v>7</v>
      </c>
      <c r="H508">
        <v>-1</v>
      </c>
      <c r="I508">
        <v>2</v>
      </c>
      <c r="K508" t="s">
        <v>10</v>
      </c>
      <c r="L508" s="8">
        <f t="shared" si="52"/>
        <v>1</v>
      </c>
      <c r="M508" t="s">
        <v>540</v>
      </c>
    </row>
    <row r="509" spans="1:13" x14ac:dyDescent="0.35">
      <c r="A509">
        <f t="shared" si="48"/>
        <v>505</v>
      </c>
      <c r="B509" s="9">
        <f t="shared" si="49"/>
        <v>132.9</v>
      </c>
      <c r="C509" s="3" t="s">
        <v>520</v>
      </c>
      <c r="D509">
        <f t="shared" si="53"/>
        <v>29</v>
      </c>
      <c r="E509">
        <f t="shared" si="50"/>
        <v>4</v>
      </c>
      <c r="F509">
        <f t="shared" si="51"/>
        <v>2023</v>
      </c>
      <c r="G509" t="s">
        <v>7</v>
      </c>
      <c r="H509">
        <v>-1</v>
      </c>
      <c r="I509">
        <v>2</v>
      </c>
      <c r="K509" t="s">
        <v>10</v>
      </c>
      <c r="L509" s="8">
        <f t="shared" si="52"/>
        <v>1</v>
      </c>
      <c r="M509" t="s">
        <v>541</v>
      </c>
    </row>
    <row r="510" spans="1:13" x14ac:dyDescent="0.35">
      <c r="A510">
        <f t="shared" si="48"/>
        <v>506</v>
      </c>
      <c r="B510" s="9">
        <f t="shared" si="49"/>
        <v>163.61000000000001</v>
      </c>
      <c r="C510" s="3" t="s">
        <v>520</v>
      </c>
      <c r="D510">
        <f t="shared" si="53"/>
        <v>29</v>
      </c>
      <c r="E510">
        <f t="shared" si="50"/>
        <v>4</v>
      </c>
      <c r="F510">
        <f t="shared" si="51"/>
        <v>2023</v>
      </c>
      <c r="G510" t="s">
        <v>44</v>
      </c>
      <c r="H510">
        <v>-3.3</v>
      </c>
      <c r="I510">
        <v>5.99</v>
      </c>
      <c r="J510">
        <v>28.02</v>
      </c>
      <c r="K510" t="s">
        <v>10</v>
      </c>
      <c r="L510" s="8">
        <f t="shared" si="52"/>
        <v>9.3060606060606066</v>
      </c>
      <c r="M510" t="s">
        <v>542</v>
      </c>
    </row>
    <row r="511" spans="1:13" x14ac:dyDescent="0.35">
      <c r="A511">
        <f t="shared" si="48"/>
        <v>507</v>
      </c>
      <c r="B511" s="9">
        <f t="shared" si="49"/>
        <v>162.61000000000001</v>
      </c>
      <c r="C511" s="3" t="s">
        <v>543</v>
      </c>
      <c r="D511">
        <f t="shared" si="53"/>
        <v>30</v>
      </c>
      <c r="E511">
        <f t="shared" si="50"/>
        <v>4</v>
      </c>
      <c r="F511">
        <f t="shared" si="51"/>
        <v>2023</v>
      </c>
      <c r="G511" t="s">
        <v>7</v>
      </c>
      <c r="H511">
        <v>-1</v>
      </c>
      <c r="K511" t="s">
        <v>9</v>
      </c>
      <c r="L511" s="8">
        <f t="shared" si="52"/>
        <v>-1</v>
      </c>
      <c r="M511" t="s">
        <v>544</v>
      </c>
    </row>
    <row r="512" spans="1:13" x14ac:dyDescent="0.35">
      <c r="A512">
        <f t="shared" si="48"/>
        <v>508</v>
      </c>
      <c r="B512" s="9">
        <f t="shared" si="49"/>
        <v>164.61</v>
      </c>
      <c r="C512" s="3" t="s">
        <v>543</v>
      </c>
      <c r="D512">
        <f t="shared" si="53"/>
        <v>30</v>
      </c>
      <c r="E512">
        <f t="shared" si="50"/>
        <v>4</v>
      </c>
      <c r="F512">
        <f t="shared" si="51"/>
        <v>2023</v>
      </c>
      <c r="G512" t="s">
        <v>7</v>
      </c>
      <c r="H512">
        <v>-1</v>
      </c>
      <c r="I512">
        <v>3</v>
      </c>
      <c r="K512" t="s">
        <v>10</v>
      </c>
      <c r="L512" s="8">
        <f t="shared" si="52"/>
        <v>2</v>
      </c>
      <c r="M512" t="s">
        <v>545</v>
      </c>
    </row>
    <row r="513" spans="1:13" x14ac:dyDescent="0.35">
      <c r="A513">
        <f t="shared" si="48"/>
        <v>509</v>
      </c>
      <c r="B513" s="9">
        <f t="shared" si="49"/>
        <v>163.61000000000001</v>
      </c>
      <c r="C513" s="3" t="s">
        <v>543</v>
      </c>
      <c r="D513">
        <f t="shared" si="53"/>
        <v>30</v>
      </c>
      <c r="E513">
        <f t="shared" si="50"/>
        <v>4</v>
      </c>
      <c r="F513">
        <f t="shared" si="51"/>
        <v>2023</v>
      </c>
      <c r="G513" t="s">
        <v>7</v>
      </c>
      <c r="H513">
        <v>-1</v>
      </c>
      <c r="K513" t="s">
        <v>9</v>
      </c>
      <c r="L513" s="8">
        <f t="shared" si="52"/>
        <v>-1</v>
      </c>
      <c r="M513" t="s">
        <v>546</v>
      </c>
    </row>
    <row r="514" spans="1:13" x14ac:dyDescent="0.35">
      <c r="A514">
        <f t="shared" si="48"/>
        <v>510</v>
      </c>
      <c r="B514" s="9">
        <f t="shared" si="49"/>
        <v>162.61000000000001</v>
      </c>
      <c r="C514" s="3" t="s">
        <v>543</v>
      </c>
      <c r="D514">
        <f t="shared" si="53"/>
        <v>30</v>
      </c>
      <c r="E514">
        <f t="shared" si="50"/>
        <v>4</v>
      </c>
      <c r="F514">
        <f t="shared" si="51"/>
        <v>2023</v>
      </c>
      <c r="G514" t="s">
        <v>7</v>
      </c>
      <c r="H514">
        <v>-1</v>
      </c>
      <c r="K514" t="s">
        <v>9</v>
      </c>
      <c r="L514" s="8">
        <f t="shared" si="52"/>
        <v>-1</v>
      </c>
      <c r="M514" t="s">
        <v>547</v>
      </c>
    </row>
    <row r="515" spans="1:13" x14ac:dyDescent="0.35">
      <c r="A515">
        <f t="shared" si="48"/>
        <v>511</v>
      </c>
      <c r="B515" s="9">
        <f t="shared" si="49"/>
        <v>161.61000000000001</v>
      </c>
      <c r="C515" s="3" t="s">
        <v>543</v>
      </c>
      <c r="D515">
        <f t="shared" si="53"/>
        <v>30</v>
      </c>
      <c r="E515">
        <f t="shared" si="50"/>
        <v>4</v>
      </c>
      <c r="F515">
        <f t="shared" si="51"/>
        <v>2023</v>
      </c>
      <c r="G515" t="s">
        <v>7</v>
      </c>
      <c r="H515">
        <v>-1</v>
      </c>
      <c r="K515" t="s">
        <v>9</v>
      </c>
      <c r="L515" s="8">
        <f t="shared" si="52"/>
        <v>-1</v>
      </c>
      <c r="M515" t="s">
        <v>548</v>
      </c>
    </row>
    <row r="516" spans="1:13" x14ac:dyDescent="0.35">
      <c r="A516">
        <f t="shared" si="48"/>
        <v>512</v>
      </c>
      <c r="B516" s="9">
        <f t="shared" si="49"/>
        <v>160.61000000000001</v>
      </c>
      <c r="C516" s="3" t="s">
        <v>543</v>
      </c>
      <c r="D516">
        <f t="shared" si="53"/>
        <v>30</v>
      </c>
      <c r="E516">
        <f t="shared" si="50"/>
        <v>4</v>
      </c>
      <c r="F516">
        <f t="shared" si="51"/>
        <v>2023</v>
      </c>
      <c r="G516" t="s">
        <v>7</v>
      </c>
      <c r="H516">
        <v>-1</v>
      </c>
      <c r="K516" t="s">
        <v>9</v>
      </c>
      <c r="L516" s="8">
        <f t="shared" si="52"/>
        <v>-1</v>
      </c>
      <c r="M516" t="s">
        <v>549</v>
      </c>
    </row>
    <row r="517" spans="1:13" x14ac:dyDescent="0.35">
      <c r="A517">
        <f t="shared" si="48"/>
        <v>513</v>
      </c>
      <c r="B517" s="9">
        <f t="shared" si="49"/>
        <v>159.61000000000001</v>
      </c>
      <c r="C517" s="3" t="s">
        <v>543</v>
      </c>
      <c r="D517">
        <f t="shared" si="53"/>
        <v>30</v>
      </c>
      <c r="E517">
        <f t="shared" si="50"/>
        <v>4</v>
      </c>
      <c r="F517">
        <f t="shared" si="51"/>
        <v>2023</v>
      </c>
      <c r="G517" t="s">
        <v>7</v>
      </c>
      <c r="H517">
        <v>-1</v>
      </c>
      <c r="K517" t="s">
        <v>9</v>
      </c>
      <c r="L517" s="8">
        <f t="shared" si="52"/>
        <v>-1</v>
      </c>
      <c r="M517" t="s">
        <v>550</v>
      </c>
    </row>
    <row r="518" spans="1:13" x14ac:dyDescent="0.35">
      <c r="A518">
        <f t="shared" si="48"/>
        <v>514</v>
      </c>
      <c r="B518" s="9">
        <f t="shared" si="49"/>
        <v>160.61000000000001</v>
      </c>
      <c r="C518" s="3" t="s">
        <v>543</v>
      </c>
      <c r="D518">
        <f t="shared" si="53"/>
        <v>30</v>
      </c>
      <c r="E518">
        <f t="shared" ref="E518:E581" si="54">_xlfn.NUMBERVALUE(MID(C518,4,2))</f>
        <v>4</v>
      </c>
      <c r="F518">
        <f t="shared" ref="F518:F581" si="55">_xlfn.NUMBERVALUE(RIGHT(C518,4))</f>
        <v>2023</v>
      </c>
      <c r="G518" t="s">
        <v>7</v>
      </c>
      <c r="H518">
        <v>-1</v>
      </c>
      <c r="I518">
        <v>2</v>
      </c>
      <c r="K518" t="s">
        <v>10</v>
      </c>
      <c r="L518" s="8">
        <f t="shared" ref="L518:L581" si="56">IF(H518="",0,(SUM(I518:J518)/-H518)-1)</f>
        <v>1</v>
      </c>
      <c r="M518" t="s">
        <v>551</v>
      </c>
    </row>
    <row r="519" spans="1:13" x14ac:dyDescent="0.35">
      <c r="A519">
        <f t="shared" si="48"/>
        <v>515</v>
      </c>
      <c r="B519" s="9">
        <f t="shared" si="49"/>
        <v>164.61</v>
      </c>
      <c r="C519" s="3" t="s">
        <v>543</v>
      </c>
      <c r="D519">
        <f t="shared" si="53"/>
        <v>30</v>
      </c>
      <c r="E519">
        <f t="shared" si="54"/>
        <v>4</v>
      </c>
      <c r="F519">
        <f t="shared" si="55"/>
        <v>2023</v>
      </c>
      <c r="G519" t="s">
        <v>7</v>
      </c>
      <c r="H519">
        <v>-1</v>
      </c>
      <c r="I519">
        <v>5</v>
      </c>
      <c r="K519" t="s">
        <v>10</v>
      </c>
      <c r="L519" s="8">
        <f t="shared" si="56"/>
        <v>4</v>
      </c>
      <c r="M519" t="s">
        <v>552</v>
      </c>
    </row>
    <row r="520" spans="1:13" x14ac:dyDescent="0.35">
      <c r="A520">
        <f t="shared" si="48"/>
        <v>516</v>
      </c>
      <c r="B520" s="9">
        <f t="shared" si="49"/>
        <v>165.61</v>
      </c>
      <c r="C520" s="3" t="s">
        <v>553</v>
      </c>
      <c r="D520">
        <f t="shared" si="53"/>
        <v>1</v>
      </c>
      <c r="E520">
        <f t="shared" si="54"/>
        <v>5</v>
      </c>
      <c r="F520">
        <f t="shared" si="55"/>
        <v>2023</v>
      </c>
      <c r="G520" t="s">
        <v>7</v>
      </c>
      <c r="H520">
        <v>-1</v>
      </c>
      <c r="I520">
        <v>2</v>
      </c>
      <c r="K520" t="s">
        <v>10</v>
      </c>
      <c r="L520" s="8">
        <f t="shared" si="56"/>
        <v>1</v>
      </c>
      <c r="M520" t="s">
        <v>554</v>
      </c>
    </row>
    <row r="521" spans="1:13" x14ac:dyDescent="0.35">
      <c r="A521">
        <f t="shared" si="48"/>
        <v>517</v>
      </c>
      <c r="B521" s="9">
        <f t="shared" si="49"/>
        <v>25.78</v>
      </c>
      <c r="C521" s="3" t="s">
        <v>553</v>
      </c>
      <c r="D521">
        <f>_xlfn.NUMBERVALUE(LEFT(C521,2))</f>
        <v>1</v>
      </c>
      <c r="E521">
        <f t="shared" si="54"/>
        <v>5</v>
      </c>
      <c r="F521">
        <f t="shared" si="55"/>
        <v>2023</v>
      </c>
      <c r="G521" t="s">
        <v>208</v>
      </c>
      <c r="H521">
        <v>-139.83000000000001</v>
      </c>
      <c r="L521" s="8"/>
    </row>
    <row r="522" spans="1:13" x14ac:dyDescent="0.35">
      <c r="A522">
        <f t="shared" si="48"/>
        <v>518</v>
      </c>
      <c r="B522" s="9">
        <f t="shared" ref="B522" si="57">B521+H522+I522+J522</f>
        <v>24.78</v>
      </c>
      <c r="C522" s="3" t="s">
        <v>553</v>
      </c>
      <c r="D522">
        <f t="shared" ref="D522:D577" si="58">_xlfn.NUMBERVALUE(LEFT(C522,2))</f>
        <v>1</v>
      </c>
      <c r="E522">
        <f t="shared" si="54"/>
        <v>5</v>
      </c>
      <c r="F522">
        <f t="shared" si="55"/>
        <v>2023</v>
      </c>
      <c r="G522" t="s">
        <v>7</v>
      </c>
      <c r="H522">
        <v>-1</v>
      </c>
      <c r="K522" t="s">
        <v>9</v>
      </c>
      <c r="L522" s="8">
        <f t="shared" si="56"/>
        <v>-1</v>
      </c>
      <c r="M522" t="s">
        <v>556</v>
      </c>
    </row>
    <row r="523" spans="1:13" x14ac:dyDescent="0.35">
      <c r="A523">
        <f t="shared" si="48"/>
        <v>519</v>
      </c>
      <c r="B523" s="9">
        <f t="shared" ref="B523" si="59">B522+H523+I523+J523</f>
        <v>23.78</v>
      </c>
      <c r="C523" s="3" t="s">
        <v>553</v>
      </c>
      <c r="D523">
        <f t="shared" si="58"/>
        <v>1</v>
      </c>
      <c r="E523">
        <f t="shared" si="54"/>
        <v>5</v>
      </c>
      <c r="F523">
        <f t="shared" si="55"/>
        <v>2023</v>
      </c>
      <c r="G523" t="s">
        <v>7</v>
      </c>
      <c r="H523">
        <v>-1</v>
      </c>
      <c r="K523" t="s">
        <v>9</v>
      </c>
      <c r="L523" s="8">
        <f t="shared" si="56"/>
        <v>-1</v>
      </c>
      <c r="M523" t="s">
        <v>557</v>
      </c>
    </row>
    <row r="524" spans="1:13" x14ac:dyDescent="0.35">
      <c r="A524">
        <f t="shared" si="48"/>
        <v>520</v>
      </c>
      <c r="B524" s="9">
        <f t="shared" ref="B524" si="60">B523+H524+I524+J524</f>
        <v>22.78</v>
      </c>
      <c r="C524" s="3" t="s">
        <v>553</v>
      </c>
      <c r="D524">
        <f t="shared" si="58"/>
        <v>1</v>
      </c>
      <c r="E524">
        <f t="shared" si="54"/>
        <v>5</v>
      </c>
      <c r="F524">
        <f t="shared" si="55"/>
        <v>2023</v>
      </c>
      <c r="G524" t="s">
        <v>7</v>
      </c>
      <c r="H524">
        <v>-1</v>
      </c>
      <c r="K524" t="s">
        <v>9</v>
      </c>
      <c r="L524" s="8">
        <f t="shared" si="56"/>
        <v>-1</v>
      </c>
      <c r="M524" t="s">
        <v>558</v>
      </c>
    </row>
    <row r="525" spans="1:13" x14ac:dyDescent="0.35">
      <c r="A525">
        <f t="shared" si="48"/>
        <v>521</v>
      </c>
      <c r="B525" s="9">
        <f t="shared" ref="B525" si="61">B524+H525+I525+J525</f>
        <v>21.78</v>
      </c>
      <c r="C525" s="3" t="s">
        <v>553</v>
      </c>
      <c r="D525">
        <f t="shared" si="58"/>
        <v>1</v>
      </c>
      <c r="E525">
        <f t="shared" si="54"/>
        <v>5</v>
      </c>
      <c r="F525">
        <f t="shared" si="55"/>
        <v>2023</v>
      </c>
      <c r="G525" t="s">
        <v>7</v>
      </c>
      <c r="H525">
        <v>-1</v>
      </c>
      <c r="K525" t="s">
        <v>9</v>
      </c>
      <c r="L525" s="8">
        <f t="shared" si="56"/>
        <v>-1</v>
      </c>
      <c r="M525" t="s">
        <v>559</v>
      </c>
    </row>
    <row r="526" spans="1:13" x14ac:dyDescent="0.35">
      <c r="A526">
        <f t="shared" si="48"/>
        <v>522</v>
      </c>
      <c r="B526" s="9">
        <f t="shared" ref="B526" si="62">B525+H526+I526+J526</f>
        <v>20.78</v>
      </c>
      <c r="C526" s="3" t="s">
        <v>553</v>
      </c>
      <c r="D526">
        <f t="shared" si="58"/>
        <v>1</v>
      </c>
      <c r="E526">
        <f t="shared" si="54"/>
        <v>5</v>
      </c>
      <c r="F526">
        <f t="shared" si="55"/>
        <v>2023</v>
      </c>
      <c r="G526" t="s">
        <v>7</v>
      </c>
      <c r="H526">
        <v>-1</v>
      </c>
      <c r="K526" t="s">
        <v>9</v>
      </c>
      <c r="L526" s="8">
        <f t="shared" si="56"/>
        <v>-1</v>
      </c>
      <c r="M526" t="s">
        <v>560</v>
      </c>
    </row>
    <row r="527" spans="1:13" x14ac:dyDescent="0.35">
      <c r="A527">
        <f t="shared" si="48"/>
        <v>523</v>
      </c>
      <c r="B527" s="9">
        <f t="shared" ref="B527" si="63">B526+H527+I527+J527</f>
        <v>19.78</v>
      </c>
      <c r="C527" s="3" t="s">
        <v>553</v>
      </c>
      <c r="D527">
        <f t="shared" si="58"/>
        <v>1</v>
      </c>
      <c r="E527">
        <f t="shared" si="54"/>
        <v>5</v>
      </c>
      <c r="F527">
        <f t="shared" si="55"/>
        <v>2023</v>
      </c>
      <c r="G527" t="s">
        <v>7</v>
      </c>
      <c r="H527">
        <v>-1</v>
      </c>
      <c r="K527" t="s">
        <v>9</v>
      </c>
      <c r="L527" s="8">
        <f t="shared" si="56"/>
        <v>-1</v>
      </c>
      <c r="M527" t="s">
        <v>561</v>
      </c>
    </row>
    <row r="528" spans="1:13" x14ac:dyDescent="0.35">
      <c r="A528">
        <f t="shared" si="48"/>
        <v>524</v>
      </c>
      <c r="B528" s="9">
        <f t="shared" ref="B528" si="64">B527+H528+I528+J528</f>
        <v>18.78</v>
      </c>
      <c r="C528" s="3" t="s">
        <v>553</v>
      </c>
      <c r="D528">
        <f t="shared" si="58"/>
        <v>1</v>
      </c>
      <c r="E528">
        <f t="shared" si="54"/>
        <v>5</v>
      </c>
      <c r="F528">
        <f t="shared" si="55"/>
        <v>2023</v>
      </c>
      <c r="G528" t="s">
        <v>7</v>
      </c>
      <c r="H528">
        <v>-1</v>
      </c>
      <c r="K528" t="s">
        <v>9</v>
      </c>
      <c r="L528" s="8">
        <f t="shared" si="56"/>
        <v>-1</v>
      </c>
      <c r="M528" t="s">
        <v>562</v>
      </c>
    </row>
    <row r="529" spans="1:13" x14ac:dyDescent="0.35">
      <c r="A529">
        <f t="shared" si="48"/>
        <v>525</v>
      </c>
      <c r="B529" s="9">
        <f t="shared" ref="B529" si="65">B528+H529+I529+J529</f>
        <v>17.78</v>
      </c>
      <c r="C529" s="3" t="s">
        <v>563</v>
      </c>
      <c r="D529">
        <f t="shared" si="58"/>
        <v>2</v>
      </c>
      <c r="E529">
        <f t="shared" si="54"/>
        <v>5</v>
      </c>
      <c r="F529">
        <f t="shared" si="55"/>
        <v>2023</v>
      </c>
      <c r="G529" t="s">
        <v>7</v>
      </c>
      <c r="H529">
        <v>-1</v>
      </c>
      <c r="K529" t="s">
        <v>9</v>
      </c>
      <c r="L529" s="8">
        <f t="shared" si="56"/>
        <v>-1</v>
      </c>
      <c r="M529" t="s">
        <v>564</v>
      </c>
    </row>
    <row r="530" spans="1:13" x14ac:dyDescent="0.35">
      <c r="A530">
        <f t="shared" si="48"/>
        <v>526</v>
      </c>
      <c r="B530" s="9">
        <f t="shared" ref="B530" si="66">B529+H530+I530+J530</f>
        <v>16.78</v>
      </c>
      <c r="C530" s="3" t="s">
        <v>563</v>
      </c>
      <c r="D530">
        <f t="shared" si="58"/>
        <v>2</v>
      </c>
      <c r="E530">
        <f t="shared" si="54"/>
        <v>5</v>
      </c>
      <c r="F530">
        <f t="shared" si="55"/>
        <v>2023</v>
      </c>
      <c r="G530" t="s">
        <v>7</v>
      </c>
      <c r="H530">
        <v>-1</v>
      </c>
      <c r="K530" t="s">
        <v>9</v>
      </c>
      <c r="L530" s="8">
        <f t="shared" si="56"/>
        <v>-1</v>
      </c>
      <c r="M530" t="s">
        <v>565</v>
      </c>
    </row>
    <row r="531" spans="1:13" x14ac:dyDescent="0.35">
      <c r="A531">
        <f t="shared" si="48"/>
        <v>527</v>
      </c>
      <c r="B531" s="9">
        <f t="shared" ref="B531:B532" si="67">B530+H531+I531+J531</f>
        <v>18.78</v>
      </c>
      <c r="C531" s="3" t="s">
        <v>563</v>
      </c>
      <c r="D531">
        <f t="shared" si="58"/>
        <v>2</v>
      </c>
      <c r="E531">
        <f t="shared" si="54"/>
        <v>5</v>
      </c>
      <c r="F531">
        <f t="shared" si="55"/>
        <v>2023</v>
      </c>
      <c r="G531" t="s">
        <v>7</v>
      </c>
      <c r="H531">
        <v>-1</v>
      </c>
      <c r="I531">
        <v>3</v>
      </c>
      <c r="K531" t="s">
        <v>10</v>
      </c>
      <c r="L531" s="8">
        <f t="shared" si="56"/>
        <v>2</v>
      </c>
      <c r="M531" t="s">
        <v>566</v>
      </c>
    </row>
    <row r="532" spans="1:13" x14ac:dyDescent="0.35">
      <c r="A532">
        <f t="shared" si="48"/>
        <v>528</v>
      </c>
      <c r="B532" s="9">
        <f t="shared" si="67"/>
        <v>17.78</v>
      </c>
      <c r="C532" s="3" t="s">
        <v>563</v>
      </c>
      <c r="D532">
        <f t="shared" si="58"/>
        <v>2</v>
      </c>
      <c r="E532">
        <f t="shared" si="54"/>
        <v>5</v>
      </c>
      <c r="F532">
        <f t="shared" si="55"/>
        <v>2023</v>
      </c>
      <c r="G532" t="s">
        <v>7</v>
      </c>
      <c r="H532">
        <v>-1</v>
      </c>
      <c r="K532" t="s">
        <v>9</v>
      </c>
      <c r="L532" s="8">
        <f t="shared" si="56"/>
        <v>-1</v>
      </c>
      <c r="M532" t="s">
        <v>567</v>
      </c>
    </row>
    <row r="533" spans="1:13" x14ac:dyDescent="0.35">
      <c r="A533">
        <f t="shared" si="48"/>
        <v>529</v>
      </c>
      <c r="B533" s="9">
        <f t="shared" ref="B533" si="68">B532+H533+I533+J533</f>
        <v>16.78</v>
      </c>
      <c r="C533" s="3" t="s">
        <v>563</v>
      </c>
      <c r="D533">
        <f t="shared" si="58"/>
        <v>2</v>
      </c>
      <c r="E533">
        <f t="shared" si="54"/>
        <v>5</v>
      </c>
      <c r="F533">
        <f t="shared" si="55"/>
        <v>2023</v>
      </c>
      <c r="G533" t="s">
        <v>7</v>
      </c>
      <c r="H533">
        <v>-1</v>
      </c>
      <c r="K533" t="s">
        <v>9</v>
      </c>
      <c r="L533" s="8">
        <f t="shared" si="56"/>
        <v>-1</v>
      </c>
      <c r="M533" t="s">
        <v>568</v>
      </c>
    </row>
    <row r="534" spans="1:13" x14ac:dyDescent="0.35">
      <c r="A534">
        <f t="shared" si="48"/>
        <v>530</v>
      </c>
      <c r="B534" s="9">
        <f t="shared" ref="B534" si="69">B533+H534+I534+J534</f>
        <v>15.780000000000001</v>
      </c>
      <c r="C534" s="3" t="s">
        <v>569</v>
      </c>
      <c r="D534">
        <f t="shared" si="58"/>
        <v>3</v>
      </c>
      <c r="E534">
        <f t="shared" si="54"/>
        <v>5</v>
      </c>
      <c r="F534">
        <f t="shared" si="55"/>
        <v>2023</v>
      </c>
      <c r="G534" t="s">
        <v>7</v>
      </c>
      <c r="H534">
        <v>-1</v>
      </c>
      <c r="K534" t="s">
        <v>9</v>
      </c>
      <c r="L534" s="8">
        <f t="shared" si="56"/>
        <v>-1</v>
      </c>
      <c r="M534" t="s">
        <v>570</v>
      </c>
    </row>
    <row r="535" spans="1:13" x14ac:dyDescent="0.35">
      <c r="A535">
        <f t="shared" si="48"/>
        <v>531</v>
      </c>
      <c r="B535" s="9">
        <f t="shared" ref="B535" si="70">B534+H535+I535+J535</f>
        <v>14.780000000000001</v>
      </c>
      <c r="C535" s="3" t="s">
        <v>569</v>
      </c>
      <c r="D535">
        <f t="shared" si="58"/>
        <v>3</v>
      </c>
      <c r="E535">
        <f t="shared" si="54"/>
        <v>5</v>
      </c>
      <c r="F535">
        <f t="shared" si="55"/>
        <v>2023</v>
      </c>
      <c r="G535" t="s">
        <v>7</v>
      </c>
      <c r="H535">
        <v>-1</v>
      </c>
      <c r="K535" t="s">
        <v>9</v>
      </c>
      <c r="L535" s="8">
        <f t="shared" si="56"/>
        <v>-1</v>
      </c>
      <c r="M535" t="s">
        <v>571</v>
      </c>
    </row>
    <row r="536" spans="1:13" x14ac:dyDescent="0.35">
      <c r="A536">
        <f t="shared" si="48"/>
        <v>532</v>
      </c>
      <c r="B536" s="9">
        <f t="shared" ref="B536" si="71">B535+H536+I536+J536</f>
        <v>13.780000000000001</v>
      </c>
      <c r="C536" s="3" t="s">
        <v>569</v>
      </c>
      <c r="D536">
        <f t="shared" si="58"/>
        <v>3</v>
      </c>
      <c r="E536">
        <f t="shared" si="54"/>
        <v>5</v>
      </c>
      <c r="F536">
        <f t="shared" si="55"/>
        <v>2023</v>
      </c>
      <c r="G536" t="s">
        <v>7</v>
      </c>
      <c r="H536">
        <v>-1</v>
      </c>
      <c r="K536" t="s">
        <v>9</v>
      </c>
      <c r="L536" s="8">
        <f t="shared" si="56"/>
        <v>-1</v>
      </c>
      <c r="M536" t="s">
        <v>572</v>
      </c>
    </row>
    <row r="537" spans="1:13" x14ac:dyDescent="0.35">
      <c r="A537">
        <f t="shared" si="48"/>
        <v>533</v>
      </c>
      <c r="B537" s="9">
        <f t="shared" ref="B537" si="72">B536+H537+I537+J537</f>
        <v>12.780000000000001</v>
      </c>
      <c r="C537" s="3" t="s">
        <v>569</v>
      </c>
      <c r="D537">
        <f t="shared" si="58"/>
        <v>3</v>
      </c>
      <c r="E537">
        <f t="shared" si="54"/>
        <v>5</v>
      </c>
      <c r="F537">
        <f t="shared" si="55"/>
        <v>2023</v>
      </c>
      <c r="G537" t="s">
        <v>7</v>
      </c>
      <c r="H537">
        <v>-1</v>
      </c>
      <c r="K537" t="s">
        <v>9</v>
      </c>
      <c r="L537" s="8">
        <f t="shared" si="56"/>
        <v>-1</v>
      </c>
      <c r="M537" t="s">
        <v>573</v>
      </c>
    </row>
    <row r="538" spans="1:13" x14ac:dyDescent="0.35">
      <c r="A538">
        <f t="shared" si="48"/>
        <v>534</v>
      </c>
      <c r="B538" s="9">
        <f t="shared" ref="B538" si="73">B537+H538+I538+J538</f>
        <v>11.780000000000001</v>
      </c>
      <c r="C538" s="3" t="s">
        <v>569</v>
      </c>
      <c r="D538">
        <f t="shared" si="58"/>
        <v>3</v>
      </c>
      <c r="E538">
        <f t="shared" si="54"/>
        <v>5</v>
      </c>
      <c r="F538">
        <f t="shared" si="55"/>
        <v>2023</v>
      </c>
      <c r="G538" t="s">
        <v>7</v>
      </c>
      <c r="H538">
        <v>-1</v>
      </c>
      <c r="K538" t="s">
        <v>9</v>
      </c>
      <c r="L538" s="8">
        <f t="shared" si="56"/>
        <v>-1</v>
      </c>
      <c r="M538" t="s">
        <v>574</v>
      </c>
    </row>
    <row r="539" spans="1:13" x14ac:dyDescent="0.35">
      <c r="A539">
        <f t="shared" si="48"/>
        <v>535</v>
      </c>
      <c r="B539" s="9">
        <f t="shared" ref="B539" si="74">B538+H539+I539+J539</f>
        <v>10.780000000000001</v>
      </c>
      <c r="C539" s="3" t="s">
        <v>569</v>
      </c>
      <c r="D539">
        <f t="shared" si="58"/>
        <v>3</v>
      </c>
      <c r="E539">
        <f t="shared" si="54"/>
        <v>5</v>
      </c>
      <c r="F539">
        <f t="shared" si="55"/>
        <v>2023</v>
      </c>
      <c r="G539" t="s">
        <v>7</v>
      </c>
      <c r="H539">
        <v>-1</v>
      </c>
      <c r="K539" t="s">
        <v>9</v>
      </c>
      <c r="L539" s="8">
        <f t="shared" si="56"/>
        <v>-1</v>
      </c>
      <c r="M539" t="s">
        <v>575</v>
      </c>
    </row>
    <row r="540" spans="1:13" x14ac:dyDescent="0.35">
      <c r="A540">
        <f t="shared" si="48"/>
        <v>536</v>
      </c>
      <c r="B540" s="9">
        <f t="shared" ref="B540" si="75">B539+H540+I540+J540</f>
        <v>9.7800000000000011</v>
      </c>
      <c r="C540" s="3" t="s">
        <v>569</v>
      </c>
      <c r="D540">
        <f t="shared" si="58"/>
        <v>3</v>
      </c>
      <c r="E540">
        <f t="shared" si="54"/>
        <v>5</v>
      </c>
      <c r="F540">
        <f t="shared" si="55"/>
        <v>2023</v>
      </c>
      <c r="G540" t="s">
        <v>7</v>
      </c>
      <c r="H540">
        <v>-1</v>
      </c>
      <c r="K540" t="s">
        <v>9</v>
      </c>
      <c r="L540" s="8">
        <f t="shared" si="56"/>
        <v>-1</v>
      </c>
      <c r="M540" t="s">
        <v>576</v>
      </c>
    </row>
    <row r="541" spans="1:13" x14ac:dyDescent="0.35">
      <c r="A541">
        <f t="shared" si="48"/>
        <v>537</v>
      </c>
      <c r="B541" s="9">
        <f t="shared" ref="B541" si="76">B540+H541+I541+J541</f>
        <v>8.7800000000000011</v>
      </c>
      <c r="C541" s="3" t="s">
        <v>569</v>
      </c>
      <c r="D541">
        <f t="shared" si="58"/>
        <v>3</v>
      </c>
      <c r="E541">
        <f t="shared" si="54"/>
        <v>5</v>
      </c>
      <c r="F541">
        <f t="shared" si="55"/>
        <v>2023</v>
      </c>
      <c r="G541" t="s">
        <v>7</v>
      </c>
      <c r="H541">
        <v>-1</v>
      </c>
      <c r="K541" t="s">
        <v>9</v>
      </c>
      <c r="L541" s="8">
        <f t="shared" si="56"/>
        <v>-1</v>
      </c>
      <c r="M541" t="s">
        <v>577</v>
      </c>
    </row>
    <row r="542" spans="1:13" x14ac:dyDescent="0.35">
      <c r="A542">
        <f t="shared" si="48"/>
        <v>538</v>
      </c>
      <c r="B542" s="9">
        <f t="shared" ref="B542" si="77">B541+H542+I542+J542</f>
        <v>7.7800000000000011</v>
      </c>
      <c r="C542" s="3" t="s">
        <v>569</v>
      </c>
      <c r="D542">
        <f t="shared" si="58"/>
        <v>3</v>
      </c>
      <c r="E542">
        <f t="shared" si="54"/>
        <v>5</v>
      </c>
      <c r="F542">
        <f t="shared" si="55"/>
        <v>2023</v>
      </c>
      <c r="G542" t="s">
        <v>7</v>
      </c>
      <c r="H542">
        <v>-1</v>
      </c>
      <c r="K542" t="s">
        <v>9</v>
      </c>
      <c r="L542" s="8">
        <f t="shared" si="56"/>
        <v>-1</v>
      </c>
      <c r="M542" t="s">
        <v>578</v>
      </c>
    </row>
    <row r="543" spans="1:13" x14ac:dyDescent="0.35">
      <c r="A543">
        <f t="shared" si="48"/>
        <v>539</v>
      </c>
      <c r="B543" s="9">
        <f t="shared" ref="B543:B544" si="78">B542+H543+I543+J543</f>
        <v>9.7800000000000011</v>
      </c>
      <c r="C543" s="3" t="s">
        <v>569</v>
      </c>
      <c r="D543">
        <f t="shared" si="58"/>
        <v>3</v>
      </c>
      <c r="E543">
        <f t="shared" si="54"/>
        <v>5</v>
      </c>
      <c r="F543">
        <f t="shared" si="55"/>
        <v>2023</v>
      </c>
      <c r="G543" t="s">
        <v>7</v>
      </c>
      <c r="H543">
        <v>-1</v>
      </c>
      <c r="I543">
        <v>3</v>
      </c>
      <c r="K543" t="s">
        <v>10</v>
      </c>
      <c r="L543" s="8">
        <f t="shared" si="56"/>
        <v>2</v>
      </c>
      <c r="M543" t="s">
        <v>579</v>
      </c>
    </row>
    <row r="544" spans="1:13" x14ac:dyDescent="0.35">
      <c r="A544">
        <f t="shared" si="48"/>
        <v>540</v>
      </c>
      <c r="B544" s="9">
        <f t="shared" si="78"/>
        <v>8.7800000000000011</v>
      </c>
      <c r="C544" s="3" t="s">
        <v>569</v>
      </c>
      <c r="D544">
        <f t="shared" si="58"/>
        <v>3</v>
      </c>
      <c r="E544">
        <f t="shared" si="54"/>
        <v>5</v>
      </c>
      <c r="F544">
        <f t="shared" si="55"/>
        <v>2023</v>
      </c>
      <c r="G544" t="s">
        <v>7</v>
      </c>
      <c r="H544">
        <v>-1</v>
      </c>
      <c r="K544" t="s">
        <v>9</v>
      </c>
      <c r="L544" s="8">
        <f t="shared" si="56"/>
        <v>-1</v>
      </c>
      <c r="M544" t="s">
        <v>580</v>
      </c>
    </row>
    <row r="545" spans="1:13" x14ac:dyDescent="0.35">
      <c r="A545">
        <f t="shared" si="48"/>
        <v>541</v>
      </c>
      <c r="B545" s="9">
        <f t="shared" ref="B545:B546" si="79">B544+H545+I545+J545</f>
        <v>10.780000000000001</v>
      </c>
      <c r="C545" s="3" t="s">
        <v>569</v>
      </c>
      <c r="D545">
        <f t="shared" si="58"/>
        <v>3</v>
      </c>
      <c r="E545">
        <f t="shared" si="54"/>
        <v>5</v>
      </c>
      <c r="F545">
        <f t="shared" si="55"/>
        <v>2023</v>
      </c>
      <c r="G545" t="s">
        <v>7</v>
      </c>
      <c r="H545">
        <v>-1</v>
      </c>
      <c r="I545">
        <v>3</v>
      </c>
      <c r="K545" t="s">
        <v>10</v>
      </c>
      <c r="L545" s="8">
        <f t="shared" si="56"/>
        <v>2</v>
      </c>
      <c r="M545" t="s">
        <v>581</v>
      </c>
    </row>
    <row r="546" spans="1:13" x14ac:dyDescent="0.35">
      <c r="A546">
        <f t="shared" si="48"/>
        <v>542</v>
      </c>
      <c r="B546" s="9">
        <f t="shared" si="79"/>
        <v>9.7800000000000011</v>
      </c>
      <c r="C546" s="3" t="s">
        <v>569</v>
      </c>
      <c r="D546">
        <f t="shared" si="58"/>
        <v>3</v>
      </c>
      <c r="E546">
        <f t="shared" si="54"/>
        <v>5</v>
      </c>
      <c r="F546">
        <f t="shared" si="55"/>
        <v>2023</v>
      </c>
      <c r="G546" t="s">
        <v>7</v>
      </c>
      <c r="H546">
        <v>-1</v>
      </c>
      <c r="K546" t="s">
        <v>9</v>
      </c>
      <c r="L546" s="8">
        <f t="shared" si="56"/>
        <v>-1</v>
      </c>
      <c r="M546" t="s">
        <v>582</v>
      </c>
    </row>
    <row r="547" spans="1:13" x14ac:dyDescent="0.35">
      <c r="A547">
        <f t="shared" si="48"/>
        <v>543</v>
      </c>
      <c r="B547" s="9">
        <f t="shared" ref="B547:B548" si="80">B546+H547+I547+J547</f>
        <v>8.7800000000000011</v>
      </c>
      <c r="C547" s="3" t="s">
        <v>569</v>
      </c>
      <c r="D547">
        <f t="shared" si="58"/>
        <v>3</v>
      </c>
      <c r="E547">
        <f t="shared" si="54"/>
        <v>5</v>
      </c>
      <c r="F547">
        <f t="shared" si="55"/>
        <v>2023</v>
      </c>
      <c r="G547" t="s">
        <v>7</v>
      </c>
      <c r="H547">
        <v>-1</v>
      </c>
      <c r="K547" t="s">
        <v>9</v>
      </c>
      <c r="L547" s="8">
        <f t="shared" si="56"/>
        <v>-1</v>
      </c>
      <c r="M547" t="s">
        <v>583</v>
      </c>
    </row>
    <row r="548" spans="1:13" x14ac:dyDescent="0.35">
      <c r="A548">
        <f t="shared" si="48"/>
        <v>544</v>
      </c>
      <c r="B548" s="9">
        <f t="shared" si="80"/>
        <v>9.7800000000000011</v>
      </c>
      <c r="C548" s="3" t="s">
        <v>569</v>
      </c>
      <c r="D548">
        <f t="shared" si="58"/>
        <v>3</v>
      </c>
      <c r="E548">
        <f t="shared" si="54"/>
        <v>5</v>
      </c>
      <c r="F548">
        <f t="shared" si="55"/>
        <v>2023</v>
      </c>
      <c r="G548" t="s">
        <v>7</v>
      </c>
      <c r="H548">
        <v>-1</v>
      </c>
      <c r="I548">
        <v>2</v>
      </c>
      <c r="K548" t="s">
        <v>10</v>
      </c>
      <c r="L548" s="8">
        <f t="shared" si="56"/>
        <v>1</v>
      </c>
      <c r="M548" t="s">
        <v>584</v>
      </c>
    </row>
    <row r="549" spans="1:13" x14ac:dyDescent="0.35">
      <c r="A549">
        <f t="shared" si="48"/>
        <v>545</v>
      </c>
      <c r="B549" s="9">
        <f t="shared" ref="B549" si="81">B548+H549+I549+J549</f>
        <v>10.780000000000001</v>
      </c>
      <c r="C549" s="3" t="s">
        <v>569</v>
      </c>
      <c r="D549">
        <f t="shared" si="58"/>
        <v>3</v>
      </c>
      <c r="E549">
        <f t="shared" si="54"/>
        <v>5</v>
      </c>
      <c r="F549">
        <f t="shared" si="55"/>
        <v>2023</v>
      </c>
      <c r="G549" t="s">
        <v>7</v>
      </c>
      <c r="H549">
        <v>-1</v>
      </c>
      <c r="I549">
        <v>2</v>
      </c>
      <c r="K549" t="s">
        <v>10</v>
      </c>
      <c r="L549" s="8">
        <f t="shared" si="56"/>
        <v>1</v>
      </c>
      <c r="M549" t="s">
        <v>585</v>
      </c>
    </row>
    <row r="550" spans="1:13" x14ac:dyDescent="0.35">
      <c r="A550">
        <f t="shared" si="48"/>
        <v>546</v>
      </c>
      <c r="B550" s="9">
        <f t="shared" ref="B550:B551" si="82">B549+H550+I550+J550</f>
        <v>11.780000000000001</v>
      </c>
      <c r="C550" s="3" t="s">
        <v>569</v>
      </c>
      <c r="D550">
        <f t="shared" si="58"/>
        <v>3</v>
      </c>
      <c r="E550">
        <f t="shared" si="54"/>
        <v>5</v>
      </c>
      <c r="F550">
        <f t="shared" si="55"/>
        <v>2023</v>
      </c>
      <c r="G550" t="s">
        <v>7</v>
      </c>
      <c r="H550">
        <v>-1</v>
      </c>
      <c r="I550">
        <v>2</v>
      </c>
      <c r="K550" t="s">
        <v>10</v>
      </c>
      <c r="L550" s="8">
        <f t="shared" si="56"/>
        <v>1</v>
      </c>
      <c r="M550" t="s">
        <v>586</v>
      </c>
    </row>
    <row r="551" spans="1:13" x14ac:dyDescent="0.35">
      <c r="A551">
        <f t="shared" si="48"/>
        <v>547</v>
      </c>
      <c r="B551" s="9">
        <f t="shared" si="82"/>
        <v>10.780000000000001</v>
      </c>
      <c r="C551" s="3" t="s">
        <v>569</v>
      </c>
      <c r="D551">
        <f t="shared" si="58"/>
        <v>3</v>
      </c>
      <c r="E551">
        <f t="shared" si="54"/>
        <v>5</v>
      </c>
      <c r="F551">
        <f t="shared" si="55"/>
        <v>2023</v>
      </c>
      <c r="G551" t="s">
        <v>7</v>
      </c>
      <c r="H551">
        <v>-1</v>
      </c>
      <c r="K551" t="s">
        <v>9</v>
      </c>
      <c r="L551" s="8">
        <f t="shared" si="56"/>
        <v>-1</v>
      </c>
      <c r="M551" t="s">
        <v>587</v>
      </c>
    </row>
    <row r="552" spans="1:13" x14ac:dyDescent="0.35">
      <c r="A552">
        <f t="shared" si="48"/>
        <v>548</v>
      </c>
      <c r="B552" s="9">
        <f t="shared" ref="B552" si="83">B551+H552+I552+J552</f>
        <v>9.7800000000000011</v>
      </c>
      <c r="C552" s="3" t="s">
        <v>588</v>
      </c>
      <c r="D552">
        <f t="shared" si="58"/>
        <v>4</v>
      </c>
      <c r="E552">
        <f t="shared" si="54"/>
        <v>5</v>
      </c>
      <c r="F552">
        <f t="shared" si="55"/>
        <v>2023</v>
      </c>
      <c r="G552" t="s">
        <v>7</v>
      </c>
      <c r="H552">
        <v>-1</v>
      </c>
      <c r="K552" t="s">
        <v>9</v>
      </c>
      <c r="L552" s="8">
        <f t="shared" si="56"/>
        <v>-1</v>
      </c>
      <c r="M552" t="s">
        <v>589</v>
      </c>
    </row>
    <row r="553" spans="1:13" x14ac:dyDescent="0.35">
      <c r="A553">
        <f t="shared" si="48"/>
        <v>549</v>
      </c>
      <c r="B553" s="9">
        <f t="shared" ref="B553" si="84">B552+H553+I553+J553</f>
        <v>11.780000000000001</v>
      </c>
      <c r="C553" s="3" t="s">
        <v>588</v>
      </c>
      <c r="D553">
        <f t="shared" si="58"/>
        <v>4</v>
      </c>
      <c r="E553">
        <f t="shared" si="54"/>
        <v>5</v>
      </c>
      <c r="F553">
        <f t="shared" si="55"/>
        <v>2023</v>
      </c>
      <c r="G553" t="s">
        <v>7</v>
      </c>
      <c r="H553">
        <v>-1</v>
      </c>
      <c r="I553">
        <v>3</v>
      </c>
      <c r="K553" t="s">
        <v>10</v>
      </c>
      <c r="L553" s="8">
        <f t="shared" si="56"/>
        <v>2</v>
      </c>
      <c r="M553" t="s">
        <v>590</v>
      </c>
    </row>
    <row r="554" spans="1:13" x14ac:dyDescent="0.35">
      <c r="A554">
        <f t="shared" si="48"/>
        <v>550</v>
      </c>
      <c r="B554" s="9">
        <f t="shared" ref="B554:B555" si="85">B553+H554+I554+J554</f>
        <v>13.780000000000001</v>
      </c>
      <c r="C554" s="3" t="s">
        <v>588</v>
      </c>
      <c r="D554">
        <f t="shared" si="58"/>
        <v>4</v>
      </c>
      <c r="E554">
        <f t="shared" si="54"/>
        <v>5</v>
      </c>
      <c r="F554">
        <f t="shared" si="55"/>
        <v>2023</v>
      </c>
      <c r="G554" t="s">
        <v>7</v>
      </c>
      <c r="H554">
        <v>-1</v>
      </c>
      <c r="I554">
        <v>3</v>
      </c>
      <c r="K554" t="s">
        <v>10</v>
      </c>
      <c r="L554" s="8">
        <f t="shared" si="56"/>
        <v>2</v>
      </c>
      <c r="M554" t="s">
        <v>591</v>
      </c>
    </row>
    <row r="555" spans="1:13" x14ac:dyDescent="0.35">
      <c r="A555">
        <f t="shared" si="48"/>
        <v>551</v>
      </c>
      <c r="B555" s="9">
        <f t="shared" si="85"/>
        <v>12.780000000000001</v>
      </c>
      <c r="C555" s="3" t="s">
        <v>588</v>
      </c>
      <c r="D555">
        <f t="shared" si="58"/>
        <v>4</v>
      </c>
      <c r="E555">
        <f t="shared" si="54"/>
        <v>5</v>
      </c>
      <c r="F555">
        <f t="shared" si="55"/>
        <v>2023</v>
      </c>
      <c r="G555" t="s">
        <v>7</v>
      </c>
      <c r="H555">
        <v>-1</v>
      </c>
      <c r="K555" t="s">
        <v>9</v>
      </c>
      <c r="L555" s="8">
        <f t="shared" si="56"/>
        <v>-1</v>
      </c>
      <c r="M555" t="s">
        <v>592</v>
      </c>
    </row>
    <row r="556" spans="1:13" x14ac:dyDescent="0.35">
      <c r="A556">
        <f t="shared" si="48"/>
        <v>552</v>
      </c>
      <c r="B556" s="9">
        <f t="shared" ref="B556" si="86">B555+H556+I556+J556</f>
        <v>14.780000000000001</v>
      </c>
      <c r="C556" s="3" t="s">
        <v>588</v>
      </c>
      <c r="D556">
        <f t="shared" si="58"/>
        <v>4</v>
      </c>
      <c r="E556">
        <f t="shared" si="54"/>
        <v>5</v>
      </c>
      <c r="F556">
        <f t="shared" si="55"/>
        <v>2023</v>
      </c>
      <c r="G556" t="s">
        <v>7</v>
      </c>
      <c r="H556">
        <v>-1</v>
      </c>
      <c r="I556">
        <v>3</v>
      </c>
      <c r="K556" t="s">
        <v>10</v>
      </c>
      <c r="L556" s="8">
        <f t="shared" si="56"/>
        <v>2</v>
      </c>
      <c r="M556" t="s">
        <v>593</v>
      </c>
    </row>
    <row r="557" spans="1:13" x14ac:dyDescent="0.35">
      <c r="A557">
        <f t="shared" si="48"/>
        <v>553</v>
      </c>
      <c r="B557" s="9">
        <f t="shared" ref="B557:B558" si="87">B556+H557+I557+J557</f>
        <v>16.78</v>
      </c>
      <c r="C557" s="3" t="s">
        <v>588</v>
      </c>
      <c r="D557">
        <f t="shared" si="58"/>
        <v>4</v>
      </c>
      <c r="E557">
        <f t="shared" si="54"/>
        <v>5</v>
      </c>
      <c r="F557">
        <f t="shared" si="55"/>
        <v>2023</v>
      </c>
      <c r="G557" t="s">
        <v>7</v>
      </c>
      <c r="H557">
        <v>-1</v>
      </c>
      <c r="I557">
        <v>3</v>
      </c>
      <c r="K557" t="s">
        <v>10</v>
      </c>
      <c r="L557" s="8">
        <f t="shared" si="56"/>
        <v>2</v>
      </c>
      <c r="M557" t="s">
        <v>594</v>
      </c>
    </row>
    <row r="558" spans="1:13" x14ac:dyDescent="0.35">
      <c r="A558">
        <f t="shared" si="48"/>
        <v>554</v>
      </c>
      <c r="B558" s="9">
        <f t="shared" si="87"/>
        <v>18.78</v>
      </c>
      <c r="C558" s="3" t="s">
        <v>595</v>
      </c>
      <c r="D558">
        <f t="shared" si="58"/>
        <v>26</v>
      </c>
      <c r="E558">
        <f t="shared" si="54"/>
        <v>5</v>
      </c>
      <c r="F558">
        <f t="shared" si="55"/>
        <v>2023</v>
      </c>
      <c r="G558" t="s">
        <v>7</v>
      </c>
      <c r="H558">
        <v>-1</v>
      </c>
      <c r="I558">
        <v>3</v>
      </c>
      <c r="K558" t="s">
        <v>10</v>
      </c>
      <c r="L558" s="8">
        <f t="shared" si="56"/>
        <v>2</v>
      </c>
      <c r="M558" t="s">
        <v>596</v>
      </c>
    </row>
    <row r="559" spans="1:13" x14ac:dyDescent="0.35">
      <c r="A559">
        <f t="shared" si="48"/>
        <v>555</v>
      </c>
      <c r="B559" s="9">
        <f t="shared" ref="B559" si="88">B558+H559+I559+J559</f>
        <v>17.78</v>
      </c>
      <c r="C559" s="3" t="s">
        <v>595</v>
      </c>
      <c r="D559">
        <f t="shared" si="58"/>
        <v>26</v>
      </c>
      <c r="E559">
        <f t="shared" si="54"/>
        <v>5</v>
      </c>
      <c r="F559">
        <f t="shared" si="55"/>
        <v>2023</v>
      </c>
      <c r="G559" t="s">
        <v>7</v>
      </c>
      <c r="H559">
        <v>-1</v>
      </c>
      <c r="K559" t="s">
        <v>9</v>
      </c>
      <c r="L559" s="8">
        <f t="shared" si="56"/>
        <v>-1</v>
      </c>
      <c r="M559" t="s">
        <v>597</v>
      </c>
    </row>
    <row r="560" spans="1:13" x14ac:dyDescent="0.35">
      <c r="A560">
        <f t="shared" si="48"/>
        <v>556</v>
      </c>
      <c r="B560" s="9">
        <f t="shared" ref="B560:B561" si="89">B559+H560+I560+J560</f>
        <v>19.78</v>
      </c>
      <c r="C560" s="3" t="s">
        <v>595</v>
      </c>
      <c r="D560">
        <f t="shared" si="58"/>
        <v>26</v>
      </c>
      <c r="E560">
        <f t="shared" si="54"/>
        <v>5</v>
      </c>
      <c r="F560">
        <f t="shared" si="55"/>
        <v>2023</v>
      </c>
      <c r="G560" t="s">
        <v>7</v>
      </c>
      <c r="H560">
        <v>-1</v>
      </c>
      <c r="I560">
        <v>3</v>
      </c>
      <c r="K560" t="s">
        <v>10</v>
      </c>
      <c r="L560" s="8">
        <f t="shared" si="56"/>
        <v>2</v>
      </c>
      <c r="M560" t="s">
        <v>598</v>
      </c>
    </row>
    <row r="561" spans="1:13" x14ac:dyDescent="0.35">
      <c r="A561">
        <f t="shared" si="48"/>
        <v>557</v>
      </c>
      <c r="B561" s="9">
        <f t="shared" si="89"/>
        <v>18.78</v>
      </c>
      <c r="C561" s="3" t="s">
        <v>595</v>
      </c>
      <c r="D561">
        <f t="shared" si="58"/>
        <v>26</v>
      </c>
      <c r="E561">
        <f t="shared" si="54"/>
        <v>5</v>
      </c>
      <c r="F561">
        <f t="shared" si="55"/>
        <v>2023</v>
      </c>
      <c r="G561" t="s">
        <v>7</v>
      </c>
      <c r="H561">
        <v>-1</v>
      </c>
      <c r="K561" t="s">
        <v>9</v>
      </c>
      <c r="L561" s="8">
        <f t="shared" si="56"/>
        <v>-1</v>
      </c>
      <c r="M561" t="s">
        <v>599</v>
      </c>
    </row>
    <row r="562" spans="1:13" x14ac:dyDescent="0.35">
      <c r="A562">
        <f t="shared" si="48"/>
        <v>558</v>
      </c>
      <c r="B562" s="9">
        <f t="shared" ref="B562" si="90">B561+H562+I562+J562</f>
        <v>17.78</v>
      </c>
      <c r="C562" s="3" t="s">
        <v>600</v>
      </c>
      <c r="D562">
        <f t="shared" si="58"/>
        <v>27</v>
      </c>
      <c r="E562">
        <f t="shared" si="54"/>
        <v>5</v>
      </c>
      <c r="F562">
        <f t="shared" si="55"/>
        <v>2023</v>
      </c>
      <c r="G562" t="s">
        <v>7</v>
      </c>
      <c r="H562">
        <v>-1</v>
      </c>
      <c r="K562" t="s">
        <v>9</v>
      </c>
      <c r="L562" s="8">
        <f t="shared" si="56"/>
        <v>-1</v>
      </c>
      <c r="M562" t="s">
        <v>601</v>
      </c>
    </row>
    <row r="563" spans="1:13" x14ac:dyDescent="0.35">
      <c r="A563">
        <f t="shared" si="48"/>
        <v>559</v>
      </c>
      <c r="B563" s="9">
        <f t="shared" ref="B563" si="91">B562+H563+I563+J563</f>
        <v>16.78</v>
      </c>
      <c r="C563" s="3" t="s">
        <v>600</v>
      </c>
      <c r="D563">
        <f t="shared" si="58"/>
        <v>27</v>
      </c>
      <c r="E563">
        <f t="shared" si="54"/>
        <v>5</v>
      </c>
      <c r="F563">
        <f t="shared" si="55"/>
        <v>2023</v>
      </c>
      <c r="G563" t="s">
        <v>7</v>
      </c>
      <c r="H563">
        <v>-1</v>
      </c>
      <c r="K563" t="s">
        <v>9</v>
      </c>
      <c r="L563" s="8">
        <f t="shared" si="56"/>
        <v>-1</v>
      </c>
      <c r="M563" t="s">
        <v>602</v>
      </c>
    </row>
    <row r="564" spans="1:13" x14ac:dyDescent="0.35">
      <c r="A564">
        <f t="shared" si="48"/>
        <v>560</v>
      </c>
      <c r="B564" s="9">
        <f t="shared" ref="B564" si="92">B563+H564+I564+J564</f>
        <v>15.780000000000001</v>
      </c>
      <c r="C564" s="3" t="s">
        <v>600</v>
      </c>
      <c r="D564">
        <f t="shared" si="58"/>
        <v>27</v>
      </c>
      <c r="E564">
        <f t="shared" si="54"/>
        <v>5</v>
      </c>
      <c r="F564">
        <f t="shared" si="55"/>
        <v>2023</v>
      </c>
      <c r="G564" t="s">
        <v>7</v>
      </c>
      <c r="H564">
        <v>-1</v>
      </c>
      <c r="K564" t="s">
        <v>9</v>
      </c>
      <c r="L564" s="8">
        <f t="shared" si="56"/>
        <v>-1</v>
      </c>
      <c r="M564" t="s">
        <v>603</v>
      </c>
    </row>
    <row r="565" spans="1:13" x14ac:dyDescent="0.35">
      <c r="A565">
        <f t="shared" si="48"/>
        <v>561</v>
      </c>
      <c r="B565" s="9">
        <f t="shared" ref="B565" si="93">B564+H565+I565+J565</f>
        <v>14.780000000000001</v>
      </c>
      <c r="C565" s="3" t="s">
        <v>600</v>
      </c>
      <c r="D565">
        <f t="shared" si="58"/>
        <v>27</v>
      </c>
      <c r="E565">
        <f t="shared" si="54"/>
        <v>5</v>
      </c>
      <c r="F565">
        <f t="shared" si="55"/>
        <v>2023</v>
      </c>
      <c r="G565" t="s">
        <v>7</v>
      </c>
      <c r="H565">
        <v>-1</v>
      </c>
      <c r="K565" t="s">
        <v>9</v>
      </c>
      <c r="L565" s="8">
        <f t="shared" si="56"/>
        <v>-1</v>
      </c>
      <c r="M565" t="s">
        <v>604</v>
      </c>
    </row>
    <row r="566" spans="1:13" x14ac:dyDescent="0.35">
      <c r="A566">
        <f t="shared" si="48"/>
        <v>562</v>
      </c>
      <c r="B566" s="9">
        <f t="shared" ref="B566" si="94">B565+H566+I566+J566</f>
        <v>15.780000000000001</v>
      </c>
      <c r="C566" s="3" t="s">
        <v>600</v>
      </c>
      <c r="D566">
        <f t="shared" si="58"/>
        <v>27</v>
      </c>
      <c r="E566">
        <f t="shared" si="54"/>
        <v>5</v>
      </c>
      <c r="F566">
        <f t="shared" si="55"/>
        <v>2023</v>
      </c>
      <c r="G566" t="s">
        <v>7</v>
      </c>
      <c r="H566">
        <v>-1</v>
      </c>
      <c r="I566">
        <v>2</v>
      </c>
      <c r="K566" t="s">
        <v>10</v>
      </c>
      <c r="L566" s="8">
        <f t="shared" si="56"/>
        <v>1</v>
      </c>
      <c r="M566" t="s">
        <v>605</v>
      </c>
    </row>
    <row r="567" spans="1:13" x14ac:dyDescent="0.35">
      <c r="A567">
        <f t="shared" si="48"/>
        <v>563</v>
      </c>
      <c r="B567" s="9">
        <f t="shared" ref="B567" si="95">B566+H567+I567+J567</f>
        <v>16.78</v>
      </c>
      <c r="C567" s="3" t="s">
        <v>600</v>
      </c>
      <c r="D567">
        <f t="shared" si="58"/>
        <v>27</v>
      </c>
      <c r="E567">
        <f t="shared" si="54"/>
        <v>5</v>
      </c>
      <c r="F567">
        <f t="shared" si="55"/>
        <v>2023</v>
      </c>
      <c r="G567" t="s">
        <v>7</v>
      </c>
      <c r="H567">
        <v>-1</v>
      </c>
      <c r="I567">
        <v>2</v>
      </c>
      <c r="K567" t="s">
        <v>10</v>
      </c>
      <c r="L567" s="8">
        <f t="shared" si="56"/>
        <v>1</v>
      </c>
      <c r="M567" t="s">
        <v>606</v>
      </c>
    </row>
    <row r="568" spans="1:13" x14ac:dyDescent="0.35">
      <c r="A568">
        <f t="shared" si="48"/>
        <v>564</v>
      </c>
      <c r="B568" s="9">
        <f t="shared" ref="B568" si="96">B567+H568+I568+J568</f>
        <v>17.78</v>
      </c>
      <c r="C568" s="3" t="s">
        <v>607</v>
      </c>
      <c r="D568">
        <f t="shared" si="58"/>
        <v>28</v>
      </c>
      <c r="E568">
        <f t="shared" si="54"/>
        <v>5</v>
      </c>
      <c r="F568">
        <f t="shared" si="55"/>
        <v>2023</v>
      </c>
      <c r="G568" t="s">
        <v>7</v>
      </c>
      <c r="H568">
        <v>-1</v>
      </c>
      <c r="I568">
        <v>2</v>
      </c>
      <c r="K568" t="s">
        <v>10</v>
      </c>
      <c r="L568" s="8">
        <f t="shared" si="56"/>
        <v>1</v>
      </c>
      <c r="M568" t="s">
        <v>608</v>
      </c>
    </row>
    <row r="569" spans="1:13" x14ac:dyDescent="0.35">
      <c r="A569">
        <f t="shared" si="48"/>
        <v>565</v>
      </c>
      <c r="B569" s="9">
        <f t="shared" ref="B569" si="97">B568+H569+I569+J569</f>
        <v>16.78</v>
      </c>
      <c r="C569" s="3" t="s">
        <v>607</v>
      </c>
      <c r="D569">
        <f t="shared" si="58"/>
        <v>28</v>
      </c>
      <c r="E569">
        <f t="shared" si="54"/>
        <v>5</v>
      </c>
      <c r="F569">
        <f t="shared" si="55"/>
        <v>2023</v>
      </c>
      <c r="G569" t="s">
        <v>7</v>
      </c>
      <c r="H569">
        <v>-1</v>
      </c>
      <c r="K569" t="s">
        <v>9</v>
      </c>
      <c r="L569" s="8">
        <f t="shared" si="56"/>
        <v>-1</v>
      </c>
      <c r="M569" t="s">
        <v>609</v>
      </c>
    </row>
    <row r="570" spans="1:13" x14ac:dyDescent="0.35">
      <c r="A570">
        <f t="shared" si="48"/>
        <v>566</v>
      </c>
      <c r="B570" s="9">
        <f t="shared" ref="B570" si="98">B569+H570+I570+J570</f>
        <v>15.780000000000001</v>
      </c>
      <c r="C570" s="3" t="s">
        <v>607</v>
      </c>
      <c r="D570">
        <f t="shared" si="58"/>
        <v>28</v>
      </c>
      <c r="E570">
        <f t="shared" si="54"/>
        <v>5</v>
      </c>
      <c r="F570">
        <f t="shared" si="55"/>
        <v>2023</v>
      </c>
      <c r="G570" t="s">
        <v>7</v>
      </c>
      <c r="H570">
        <v>-1</v>
      </c>
      <c r="K570" t="s">
        <v>9</v>
      </c>
      <c r="L570" s="8">
        <f t="shared" si="56"/>
        <v>-1</v>
      </c>
      <c r="M570" t="s">
        <v>610</v>
      </c>
    </row>
    <row r="571" spans="1:13" x14ac:dyDescent="0.35">
      <c r="A571">
        <f t="shared" si="48"/>
        <v>567</v>
      </c>
      <c r="B571" s="9">
        <f t="shared" ref="B571" si="99">B570+H571+I571+J571</f>
        <v>14.780000000000001</v>
      </c>
      <c r="C571" s="3" t="s">
        <v>607</v>
      </c>
      <c r="D571">
        <f t="shared" si="58"/>
        <v>28</v>
      </c>
      <c r="E571">
        <f t="shared" si="54"/>
        <v>5</v>
      </c>
      <c r="F571">
        <f t="shared" si="55"/>
        <v>2023</v>
      </c>
      <c r="G571" t="s">
        <v>7</v>
      </c>
      <c r="H571">
        <v>-1</v>
      </c>
      <c r="K571" t="s">
        <v>9</v>
      </c>
      <c r="L571" s="8">
        <f t="shared" si="56"/>
        <v>-1</v>
      </c>
      <c r="M571" t="s">
        <v>611</v>
      </c>
    </row>
    <row r="572" spans="1:13" x14ac:dyDescent="0.35">
      <c r="A572">
        <f t="shared" si="48"/>
        <v>568</v>
      </c>
      <c r="B572" s="9">
        <f t="shared" ref="B572" si="100">B571+H572+I572+J572</f>
        <v>13.780000000000001</v>
      </c>
      <c r="C572" s="3" t="s">
        <v>607</v>
      </c>
      <c r="D572">
        <f t="shared" si="58"/>
        <v>28</v>
      </c>
      <c r="E572">
        <f t="shared" si="54"/>
        <v>5</v>
      </c>
      <c r="F572">
        <f t="shared" si="55"/>
        <v>2023</v>
      </c>
      <c r="G572" t="s">
        <v>7</v>
      </c>
      <c r="H572">
        <v>-1</v>
      </c>
      <c r="K572" t="s">
        <v>9</v>
      </c>
      <c r="L572" s="8">
        <f t="shared" si="56"/>
        <v>-1</v>
      </c>
      <c r="M572" t="s">
        <v>612</v>
      </c>
    </row>
    <row r="573" spans="1:13" x14ac:dyDescent="0.35">
      <c r="A573">
        <f t="shared" si="48"/>
        <v>569</v>
      </c>
      <c r="B573" s="9">
        <f t="shared" ref="B573:B574" si="101">B572+H573+I573+J573</f>
        <v>12.780000000000001</v>
      </c>
      <c r="C573" s="3" t="s">
        <v>607</v>
      </c>
      <c r="D573">
        <f t="shared" si="58"/>
        <v>28</v>
      </c>
      <c r="E573">
        <f t="shared" si="54"/>
        <v>5</v>
      </c>
      <c r="F573">
        <f t="shared" si="55"/>
        <v>2023</v>
      </c>
      <c r="G573" t="s">
        <v>7</v>
      </c>
      <c r="H573">
        <v>-1</v>
      </c>
      <c r="K573" t="s">
        <v>9</v>
      </c>
      <c r="L573" s="8">
        <f t="shared" si="56"/>
        <v>-1</v>
      </c>
      <c r="M573" t="s">
        <v>613</v>
      </c>
    </row>
    <row r="574" spans="1:13" x14ac:dyDescent="0.35">
      <c r="A574">
        <f t="shared" si="48"/>
        <v>570</v>
      </c>
      <c r="B574" s="9">
        <f t="shared" si="101"/>
        <v>13.780000000000001</v>
      </c>
      <c r="C574" s="3" t="s">
        <v>607</v>
      </c>
      <c r="D574">
        <f t="shared" si="58"/>
        <v>28</v>
      </c>
      <c r="E574">
        <f t="shared" si="54"/>
        <v>5</v>
      </c>
      <c r="F574">
        <f t="shared" si="55"/>
        <v>2023</v>
      </c>
      <c r="G574" t="s">
        <v>7</v>
      </c>
      <c r="H574">
        <v>-1</v>
      </c>
      <c r="I574">
        <v>2</v>
      </c>
      <c r="K574" t="s">
        <v>10</v>
      </c>
      <c r="L574" s="8">
        <f t="shared" si="56"/>
        <v>1</v>
      </c>
      <c r="M574" t="s">
        <v>614</v>
      </c>
    </row>
    <row r="575" spans="1:13" x14ac:dyDescent="0.35">
      <c r="A575">
        <f t="shared" si="48"/>
        <v>571</v>
      </c>
      <c r="B575" s="9">
        <f t="shared" ref="B575" si="102">B574+H575+I575+J575</f>
        <v>12.780000000000001</v>
      </c>
      <c r="C575" s="3" t="s">
        <v>607</v>
      </c>
      <c r="D575">
        <f t="shared" si="58"/>
        <v>28</v>
      </c>
      <c r="E575">
        <f t="shared" si="54"/>
        <v>5</v>
      </c>
      <c r="F575">
        <f t="shared" si="55"/>
        <v>2023</v>
      </c>
      <c r="G575" t="s">
        <v>7</v>
      </c>
      <c r="H575">
        <v>-1</v>
      </c>
      <c r="K575" t="s">
        <v>9</v>
      </c>
      <c r="L575" s="8">
        <f t="shared" si="56"/>
        <v>-1</v>
      </c>
      <c r="M575" t="s">
        <v>615</v>
      </c>
    </row>
    <row r="576" spans="1:13" x14ac:dyDescent="0.35">
      <c r="A576">
        <f t="shared" si="48"/>
        <v>572</v>
      </c>
      <c r="B576" s="9">
        <f t="shared" ref="B576" si="103">B575+H576+I576+J576</f>
        <v>11.780000000000001</v>
      </c>
      <c r="C576" s="3" t="s">
        <v>607</v>
      </c>
      <c r="D576">
        <f t="shared" si="58"/>
        <v>28</v>
      </c>
      <c r="E576">
        <f t="shared" si="54"/>
        <v>5</v>
      </c>
      <c r="F576">
        <f t="shared" si="55"/>
        <v>2023</v>
      </c>
      <c r="G576" t="s">
        <v>7</v>
      </c>
      <c r="H576">
        <v>-1</v>
      </c>
      <c r="K576" t="s">
        <v>9</v>
      </c>
      <c r="L576" s="8">
        <f t="shared" si="56"/>
        <v>-1</v>
      </c>
      <c r="M576" t="s">
        <v>616</v>
      </c>
    </row>
    <row r="577" spans="1:13" x14ac:dyDescent="0.35">
      <c r="A577">
        <f t="shared" si="48"/>
        <v>573</v>
      </c>
      <c r="B577" s="9">
        <f t="shared" ref="B577" si="104">B576+H577+I577+J577</f>
        <v>0.78000000000000114</v>
      </c>
      <c r="C577" s="3" t="s">
        <v>607</v>
      </c>
      <c r="D577">
        <f t="shared" si="58"/>
        <v>28</v>
      </c>
      <c r="E577">
        <f t="shared" si="54"/>
        <v>5</v>
      </c>
      <c r="F577">
        <f t="shared" si="55"/>
        <v>2023</v>
      </c>
      <c r="G577" t="s">
        <v>154</v>
      </c>
      <c r="H577">
        <v>-11</v>
      </c>
      <c r="K577" t="s">
        <v>9</v>
      </c>
      <c r="L577" s="8">
        <f t="shared" si="56"/>
        <v>-1</v>
      </c>
      <c r="M577" t="s">
        <v>617</v>
      </c>
    </row>
    <row r="578" spans="1:13" x14ac:dyDescent="0.35">
      <c r="A578">
        <f t="shared" si="48"/>
        <v>574</v>
      </c>
      <c r="B578" s="9">
        <f t="shared" ref="B578:B579" si="105">B577+H578+I578+J578</f>
        <v>28.380000000000003</v>
      </c>
      <c r="C578" s="3" t="s">
        <v>607</v>
      </c>
      <c r="D578">
        <f>_xlfn.NUMBERVALUE(LEFT(C578,2))</f>
        <v>28</v>
      </c>
      <c r="E578">
        <f t="shared" si="54"/>
        <v>5</v>
      </c>
      <c r="F578">
        <f t="shared" si="55"/>
        <v>2023</v>
      </c>
      <c r="G578" t="s">
        <v>3362</v>
      </c>
      <c r="I578">
        <v>27.6</v>
      </c>
      <c r="L578" s="8"/>
    </row>
    <row r="579" spans="1:13" x14ac:dyDescent="0.35">
      <c r="A579">
        <f t="shared" si="48"/>
        <v>575</v>
      </c>
      <c r="B579" s="9">
        <f t="shared" si="105"/>
        <v>27.380000000000003</v>
      </c>
      <c r="C579" s="3" t="s">
        <v>618</v>
      </c>
      <c r="D579">
        <f t="shared" ref="D579:D632" si="106">_xlfn.NUMBERVALUE(LEFT(C579,2))</f>
        <v>29</v>
      </c>
      <c r="E579">
        <f t="shared" si="54"/>
        <v>5</v>
      </c>
      <c r="F579">
        <f t="shared" si="55"/>
        <v>2023</v>
      </c>
      <c r="G579" t="s">
        <v>7</v>
      </c>
      <c r="H579">
        <v>-1</v>
      </c>
      <c r="K579" t="s">
        <v>9</v>
      </c>
      <c r="L579" s="8">
        <f t="shared" si="56"/>
        <v>-1</v>
      </c>
      <c r="M579" t="s">
        <v>619</v>
      </c>
    </row>
    <row r="580" spans="1:13" x14ac:dyDescent="0.35">
      <c r="A580">
        <f t="shared" si="48"/>
        <v>576</v>
      </c>
      <c r="B580" s="9">
        <f t="shared" ref="B580" si="107">B579+H580+I580+J580</f>
        <v>26.380000000000003</v>
      </c>
      <c r="C580" s="3" t="s">
        <v>618</v>
      </c>
      <c r="D580">
        <f t="shared" si="106"/>
        <v>29</v>
      </c>
      <c r="E580">
        <f t="shared" si="54"/>
        <v>5</v>
      </c>
      <c r="F580">
        <f t="shared" si="55"/>
        <v>2023</v>
      </c>
      <c r="G580" t="s">
        <v>7</v>
      </c>
      <c r="H580">
        <v>-1</v>
      </c>
      <c r="K580" t="s">
        <v>9</v>
      </c>
      <c r="L580" s="8">
        <f t="shared" si="56"/>
        <v>-1</v>
      </c>
      <c r="M580" t="s">
        <v>620</v>
      </c>
    </row>
    <row r="581" spans="1:13" x14ac:dyDescent="0.35">
      <c r="A581">
        <f t="shared" si="48"/>
        <v>577</v>
      </c>
      <c r="B581" s="9">
        <f t="shared" ref="B581" si="108">B580+H581+I581+J581</f>
        <v>25.380000000000003</v>
      </c>
      <c r="C581" s="3" t="s">
        <v>618</v>
      </c>
      <c r="D581">
        <f t="shared" si="106"/>
        <v>29</v>
      </c>
      <c r="E581">
        <f t="shared" si="54"/>
        <v>5</v>
      </c>
      <c r="F581">
        <f t="shared" si="55"/>
        <v>2023</v>
      </c>
      <c r="G581" t="s">
        <v>7</v>
      </c>
      <c r="H581">
        <v>-1</v>
      </c>
      <c r="K581" t="s">
        <v>9</v>
      </c>
      <c r="L581" s="8">
        <f t="shared" si="56"/>
        <v>-1</v>
      </c>
      <c r="M581" t="s">
        <v>621</v>
      </c>
    </row>
    <row r="582" spans="1:13" x14ac:dyDescent="0.35">
      <c r="A582">
        <f t="shared" si="48"/>
        <v>578</v>
      </c>
      <c r="B582" s="9">
        <f t="shared" ref="B582" si="109">B581+H582+I582+J582</f>
        <v>27.380000000000003</v>
      </c>
      <c r="C582" s="3" t="s">
        <v>618</v>
      </c>
      <c r="D582">
        <f t="shared" si="106"/>
        <v>29</v>
      </c>
      <c r="E582">
        <f t="shared" ref="E582:E645" si="110">_xlfn.NUMBERVALUE(MID(C582,4,2))</f>
        <v>5</v>
      </c>
      <c r="F582">
        <f t="shared" ref="F582:F645" si="111">_xlfn.NUMBERVALUE(RIGHT(C582,4))</f>
        <v>2023</v>
      </c>
      <c r="G582" t="s">
        <v>7</v>
      </c>
      <c r="H582">
        <v>-1</v>
      </c>
      <c r="I582">
        <v>3</v>
      </c>
      <c r="K582" t="s">
        <v>10</v>
      </c>
      <c r="L582" s="8">
        <f t="shared" ref="L582:L645" si="112">IF(H582="",0,(SUM(I582:J582)/-H582)-1)</f>
        <v>2</v>
      </c>
      <c r="M582" t="s">
        <v>622</v>
      </c>
    </row>
    <row r="583" spans="1:13" x14ac:dyDescent="0.35">
      <c r="A583">
        <f t="shared" si="48"/>
        <v>579</v>
      </c>
      <c r="B583" s="9">
        <f t="shared" ref="B583:B584" si="113">B582+H583+I583+J583</f>
        <v>29.380000000000003</v>
      </c>
      <c r="C583" s="3" t="s">
        <v>618</v>
      </c>
      <c r="D583">
        <f t="shared" si="106"/>
        <v>29</v>
      </c>
      <c r="E583">
        <f t="shared" si="110"/>
        <v>5</v>
      </c>
      <c r="F583">
        <f t="shared" si="111"/>
        <v>2023</v>
      </c>
      <c r="G583" t="s">
        <v>7</v>
      </c>
      <c r="H583">
        <v>-1</v>
      </c>
      <c r="I583">
        <v>3</v>
      </c>
      <c r="K583" t="s">
        <v>10</v>
      </c>
      <c r="L583" s="8">
        <f t="shared" si="112"/>
        <v>2</v>
      </c>
      <c r="M583" t="s">
        <v>623</v>
      </c>
    </row>
    <row r="584" spans="1:13" x14ac:dyDescent="0.35">
      <c r="A584">
        <f t="shared" si="48"/>
        <v>580</v>
      </c>
      <c r="B584" s="9">
        <f t="shared" si="113"/>
        <v>28.380000000000003</v>
      </c>
      <c r="C584" s="3" t="s">
        <v>618</v>
      </c>
      <c r="D584">
        <f t="shared" si="106"/>
        <v>29</v>
      </c>
      <c r="E584">
        <f t="shared" si="110"/>
        <v>5</v>
      </c>
      <c r="F584">
        <f t="shared" si="111"/>
        <v>2023</v>
      </c>
      <c r="G584" t="s">
        <v>7</v>
      </c>
      <c r="H584">
        <v>-1</v>
      </c>
      <c r="K584" t="s">
        <v>9</v>
      </c>
      <c r="L584" s="8">
        <f t="shared" si="112"/>
        <v>-1</v>
      </c>
      <c r="M584" t="s">
        <v>624</v>
      </c>
    </row>
    <row r="585" spans="1:13" x14ac:dyDescent="0.35">
      <c r="A585">
        <f t="shared" si="48"/>
        <v>581</v>
      </c>
      <c r="B585" s="9">
        <f t="shared" ref="B585" si="114">B584+H585+I585+J585</f>
        <v>27.380000000000003</v>
      </c>
      <c r="C585" s="3" t="s">
        <v>618</v>
      </c>
      <c r="D585">
        <f t="shared" si="106"/>
        <v>29</v>
      </c>
      <c r="E585">
        <f t="shared" si="110"/>
        <v>5</v>
      </c>
      <c r="F585">
        <f t="shared" si="111"/>
        <v>2023</v>
      </c>
      <c r="G585" t="s">
        <v>7</v>
      </c>
      <c r="H585">
        <v>-1</v>
      </c>
      <c r="K585" t="s">
        <v>9</v>
      </c>
      <c r="L585" s="8">
        <f t="shared" si="112"/>
        <v>-1</v>
      </c>
      <c r="M585" t="s">
        <v>625</v>
      </c>
    </row>
    <row r="586" spans="1:13" x14ac:dyDescent="0.35">
      <c r="A586">
        <f t="shared" si="48"/>
        <v>582</v>
      </c>
      <c r="B586" s="9">
        <f t="shared" ref="B586" si="115">B585+H586+I586+J586</f>
        <v>26.380000000000003</v>
      </c>
      <c r="C586" s="3" t="s">
        <v>626</v>
      </c>
      <c r="D586">
        <f t="shared" si="106"/>
        <v>30</v>
      </c>
      <c r="E586">
        <f t="shared" si="110"/>
        <v>5</v>
      </c>
      <c r="F586">
        <f t="shared" si="111"/>
        <v>2023</v>
      </c>
      <c r="G586" t="s">
        <v>7</v>
      </c>
      <c r="H586">
        <v>-1</v>
      </c>
      <c r="K586" t="s">
        <v>9</v>
      </c>
      <c r="L586" s="8">
        <f t="shared" si="112"/>
        <v>-1</v>
      </c>
      <c r="M586" t="s">
        <v>627</v>
      </c>
    </row>
    <row r="587" spans="1:13" x14ac:dyDescent="0.35">
      <c r="A587">
        <f t="shared" si="48"/>
        <v>583</v>
      </c>
      <c r="B587" s="9">
        <f t="shared" ref="B587" si="116">B586+H587+I587+J587</f>
        <v>25.380000000000003</v>
      </c>
      <c r="C587" s="3" t="s">
        <v>626</v>
      </c>
      <c r="D587">
        <f t="shared" si="106"/>
        <v>30</v>
      </c>
      <c r="E587">
        <f t="shared" si="110"/>
        <v>5</v>
      </c>
      <c r="F587">
        <f t="shared" si="111"/>
        <v>2023</v>
      </c>
      <c r="G587" t="s">
        <v>7</v>
      </c>
      <c r="H587">
        <v>-1</v>
      </c>
      <c r="K587" t="s">
        <v>9</v>
      </c>
      <c r="L587" s="8">
        <f t="shared" si="112"/>
        <v>-1</v>
      </c>
      <c r="M587" t="s">
        <v>628</v>
      </c>
    </row>
    <row r="588" spans="1:13" x14ac:dyDescent="0.35">
      <c r="A588">
        <f t="shared" si="48"/>
        <v>584</v>
      </c>
      <c r="B588" s="9">
        <f t="shared" ref="B588" si="117">B587+H588+I588+J588</f>
        <v>24.380000000000003</v>
      </c>
      <c r="C588" s="3" t="s">
        <v>626</v>
      </c>
      <c r="D588">
        <f t="shared" si="106"/>
        <v>30</v>
      </c>
      <c r="E588">
        <f t="shared" si="110"/>
        <v>5</v>
      </c>
      <c r="F588">
        <f t="shared" si="111"/>
        <v>2023</v>
      </c>
      <c r="G588" t="s">
        <v>7</v>
      </c>
      <c r="H588">
        <v>-1</v>
      </c>
      <c r="K588" t="s">
        <v>9</v>
      </c>
      <c r="L588" s="8">
        <f t="shared" si="112"/>
        <v>-1</v>
      </c>
      <c r="M588" t="s">
        <v>629</v>
      </c>
    </row>
    <row r="589" spans="1:13" x14ac:dyDescent="0.35">
      <c r="A589">
        <f t="shared" si="48"/>
        <v>585</v>
      </c>
      <c r="B589" s="9">
        <f t="shared" ref="B589" si="118">B588+H589+I589+J589</f>
        <v>23.380000000000003</v>
      </c>
      <c r="C589" s="3" t="s">
        <v>626</v>
      </c>
      <c r="D589">
        <f t="shared" si="106"/>
        <v>30</v>
      </c>
      <c r="E589">
        <f t="shared" si="110"/>
        <v>5</v>
      </c>
      <c r="F589">
        <f t="shared" si="111"/>
        <v>2023</v>
      </c>
      <c r="G589" t="s">
        <v>7</v>
      </c>
      <c r="H589">
        <v>-1</v>
      </c>
      <c r="K589" t="s">
        <v>9</v>
      </c>
      <c r="L589" s="8">
        <f t="shared" si="112"/>
        <v>-1</v>
      </c>
      <c r="M589" t="s">
        <v>630</v>
      </c>
    </row>
    <row r="590" spans="1:13" x14ac:dyDescent="0.35">
      <c r="A590">
        <f t="shared" si="48"/>
        <v>586</v>
      </c>
      <c r="B590" s="9">
        <f t="shared" ref="B590" si="119">B589+H590+I590+J590</f>
        <v>22.380000000000003</v>
      </c>
      <c r="C590" s="3" t="s">
        <v>626</v>
      </c>
      <c r="D590">
        <f t="shared" si="106"/>
        <v>30</v>
      </c>
      <c r="E590">
        <f t="shared" si="110"/>
        <v>5</v>
      </c>
      <c r="F590">
        <f t="shared" si="111"/>
        <v>2023</v>
      </c>
      <c r="G590" t="s">
        <v>7</v>
      </c>
      <c r="H590">
        <v>-1</v>
      </c>
      <c r="K590" t="s">
        <v>9</v>
      </c>
      <c r="L590" s="8">
        <f t="shared" si="112"/>
        <v>-1</v>
      </c>
      <c r="M590" t="s">
        <v>631</v>
      </c>
    </row>
    <row r="591" spans="1:13" x14ac:dyDescent="0.35">
      <c r="A591">
        <f t="shared" si="48"/>
        <v>587</v>
      </c>
      <c r="B591" s="9">
        <f t="shared" ref="B591" si="120">B590+H591+I591+J591</f>
        <v>21.380000000000003</v>
      </c>
      <c r="C591" s="3" t="s">
        <v>626</v>
      </c>
      <c r="D591">
        <f t="shared" si="106"/>
        <v>30</v>
      </c>
      <c r="E591">
        <f t="shared" si="110"/>
        <v>5</v>
      </c>
      <c r="F591">
        <f t="shared" si="111"/>
        <v>2023</v>
      </c>
      <c r="G591" t="s">
        <v>7</v>
      </c>
      <c r="H591">
        <v>-1</v>
      </c>
      <c r="K591" t="s">
        <v>9</v>
      </c>
      <c r="L591" s="8">
        <f t="shared" si="112"/>
        <v>-1</v>
      </c>
      <c r="M591" t="s">
        <v>632</v>
      </c>
    </row>
    <row r="592" spans="1:13" x14ac:dyDescent="0.35">
      <c r="A592">
        <f t="shared" si="48"/>
        <v>588</v>
      </c>
      <c r="B592" s="9">
        <f t="shared" ref="B592" si="121">B591+H592+I592+J592</f>
        <v>23.380000000000003</v>
      </c>
      <c r="C592" s="3" t="s">
        <v>626</v>
      </c>
      <c r="D592">
        <f t="shared" si="106"/>
        <v>30</v>
      </c>
      <c r="E592">
        <f t="shared" si="110"/>
        <v>5</v>
      </c>
      <c r="F592">
        <f t="shared" si="111"/>
        <v>2023</v>
      </c>
      <c r="G592" t="s">
        <v>7</v>
      </c>
      <c r="H592">
        <v>-1</v>
      </c>
      <c r="I592">
        <v>3</v>
      </c>
      <c r="K592" t="s">
        <v>10</v>
      </c>
      <c r="L592" s="8">
        <f t="shared" si="112"/>
        <v>2</v>
      </c>
      <c r="M592" t="s">
        <v>633</v>
      </c>
    </row>
    <row r="593" spans="1:13" x14ac:dyDescent="0.35">
      <c r="A593">
        <f t="shared" si="48"/>
        <v>589</v>
      </c>
      <c r="B593" s="9">
        <f t="shared" ref="B593" si="122">B592+H593+I593+J593</f>
        <v>24.380000000000003</v>
      </c>
      <c r="C593" s="3" t="s">
        <v>626</v>
      </c>
      <c r="D593">
        <f t="shared" si="106"/>
        <v>30</v>
      </c>
      <c r="E593">
        <f t="shared" si="110"/>
        <v>5</v>
      </c>
      <c r="F593">
        <f t="shared" si="111"/>
        <v>2023</v>
      </c>
      <c r="G593" t="s">
        <v>7</v>
      </c>
      <c r="H593">
        <v>-1</v>
      </c>
      <c r="I593">
        <v>2</v>
      </c>
      <c r="K593" t="s">
        <v>10</v>
      </c>
      <c r="L593" s="8">
        <f t="shared" si="112"/>
        <v>1</v>
      </c>
      <c r="M593" t="s">
        <v>634</v>
      </c>
    </row>
    <row r="594" spans="1:13" x14ac:dyDescent="0.35">
      <c r="A594">
        <f t="shared" si="48"/>
        <v>590</v>
      </c>
      <c r="B594" s="9">
        <f t="shared" ref="B594" si="123">B593+H594+I594+J594</f>
        <v>25.380000000000003</v>
      </c>
      <c r="C594" s="3" t="s">
        <v>635</v>
      </c>
      <c r="D594">
        <f t="shared" si="106"/>
        <v>31</v>
      </c>
      <c r="E594">
        <f t="shared" si="110"/>
        <v>5</v>
      </c>
      <c r="F594">
        <f t="shared" si="111"/>
        <v>2023</v>
      </c>
      <c r="G594" t="s">
        <v>7</v>
      </c>
      <c r="H594">
        <v>-1</v>
      </c>
      <c r="I594">
        <v>2</v>
      </c>
      <c r="K594" t="s">
        <v>10</v>
      </c>
      <c r="L594" s="8">
        <f t="shared" si="112"/>
        <v>1</v>
      </c>
      <c r="M594" t="s">
        <v>636</v>
      </c>
    </row>
    <row r="595" spans="1:13" x14ac:dyDescent="0.35">
      <c r="A595">
        <f t="shared" si="48"/>
        <v>591</v>
      </c>
      <c r="B595" s="9">
        <f t="shared" ref="B595:B596" si="124">B594+H595+I595+J595</f>
        <v>26.380000000000003</v>
      </c>
      <c r="C595" s="3" t="s">
        <v>635</v>
      </c>
      <c r="D595">
        <f t="shared" si="106"/>
        <v>31</v>
      </c>
      <c r="E595">
        <f t="shared" si="110"/>
        <v>5</v>
      </c>
      <c r="F595">
        <f t="shared" si="111"/>
        <v>2023</v>
      </c>
      <c r="G595" t="s">
        <v>7</v>
      </c>
      <c r="H595">
        <v>-1</v>
      </c>
      <c r="I595">
        <v>2</v>
      </c>
      <c r="K595" t="s">
        <v>10</v>
      </c>
      <c r="L595" s="8">
        <f t="shared" si="112"/>
        <v>1</v>
      </c>
      <c r="M595" t="s">
        <v>637</v>
      </c>
    </row>
    <row r="596" spans="1:13" x14ac:dyDescent="0.35">
      <c r="A596">
        <f t="shared" si="48"/>
        <v>592</v>
      </c>
      <c r="B596" s="9">
        <f t="shared" si="124"/>
        <v>25.380000000000003</v>
      </c>
      <c r="C596" s="3" t="s">
        <v>635</v>
      </c>
      <c r="D596">
        <f t="shared" si="106"/>
        <v>31</v>
      </c>
      <c r="E596">
        <f t="shared" si="110"/>
        <v>5</v>
      </c>
      <c r="F596">
        <f t="shared" si="111"/>
        <v>2023</v>
      </c>
      <c r="G596" t="s">
        <v>7</v>
      </c>
      <c r="H596">
        <v>-1</v>
      </c>
      <c r="K596" t="s">
        <v>9</v>
      </c>
      <c r="L596" s="8">
        <f t="shared" si="112"/>
        <v>-1</v>
      </c>
      <c r="M596" t="s">
        <v>638</v>
      </c>
    </row>
    <row r="597" spans="1:13" x14ac:dyDescent="0.35">
      <c r="A597">
        <f t="shared" si="48"/>
        <v>593</v>
      </c>
      <c r="B597" s="9">
        <f t="shared" ref="B597" si="125">B596+H597+I597+J597</f>
        <v>24.380000000000003</v>
      </c>
      <c r="C597" s="3" t="s">
        <v>635</v>
      </c>
      <c r="D597">
        <f t="shared" si="106"/>
        <v>31</v>
      </c>
      <c r="E597">
        <f t="shared" si="110"/>
        <v>5</v>
      </c>
      <c r="F597">
        <f t="shared" si="111"/>
        <v>2023</v>
      </c>
      <c r="G597" t="s">
        <v>7</v>
      </c>
      <c r="H597">
        <v>-1</v>
      </c>
      <c r="K597" t="s">
        <v>9</v>
      </c>
      <c r="L597" s="8">
        <f t="shared" si="112"/>
        <v>-1</v>
      </c>
      <c r="M597" t="s">
        <v>639</v>
      </c>
    </row>
    <row r="598" spans="1:13" x14ac:dyDescent="0.35">
      <c r="A598">
        <f t="shared" si="48"/>
        <v>594</v>
      </c>
      <c r="B598" s="9">
        <f t="shared" ref="B598:B599" si="126">B597+H598+I598+J598</f>
        <v>23.380000000000003</v>
      </c>
      <c r="C598" s="3" t="s">
        <v>635</v>
      </c>
      <c r="D598">
        <f t="shared" si="106"/>
        <v>31</v>
      </c>
      <c r="E598">
        <f t="shared" si="110"/>
        <v>5</v>
      </c>
      <c r="F598">
        <f t="shared" si="111"/>
        <v>2023</v>
      </c>
      <c r="G598" t="s">
        <v>7</v>
      </c>
      <c r="H598">
        <v>-1</v>
      </c>
      <c r="K598" t="s">
        <v>9</v>
      </c>
      <c r="L598" s="8">
        <f t="shared" si="112"/>
        <v>-1</v>
      </c>
      <c r="M598" t="s">
        <v>640</v>
      </c>
    </row>
    <row r="599" spans="1:13" x14ac:dyDescent="0.35">
      <c r="A599">
        <f t="shared" si="48"/>
        <v>595</v>
      </c>
      <c r="B599" s="9">
        <f t="shared" si="126"/>
        <v>25.380000000000003</v>
      </c>
      <c r="C599" s="3" t="s">
        <v>635</v>
      </c>
      <c r="D599">
        <f t="shared" si="106"/>
        <v>31</v>
      </c>
      <c r="E599">
        <f t="shared" si="110"/>
        <v>5</v>
      </c>
      <c r="F599">
        <f t="shared" si="111"/>
        <v>2023</v>
      </c>
      <c r="G599" t="s">
        <v>7</v>
      </c>
      <c r="H599">
        <v>-1</v>
      </c>
      <c r="I599">
        <v>3</v>
      </c>
      <c r="K599" t="s">
        <v>10</v>
      </c>
      <c r="L599" s="8">
        <f t="shared" si="112"/>
        <v>2</v>
      </c>
      <c r="M599" t="s">
        <v>641</v>
      </c>
    </row>
    <row r="600" spans="1:13" x14ac:dyDescent="0.35">
      <c r="A600">
        <f t="shared" si="48"/>
        <v>596</v>
      </c>
      <c r="B600" s="9">
        <f t="shared" ref="B600" si="127">B599+H600+I600+J600</f>
        <v>27.380000000000003</v>
      </c>
      <c r="C600" s="3" t="s">
        <v>642</v>
      </c>
      <c r="D600">
        <f t="shared" si="106"/>
        <v>1</v>
      </c>
      <c r="E600">
        <f t="shared" si="110"/>
        <v>6</v>
      </c>
      <c r="F600">
        <f t="shared" si="111"/>
        <v>2023</v>
      </c>
      <c r="G600" t="s">
        <v>7</v>
      </c>
      <c r="H600">
        <v>-1</v>
      </c>
      <c r="I600">
        <v>3</v>
      </c>
      <c r="K600" t="s">
        <v>10</v>
      </c>
      <c r="L600" s="8">
        <f t="shared" si="112"/>
        <v>2</v>
      </c>
      <c r="M600" t="s">
        <v>643</v>
      </c>
    </row>
    <row r="601" spans="1:13" x14ac:dyDescent="0.35">
      <c r="A601">
        <f t="shared" si="48"/>
        <v>597</v>
      </c>
      <c r="B601" s="9">
        <f t="shared" ref="B601" si="128">B600+H601+I601+J601</f>
        <v>26.380000000000003</v>
      </c>
      <c r="C601" s="3" t="s">
        <v>642</v>
      </c>
      <c r="D601">
        <f t="shared" si="106"/>
        <v>1</v>
      </c>
      <c r="E601">
        <f t="shared" si="110"/>
        <v>6</v>
      </c>
      <c r="F601">
        <f t="shared" si="111"/>
        <v>2023</v>
      </c>
      <c r="G601" t="s">
        <v>7</v>
      </c>
      <c r="H601">
        <v>-1</v>
      </c>
      <c r="K601" t="s">
        <v>9</v>
      </c>
      <c r="L601" s="8">
        <f t="shared" si="112"/>
        <v>-1</v>
      </c>
      <c r="M601" t="s">
        <v>644</v>
      </c>
    </row>
    <row r="602" spans="1:13" x14ac:dyDescent="0.35">
      <c r="A602">
        <f t="shared" si="48"/>
        <v>598</v>
      </c>
      <c r="B602" s="9">
        <f t="shared" ref="B602" si="129">B601+H602+I602+J602</f>
        <v>25.380000000000003</v>
      </c>
      <c r="C602" s="3" t="s">
        <v>642</v>
      </c>
      <c r="D602">
        <f t="shared" si="106"/>
        <v>1</v>
      </c>
      <c r="E602">
        <f t="shared" si="110"/>
        <v>6</v>
      </c>
      <c r="F602">
        <f t="shared" si="111"/>
        <v>2023</v>
      </c>
      <c r="G602" t="s">
        <v>7</v>
      </c>
      <c r="H602">
        <v>-1</v>
      </c>
      <c r="K602" t="s">
        <v>9</v>
      </c>
      <c r="L602" s="8">
        <f t="shared" si="112"/>
        <v>-1</v>
      </c>
      <c r="M602" t="s">
        <v>645</v>
      </c>
    </row>
    <row r="603" spans="1:13" x14ac:dyDescent="0.35">
      <c r="A603">
        <f t="shared" si="48"/>
        <v>599</v>
      </c>
      <c r="B603" s="9">
        <f t="shared" ref="B603" si="130">B602+H603+I603+J603</f>
        <v>24.380000000000003</v>
      </c>
      <c r="C603" s="3" t="s">
        <v>642</v>
      </c>
      <c r="D603">
        <f t="shared" si="106"/>
        <v>1</v>
      </c>
      <c r="E603">
        <f t="shared" si="110"/>
        <v>6</v>
      </c>
      <c r="F603">
        <f t="shared" si="111"/>
        <v>2023</v>
      </c>
      <c r="G603" t="s">
        <v>7</v>
      </c>
      <c r="H603">
        <v>-1</v>
      </c>
      <c r="K603" t="s">
        <v>9</v>
      </c>
      <c r="L603" s="8">
        <f t="shared" si="112"/>
        <v>-1</v>
      </c>
      <c r="M603" t="s">
        <v>646</v>
      </c>
    </row>
    <row r="604" spans="1:13" x14ac:dyDescent="0.35">
      <c r="A604">
        <f t="shared" si="48"/>
        <v>600</v>
      </c>
      <c r="B604" s="9">
        <f t="shared" ref="B604" si="131">B603+H604+I604+J604</f>
        <v>23.380000000000003</v>
      </c>
      <c r="C604" s="3" t="s">
        <v>642</v>
      </c>
      <c r="D604">
        <f t="shared" si="106"/>
        <v>1</v>
      </c>
      <c r="E604">
        <f t="shared" si="110"/>
        <v>6</v>
      </c>
      <c r="F604">
        <f t="shared" si="111"/>
        <v>2023</v>
      </c>
      <c r="G604" t="s">
        <v>7</v>
      </c>
      <c r="H604">
        <v>-1</v>
      </c>
      <c r="K604" t="s">
        <v>9</v>
      </c>
      <c r="L604" s="8">
        <f t="shared" si="112"/>
        <v>-1</v>
      </c>
      <c r="M604" t="s">
        <v>647</v>
      </c>
    </row>
    <row r="605" spans="1:13" x14ac:dyDescent="0.35">
      <c r="A605">
        <f t="shared" si="48"/>
        <v>601</v>
      </c>
      <c r="B605" s="9">
        <f t="shared" ref="B605" si="132">B604+H605+I605+J605</f>
        <v>22.380000000000003</v>
      </c>
      <c r="C605" s="3" t="s">
        <v>642</v>
      </c>
      <c r="D605">
        <f t="shared" si="106"/>
        <v>1</v>
      </c>
      <c r="E605">
        <f t="shared" si="110"/>
        <v>6</v>
      </c>
      <c r="F605">
        <f t="shared" si="111"/>
        <v>2023</v>
      </c>
      <c r="G605" t="s">
        <v>7</v>
      </c>
      <c r="H605">
        <v>-1</v>
      </c>
      <c r="K605" t="s">
        <v>9</v>
      </c>
      <c r="L605" s="8">
        <f t="shared" si="112"/>
        <v>-1</v>
      </c>
      <c r="M605" t="s">
        <v>648</v>
      </c>
    </row>
    <row r="606" spans="1:13" x14ac:dyDescent="0.35">
      <c r="A606">
        <f t="shared" si="48"/>
        <v>602</v>
      </c>
      <c r="B606" s="9">
        <f t="shared" ref="B606" si="133">B605+H606+I606+J606</f>
        <v>21.380000000000003</v>
      </c>
      <c r="C606" s="3" t="s">
        <v>642</v>
      </c>
      <c r="D606">
        <f t="shared" si="106"/>
        <v>1</v>
      </c>
      <c r="E606">
        <f t="shared" si="110"/>
        <v>6</v>
      </c>
      <c r="F606">
        <f t="shared" si="111"/>
        <v>2023</v>
      </c>
      <c r="G606" t="s">
        <v>7</v>
      </c>
      <c r="H606">
        <v>-1</v>
      </c>
      <c r="K606" t="s">
        <v>9</v>
      </c>
      <c r="L606" s="8">
        <f t="shared" si="112"/>
        <v>-1</v>
      </c>
      <c r="M606" t="s">
        <v>649</v>
      </c>
    </row>
    <row r="607" spans="1:13" x14ac:dyDescent="0.35">
      <c r="A607">
        <f t="shared" si="48"/>
        <v>603</v>
      </c>
      <c r="B607" s="9">
        <f t="shared" ref="B607" si="134">B606+H607+I607+J607</f>
        <v>20.380000000000003</v>
      </c>
      <c r="C607" s="3" t="s">
        <v>642</v>
      </c>
      <c r="D607">
        <f t="shared" si="106"/>
        <v>1</v>
      </c>
      <c r="E607">
        <f t="shared" si="110"/>
        <v>6</v>
      </c>
      <c r="F607">
        <f t="shared" si="111"/>
        <v>2023</v>
      </c>
      <c r="G607" t="s">
        <v>7</v>
      </c>
      <c r="H607">
        <v>-1</v>
      </c>
      <c r="K607" t="s">
        <v>9</v>
      </c>
      <c r="L607" s="8">
        <f t="shared" si="112"/>
        <v>-1</v>
      </c>
      <c r="M607" t="s">
        <v>650</v>
      </c>
    </row>
    <row r="608" spans="1:13" x14ac:dyDescent="0.35">
      <c r="A608">
        <f t="shared" si="48"/>
        <v>604</v>
      </c>
      <c r="B608" s="9">
        <f t="shared" ref="B608" si="135">B607+H608+I608+J608</f>
        <v>19.380000000000003</v>
      </c>
      <c r="C608" s="3" t="s">
        <v>642</v>
      </c>
      <c r="D608">
        <f t="shared" si="106"/>
        <v>1</v>
      </c>
      <c r="E608">
        <f t="shared" si="110"/>
        <v>6</v>
      </c>
      <c r="F608">
        <f t="shared" si="111"/>
        <v>2023</v>
      </c>
      <c r="G608" t="s">
        <v>7</v>
      </c>
      <c r="H608">
        <v>-1</v>
      </c>
      <c r="K608" t="s">
        <v>9</v>
      </c>
      <c r="L608" s="8">
        <f t="shared" si="112"/>
        <v>-1</v>
      </c>
      <c r="M608" t="s">
        <v>651</v>
      </c>
    </row>
    <row r="609" spans="1:13" x14ac:dyDescent="0.35">
      <c r="A609">
        <f t="shared" si="48"/>
        <v>605</v>
      </c>
      <c r="B609" s="9">
        <f t="shared" ref="B609:B610" si="136">B608+H609+I609+J609</f>
        <v>18.380000000000003</v>
      </c>
      <c r="C609" s="3" t="s">
        <v>642</v>
      </c>
      <c r="D609">
        <f t="shared" si="106"/>
        <v>1</v>
      </c>
      <c r="E609">
        <f t="shared" si="110"/>
        <v>6</v>
      </c>
      <c r="F609">
        <f t="shared" si="111"/>
        <v>2023</v>
      </c>
      <c r="G609" t="s">
        <v>7</v>
      </c>
      <c r="H609">
        <v>-1</v>
      </c>
      <c r="K609" t="s">
        <v>9</v>
      </c>
      <c r="L609" s="8">
        <f t="shared" si="112"/>
        <v>-1</v>
      </c>
      <c r="M609" t="s">
        <v>652</v>
      </c>
    </row>
    <row r="610" spans="1:13" x14ac:dyDescent="0.35">
      <c r="A610">
        <f t="shared" si="48"/>
        <v>606</v>
      </c>
      <c r="B610" s="9">
        <f t="shared" si="136"/>
        <v>19.380000000000003</v>
      </c>
      <c r="C610" s="3" t="s">
        <v>642</v>
      </c>
      <c r="D610">
        <f t="shared" si="106"/>
        <v>1</v>
      </c>
      <c r="E610">
        <f t="shared" si="110"/>
        <v>6</v>
      </c>
      <c r="F610">
        <f t="shared" si="111"/>
        <v>2023</v>
      </c>
      <c r="G610" t="s">
        <v>7</v>
      </c>
      <c r="H610">
        <v>-1</v>
      </c>
      <c r="I610">
        <v>2</v>
      </c>
      <c r="K610" t="s">
        <v>10</v>
      </c>
      <c r="L610" s="8">
        <f t="shared" si="112"/>
        <v>1</v>
      </c>
      <c r="M610" t="s">
        <v>653</v>
      </c>
    </row>
    <row r="611" spans="1:13" x14ac:dyDescent="0.35">
      <c r="A611">
        <f t="shared" si="48"/>
        <v>607</v>
      </c>
      <c r="B611" s="9">
        <f t="shared" ref="B611:B612" si="137">B610+H611+I611+J611</f>
        <v>18.380000000000003</v>
      </c>
      <c r="C611" s="3" t="s">
        <v>642</v>
      </c>
      <c r="D611">
        <f t="shared" si="106"/>
        <v>1</v>
      </c>
      <c r="E611">
        <f t="shared" si="110"/>
        <v>6</v>
      </c>
      <c r="F611">
        <f t="shared" si="111"/>
        <v>2023</v>
      </c>
      <c r="G611" t="s">
        <v>7</v>
      </c>
      <c r="H611">
        <v>-1</v>
      </c>
      <c r="K611" t="s">
        <v>9</v>
      </c>
      <c r="L611" s="8">
        <f t="shared" si="112"/>
        <v>-1</v>
      </c>
      <c r="M611" t="s">
        <v>654</v>
      </c>
    </row>
    <row r="612" spans="1:13" x14ac:dyDescent="0.35">
      <c r="A612">
        <f t="shared" si="48"/>
        <v>608</v>
      </c>
      <c r="B612" s="9">
        <f t="shared" si="137"/>
        <v>20.380000000000003</v>
      </c>
      <c r="C612" s="3" t="s">
        <v>642</v>
      </c>
      <c r="D612">
        <f t="shared" si="106"/>
        <v>1</v>
      </c>
      <c r="E612">
        <f t="shared" si="110"/>
        <v>6</v>
      </c>
      <c r="F612">
        <f t="shared" si="111"/>
        <v>2023</v>
      </c>
      <c r="G612" t="s">
        <v>7</v>
      </c>
      <c r="H612">
        <v>-1</v>
      </c>
      <c r="I612">
        <v>3</v>
      </c>
      <c r="K612" t="s">
        <v>10</v>
      </c>
      <c r="L612" s="8">
        <f t="shared" si="112"/>
        <v>2</v>
      </c>
      <c r="M612" t="s">
        <v>655</v>
      </c>
    </row>
    <row r="613" spans="1:13" x14ac:dyDescent="0.35">
      <c r="A613">
        <f t="shared" si="48"/>
        <v>609</v>
      </c>
      <c r="B613" s="9">
        <f t="shared" ref="B613:B614" si="138">B612+H613+I613+J613</f>
        <v>19.380000000000003</v>
      </c>
      <c r="C613" s="3" t="s">
        <v>642</v>
      </c>
      <c r="D613">
        <f t="shared" si="106"/>
        <v>1</v>
      </c>
      <c r="E613">
        <f t="shared" si="110"/>
        <v>6</v>
      </c>
      <c r="F613">
        <f t="shared" si="111"/>
        <v>2023</v>
      </c>
      <c r="G613" t="s">
        <v>7</v>
      </c>
      <c r="H613">
        <v>-1</v>
      </c>
      <c r="K613" t="s">
        <v>9</v>
      </c>
      <c r="L613" s="8">
        <f t="shared" si="112"/>
        <v>-1</v>
      </c>
      <c r="M613" t="s">
        <v>656</v>
      </c>
    </row>
    <row r="614" spans="1:13" x14ac:dyDescent="0.35">
      <c r="A614">
        <f t="shared" si="48"/>
        <v>610</v>
      </c>
      <c r="B614" s="9">
        <f t="shared" si="138"/>
        <v>20.380000000000003</v>
      </c>
      <c r="C614" s="3" t="s">
        <v>642</v>
      </c>
      <c r="D614">
        <f t="shared" si="106"/>
        <v>1</v>
      </c>
      <c r="E614">
        <f t="shared" si="110"/>
        <v>6</v>
      </c>
      <c r="F614">
        <f t="shared" si="111"/>
        <v>2023</v>
      </c>
      <c r="G614" t="s">
        <v>7</v>
      </c>
      <c r="H614">
        <v>-1</v>
      </c>
      <c r="I614">
        <v>2</v>
      </c>
      <c r="K614" t="s">
        <v>10</v>
      </c>
      <c r="L614" s="8">
        <f t="shared" si="112"/>
        <v>1</v>
      </c>
      <c r="M614" t="s">
        <v>657</v>
      </c>
    </row>
    <row r="615" spans="1:13" x14ac:dyDescent="0.35">
      <c r="A615">
        <f t="shared" si="48"/>
        <v>611</v>
      </c>
      <c r="B615" s="9">
        <f t="shared" ref="B615" si="139">B614+H615+I615+J615</f>
        <v>19.380000000000003</v>
      </c>
      <c r="C615" s="3" t="s">
        <v>642</v>
      </c>
      <c r="D615">
        <f t="shared" si="106"/>
        <v>1</v>
      </c>
      <c r="E615">
        <f t="shared" si="110"/>
        <v>6</v>
      </c>
      <c r="F615">
        <f t="shared" si="111"/>
        <v>2023</v>
      </c>
      <c r="G615" t="s">
        <v>7</v>
      </c>
      <c r="H615">
        <v>-1</v>
      </c>
      <c r="K615" t="s">
        <v>9</v>
      </c>
      <c r="L615" s="8">
        <f t="shared" si="112"/>
        <v>-1</v>
      </c>
      <c r="M615" t="s">
        <v>658</v>
      </c>
    </row>
    <row r="616" spans="1:13" x14ac:dyDescent="0.35">
      <c r="A616">
        <f t="shared" si="48"/>
        <v>612</v>
      </c>
      <c r="B616" s="9">
        <f t="shared" ref="B616" si="140">B615+H616+I616+J616</f>
        <v>18.380000000000003</v>
      </c>
      <c r="C616" s="3" t="s">
        <v>642</v>
      </c>
      <c r="D616">
        <f t="shared" si="106"/>
        <v>1</v>
      </c>
      <c r="E616">
        <f t="shared" si="110"/>
        <v>6</v>
      </c>
      <c r="F616">
        <f t="shared" si="111"/>
        <v>2023</v>
      </c>
      <c r="G616" t="s">
        <v>7</v>
      </c>
      <c r="H616">
        <v>-1</v>
      </c>
      <c r="K616" t="s">
        <v>9</v>
      </c>
      <c r="L616" s="8">
        <f t="shared" si="112"/>
        <v>-1</v>
      </c>
      <c r="M616" t="s">
        <v>659</v>
      </c>
    </row>
    <row r="617" spans="1:13" x14ac:dyDescent="0.35">
      <c r="A617">
        <f t="shared" si="48"/>
        <v>613</v>
      </c>
      <c r="B617" s="9">
        <f t="shared" ref="B617:B618" si="141">B616+H617+I617+J617</f>
        <v>17.380000000000003</v>
      </c>
      <c r="C617" s="3" t="s">
        <v>642</v>
      </c>
      <c r="D617">
        <f t="shared" si="106"/>
        <v>1</v>
      </c>
      <c r="E617">
        <f t="shared" si="110"/>
        <v>6</v>
      </c>
      <c r="F617">
        <f t="shared" si="111"/>
        <v>2023</v>
      </c>
      <c r="G617" t="s">
        <v>7</v>
      </c>
      <c r="H617">
        <v>-1</v>
      </c>
      <c r="K617" t="s">
        <v>9</v>
      </c>
      <c r="L617" s="8">
        <f t="shared" si="112"/>
        <v>-1</v>
      </c>
      <c r="M617" t="s">
        <v>660</v>
      </c>
    </row>
    <row r="618" spans="1:13" x14ac:dyDescent="0.35">
      <c r="A618">
        <f t="shared" si="48"/>
        <v>614</v>
      </c>
      <c r="B618" s="9">
        <f t="shared" si="141"/>
        <v>18.380000000000003</v>
      </c>
      <c r="C618" s="3" t="s">
        <v>642</v>
      </c>
      <c r="D618">
        <f t="shared" si="106"/>
        <v>1</v>
      </c>
      <c r="E618">
        <f t="shared" si="110"/>
        <v>6</v>
      </c>
      <c r="F618">
        <f t="shared" si="111"/>
        <v>2023</v>
      </c>
      <c r="G618" t="s">
        <v>7</v>
      </c>
      <c r="H618">
        <v>-1</v>
      </c>
      <c r="I618">
        <v>2</v>
      </c>
      <c r="K618" t="s">
        <v>10</v>
      </c>
      <c r="L618" s="8">
        <f t="shared" si="112"/>
        <v>1</v>
      </c>
      <c r="M618" t="s">
        <v>661</v>
      </c>
    </row>
    <row r="619" spans="1:13" x14ac:dyDescent="0.35">
      <c r="A619">
        <f t="shared" si="48"/>
        <v>615</v>
      </c>
      <c r="B619" s="9">
        <f t="shared" ref="B619:B620" si="142">B618+H619+I619+J619</f>
        <v>17.380000000000003</v>
      </c>
      <c r="C619" s="3" t="s">
        <v>642</v>
      </c>
      <c r="D619">
        <f t="shared" si="106"/>
        <v>1</v>
      </c>
      <c r="E619">
        <f t="shared" si="110"/>
        <v>6</v>
      </c>
      <c r="F619">
        <f t="shared" si="111"/>
        <v>2023</v>
      </c>
      <c r="G619" t="s">
        <v>7</v>
      </c>
      <c r="H619">
        <v>-1</v>
      </c>
      <c r="K619" t="s">
        <v>9</v>
      </c>
      <c r="L619" s="8">
        <f t="shared" si="112"/>
        <v>-1</v>
      </c>
      <c r="M619" t="s">
        <v>662</v>
      </c>
    </row>
    <row r="620" spans="1:13" x14ac:dyDescent="0.35">
      <c r="A620">
        <f t="shared" si="48"/>
        <v>616</v>
      </c>
      <c r="B620" s="9">
        <f t="shared" si="142"/>
        <v>18.380000000000003</v>
      </c>
      <c r="C620" s="3" t="s">
        <v>642</v>
      </c>
      <c r="D620">
        <f t="shared" si="106"/>
        <v>1</v>
      </c>
      <c r="E620">
        <f t="shared" si="110"/>
        <v>6</v>
      </c>
      <c r="F620">
        <f t="shared" si="111"/>
        <v>2023</v>
      </c>
      <c r="G620" t="s">
        <v>7</v>
      </c>
      <c r="H620">
        <v>-1</v>
      </c>
      <c r="I620">
        <v>2</v>
      </c>
      <c r="K620" t="s">
        <v>10</v>
      </c>
      <c r="L620" s="8">
        <f t="shared" si="112"/>
        <v>1</v>
      </c>
      <c r="M620" t="s">
        <v>663</v>
      </c>
    </row>
    <row r="621" spans="1:13" x14ac:dyDescent="0.35">
      <c r="A621">
        <f t="shared" si="48"/>
        <v>617</v>
      </c>
      <c r="B621" s="9">
        <f t="shared" ref="B621:B622" si="143">B620+H621+I621+J621</f>
        <v>16.580000000000002</v>
      </c>
      <c r="C621" s="3" t="s">
        <v>664</v>
      </c>
      <c r="D621">
        <f t="shared" si="106"/>
        <v>2</v>
      </c>
      <c r="E621">
        <f t="shared" si="110"/>
        <v>6</v>
      </c>
      <c r="F621">
        <f t="shared" si="111"/>
        <v>2023</v>
      </c>
      <c r="G621" t="s">
        <v>44</v>
      </c>
      <c r="H621">
        <v>-3.3</v>
      </c>
      <c r="J621">
        <v>1.5</v>
      </c>
      <c r="K621" t="s">
        <v>9</v>
      </c>
      <c r="L621" s="8">
        <f t="shared" si="112"/>
        <v>-0.54545454545454541</v>
      </c>
      <c r="M621" t="s">
        <v>665</v>
      </c>
    </row>
    <row r="622" spans="1:13" x14ac:dyDescent="0.35">
      <c r="A622">
        <f t="shared" si="48"/>
        <v>618</v>
      </c>
      <c r="B622" s="9">
        <f t="shared" si="143"/>
        <v>15.580000000000002</v>
      </c>
      <c r="C622" s="3" t="s">
        <v>666</v>
      </c>
      <c r="D622">
        <f t="shared" si="106"/>
        <v>3</v>
      </c>
      <c r="E622">
        <f t="shared" si="110"/>
        <v>6</v>
      </c>
      <c r="F622">
        <f t="shared" si="111"/>
        <v>2023</v>
      </c>
      <c r="G622" t="s">
        <v>7</v>
      </c>
      <c r="H622">
        <v>-1</v>
      </c>
      <c r="K622" t="s">
        <v>9</v>
      </c>
      <c r="L622" s="8">
        <f t="shared" si="112"/>
        <v>-1</v>
      </c>
      <c r="M622" t="s">
        <v>667</v>
      </c>
    </row>
    <row r="623" spans="1:13" x14ac:dyDescent="0.35">
      <c r="A623">
        <f t="shared" si="48"/>
        <v>619</v>
      </c>
      <c r="B623" s="9">
        <f t="shared" ref="B623" si="144">B622+H623+I623+J623</f>
        <v>17.080000000000002</v>
      </c>
      <c r="C623" s="3" t="s">
        <v>666</v>
      </c>
      <c r="D623">
        <f t="shared" si="106"/>
        <v>3</v>
      </c>
      <c r="E623">
        <f t="shared" si="110"/>
        <v>6</v>
      </c>
      <c r="F623">
        <f t="shared" si="111"/>
        <v>2023</v>
      </c>
      <c r="G623" t="s">
        <v>7</v>
      </c>
      <c r="H623">
        <v>-1.5</v>
      </c>
      <c r="I623">
        <v>3</v>
      </c>
      <c r="K623" t="s">
        <v>10</v>
      </c>
      <c r="L623" s="8">
        <f t="shared" si="112"/>
        <v>1</v>
      </c>
      <c r="M623" t="s">
        <v>668</v>
      </c>
    </row>
    <row r="624" spans="1:13" x14ac:dyDescent="0.35">
      <c r="A624">
        <f t="shared" si="48"/>
        <v>620</v>
      </c>
      <c r="B624" s="9">
        <f t="shared" ref="B624" si="145">B623+H624+I624+J624</f>
        <v>18.580000000000002</v>
      </c>
      <c r="C624" s="3" t="s">
        <v>666</v>
      </c>
      <c r="D624">
        <f t="shared" si="106"/>
        <v>3</v>
      </c>
      <c r="E624">
        <f t="shared" si="110"/>
        <v>6</v>
      </c>
      <c r="F624">
        <f t="shared" si="111"/>
        <v>2023</v>
      </c>
      <c r="G624" t="s">
        <v>7</v>
      </c>
      <c r="H624">
        <v>-1.5</v>
      </c>
      <c r="I624">
        <v>3</v>
      </c>
      <c r="K624" t="s">
        <v>10</v>
      </c>
      <c r="L624" s="8">
        <f t="shared" si="112"/>
        <v>1</v>
      </c>
      <c r="M624" t="s">
        <v>669</v>
      </c>
    </row>
    <row r="625" spans="1:13" x14ac:dyDescent="0.35">
      <c r="A625">
        <f t="shared" si="48"/>
        <v>621</v>
      </c>
      <c r="B625" s="9">
        <f t="shared" ref="B625" si="146">B624+H625+I625+J625</f>
        <v>17.080000000000002</v>
      </c>
      <c r="C625" s="3" t="s">
        <v>666</v>
      </c>
      <c r="D625">
        <f t="shared" si="106"/>
        <v>3</v>
      </c>
      <c r="E625">
        <f t="shared" si="110"/>
        <v>6</v>
      </c>
      <c r="F625">
        <f t="shared" si="111"/>
        <v>2023</v>
      </c>
      <c r="G625" t="s">
        <v>7</v>
      </c>
      <c r="H625">
        <v>-1.5</v>
      </c>
      <c r="K625" t="s">
        <v>9</v>
      </c>
      <c r="L625" s="8">
        <f t="shared" si="112"/>
        <v>-1</v>
      </c>
      <c r="M625" t="s">
        <v>670</v>
      </c>
    </row>
    <row r="626" spans="1:13" x14ac:dyDescent="0.35">
      <c r="A626">
        <f t="shared" si="48"/>
        <v>622</v>
      </c>
      <c r="B626" s="9">
        <f t="shared" ref="B626" si="147">B625+H626+I626+J626</f>
        <v>15.580000000000002</v>
      </c>
      <c r="C626" s="3" t="s">
        <v>666</v>
      </c>
      <c r="D626">
        <f t="shared" si="106"/>
        <v>3</v>
      </c>
      <c r="E626">
        <f t="shared" si="110"/>
        <v>6</v>
      </c>
      <c r="F626">
        <f t="shared" si="111"/>
        <v>2023</v>
      </c>
      <c r="G626" t="s">
        <v>7</v>
      </c>
      <c r="H626">
        <v>-1.5</v>
      </c>
      <c r="K626" t="s">
        <v>9</v>
      </c>
      <c r="L626" s="8">
        <f t="shared" si="112"/>
        <v>-1</v>
      </c>
      <c r="M626" t="s">
        <v>671</v>
      </c>
    </row>
    <row r="627" spans="1:13" x14ac:dyDescent="0.35">
      <c r="A627">
        <f t="shared" si="48"/>
        <v>623</v>
      </c>
      <c r="B627" s="9">
        <f t="shared" ref="B627" si="148">B626+H627+I627+J627</f>
        <v>14.080000000000002</v>
      </c>
      <c r="C627" s="3" t="s">
        <v>666</v>
      </c>
      <c r="D627">
        <f t="shared" si="106"/>
        <v>3</v>
      </c>
      <c r="E627">
        <f t="shared" si="110"/>
        <v>6</v>
      </c>
      <c r="F627">
        <f t="shared" si="111"/>
        <v>2023</v>
      </c>
      <c r="G627" t="s">
        <v>7</v>
      </c>
      <c r="H627">
        <v>-1.5</v>
      </c>
      <c r="K627" t="s">
        <v>9</v>
      </c>
      <c r="L627" s="8">
        <f t="shared" si="112"/>
        <v>-1</v>
      </c>
      <c r="M627" t="s">
        <v>672</v>
      </c>
    </row>
    <row r="628" spans="1:13" x14ac:dyDescent="0.35">
      <c r="A628">
        <f t="shared" si="48"/>
        <v>624</v>
      </c>
      <c r="B628" s="9">
        <f t="shared" ref="B628:B629" si="149">B627+H628+I628+J628</f>
        <v>12.580000000000002</v>
      </c>
      <c r="C628" s="3" t="s">
        <v>666</v>
      </c>
      <c r="D628">
        <f t="shared" si="106"/>
        <v>3</v>
      </c>
      <c r="E628">
        <f t="shared" si="110"/>
        <v>6</v>
      </c>
      <c r="F628">
        <f t="shared" si="111"/>
        <v>2023</v>
      </c>
      <c r="G628" t="s">
        <v>7</v>
      </c>
      <c r="H628">
        <v>-1.5</v>
      </c>
      <c r="K628" t="s">
        <v>9</v>
      </c>
      <c r="L628" s="8">
        <f t="shared" si="112"/>
        <v>-1</v>
      </c>
      <c r="M628" t="s">
        <v>673</v>
      </c>
    </row>
    <row r="629" spans="1:13" x14ac:dyDescent="0.35">
      <c r="A629">
        <f t="shared" si="48"/>
        <v>625</v>
      </c>
      <c r="B629" s="9">
        <f t="shared" si="149"/>
        <v>14.080000000000002</v>
      </c>
      <c r="C629" s="3" t="s">
        <v>666</v>
      </c>
      <c r="D629">
        <f t="shared" si="106"/>
        <v>3</v>
      </c>
      <c r="E629">
        <f t="shared" si="110"/>
        <v>6</v>
      </c>
      <c r="F629">
        <f t="shared" si="111"/>
        <v>2023</v>
      </c>
      <c r="G629" t="s">
        <v>7</v>
      </c>
      <c r="H629">
        <v>-1.5</v>
      </c>
      <c r="I629">
        <v>3</v>
      </c>
      <c r="K629" t="s">
        <v>10</v>
      </c>
      <c r="L629" s="8">
        <f t="shared" si="112"/>
        <v>1</v>
      </c>
      <c r="M629" t="s">
        <v>674</v>
      </c>
    </row>
    <row r="630" spans="1:13" x14ac:dyDescent="0.35">
      <c r="A630">
        <f t="shared" si="48"/>
        <v>626</v>
      </c>
      <c r="B630" s="9">
        <f t="shared" ref="B630" si="150">B629+H630+I630+J630</f>
        <v>12.580000000000002</v>
      </c>
      <c r="C630" s="3" t="s">
        <v>675</v>
      </c>
      <c r="D630">
        <f t="shared" si="106"/>
        <v>4</v>
      </c>
      <c r="E630">
        <f t="shared" si="110"/>
        <v>6</v>
      </c>
      <c r="F630">
        <f t="shared" si="111"/>
        <v>2023</v>
      </c>
      <c r="G630" t="s">
        <v>7</v>
      </c>
      <c r="H630">
        <v>-1.5</v>
      </c>
      <c r="K630" t="s">
        <v>9</v>
      </c>
      <c r="L630" s="8">
        <f t="shared" si="112"/>
        <v>-1</v>
      </c>
      <c r="M630" t="s">
        <v>676</v>
      </c>
    </row>
    <row r="631" spans="1:13" x14ac:dyDescent="0.35">
      <c r="A631">
        <f t="shared" si="48"/>
        <v>627</v>
      </c>
      <c r="B631" s="9">
        <f t="shared" ref="B631" si="151">B630+H631+I631+J631</f>
        <v>11.080000000000002</v>
      </c>
      <c r="C631" s="3" t="s">
        <v>675</v>
      </c>
      <c r="D631">
        <f t="shared" si="106"/>
        <v>4</v>
      </c>
      <c r="E631">
        <f t="shared" si="110"/>
        <v>6</v>
      </c>
      <c r="F631">
        <f t="shared" si="111"/>
        <v>2023</v>
      </c>
      <c r="G631" t="s">
        <v>7</v>
      </c>
      <c r="H631">
        <v>-1.5</v>
      </c>
      <c r="K631" t="s">
        <v>9</v>
      </c>
      <c r="L631" s="8">
        <f t="shared" si="112"/>
        <v>-1</v>
      </c>
      <c r="M631" t="s">
        <v>677</v>
      </c>
    </row>
    <row r="632" spans="1:13" x14ac:dyDescent="0.35">
      <c r="A632">
        <f t="shared" si="48"/>
        <v>628</v>
      </c>
      <c r="B632" s="9">
        <f t="shared" ref="B632" si="152">B631+H632+I632+J632</f>
        <v>8.0000000000001847E-2</v>
      </c>
      <c r="C632" s="3" t="s">
        <v>675</v>
      </c>
      <c r="D632">
        <f t="shared" si="106"/>
        <v>4</v>
      </c>
      <c r="E632">
        <f t="shared" si="110"/>
        <v>6</v>
      </c>
      <c r="F632">
        <f t="shared" si="111"/>
        <v>2023</v>
      </c>
      <c r="G632" t="s">
        <v>154</v>
      </c>
      <c r="H632">
        <v>-11</v>
      </c>
      <c r="K632" t="s">
        <v>9</v>
      </c>
      <c r="L632" s="8">
        <f t="shared" si="112"/>
        <v>-1</v>
      </c>
      <c r="M632" t="s">
        <v>678</v>
      </c>
    </row>
    <row r="633" spans="1:13" x14ac:dyDescent="0.35">
      <c r="A633">
        <f t="shared" si="48"/>
        <v>629</v>
      </c>
      <c r="B633" s="9">
        <f t="shared" ref="B633:B634" si="153">B632+H633+I633+J633</f>
        <v>27.580000000000002</v>
      </c>
      <c r="C633" s="3" t="s">
        <v>675</v>
      </c>
      <c r="D633">
        <f>_xlfn.NUMBERVALUE(LEFT(C633,2))</f>
        <v>4</v>
      </c>
      <c r="E633">
        <f t="shared" si="110"/>
        <v>6</v>
      </c>
      <c r="F633">
        <f t="shared" si="111"/>
        <v>2023</v>
      </c>
      <c r="G633" t="s">
        <v>3362</v>
      </c>
      <c r="I633">
        <v>27.5</v>
      </c>
      <c r="L633" s="8"/>
    </row>
    <row r="634" spans="1:13" x14ac:dyDescent="0.35">
      <c r="A634">
        <f t="shared" si="48"/>
        <v>630</v>
      </c>
      <c r="B634" s="9">
        <f t="shared" si="153"/>
        <v>26.080000000000002</v>
      </c>
      <c r="C634" s="3" t="s">
        <v>680</v>
      </c>
      <c r="D634">
        <f t="shared" ref="D634:D697" si="154">_xlfn.NUMBERVALUE(LEFT(C634,2))</f>
        <v>5</v>
      </c>
      <c r="E634">
        <f t="shared" si="110"/>
        <v>6</v>
      </c>
      <c r="F634">
        <f t="shared" si="111"/>
        <v>2023</v>
      </c>
      <c r="G634" t="s">
        <v>7</v>
      </c>
      <c r="H634">
        <v>-1.5</v>
      </c>
      <c r="K634" t="s">
        <v>9</v>
      </c>
      <c r="L634" s="8">
        <f t="shared" si="112"/>
        <v>-1</v>
      </c>
      <c r="M634" t="s">
        <v>679</v>
      </c>
    </row>
    <row r="635" spans="1:13" x14ac:dyDescent="0.35">
      <c r="A635">
        <f t="shared" si="48"/>
        <v>631</v>
      </c>
      <c r="B635" s="9">
        <f t="shared" ref="B635" si="155">B634+H635+I635+J635</f>
        <v>25.080000000000002</v>
      </c>
      <c r="C635" s="3" t="s">
        <v>680</v>
      </c>
      <c r="D635">
        <f t="shared" si="154"/>
        <v>5</v>
      </c>
      <c r="E635">
        <f t="shared" si="110"/>
        <v>6</v>
      </c>
      <c r="F635">
        <f t="shared" si="111"/>
        <v>2023</v>
      </c>
      <c r="G635" t="s">
        <v>7</v>
      </c>
      <c r="H635">
        <v>-1</v>
      </c>
      <c r="K635" t="s">
        <v>9</v>
      </c>
      <c r="L635" s="8">
        <f t="shared" si="112"/>
        <v>-1</v>
      </c>
      <c r="M635" t="s">
        <v>681</v>
      </c>
    </row>
    <row r="636" spans="1:13" x14ac:dyDescent="0.35">
      <c r="A636">
        <f t="shared" si="48"/>
        <v>632</v>
      </c>
      <c r="B636" s="9">
        <f t="shared" ref="B636" si="156">B635+H636+I636+J636</f>
        <v>26.080000000000002</v>
      </c>
      <c r="C636" s="3" t="s">
        <v>680</v>
      </c>
      <c r="D636">
        <f t="shared" si="154"/>
        <v>5</v>
      </c>
      <c r="E636">
        <f t="shared" si="110"/>
        <v>6</v>
      </c>
      <c r="F636">
        <f t="shared" si="111"/>
        <v>2023</v>
      </c>
      <c r="G636" t="s">
        <v>7</v>
      </c>
      <c r="H636">
        <v>-1</v>
      </c>
      <c r="I636">
        <v>2</v>
      </c>
      <c r="K636" t="s">
        <v>10</v>
      </c>
      <c r="L636" s="8">
        <f t="shared" si="112"/>
        <v>1</v>
      </c>
      <c r="M636" t="s">
        <v>682</v>
      </c>
    </row>
    <row r="637" spans="1:13" x14ac:dyDescent="0.35">
      <c r="A637">
        <f t="shared" si="48"/>
        <v>633</v>
      </c>
      <c r="B637" s="9">
        <f t="shared" ref="B637" si="157">B636+H637+I637+J637</f>
        <v>27.080000000000002</v>
      </c>
      <c r="C637" s="3" t="s">
        <v>680</v>
      </c>
      <c r="D637">
        <f t="shared" si="154"/>
        <v>5</v>
      </c>
      <c r="E637">
        <f t="shared" si="110"/>
        <v>6</v>
      </c>
      <c r="F637">
        <f t="shared" si="111"/>
        <v>2023</v>
      </c>
      <c r="G637" t="s">
        <v>7</v>
      </c>
      <c r="H637">
        <v>-1</v>
      </c>
      <c r="I637">
        <v>2</v>
      </c>
      <c r="K637" t="s">
        <v>10</v>
      </c>
      <c r="L637" s="8">
        <f t="shared" si="112"/>
        <v>1</v>
      </c>
      <c r="M637" t="s">
        <v>683</v>
      </c>
    </row>
    <row r="638" spans="1:13" x14ac:dyDescent="0.35">
      <c r="A638">
        <f t="shared" si="48"/>
        <v>634</v>
      </c>
      <c r="B638" s="9">
        <f t="shared" ref="B638" si="158">B637+H638+I638+J638</f>
        <v>26.080000000000002</v>
      </c>
      <c r="C638" s="3" t="s">
        <v>680</v>
      </c>
      <c r="D638">
        <f t="shared" si="154"/>
        <v>5</v>
      </c>
      <c r="E638">
        <f t="shared" si="110"/>
        <v>6</v>
      </c>
      <c r="F638">
        <f t="shared" si="111"/>
        <v>2023</v>
      </c>
      <c r="G638" t="s">
        <v>7</v>
      </c>
      <c r="H638">
        <v>-1</v>
      </c>
      <c r="K638" t="s">
        <v>9</v>
      </c>
      <c r="L638" s="8">
        <f t="shared" si="112"/>
        <v>-1</v>
      </c>
      <c r="M638" t="s">
        <v>684</v>
      </c>
    </row>
    <row r="639" spans="1:13" x14ac:dyDescent="0.35">
      <c r="A639">
        <f t="shared" si="48"/>
        <v>635</v>
      </c>
      <c r="B639" s="9">
        <f t="shared" ref="B639" si="159">B638+H639+I639+J639</f>
        <v>25.080000000000002</v>
      </c>
      <c r="C639" s="3" t="s">
        <v>685</v>
      </c>
      <c r="D639">
        <f t="shared" si="154"/>
        <v>6</v>
      </c>
      <c r="E639">
        <f t="shared" si="110"/>
        <v>6</v>
      </c>
      <c r="F639">
        <f t="shared" si="111"/>
        <v>2023</v>
      </c>
      <c r="G639" t="s">
        <v>7</v>
      </c>
      <c r="H639">
        <v>-1</v>
      </c>
      <c r="K639" t="s">
        <v>9</v>
      </c>
      <c r="L639" s="8">
        <f t="shared" si="112"/>
        <v>-1</v>
      </c>
      <c r="M639" t="s">
        <v>686</v>
      </c>
    </row>
    <row r="640" spans="1:13" x14ac:dyDescent="0.35">
      <c r="A640">
        <f t="shared" si="48"/>
        <v>636</v>
      </c>
      <c r="B640" s="9">
        <f t="shared" ref="B640:B641" si="160">B639+H640+I640+J640</f>
        <v>26.080000000000002</v>
      </c>
      <c r="C640" s="3" t="s">
        <v>685</v>
      </c>
      <c r="D640">
        <f t="shared" si="154"/>
        <v>6</v>
      </c>
      <c r="E640">
        <f t="shared" si="110"/>
        <v>6</v>
      </c>
      <c r="F640">
        <f t="shared" si="111"/>
        <v>2023</v>
      </c>
      <c r="G640" t="s">
        <v>7</v>
      </c>
      <c r="H640">
        <v>-1</v>
      </c>
      <c r="I640">
        <v>2</v>
      </c>
      <c r="K640" t="s">
        <v>10</v>
      </c>
      <c r="L640" s="8">
        <f t="shared" si="112"/>
        <v>1</v>
      </c>
      <c r="M640" t="s">
        <v>687</v>
      </c>
    </row>
    <row r="641" spans="1:13" x14ac:dyDescent="0.35">
      <c r="A641">
        <f t="shared" si="48"/>
        <v>637</v>
      </c>
      <c r="B641" s="9">
        <f t="shared" si="160"/>
        <v>25.080000000000002</v>
      </c>
      <c r="C641" s="3" t="s">
        <v>685</v>
      </c>
      <c r="D641">
        <f t="shared" si="154"/>
        <v>6</v>
      </c>
      <c r="E641">
        <f t="shared" si="110"/>
        <v>6</v>
      </c>
      <c r="F641">
        <f t="shared" si="111"/>
        <v>2023</v>
      </c>
      <c r="G641" t="s">
        <v>7</v>
      </c>
      <c r="H641">
        <v>-1</v>
      </c>
      <c r="K641" t="s">
        <v>9</v>
      </c>
      <c r="L641" s="8">
        <f t="shared" si="112"/>
        <v>-1</v>
      </c>
      <c r="M641" t="s">
        <v>688</v>
      </c>
    </row>
    <row r="642" spans="1:13" x14ac:dyDescent="0.35">
      <c r="A642">
        <f t="shared" si="48"/>
        <v>638</v>
      </c>
      <c r="B642" s="9">
        <f t="shared" ref="B642:B643" si="161">B641+H642+I642+J642</f>
        <v>24.080000000000002</v>
      </c>
      <c r="C642" s="3" t="s">
        <v>685</v>
      </c>
      <c r="D642">
        <f t="shared" si="154"/>
        <v>6</v>
      </c>
      <c r="E642">
        <f t="shared" si="110"/>
        <v>6</v>
      </c>
      <c r="F642">
        <f t="shared" si="111"/>
        <v>2023</v>
      </c>
      <c r="G642" t="s">
        <v>7</v>
      </c>
      <c r="H642">
        <v>-1</v>
      </c>
      <c r="K642" t="s">
        <v>9</v>
      </c>
      <c r="L642" s="8">
        <f t="shared" si="112"/>
        <v>-1</v>
      </c>
      <c r="M642" t="s">
        <v>689</v>
      </c>
    </row>
    <row r="643" spans="1:13" x14ac:dyDescent="0.35">
      <c r="A643">
        <f t="shared" si="48"/>
        <v>639</v>
      </c>
      <c r="B643" s="9">
        <f t="shared" si="161"/>
        <v>26.080000000000002</v>
      </c>
      <c r="C643" s="3" t="s">
        <v>685</v>
      </c>
      <c r="D643">
        <f t="shared" si="154"/>
        <v>6</v>
      </c>
      <c r="E643">
        <f t="shared" si="110"/>
        <v>6</v>
      </c>
      <c r="F643">
        <f t="shared" si="111"/>
        <v>2023</v>
      </c>
      <c r="G643" t="s">
        <v>7</v>
      </c>
      <c r="H643">
        <v>-1</v>
      </c>
      <c r="I643">
        <v>3</v>
      </c>
      <c r="K643" t="s">
        <v>10</v>
      </c>
      <c r="L643" s="8">
        <f t="shared" si="112"/>
        <v>2</v>
      </c>
      <c r="M643" t="s">
        <v>690</v>
      </c>
    </row>
    <row r="644" spans="1:13" x14ac:dyDescent="0.35">
      <c r="A644">
        <f t="shared" si="48"/>
        <v>640</v>
      </c>
      <c r="B644" s="9">
        <f t="shared" ref="B644" si="162">B643+H644+I644+J644</f>
        <v>27.080000000000002</v>
      </c>
      <c r="C644" s="3" t="s">
        <v>691</v>
      </c>
      <c r="D644">
        <f t="shared" si="154"/>
        <v>7</v>
      </c>
      <c r="E644">
        <f t="shared" si="110"/>
        <v>6</v>
      </c>
      <c r="F644">
        <f t="shared" si="111"/>
        <v>2023</v>
      </c>
      <c r="G644" t="s">
        <v>7</v>
      </c>
      <c r="H644">
        <v>-1</v>
      </c>
      <c r="I644">
        <v>2</v>
      </c>
      <c r="K644" t="s">
        <v>10</v>
      </c>
      <c r="L644" s="8">
        <f t="shared" si="112"/>
        <v>1</v>
      </c>
      <c r="M644" t="s">
        <v>692</v>
      </c>
    </row>
    <row r="645" spans="1:13" x14ac:dyDescent="0.35">
      <c r="A645">
        <f t="shared" si="48"/>
        <v>641</v>
      </c>
      <c r="B645" s="9">
        <f t="shared" ref="B645" si="163">B644+H645+I645+J645</f>
        <v>28.080000000000002</v>
      </c>
      <c r="C645" s="3" t="s">
        <v>691</v>
      </c>
      <c r="D645">
        <f t="shared" si="154"/>
        <v>7</v>
      </c>
      <c r="E645">
        <f t="shared" si="110"/>
        <v>6</v>
      </c>
      <c r="F645">
        <f t="shared" si="111"/>
        <v>2023</v>
      </c>
      <c r="G645" t="s">
        <v>7</v>
      </c>
      <c r="H645">
        <v>-1</v>
      </c>
      <c r="I645">
        <v>2</v>
      </c>
      <c r="K645" t="s">
        <v>10</v>
      </c>
      <c r="L645" s="8">
        <f t="shared" si="112"/>
        <v>1</v>
      </c>
      <c r="M645" t="s">
        <v>693</v>
      </c>
    </row>
    <row r="646" spans="1:13" x14ac:dyDescent="0.35">
      <c r="A646">
        <f t="shared" si="48"/>
        <v>642</v>
      </c>
      <c r="B646" s="9">
        <f t="shared" ref="B646" si="164">B645+H646+I646+J646</f>
        <v>30.080000000000002</v>
      </c>
      <c r="C646" s="3" t="s">
        <v>691</v>
      </c>
      <c r="D646">
        <f t="shared" si="154"/>
        <v>7</v>
      </c>
      <c r="E646">
        <f t="shared" ref="E646:E709" si="165">_xlfn.NUMBERVALUE(MID(C646,4,2))</f>
        <v>6</v>
      </c>
      <c r="F646">
        <f t="shared" ref="F646:F709" si="166">_xlfn.NUMBERVALUE(RIGHT(C646,4))</f>
        <v>2023</v>
      </c>
      <c r="G646" t="s">
        <v>7</v>
      </c>
      <c r="H646">
        <v>-1</v>
      </c>
      <c r="I646">
        <v>3</v>
      </c>
      <c r="K646" t="s">
        <v>10</v>
      </c>
      <c r="L646" s="8">
        <f t="shared" ref="L646:L709" si="167">IF(H646="",0,(SUM(I646:J646)/-H646)-1)</f>
        <v>2</v>
      </c>
      <c r="M646" t="s">
        <v>694</v>
      </c>
    </row>
    <row r="647" spans="1:13" x14ac:dyDescent="0.35">
      <c r="A647">
        <f t="shared" si="48"/>
        <v>643</v>
      </c>
      <c r="B647" s="9">
        <f t="shared" ref="B647" si="168">B646+H647+I647+J647</f>
        <v>29.080000000000002</v>
      </c>
      <c r="C647" s="3" t="s">
        <v>691</v>
      </c>
      <c r="D647">
        <f t="shared" si="154"/>
        <v>7</v>
      </c>
      <c r="E647">
        <f t="shared" si="165"/>
        <v>6</v>
      </c>
      <c r="F647">
        <f t="shared" si="166"/>
        <v>2023</v>
      </c>
      <c r="G647" t="s">
        <v>7</v>
      </c>
      <c r="H647">
        <v>-1</v>
      </c>
      <c r="K647" t="s">
        <v>9</v>
      </c>
      <c r="L647" s="8">
        <f t="shared" si="167"/>
        <v>-1</v>
      </c>
      <c r="M647" t="s">
        <v>695</v>
      </c>
    </row>
    <row r="648" spans="1:13" x14ac:dyDescent="0.35">
      <c r="A648">
        <f t="shared" si="48"/>
        <v>644</v>
      </c>
      <c r="B648" s="9">
        <f t="shared" ref="B648" si="169">B647+H648+I648+J648</f>
        <v>28.080000000000002</v>
      </c>
      <c r="C648" s="3" t="s">
        <v>691</v>
      </c>
      <c r="D648">
        <f t="shared" si="154"/>
        <v>7</v>
      </c>
      <c r="E648">
        <f t="shared" si="165"/>
        <v>6</v>
      </c>
      <c r="F648">
        <f t="shared" si="166"/>
        <v>2023</v>
      </c>
      <c r="G648" t="s">
        <v>7</v>
      </c>
      <c r="H648">
        <v>-1</v>
      </c>
      <c r="K648" t="s">
        <v>9</v>
      </c>
      <c r="L648" s="8">
        <f t="shared" si="167"/>
        <v>-1</v>
      </c>
      <c r="M648" t="s">
        <v>696</v>
      </c>
    </row>
    <row r="649" spans="1:13" x14ac:dyDescent="0.35">
      <c r="A649">
        <f t="shared" si="48"/>
        <v>645</v>
      </c>
      <c r="B649" s="9">
        <f t="shared" ref="B649:B650" si="170">B648+H649+I649+J649</f>
        <v>27.080000000000002</v>
      </c>
      <c r="C649" s="3" t="s">
        <v>691</v>
      </c>
      <c r="D649">
        <f t="shared" si="154"/>
        <v>7</v>
      </c>
      <c r="E649">
        <f t="shared" si="165"/>
        <v>6</v>
      </c>
      <c r="F649">
        <f t="shared" si="166"/>
        <v>2023</v>
      </c>
      <c r="G649" t="s">
        <v>7</v>
      </c>
      <c r="H649">
        <v>-1</v>
      </c>
      <c r="K649" t="s">
        <v>9</v>
      </c>
      <c r="L649" s="8">
        <f t="shared" si="167"/>
        <v>-1</v>
      </c>
      <c r="M649" t="s">
        <v>697</v>
      </c>
    </row>
    <row r="650" spans="1:13" x14ac:dyDescent="0.35">
      <c r="A650">
        <f t="shared" si="48"/>
        <v>646</v>
      </c>
      <c r="B650" s="9">
        <f t="shared" si="170"/>
        <v>28.080000000000002</v>
      </c>
      <c r="C650" s="3" t="s">
        <v>691</v>
      </c>
      <c r="D650">
        <f t="shared" si="154"/>
        <v>7</v>
      </c>
      <c r="E650">
        <f t="shared" si="165"/>
        <v>6</v>
      </c>
      <c r="F650">
        <f t="shared" si="166"/>
        <v>2023</v>
      </c>
      <c r="G650" t="s">
        <v>7</v>
      </c>
      <c r="H650">
        <v>-1</v>
      </c>
      <c r="I650">
        <v>2</v>
      </c>
      <c r="K650" t="s">
        <v>10</v>
      </c>
      <c r="L650" s="8">
        <f t="shared" si="167"/>
        <v>1</v>
      </c>
      <c r="M650" t="s">
        <v>698</v>
      </c>
    </row>
    <row r="651" spans="1:13" x14ac:dyDescent="0.35">
      <c r="A651">
        <f t="shared" si="48"/>
        <v>647</v>
      </c>
      <c r="B651" s="9">
        <f t="shared" ref="B651" si="171">B650+H651+I651+J651</f>
        <v>27.080000000000002</v>
      </c>
      <c r="C651" s="3" t="s">
        <v>699</v>
      </c>
      <c r="D651">
        <f t="shared" si="154"/>
        <v>8</v>
      </c>
      <c r="E651">
        <f t="shared" si="165"/>
        <v>6</v>
      </c>
      <c r="F651">
        <f t="shared" si="166"/>
        <v>2023</v>
      </c>
      <c r="G651" t="s">
        <v>7</v>
      </c>
      <c r="H651">
        <v>-1</v>
      </c>
      <c r="K651" t="s">
        <v>9</v>
      </c>
      <c r="L651" s="8">
        <f t="shared" si="167"/>
        <v>-1</v>
      </c>
      <c r="M651" t="s">
        <v>700</v>
      </c>
    </row>
    <row r="652" spans="1:13" x14ac:dyDescent="0.35">
      <c r="A652">
        <f t="shared" si="48"/>
        <v>648</v>
      </c>
      <c r="B652" s="9">
        <f t="shared" ref="B652" si="172">B651+H652+I652+J652</f>
        <v>26.080000000000002</v>
      </c>
      <c r="C652" s="3" t="s">
        <v>699</v>
      </c>
      <c r="D652">
        <f t="shared" si="154"/>
        <v>8</v>
      </c>
      <c r="E652">
        <f t="shared" si="165"/>
        <v>6</v>
      </c>
      <c r="F652">
        <f t="shared" si="166"/>
        <v>2023</v>
      </c>
      <c r="G652" t="s">
        <v>7</v>
      </c>
      <c r="H652">
        <v>-1</v>
      </c>
      <c r="K652" t="s">
        <v>9</v>
      </c>
      <c r="L652" s="8">
        <f t="shared" si="167"/>
        <v>-1</v>
      </c>
      <c r="M652" t="s">
        <v>701</v>
      </c>
    </row>
    <row r="653" spans="1:13" x14ac:dyDescent="0.35">
      <c r="A653">
        <f t="shared" si="48"/>
        <v>649</v>
      </c>
      <c r="B653" s="9">
        <f t="shared" ref="B653" si="173">B652+H653+I653+J653</f>
        <v>25.080000000000002</v>
      </c>
      <c r="C653" s="3" t="s">
        <v>702</v>
      </c>
      <c r="D653">
        <f t="shared" si="154"/>
        <v>11</v>
      </c>
      <c r="E653">
        <f t="shared" si="165"/>
        <v>6</v>
      </c>
      <c r="F653">
        <f t="shared" si="166"/>
        <v>2023</v>
      </c>
      <c r="G653" t="s">
        <v>7</v>
      </c>
      <c r="H653">
        <v>-1</v>
      </c>
      <c r="K653" t="s">
        <v>9</v>
      </c>
      <c r="L653" s="8">
        <f t="shared" si="167"/>
        <v>-1</v>
      </c>
      <c r="M653" t="s">
        <v>703</v>
      </c>
    </row>
    <row r="654" spans="1:13" x14ac:dyDescent="0.35">
      <c r="A654">
        <f t="shared" si="48"/>
        <v>650</v>
      </c>
      <c r="B654" s="9">
        <f t="shared" ref="B654" si="174">B653+H654+I654+J654</f>
        <v>24.080000000000002</v>
      </c>
      <c r="C654" s="3" t="s">
        <v>702</v>
      </c>
      <c r="D654">
        <f t="shared" si="154"/>
        <v>11</v>
      </c>
      <c r="E654">
        <f t="shared" si="165"/>
        <v>6</v>
      </c>
      <c r="F654">
        <f t="shared" si="166"/>
        <v>2023</v>
      </c>
      <c r="G654" t="s">
        <v>7</v>
      </c>
      <c r="H654">
        <v>-1</v>
      </c>
      <c r="K654" t="s">
        <v>9</v>
      </c>
      <c r="L654" s="8">
        <f t="shared" si="167"/>
        <v>-1</v>
      </c>
      <c r="M654" t="s">
        <v>704</v>
      </c>
    </row>
    <row r="655" spans="1:13" x14ac:dyDescent="0.35">
      <c r="A655">
        <f t="shared" si="48"/>
        <v>651</v>
      </c>
      <c r="B655" s="9">
        <f t="shared" ref="B655" si="175">B654+H655+I655+J655</f>
        <v>23.080000000000002</v>
      </c>
      <c r="C655" s="3" t="s">
        <v>702</v>
      </c>
      <c r="D655">
        <f t="shared" si="154"/>
        <v>11</v>
      </c>
      <c r="E655">
        <f t="shared" si="165"/>
        <v>6</v>
      </c>
      <c r="F655">
        <f t="shared" si="166"/>
        <v>2023</v>
      </c>
      <c r="G655" t="s">
        <v>7</v>
      </c>
      <c r="H655">
        <v>-1</v>
      </c>
      <c r="K655" t="s">
        <v>9</v>
      </c>
      <c r="L655" s="8">
        <f t="shared" si="167"/>
        <v>-1</v>
      </c>
      <c r="M655" t="s">
        <v>705</v>
      </c>
    </row>
    <row r="656" spans="1:13" x14ac:dyDescent="0.35">
      <c r="A656">
        <f t="shared" si="48"/>
        <v>652</v>
      </c>
      <c r="B656" s="9">
        <f t="shared" ref="B656:B657" si="176">B655+H656+I656+J656</f>
        <v>24.080000000000002</v>
      </c>
      <c r="C656" s="3" t="s">
        <v>702</v>
      </c>
      <c r="D656">
        <f t="shared" si="154"/>
        <v>11</v>
      </c>
      <c r="E656">
        <f t="shared" si="165"/>
        <v>6</v>
      </c>
      <c r="F656">
        <f t="shared" si="166"/>
        <v>2023</v>
      </c>
      <c r="G656" t="s">
        <v>7</v>
      </c>
      <c r="H656">
        <v>-1</v>
      </c>
      <c r="I656">
        <v>2</v>
      </c>
      <c r="K656" t="s">
        <v>10</v>
      </c>
      <c r="L656" s="8">
        <f t="shared" si="167"/>
        <v>1</v>
      </c>
      <c r="M656" t="s">
        <v>706</v>
      </c>
    </row>
    <row r="657" spans="1:13" x14ac:dyDescent="0.35">
      <c r="A657">
        <f t="shared" si="48"/>
        <v>653</v>
      </c>
      <c r="B657" s="9">
        <f t="shared" si="176"/>
        <v>23.080000000000002</v>
      </c>
      <c r="C657" s="3" t="s">
        <v>702</v>
      </c>
      <c r="D657">
        <f t="shared" si="154"/>
        <v>11</v>
      </c>
      <c r="E657">
        <f t="shared" si="165"/>
        <v>6</v>
      </c>
      <c r="F657">
        <f t="shared" si="166"/>
        <v>2023</v>
      </c>
      <c r="G657" t="s">
        <v>7</v>
      </c>
      <c r="H657">
        <v>-1</v>
      </c>
      <c r="K657" t="s">
        <v>9</v>
      </c>
      <c r="L657" s="8">
        <f t="shared" si="167"/>
        <v>-1</v>
      </c>
      <c r="M657" t="s">
        <v>707</v>
      </c>
    </row>
    <row r="658" spans="1:13" x14ac:dyDescent="0.35">
      <c r="A658">
        <f t="shared" si="48"/>
        <v>654</v>
      </c>
      <c r="B658" s="9">
        <f t="shared" ref="B658" si="177">B657+H658+I658+J658</f>
        <v>22.080000000000002</v>
      </c>
      <c r="C658" s="3" t="s">
        <v>702</v>
      </c>
      <c r="D658">
        <f t="shared" si="154"/>
        <v>11</v>
      </c>
      <c r="E658">
        <f t="shared" si="165"/>
        <v>6</v>
      </c>
      <c r="F658">
        <f t="shared" si="166"/>
        <v>2023</v>
      </c>
      <c r="G658" t="s">
        <v>7</v>
      </c>
      <c r="H658">
        <v>-1</v>
      </c>
      <c r="K658" t="s">
        <v>9</v>
      </c>
      <c r="L658" s="8">
        <f t="shared" si="167"/>
        <v>-1</v>
      </c>
      <c r="M658" t="s">
        <v>708</v>
      </c>
    </row>
    <row r="659" spans="1:13" x14ac:dyDescent="0.35">
      <c r="A659">
        <f t="shared" si="48"/>
        <v>655</v>
      </c>
      <c r="B659" s="9">
        <f t="shared" ref="B659:B660" si="178">B658+H659+I659+J659</f>
        <v>21.080000000000002</v>
      </c>
      <c r="C659" s="3" t="s">
        <v>702</v>
      </c>
      <c r="D659">
        <f t="shared" si="154"/>
        <v>11</v>
      </c>
      <c r="E659">
        <f t="shared" si="165"/>
        <v>6</v>
      </c>
      <c r="F659">
        <f t="shared" si="166"/>
        <v>2023</v>
      </c>
      <c r="G659" t="s">
        <v>7</v>
      </c>
      <c r="H659">
        <v>-1</v>
      </c>
      <c r="K659" t="s">
        <v>9</v>
      </c>
      <c r="L659" s="8">
        <f t="shared" si="167"/>
        <v>-1</v>
      </c>
      <c r="M659" t="s">
        <v>709</v>
      </c>
    </row>
    <row r="660" spans="1:13" x14ac:dyDescent="0.35">
      <c r="A660">
        <f t="shared" si="48"/>
        <v>656</v>
      </c>
      <c r="B660" s="9">
        <f t="shared" si="178"/>
        <v>23.080000000000002</v>
      </c>
      <c r="C660" s="3" t="s">
        <v>702</v>
      </c>
      <c r="D660">
        <f t="shared" si="154"/>
        <v>11</v>
      </c>
      <c r="E660">
        <f t="shared" si="165"/>
        <v>6</v>
      </c>
      <c r="F660">
        <f t="shared" si="166"/>
        <v>2023</v>
      </c>
      <c r="G660" t="s">
        <v>7</v>
      </c>
      <c r="H660">
        <v>-1</v>
      </c>
      <c r="I660">
        <v>3</v>
      </c>
      <c r="K660" t="s">
        <v>10</v>
      </c>
      <c r="L660" s="8">
        <f t="shared" si="167"/>
        <v>2</v>
      </c>
      <c r="M660" t="s">
        <v>710</v>
      </c>
    </row>
    <row r="661" spans="1:13" x14ac:dyDescent="0.35">
      <c r="A661">
        <f t="shared" si="48"/>
        <v>657</v>
      </c>
      <c r="B661" s="9">
        <f t="shared" ref="B661" si="179">B660+H661+I661+J661</f>
        <v>12.080000000000002</v>
      </c>
      <c r="C661" s="3" t="s">
        <v>702</v>
      </c>
      <c r="D661">
        <f t="shared" si="154"/>
        <v>11</v>
      </c>
      <c r="E661">
        <f t="shared" si="165"/>
        <v>6</v>
      </c>
      <c r="F661">
        <f t="shared" si="166"/>
        <v>2023</v>
      </c>
      <c r="G661" t="s">
        <v>154</v>
      </c>
      <c r="H661">
        <v>-11</v>
      </c>
      <c r="K661" t="s">
        <v>9</v>
      </c>
      <c r="L661" s="8">
        <f t="shared" si="167"/>
        <v>-1</v>
      </c>
      <c r="M661" t="s">
        <v>711</v>
      </c>
    </row>
    <row r="662" spans="1:13" x14ac:dyDescent="0.35">
      <c r="A662">
        <f t="shared" si="48"/>
        <v>658</v>
      </c>
      <c r="B662" s="9">
        <f t="shared" ref="B662" si="180">B661+H662+I662+J662</f>
        <v>8.7800000000000011</v>
      </c>
      <c r="C662" s="3" t="s">
        <v>713</v>
      </c>
      <c r="D662">
        <f t="shared" si="154"/>
        <v>12</v>
      </c>
      <c r="E662">
        <f t="shared" si="165"/>
        <v>6</v>
      </c>
      <c r="F662">
        <f t="shared" si="166"/>
        <v>2023</v>
      </c>
      <c r="G662" t="s">
        <v>44</v>
      </c>
      <c r="H662">
        <v>-3.3</v>
      </c>
      <c r="K662" t="s">
        <v>9</v>
      </c>
      <c r="L662" s="8">
        <f t="shared" si="167"/>
        <v>-1</v>
      </c>
      <c r="M662" t="s">
        <v>712</v>
      </c>
    </row>
    <row r="663" spans="1:13" x14ac:dyDescent="0.35">
      <c r="A663">
        <f t="shared" si="48"/>
        <v>659</v>
      </c>
      <c r="B663" s="9">
        <f t="shared" ref="B663:B665" si="181">B662+H663+I663+J663</f>
        <v>12.780000000000001</v>
      </c>
      <c r="C663" s="3" t="s">
        <v>713</v>
      </c>
      <c r="D663">
        <f t="shared" si="154"/>
        <v>12</v>
      </c>
      <c r="E663">
        <f t="shared" si="165"/>
        <v>6</v>
      </c>
      <c r="F663">
        <f t="shared" si="166"/>
        <v>2023</v>
      </c>
      <c r="G663" t="s">
        <v>7</v>
      </c>
      <c r="H663">
        <v>-1</v>
      </c>
      <c r="I663">
        <v>5</v>
      </c>
      <c r="K663" t="s">
        <v>10</v>
      </c>
      <c r="L663" s="8">
        <f t="shared" si="167"/>
        <v>4</v>
      </c>
      <c r="M663" t="s">
        <v>714</v>
      </c>
    </row>
    <row r="664" spans="1:13" x14ac:dyDescent="0.35">
      <c r="A664">
        <f t="shared" si="48"/>
        <v>660</v>
      </c>
      <c r="B664" s="9">
        <f t="shared" si="181"/>
        <v>9.48</v>
      </c>
      <c r="C664" s="3" t="s">
        <v>715</v>
      </c>
      <c r="D664">
        <f t="shared" si="154"/>
        <v>13</v>
      </c>
      <c r="E664">
        <f t="shared" si="165"/>
        <v>6</v>
      </c>
      <c r="F664">
        <f t="shared" si="166"/>
        <v>2023</v>
      </c>
      <c r="G664" t="s">
        <v>44</v>
      </c>
      <c r="H664">
        <v>-3.3</v>
      </c>
      <c r="K664" t="s">
        <v>9</v>
      </c>
      <c r="L664" s="8">
        <f t="shared" si="167"/>
        <v>-1</v>
      </c>
      <c r="M664" t="s">
        <v>716</v>
      </c>
    </row>
    <row r="665" spans="1:13" x14ac:dyDescent="0.35">
      <c r="A665">
        <f t="shared" si="48"/>
        <v>661</v>
      </c>
      <c r="B665" s="9">
        <f t="shared" si="181"/>
        <v>8.48</v>
      </c>
      <c r="C665" s="3" t="s">
        <v>715</v>
      </c>
      <c r="D665">
        <f t="shared" si="154"/>
        <v>13</v>
      </c>
      <c r="E665">
        <f t="shared" si="165"/>
        <v>6</v>
      </c>
      <c r="F665">
        <f t="shared" si="166"/>
        <v>2023</v>
      </c>
      <c r="G665" t="s">
        <v>7</v>
      </c>
      <c r="H665">
        <v>-1</v>
      </c>
      <c r="K665" t="s">
        <v>9</v>
      </c>
      <c r="L665" s="8">
        <f t="shared" si="167"/>
        <v>-1</v>
      </c>
      <c r="M665" t="s">
        <v>717</v>
      </c>
    </row>
    <row r="666" spans="1:13" x14ac:dyDescent="0.35">
      <c r="A666">
        <f t="shared" si="48"/>
        <v>662</v>
      </c>
      <c r="B666" s="9">
        <f t="shared" ref="B666" si="182">B665+H666+I666+J666</f>
        <v>7.48</v>
      </c>
      <c r="C666" s="3" t="s">
        <v>715</v>
      </c>
      <c r="D666">
        <f t="shared" si="154"/>
        <v>13</v>
      </c>
      <c r="E666">
        <f t="shared" si="165"/>
        <v>6</v>
      </c>
      <c r="F666">
        <f t="shared" si="166"/>
        <v>2023</v>
      </c>
      <c r="G666" t="s">
        <v>7</v>
      </c>
      <c r="H666">
        <v>-1</v>
      </c>
      <c r="K666" t="s">
        <v>9</v>
      </c>
      <c r="L666" s="8">
        <f t="shared" si="167"/>
        <v>-1</v>
      </c>
      <c r="M666" t="s">
        <v>718</v>
      </c>
    </row>
    <row r="667" spans="1:13" x14ac:dyDescent="0.35">
      <c r="A667">
        <f t="shared" si="48"/>
        <v>663</v>
      </c>
      <c r="B667" s="9">
        <f t="shared" ref="B667" si="183">B666+H667+I667+J667</f>
        <v>6.48</v>
      </c>
      <c r="C667" s="3" t="s">
        <v>715</v>
      </c>
      <c r="D667">
        <f t="shared" si="154"/>
        <v>13</v>
      </c>
      <c r="E667">
        <f t="shared" si="165"/>
        <v>6</v>
      </c>
      <c r="F667">
        <f t="shared" si="166"/>
        <v>2023</v>
      </c>
      <c r="G667" t="s">
        <v>7</v>
      </c>
      <c r="H667">
        <v>-1</v>
      </c>
      <c r="K667" t="s">
        <v>9</v>
      </c>
      <c r="L667" s="8">
        <f t="shared" si="167"/>
        <v>-1</v>
      </c>
      <c r="M667" t="s">
        <v>719</v>
      </c>
    </row>
    <row r="668" spans="1:13" x14ac:dyDescent="0.35">
      <c r="A668">
        <f t="shared" si="48"/>
        <v>664</v>
      </c>
      <c r="B668" s="9">
        <f t="shared" ref="B668" si="184">B667+H668+I668+J668</f>
        <v>5.48</v>
      </c>
      <c r="C668" s="3" t="s">
        <v>720</v>
      </c>
      <c r="D668">
        <f t="shared" si="154"/>
        <v>14</v>
      </c>
      <c r="E668">
        <f t="shared" si="165"/>
        <v>6</v>
      </c>
      <c r="F668">
        <f t="shared" si="166"/>
        <v>2023</v>
      </c>
      <c r="G668" t="s">
        <v>7</v>
      </c>
      <c r="H668">
        <v>-1</v>
      </c>
      <c r="K668" t="s">
        <v>9</v>
      </c>
      <c r="L668" s="8">
        <f t="shared" si="167"/>
        <v>-1</v>
      </c>
      <c r="M668" t="s">
        <v>721</v>
      </c>
    </row>
    <row r="669" spans="1:13" x14ac:dyDescent="0.35">
      <c r="A669">
        <f t="shared" si="48"/>
        <v>665</v>
      </c>
      <c r="B669" s="9">
        <f t="shared" ref="B669:B670" si="185">B668+H669+I669+J669</f>
        <v>6.48</v>
      </c>
      <c r="C669" s="3" t="s">
        <v>720</v>
      </c>
      <c r="D669">
        <f t="shared" si="154"/>
        <v>14</v>
      </c>
      <c r="E669">
        <f t="shared" si="165"/>
        <v>6</v>
      </c>
      <c r="F669">
        <f t="shared" si="166"/>
        <v>2023</v>
      </c>
      <c r="G669" t="s">
        <v>7</v>
      </c>
      <c r="H669">
        <v>-1</v>
      </c>
      <c r="I669">
        <v>2</v>
      </c>
      <c r="K669" t="s">
        <v>10</v>
      </c>
      <c r="L669" s="8">
        <f t="shared" si="167"/>
        <v>1</v>
      </c>
      <c r="M669" t="s">
        <v>722</v>
      </c>
    </row>
    <row r="670" spans="1:13" x14ac:dyDescent="0.35">
      <c r="A670">
        <f t="shared" si="48"/>
        <v>666</v>
      </c>
      <c r="B670" s="9">
        <f t="shared" si="185"/>
        <v>5.48</v>
      </c>
      <c r="C670" s="3" t="s">
        <v>720</v>
      </c>
      <c r="D670">
        <f t="shared" si="154"/>
        <v>14</v>
      </c>
      <c r="E670">
        <f t="shared" si="165"/>
        <v>6</v>
      </c>
      <c r="F670">
        <f t="shared" si="166"/>
        <v>2023</v>
      </c>
      <c r="G670" t="s">
        <v>7</v>
      </c>
      <c r="H670">
        <v>-1</v>
      </c>
      <c r="K670" t="s">
        <v>9</v>
      </c>
      <c r="L670" s="8">
        <f t="shared" si="167"/>
        <v>-1</v>
      </c>
      <c r="M670" t="s">
        <v>723</v>
      </c>
    </row>
    <row r="671" spans="1:13" x14ac:dyDescent="0.35">
      <c r="A671">
        <f t="shared" si="48"/>
        <v>667</v>
      </c>
      <c r="B671" s="9">
        <f t="shared" ref="B671:B672" si="186">B670+H671+I671+J671</f>
        <v>7.48</v>
      </c>
      <c r="C671" s="3" t="s">
        <v>720</v>
      </c>
      <c r="D671">
        <f t="shared" si="154"/>
        <v>14</v>
      </c>
      <c r="E671">
        <f t="shared" si="165"/>
        <v>6</v>
      </c>
      <c r="F671">
        <f t="shared" si="166"/>
        <v>2023</v>
      </c>
      <c r="G671" t="s">
        <v>7</v>
      </c>
      <c r="H671">
        <v>-1</v>
      </c>
      <c r="I671">
        <v>3</v>
      </c>
      <c r="K671" t="s">
        <v>10</v>
      </c>
      <c r="L671" s="8">
        <f t="shared" si="167"/>
        <v>2</v>
      </c>
      <c r="M671" t="s">
        <v>724</v>
      </c>
    </row>
    <row r="672" spans="1:13" x14ac:dyDescent="0.35">
      <c r="A672">
        <f t="shared" si="48"/>
        <v>668</v>
      </c>
      <c r="B672" s="9">
        <f t="shared" si="186"/>
        <v>6.48</v>
      </c>
      <c r="C672" s="3" t="s">
        <v>725</v>
      </c>
      <c r="D672">
        <f t="shared" si="154"/>
        <v>16</v>
      </c>
      <c r="E672">
        <f t="shared" si="165"/>
        <v>6</v>
      </c>
      <c r="F672">
        <f t="shared" si="166"/>
        <v>2023</v>
      </c>
      <c r="G672" t="s">
        <v>7</v>
      </c>
      <c r="H672">
        <v>-1</v>
      </c>
      <c r="K672" t="s">
        <v>9</v>
      </c>
      <c r="L672" s="8">
        <f t="shared" si="167"/>
        <v>-1</v>
      </c>
      <c r="M672" t="s">
        <v>726</v>
      </c>
    </row>
    <row r="673" spans="1:13" x14ac:dyDescent="0.35">
      <c r="A673">
        <f t="shared" si="48"/>
        <v>669</v>
      </c>
      <c r="B673" s="9">
        <f t="shared" ref="B673" si="187">B672+H673+I673+J673</f>
        <v>5.48</v>
      </c>
      <c r="C673" s="3" t="s">
        <v>725</v>
      </c>
      <c r="D673">
        <f t="shared" si="154"/>
        <v>16</v>
      </c>
      <c r="E673">
        <f t="shared" si="165"/>
        <v>6</v>
      </c>
      <c r="F673">
        <f t="shared" si="166"/>
        <v>2023</v>
      </c>
      <c r="G673" t="s">
        <v>7</v>
      </c>
      <c r="H673">
        <v>-1</v>
      </c>
      <c r="K673" t="s">
        <v>9</v>
      </c>
      <c r="L673" s="8">
        <f t="shared" si="167"/>
        <v>-1</v>
      </c>
      <c r="M673" t="s">
        <v>727</v>
      </c>
    </row>
    <row r="674" spans="1:13" x14ac:dyDescent="0.35">
      <c r="A674">
        <f t="shared" si="48"/>
        <v>670</v>
      </c>
      <c r="B674" s="9">
        <f t="shared" ref="B674" si="188">B673+H674+I674+J674</f>
        <v>4.4800000000000004</v>
      </c>
      <c r="C674" s="3" t="s">
        <v>725</v>
      </c>
      <c r="D674">
        <f t="shared" si="154"/>
        <v>16</v>
      </c>
      <c r="E674">
        <f t="shared" si="165"/>
        <v>6</v>
      </c>
      <c r="F674">
        <f t="shared" si="166"/>
        <v>2023</v>
      </c>
      <c r="G674" t="s">
        <v>7</v>
      </c>
      <c r="H674">
        <v>-1</v>
      </c>
      <c r="K674" t="s">
        <v>9</v>
      </c>
      <c r="L674" s="8">
        <f t="shared" si="167"/>
        <v>-1</v>
      </c>
      <c r="M674" t="s">
        <v>728</v>
      </c>
    </row>
    <row r="675" spans="1:13" x14ac:dyDescent="0.35">
      <c r="A675">
        <f t="shared" si="48"/>
        <v>671</v>
      </c>
      <c r="B675" s="9">
        <f t="shared" ref="B675" si="189">B674+H675+I675+J675</f>
        <v>3.4800000000000004</v>
      </c>
      <c r="C675" s="3" t="s">
        <v>725</v>
      </c>
      <c r="D675">
        <f t="shared" si="154"/>
        <v>16</v>
      </c>
      <c r="E675">
        <f t="shared" si="165"/>
        <v>6</v>
      </c>
      <c r="F675">
        <f t="shared" si="166"/>
        <v>2023</v>
      </c>
      <c r="G675" t="s">
        <v>7</v>
      </c>
      <c r="H675">
        <v>-1</v>
      </c>
      <c r="K675" t="s">
        <v>9</v>
      </c>
      <c r="L675" s="8">
        <f t="shared" si="167"/>
        <v>-1</v>
      </c>
      <c r="M675" t="s">
        <v>729</v>
      </c>
    </row>
    <row r="676" spans="1:13" x14ac:dyDescent="0.35">
      <c r="A676">
        <f t="shared" si="48"/>
        <v>672</v>
      </c>
      <c r="B676" s="9">
        <f t="shared" ref="B676" si="190">B675+H676+I676+J676</f>
        <v>2.4800000000000004</v>
      </c>
      <c r="C676" s="3" t="s">
        <v>725</v>
      </c>
      <c r="D676">
        <f t="shared" si="154"/>
        <v>16</v>
      </c>
      <c r="E676">
        <f t="shared" si="165"/>
        <v>6</v>
      </c>
      <c r="F676">
        <f t="shared" si="166"/>
        <v>2023</v>
      </c>
      <c r="G676" t="s">
        <v>7</v>
      </c>
      <c r="H676">
        <v>-1</v>
      </c>
      <c r="K676" t="s">
        <v>9</v>
      </c>
      <c r="L676" s="8">
        <f t="shared" si="167"/>
        <v>-1</v>
      </c>
      <c r="M676" t="s">
        <v>730</v>
      </c>
    </row>
    <row r="677" spans="1:13" x14ac:dyDescent="0.35">
      <c r="A677">
        <f t="shared" si="48"/>
        <v>673</v>
      </c>
      <c r="B677" s="9">
        <f t="shared" ref="B677" si="191">B676+H677+I677+J677</f>
        <v>3.4800000000000004</v>
      </c>
      <c r="C677" s="3" t="s">
        <v>725</v>
      </c>
      <c r="D677">
        <f t="shared" si="154"/>
        <v>16</v>
      </c>
      <c r="E677">
        <f t="shared" si="165"/>
        <v>6</v>
      </c>
      <c r="F677">
        <f t="shared" si="166"/>
        <v>2023</v>
      </c>
      <c r="G677" t="s">
        <v>7</v>
      </c>
      <c r="H677">
        <v>-1</v>
      </c>
      <c r="I677">
        <v>2</v>
      </c>
      <c r="K677" t="s">
        <v>10</v>
      </c>
      <c r="L677" s="8">
        <f t="shared" si="167"/>
        <v>1</v>
      </c>
      <c r="M677" t="s">
        <v>731</v>
      </c>
    </row>
    <row r="678" spans="1:13" x14ac:dyDescent="0.35">
      <c r="A678">
        <f t="shared" si="48"/>
        <v>674</v>
      </c>
      <c r="B678" s="9">
        <f t="shared" ref="B678:B679" si="192">B677+H678+I678+J678</f>
        <v>5.48</v>
      </c>
      <c r="C678" s="3" t="s">
        <v>725</v>
      </c>
      <c r="D678">
        <f t="shared" si="154"/>
        <v>16</v>
      </c>
      <c r="E678">
        <f t="shared" si="165"/>
        <v>6</v>
      </c>
      <c r="F678">
        <f t="shared" si="166"/>
        <v>2023</v>
      </c>
      <c r="G678" t="s">
        <v>7</v>
      </c>
      <c r="H678">
        <v>-1</v>
      </c>
      <c r="I678">
        <v>3</v>
      </c>
      <c r="K678" t="s">
        <v>10</v>
      </c>
      <c r="L678" s="8">
        <f t="shared" si="167"/>
        <v>2</v>
      </c>
      <c r="M678" t="s">
        <v>732</v>
      </c>
    </row>
    <row r="679" spans="1:13" x14ac:dyDescent="0.35">
      <c r="A679">
        <f t="shared" si="48"/>
        <v>675</v>
      </c>
      <c r="B679" s="9">
        <f t="shared" si="192"/>
        <v>6.48</v>
      </c>
      <c r="C679" s="3" t="s">
        <v>725</v>
      </c>
      <c r="D679">
        <f t="shared" si="154"/>
        <v>16</v>
      </c>
      <c r="E679">
        <f t="shared" si="165"/>
        <v>6</v>
      </c>
      <c r="F679">
        <f t="shared" si="166"/>
        <v>2023</v>
      </c>
      <c r="G679" t="s">
        <v>7</v>
      </c>
      <c r="H679">
        <v>-1</v>
      </c>
      <c r="I679">
        <v>2</v>
      </c>
      <c r="K679" t="s">
        <v>10</v>
      </c>
      <c r="L679" s="8">
        <f t="shared" si="167"/>
        <v>1</v>
      </c>
      <c r="M679" t="s">
        <v>733</v>
      </c>
    </row>
    <row r="680" spans="1:13" x14ac:dyDescent="0.35">
      <c r="A680">
        <f t="shared" si="48"/>
        <v>676</v>
      </c>
      <c r="B680" s="9">
        <f t="shared" ref="B680" si="193">B679+H680+I680+J680</f>
        <v>7.48</v>
      </c>
      <c r="C680" s="3" t="s">
        <v>734</v>
      </c>
      <c r="D680">
        <f t="shared" si="154"/>
        <v>17</v>
      </c>
      <c r="E680">
        <f t="shared" si="165"/>
        <v>6</v>
      </c>
      <c r="F680">
        <f t="shared" si="166"/>
        <v>2023</v>
      </c>
      <c r="G680" t="s">
        <v>7</v>
      </c>
      <c r="H680">
        <v>-1</v>
      </c>
      <c r="I680">
        <v>2</v>
      </c>
      <c r="K680" t="s">
        <v>10</v>
      </c>
      <c r="L680" s="8">
        <f t="shared" si="167"/>
        <v>1</v>
      </c>
      <c r="M680" t="s">
        <v>735</v>
      </c>
    </row>
    <row r="681" spans="1:13" x14ac:dyDescent="0.35">
      <c r="A681">
        <f t="shared" si="48"/>
        <v>677</v>
      </c>
      <c r="B681" s="9">
        <f t="shared" ref="B681" si="194">B680+H681+I681+J681</f>
        <v>26.48</v>
      </c>
      <c r="C681" s="3" t="s">
        <v>734</v>
      </c>
      <c r="D681">
        <f t="shared" si="154"/>
        <v>17</v>
      </c>
      <c r="E681">
        <f t="shared" si="165"/>
        <v>6</v>
      </c>
      <c r="F681">
        <f t="shared" si="166"/>
        <v>2023</v>
      </c>
      <c r="G681" t="s">
        <v>7</v>
      </c>
      <c r="H681">
        <v>-1</v>
      </c>
      <c r="I681">
        <v>20</v>
      </c>
      <c r="K681" t="s">
        <v>10</v>
      </c>
      <c r="L681" s="8">
        <f t="shared" si="167"/>
        <v>19</v>
      </c>
      <c r="M681" t="s">
        <v>736</v>
      </c>
    </row>
    <row r="682" spans="1:13" x14ac:dyDescent="0.35">
      <c r="A682">
        <f t="shared" si="48"/>
        <v>678</v>
      </c>
      <c r="B682" s="9">
        <f t="shared" ref="B682" si="195">B681+H682+I682+J682</f>
        <v>25.48</v>
      </c>
      <c r="C682" s="3" t="s">
        <v>734</v>
      </c>
      <c r="D682">
        <f t="shared" si="154"/>
        <v>17</v>
      </c>
      <c r="E682">
        <f t="shared" si="165"/>
        <v>6</v>
      </c>
      <c r="F682">
        <f t="shared" si="166"/>
        <v>2023</v>
      </c>
      <c r="G682" t="s">
        <v>7</v>
      </c>
      <c r="H682">
        <v>-1</v>
      </c>
      <c r="K682" t="s">
        <v>9</v>
      </c>
      <c r="L682" s="8">
        <f t="shared" si="167"/>
        <v>-1</v>
      </c>
      <c r="M682" t="s">
        <v>737</v>
      </c>
    </row>
    <row r="683" spans="1:13" x14ac:dyDescent="0.35">
      <c r="A683">
        <f t="shared" si="48"/>
        <v>679</v>
      </c>
      <c r="B683" s="9">
        <f t="shared" ref="B683" si="196">B682+H683+I683+J683</f>
        <v>24.48</v>
      </c>
      <c r="C683" s="3" t="s">
        <v>734</v>
      </c>
      <c r="D683">
        <f t="shared" si="154"/>
        <v>17</v>
      </c>
      <c r="E683">
        <f t="shared" si="165"/>
        <v>6</v>
      </c>
      <c r="F683">
        <f t="shared" si="166"/>
        <v>2023</v>
      </c>
      <c r="G683" t="s">
        <v>7</v>
      </c>
      <c r="H683">
        <v>-1</v>
      </c>
      <c r="K683" t="s">
        <v>9</v>
      </c>
      <c r="L683" s="8">
        <f t="shared" si="167"/>
        <v>-1</v>
      </c>
      <c r="M683" t="s">
        <v>738</v>
      </c>
    </row>
    <row r="684" spans="1:13" x14ac:dyDescent="0.35">
      <c r="A684">
        <f t="shared" si="48"/>
        <v>680</v>
      </c>
      <c r="B684" s="9">
        <f t="shared" ref="B684" si="197">B683+H684+I684+J684</f>
        <v>23.48</v>
      </c>
      <c r="C684" s="3" t="s">
        <v>739</v>
      </c>
      <c r="D684">
        <f t="shared" si="154"/>
        <v>18</v>
      </c>
      <c r="E684">
        <f t="shared" si="165"/>
        <v>6</v>
      </c>
      <c r="F684">
        <f t="shared" si="166"/>
        <v>2023</v>
      </c>
      <c r="G684" t="s">
        <v>7</v>
      </c>
      <c r="H684">
        <v>-1</v>
      </c>
      <c r="K684" t="s">
        <v>9</v>
      </c>
      <c r="L684" s="8">
        <f t="shared" si="167"/>
        <v>-1</v>
      </c>
      <c r="M684" t="s">
        <v>740</v>
      </c>
    </row>
    <row r="685" spans="1:13" x14ac:dyDescent="0.35">
      <c r="A685">
        <f t="shared" si="48"/>
        <v>681</v>
      </c>
      <c r="B685" s="9">
        <f t="shared" ref="B685" si="198">B684+H685+I685+J685</f>
        <v>22.48</v>
      </c>
      <c r="C685" s="3" t="s">
        <v>739</v>
      </c>
      <c r="D685">
        <f t="shared" si="154"/>
        <v>18</v>
      </c>
      <c r="E685">
        <f t="shared" si="165"/>
        <v>6</v>
      </c>
      <c r="F685">
        <f t="shared" si="166"/>
        <v>2023</v>
      </c>
      <c r="G685" t="s">
        <v>7</v>
      </c>
      <c r="H685">
        <v>-1</v>
      </c>
      <c r="K685" t="s">
        <v>9</v>
      </c>
      <c r="L685" s="8">
        <f t="shared" si="167"/>
        <v>-1</v>
      </c>
      <c r="M685" t="s">
        <v>741</v>
      </c>
    </row>
    <row r="686" spans="1:13" x14ac:dyDescent="0.35">
      <c r="A686">
        <f t="shared" si="48"/>
        <v>682</v>
      </c>
      <c r="B686" s="9">
        <f t="shared" ref="B686" si="199">B685+H686+I686+J686</f>
        <v>21.48</v>
      </c>
      <c r="C686" s="3" t="s">
        <v>739</v>
      </c>
      <c r="D686">
        <f t="shared" si="154"/>
        <v>18</v>
      </c>
      <c r="E686">
        <f t="shared" si="165"/>
        <v>6</v>
      </c>
      <c r="F686">
        <f t="shared" si="166"/>
        <v>2023</v>
      </c>
      <c r="G686" t="s">
        <v>7</v>
      </c>
      <c r="H686">
        <v>-1</v>
      </c>
      <c r="K686" t="s">
        <v>9</v>
      </c>
      <c r="L686" s="8">
        <f t="shared" si="167"/>
        <v>-1</v>
      </c>
      <c r="M686" t="s">
        <v>742</v>
      </c>
    </row>
    <row r="687" spans="1:13" x14ac:dyDescent="0.35">
      <c r="A687">
        <f t="shared" si="48"/>
        <v>683</v>
      </c>
      <c r="B687" s="9">
        <f t="shared" ref="B687:B688" si="200">B686+H687+I687+J687</f>
        <v>23.48</v>
      </c>
      <c r="C687" s="3" t="s">
        <v>739</v>
      </c>
      <c r="D687">
        <f t="shared" si="154"/>
        <v>18</v>
      </c>
      <c r="E687">
        <f t="shared" si="165"/>
        <v>6</v>
      </c>
      <c r="F687">
        <f t="shared" si="166"/>
        <v>2023</v>
      </c>
      <c r="G687" t="s">
        <v>7</v>
      </c>
      <c r="H687">
        <v>-1</v>
      </c>
      <c r="I687">
        <v>3</v>
      </c>
      <c r="K687" t="s">
        <v>10</v>
      </c>
      <c r="L687" s="8">
        <f t="shared" si="167"/>
        <v>2</v>
      </c>
      <c r="M687" t="s">
        <v>743</v>
      </c>
    </row>
    <row r="688" spans="1:13" x14ac:dyDescent="0.35">
      <c r="A688">
        <f t="shared" si="48"/>
        <v>684</v>
      </c>
      <c r="B688" s="9">
        <f t="shared" si="200"/>
        <v>22.48</v>
      </c>
      <c r="C688" s="3" t="s">
        <v>739</v>
      </c>
      <c r="D688">
        <f t="shared" si="154"/>
        <v>18</v>
      </c>
      <c r="E688">
        <f t="shared" si="165"/>
        <v>6</v>
      </c>
      <c r="F688">
        <f t="shared" si="166"/>
        <v>2023</v>
      </c>
      <c r="G688" t="s">
        <v>7</v>
      </c>
      <c r="H688">
        <v>-1</v>
      </c>
      <c r="K688" t="s">
        <v>9</v>
      </c>
      <c r="L688" s="8">
        <f t="shared" si="167"/>
        <v>-1</v>
      </c>
      <c r="M688" t="s">
        <v>744</v>
      </c>
    </row>
    <row r="689" spans="1:13" x14ac:dyDescent="0.35">
      <c r="A689">
        <f t="shared" si="48"/>
        <v>685</v>
      </c>
      <c r="B689" s="9">
        <f t="shared" ref="B689" si="201">B688+H689+I689+J689</f>
        <v>21.48</v>
      </c>
      <c r="C689" s="3" t="s">
        <v>739</v>
      </c>
      <c r="D689">
        <f t="shared" si="154"/>
        <v>18</v>
      </c>
      <c r="E689">
        <f t="shared" si="165"/>
        <v>6</v>
      </c>
      <c r="F689">
        <f t="shared" si="166"/>
        <v>2023</v>
      </c>
      <c r="G689" t="s">
        <v>7</v>
      </c>
      <c r="H689">
        <v>-1</v>
      </c>
      <c r="K689" t="s">
        <v>9</v>
      </c>
      <c r="L689" s="8">
        <f t="shared" si="167"/>
        <v>-1</v>
      </c>
      <c r="M689" t="s">
        <v>745</v>
      </c>
    </row>
    <row r="690" spans="1:13" x14ac:dyDescent="0.35">
      <c r="A690">
        <f t="shared" si="48"/>
        <v>686</v>
      </c>
      <c r="B690" s="9">
        <f t="shared" ref="B690" si="202">B689+H690+I690+J690</f>
        <v>20.48</v>
      </c>
      <c r="C690" s="3" t="s">
        <v>739</v>
      </c>
      <c r="D690">
        <f t="shared" si="154"/>
        <v>18</v>
      </c>
      <c r="E690">
        <f t="shared" si="165"/>
        <v>6</v>
      </c>
      <c r="F690">
        <f t="shared" si="166"/>
        <v>2023</v>
      </c>
      <c r="G690" t="s">
        <v>7</v>
      </c>
      <c r="H690">
        <v>-1</v>
      </c>
      <c r="K690" t="s">
        <v>9</v>
      </c>
      <c r="L690" s="8">
        <f t="shared" si="167"/>
        <v>-1</v>
      </c>
      <c r="M690" t="s">
        <v>746</v>
      </c>
    </row>
    <row r="691" spans="1:13" x14ac:dyDescent="0.35">
      <c r="A691">
        <f t="shared" si="48"/>
        <v>687</v>
      </c>
      <c r="B691" s="9">
        <f t="shared" ref="B691" si="203">B690+H691+I691+J691</f>
        <v>19.48</v>
      </c>
      <c r="C691" s="3" t="s">
        <v>739</v>
      </c>
      <c r="D691">
        <f t="shared" si="154"/>
        <v>18</v>
      </c>
      <c r="E691">
        <f t="shared" si="165"/>
        <v>6</v>
      </c>
      <c r="F691">
        <f t="shared" si="166"/>
        <v>2023</v>
      </c>
      <c r="G691" t="s">
        <v>7</v>
      </c>
      <c r="H691">
        <v>-1</v>
      </c>
      <c r="K691" t="s">
        <v>9</v>
      </c>
      <c r="L691" s="8">
        <f t="shared" si="167"/>
        <v>-1</v>
      </c>
      <c r="M691" t="s">
        <v>747</v>
      </c>
    </row>
    <row r="692" spans="1:13" x14ac:dyDescent="0.35">
      <c r="A692">
        <f t="shared" si="48"/>
        <v>688</v>
      </c>
      <c r="B692" s="9">
        <f t="shared" ref="B692:B693" si="204">B691+H692+I692+J692</f>
        <v>8.48</v>
      </c>
      <c r="C692" s="3" t="s">
        <v>739</v>
      </c>
      <c r="D692">
        <f t="shared" si="154"/>
        <v>18</v>
      </c>
      <c r="E692">
        <f t="shared" si="165"/>
        <v>6</v>
      </c>
      <c r="F692">
        <f t="shared" si="166"/>
        <v>2023</v>
      </c>
      <c r="G692" t="s">
        <v>154</v>
      </c>
      <c r="H692">
        <v>-11</v>
      </c>
      <c r="K692" t="s">
        <v>9</v>
      </c>
      <c r="L692" s="8">
        <f t="shared" si="167"/>
        <v>-1</v>
      </c>
      <c r="M692" t="s">
        <v>748</v>
      </c>
    </row>
    <row r="693" spans="1:13" x14ac:dyDescent="0.35">
      <c r="A693">
        <f t="shared" si="48"/>
        <v>689</v>
      </c>
      <c r="B693" s="9">
        <f t="shared" si="204"/>
        <v>7.48</v>
      </c>
      <c r="C693" s="3" t="s">
        <v>750</v>
      </c>
      <c r="D693">
        <f t="shared" si="154"/>
        <v>19</v>
      </c>
      <c r="E693">
        <f t="shared" si="165"/>
        <v>6</v>
      </c>
      <c r="F693">
        <f t="shared" si="166"/>
        <v>2023</v>
      </c>
      <c r="G693" t="s">
        <v>7</v>
      </c>
      <c r="H693">
        <v>-1</v>
      </c>
      <c r="K693" t="s">
        <v>9</v>
      </c>
      <c r="L693" s="8">
        <f t="shared" si="167"/>
        <v>-1</v>
      </c>
      <c r="M693" t="s">
        <v>749</v>
      </c>
    </row>
    <row r="694" spans="1:13" x14ac:dyDescent="0.35">
      <c r="A694">
        <f t="shared" si="48"/>
        <v>690</v>
      </c>
      <c r="B694" s="9">
        <f t="shared" ref="B694" si="205">B693+H694+I694+J694</f>
        <v>6.48</v>
      </c>
      <c r="C694" s="3" t="s">
        <v>750</v>
      </c>
      <c r="D694">
        <f t="shared" si="154"/>
        <v>19</v>
      </c>
      <c r="E694">
        <f t="shared" si="165"/>
        <v>6</v>
      </c>
      <c r="F694">
        <f t="shared" si="166"/>
        <v>2023</v>
      </c>
      <c r="G694" t="s">
        <v>7</v>
      </c>
      <c r="H694">
        <v>-1</v>
      </c>
      <c r="K694" t="s">
        <v>9</v>
      </c>
      <c r="L694" s="8">
        <f t="shared" si="167"/>
        <v>-1</v>
      </c>
      <c r="M694" t="s">
        <v>751</v>
      </c>
    </row>
    <row r="695" spans="1:13" x14ac:dyDescent="0.35">
      <c r="A695">
        <f t="shared" si="48"/>
        <v>691</v>
      </c>
      <c r="B695" s="9">
        <f t="shared" ref="B695:B696" si="206">B694+H695+I695+J695</f>
        <v>7.48</v>
      </c>
      <c r="C695" s="3" t="s">
        <v>750</v>
      </c>
      <c r="D695">
        <f t="shared" si="154"/>
        <v>19</v>
      </c>
      <c r="E695">
        <f t="shared" si="165"/>
        <v>6</v>
      </c>
      <c r="F695">
        <f t="shared" si="166"/>
        <v>2023</v>
      </c>
      <c r="G695" t="s">
        <v>7</v>
      </c>
      <c r="H695">
        <v>-1</v>
      </c>
      <c r="I695">
        <v>2</v>
      </c>
      <c r="K695" t="s">
        <v>10</v>
      </c>
      <c r="L695" s="8">
        <f t="shared" si="167"/>
        <v>1</v>
      </c>
      <c r="M695" t="s">
        <v>752</v>
      </c>
    </row>
    <row r="696" spans="1:13" x14ac:dyDescent="0.35">
      <c r="A696">
        <f t="shared" si="48"/>
        <v>692</v>
      </c>
      <c r="B696" s="9">
        <f t="shared" si="206"/>
        <v>6.48</v>
      </c>
      <c r="C696" s="3" t="s">
        <v>750</v>
      </c>
      <c r="D696">
        <f t="shared" si="154"/>
        <v>19</v>
      </c>
      <c r="E696">
        <f t="shared" si="165"/>
        <v>6</v>
      </c>
      <c r="F696">
        <f t="shared" si="166"/>
        <v>2023</v>
      </c>
      <c r="G696" t="s">
        <v>7</v>
      </c>
      <c r="H696">
        <v>-1</v>
      </c>
      <c r="K696" t="s">
        <v>9</v>
      </c>
      <c r="L696" s="8">
        <f t="shared" si="167"/>
        <v>-1</v>
      </c>
      <c r="M696" t="s">
        <v>753</v>
      </c>
    </row>
    <row r="697" spans="1:13" x14ac:dyDescent="0.35">
      <c r="A697">
        <f t="shared" si="48"/>
        <v>693</v>
      </c>
      <c r="B697" s="9">
        <f t="shared" ref="B697" si="207">B696+H697+I697+J697</f>
        <v>5.48</v>
      </c>
      <c r="C697" s="3" t="s">
        <v>750</v>
      </c>
      <c r="D697">
        <f t="shared" si="154"/>
        <v>19</v>
      </c>
      <c r="E697">
        <f t="shared" si="165"/>
        <v>6</v>
      </c>
      <c r="F697">
        <f t="shared" si="166"/>
        <v>2023</v>
      </c>
      <c r="G697" t="s">
        <v>7</v>
      </c>
      <c r="H697">
        <v>-1</v>
      </c>
      <c r="K697" t="s">
        <v>9</v>
      </c>
      <c r="L697" s="8">
        <f t="shared" si="167"/>
        <v>-1</v>
      </c>
      <c r="M697" t="s">
        <v>754</v>
      </c>
    </row>
    <row r="698" spans="1:13" x14ac:dyDescent="0.35">
      <c r="A698">
        <f t="shared" si="48"/>
        <v>694</v>
      </c>
      <c r="B698" s="9">
        <f t="shared" ref="B698:B699" si="208">B697+H698+I698+J698</f>
        <v>4.4800000000000004</v>
      </c>
      <c r="C698" s="3" t="s">
        <v>750</v>
      </c>
      <c r="D698">
        <f t="shared" ref="D698:D735" si="209">_xlfn.NUMBERVALUE(LEFT(C698,2))</f>
        <v>19</v>
      </c>
      <c r="E698">
        <f t="shared" si="165"/>
        <v>6</v>
      </c>
      <c r="F698">
        <f t="shared" si="166"/>
        <v>2023</v>
      </c>
      <c r="G698" t="s">
        <v>7</v>
      </c>
      <c r="H698">
        <v>-1</v>
      </c>
      <c r="K698" t="s">
        <v>9</v>
      </c>
      <c r="L698" s="8">
        <f t="shared" si="167"/>
        <v>-1</v>
      </c>
      <c r="M698" t="s">
        <v>755</v>
      </c>
    </row>
    <row r="699" spans="1:13" x14ac:dyDescent="0.35">
      <c r="A699">
        <f t="shared" si="48"/>
        <v>695</v>
      </c>
      <c r="B699" s="9">
        <f t="shared" si="208"/>
        <v>5.48</v>
      </c>
      <c r="C699" s="3" t="s">
        <v>750</v>
      </c>
      <c r="D699">
        <f t="shared" si="209"/>
        <v>19</v>
      </c>
      <c r="E699">
        <f t="shared" si="165"/>
        <v>6</v>
      </c>
      <c r="F699">
        <f t="shared" si="166"/>
        <v>2023</v>
      </c>
      <c r="G699" t="s">
        <v>7</v>
      </c>
      <c r="H699">
        <v>-1</v>
      </c>
      <c r="I699">
        <v>2</v>
      </c>
      <c r="K699" t="s">
        <v>10</v>
      </c>
      <c r="L699" s="8">
        <f t="shared" si="167"/>
        <v>1</v>
      </c>
      <c r="M699" t="s">
        <v>756</v>
      </c>
    </row>
    <row r="700" spans="1:13" x14ac:dyDescent="0.35">
      <c r="A700">
        <f t="shared" si="48"/>
        <v>696</v>
      </c>
      <c r="B700" s="9">
        <f t="shared" ref="B700:B701" si="210">B699+H700+I700+J700</f>
        <v>9.48</v>
      </c>
      <c r="C700" s="3" t="s">
        <v>750</v>
      </c>
      <c r="D700">
        <f t="shared" si="209"/>
        <v>19</v>
      </c>
      <c r="E700">
        <f t="shared" si="165"/>
        <v>6</v>
      </c>
      <c r="F700">
        <f t="shared" si="166"/>
        <v>2023</v>
      </c>
      <c r="G700" t="s">
        <v>7</v>
      </c>
      <c r="H700">
        <v>-1</v>
      </c>
      <c r="I700">
        <v>5</v>
      </c>
      <c r="K700" t="s">
        <v>10</v>
      </c>
      <c r="L700" s="8">
        <f t="shared" si="167"/>
        <v>4</v>
      </c>
      <c r="M700" t="s">
        <v>757</v>
      </c>
    </row>
    <row r="701" spans="1:13" x14ac:dyDescent="0.35">
      <c r="A701">
        <f t="shared" si="48"/>
        <v>697</v>
      </c>
      <c r="B701" s="9">
        <f t="shared" si="210"/>
        <v>8.48</v>
      </c>
      <c r="C701" s="3" t="s">
        <v>758</v>
      </c>
      <c r="D701">
        <f t="shared" si="209"/>
        <v>20</v>
      </c>
      <c r="E701">
        <f t="shared" si="165"/>
        <v>6</v>
      </c>
      <c r="F701">
        <f t="shared" si="166"/>
        <v>2023</v>
      </c>
      <c r="G701" t="s">
        <v>7</v>
      </c>
      <c r="H701">
        <v>-1</v>
      </c>
      <c r="K701" t="s">
        <v>9</v>
      </c>
      <c r="L701" s="8">
        <f t="shared" si="167"/>
        <v>-1</v>
      </c>
      <c r="M701" t="s">
        <v>759</v>
      </c>
    </row>
    <row r="702" spans="1:13" x14ac:dyDescent="0.35">
      <c r="A702">
        <f t="shared" si="48"/>
        <v>698</v>
      </c>
      <c r="B702" s="9">
        <f t="shared" ref="B702:B703" si="211">B701+H702+I702+J702</f>
        <v>9.48</v>
      </c>
      <c r="C702" s="3" t="s">
        <v>758</v>
      </c>
      <c r="D702">
        <f t="shared" si="209"/>
        <v>20</v>
      </c>
      <c r="E702">
        <f t="shared" si="165"/>
        <v>6</v>
      </c>
      <c r="F702">
        <f t="shared" si="166"/>
        <v>2023</v>
      </c>
      <c r="G702" t="s">
        <v>7</v>
      </c>
      <c r="H702">
        <v>-1</v>
      </c>
      <c r="I702">
        <v>2</v>
      </c>
      <c r="K702" t="s">
        <v>10</v>
      </c>
      <c r="L702" s="8">
        <f t="shared" si="167"/>
        <v>1</v>
      </c>
      <c r="M702" t="s">
        <v>760</v>
      </c>
    </row>
    <row r="703" spans="1:13" x14ac:dyDescent="0.35">
      <c r="A703">
        <f t="shared" si="48"/>
        <v>699</v>
      </c>
      <c r="B703" s="9">
        <f t="shared" si="211"/>
        <v>8.48</v>
      </c>
      <c r="C703" s="3" t="s">
        <v>758</v>
      </c>
      <c r="D703">
        <f t="shared" si="209"/>
        <v>20</v>
      </c>
      <c r="E703">
        <f t="shared" si="165"/>
        <v>6</v>
      </c>
      <c r="F703">
        <f t="shared" si="166"/>
        <v>2023</v>
      </c>
      <c r="G703" t="s">
        <v>7</v>
      </c>
      <c r="H703">
        <v>-1</v>
      </c>
      <c r="K703" t="s">
        <v>9</v>
      </c>
      <c r="L703" s="8">
        <f t="shared" si="167"/>
        <v>-1</v>
      </c>
      <c r="M703" t="s">
        <v>761</v>
      </c>
    </row>
    <row r="704" spans="1:13" x14ac:dyDescent="0.35">
      <c r="A704">
        <f t="shared" si="48"/>
        <v>700</v>
      </c>
      <c r="B704" s="9">
        <f t="shared" ref="B704:B705" si="212">B703+H704+I704+J704</f>
        <v>7.48</v>
      </c>
      <c r="C704" s="3" t="s">
        <v>758</v>
      </c>
      <c r="D704">
        <f t="shared" si="209"/>
        <v>20</v>
      </c>
      <c r="E704">
        <f t="shared" si="165"/>
        <v>6</v>
      </c>
      <c r="F704">
        <f t="shared" si="166"/>
        <v>2023</v>
      </c>
      <c r="G704" t="s">
        <v>7</v>
      </c>
      <c r="H704">
        <v>-1</v>
      </c>
      <c r="K704" t="s">
        <v>9</v>
      </c>
      <c r="L704" s="8">
        <f t="shared" si="167"/>
        <v>-1</v>
      </c>
      <c r="M704" t="s">
        <v>762</v>
      </c>
    </row>
    <row r="705" spans="1:13" x14ac:dyDescent="0.35">
      <c r="A705">
        <f t="shared" si="48"/>
        <v>701</v>
      </c>
      <c r="B705" s="9">
        <f t="shared" si="212"/>
        <v>11.48</v>
      </c>
      <c r="C705" s="3" t="s">
        <v>758</v>
      </c>
      <c r="D705">
        <f t="shared" si="209"/>
        <v>20</v>
      </c>
      <c r="E705">
        <f t="shared" si="165"/>
        <v>6</v>
      </c>
      <c r="F705">
        <f t="shared" si="166"/>
        <v>2023</v>
      </c>
      <c r="G705" t="s">
        <v>7</v>
      </c>
      <c r="H705">
        <v>-1</v>
      </c>
      <c r="I705">
        <v>5</v>
      </c>
      <c r="K705" t="s">
        <v>10</v>
      </c>
      <c r="L705" s="8">
        <f t="shared" si="167"/>
        <v>4</v>
      </c>
      <c r="M705" t="s">
        <v>763</v>
      </c>
    </row>
    <row r="706" spans="1:13" x14ac:dyDescent="0.35">
      <c r="A706">
        <f t="shared" si="48"/>
        <v>702</v>
      </c>
      <c r="B706" s="9">
        <f t="shared" ref="B706" si="213">B705+H706+I706+J706</f>
        <v>12.48</v>
      </c>
      <c r="C706" s="3" t="s">
        <v>764</v>
      </c>
      <c r="D706">
        <f t="shared" si="209"/>
        <v>22</v>
      </c>
      <c r="E706">
        <f t="shared" si="165"/>
        <v>6</v>
      </c>
      <c r="F706">
        <f t="shared" si="166"/>
        <v>2023</v>
      </c>
      <c r="G706" t="s">
        <v>7</v>
      </c>
      <c r="H706">
        <v>-1</v>
      </c>
      <c r="I706">
        <v>2</v>
      </c>
      <c r="K706" t="s">
        <v>10</v>
      </c>
      <c r="L706" s="8">
        <f t="shared" si="167"/>
        <v>1</v>
      </c>
      <c r="M706" t="s">
        <v>765</v>
      </c>
    </row>
    <row r="707" spans="1:13" x14ac:dyDescent="0.35">
      <c r="A707">
        <f t="shared" si="48"/>
        <v>703</v>
      </c>
      <c r="B707" s="9">
        <f t="shared" ref="B707" si="214">B706+H707+I707+J707</f>
        <v>11.48</v>
      </c>
      <c r="C707" s="3" t="s">
        <v>764</v>
      </c>
      <c r="D707">
        <f t="shared" si="209"/>
        <v>22</v>
      </c>
      <c r="E707">
        <f t="shared" si="165"/>
        <v>6</v>
      </c>
      <c r="F707">
        <f t="shared" si="166"/>
        <v>2023</v>
      </c>
      <c r="G707" t="s">
        <v>7</v>
      </c>
      <c r="H707">
        <v>-1</v>
      </c>
      <c r="K707" t="s">
        <v>9</v>
      </c>
      <c r="L707" s="8">
        <f t="shared" si="167"/>
        <v>-1</v>
      </c>
      <c r="M707" t="s">
        <v>766</v>
      </c>
    </row>
    <row r="708" spans="1:13" x14ac:dyDescent="0.35">
      <c r="A708">
        <f t="shared" si="48"/>
        <v>704</v>
      </c>
      <c r="B708" s="9">
        <f t="shared" ref="B708" si="215">B707+H708+I708+J708</f>
        <v>10.48</v>
      </c>
      <c r="C708" s="3" t="s">
        <v>764</v>
      </c>
      <c r="D708">
        <f t="shared" si="209"/>
        <v>22</v>
      </c>
      <c r="E708">
        <f t="shared" si="165"/>
        <v>6</v>
      </c>
      <c r="F708">
        <f t="shared" si="166"/>
        <v>2023</v>
      </c>
      <c r="G708" t="s">
        <v>7</v>
      </c>
      <c r="H708">
        <v>-1</v>
      </c>
      <c r="K708" t="s">
        <v>9</v>
      </c>
      <c r="L708" s="8">
        <f t="shared" si="167"/>
        <v>-1</v>
      </c>
      <c r="M708" t="s">
        <v>767</v>
      </c>
    </row>
    <row r="709" spans="1:13" x14ac:dyDescent="0.35">
      <c r="A709">
        <f t="shared" ref="A709:A963" si="216">A708+1</f>
        <v>705</v>
      </c>
      <c r="B709" s="9">
        <f t="shared" ref="B709" si="217">B708+H709+I709+J709</f>
        <v>9.48</v>
      </c>
      <c r="C709" s="3" t="s">
        <v>764</v>
      </c>
      <c r="D709">
        <f t="shared" si="209"/>
        <v>22</v>
      </c>
      <c r="E709">
        <f t="shared" si="165"/>
        <v>6</v>
      </c>
      <c r="F709">
        <f t="shared" si="166"/>
        <v>2023</v>
      </c>
      <c r="G709" t="s">
        <v>7</v>
      </c>
      <c r="H709">
        <v>-1</v>
      </c>
      <c r="K709" t="s">
        <v>9</v>
      </c>
      <c r="L709" s="8">
        <f t="shared" si="167"/>
        <v>-1</v>
      </c>
      <c r="M709" t="s">
        <v>768</v>
      </c>
    </row>
    <row r="710" spans="1:13" x14ac:dyDescent="0.35">
      <c r="A710">
        <f t="shared" si="216"/>
        <v>706</v>
      </c>
      <c r="B710" s="9">
        <f t="shared" ref="B710" si="218">B709+H710+I710+J710</f>
        <v>8.48</v>
      </c>
      <c r="C710" s="3" t="s">
        <v>764</v>
      </c>
      <c r="D710">
        <f t="shared" si="209"/>
        <v>22</v>
      </c>
      <c r="E710">
        <f t="shared" ref="E710:E735" si="219">_xlfn.NUMBERVALUE(MID(C710,4,2))</f>
        <v>6</v>
      </c>
      <c r="F710">
        <f t="shared" ref="F710:F735" si="220">_xlfn.NUMBERVALUE(RIGHT(C710,4))</f>
        <v>2023</v>
      </c>
      <c r="G710" t="s">
        <v>7</v>
      </c>
      <c r="H710">
        <v>-1</v>
      </c>
      <c r="K710" t="s">
        <v>9</v>
      </c>
      <c r="L710" s="8">
        <f t="shared" ref="L710:L773" si="221">IF(H710="",0,(SUM(I710:J710)/-H710)-1)</f>
        <v>-1</v>
      </c>
      <c r="M710" t="s">
        <v>769</v>
      </c>
    </row>
    <row r="711" spans="1:13" x14ac:dyDescent="0.35">
      <c r="A711">
        <f t="shared" si="216"/>
        <v>707</v>
      </c>
      <c r="B711" s="9">
        <f t="shared" ref="B711" si="222">B710+H711+I711+J711</f>
        <v>7.48</v>
      </c>
      <c r="C711" s="3" t="s">
        <v>764</v>
      </c>
      <c r="D711">
        <f t="shared" si="209"/>
        <v>22</v>
      </c>
      <c r="E711">
        <f t="shared" si="219"/>
        <v>6</v>
      </c>
      <c r="F711">
        <f t="shared" si="220"/>
        <v>2023</v>
      </c>
      <c r="G711" t="s">
        <v>7</v>
      </c>
      <c r="H711">
        <v>-1</v>
      </c>
      <c r="K711" t="s">
        <v>9</v>
      </c>
      <c r="L711" s="8">
        <f t="shared" si="221"/>
        <v>-1</v>
      </c>
      <c r="M711" t="s">
        <v>770</v>
      </c>
    </row>
    <row r="712" spans="1:13" x14ac:dyDescent="0.35">
      <c r="A712">
        <f t="shared" si="216"/>
        <v>708</v>
      </c>
      <c r="B712" s="9">
        <f t="shared" ref="B712" si="223">B711+H712+I712+J712</f>
        <v>6.48</v>
      </c>
      <c r="C712" s="3" t="s">
        <v>764</v>
      </c>
      <c r="D712">
        <f t="shared" si="209"/>
        <v>22</v>
      </c>
      <c r="E712">
        <f t="shared" si="219"/>
        <v>6</v>
      </c>
      <c r="F712">
        <f t="shared" si="220"/>
        <v>2023</v>
      </c>
      <c r="G712" t="s">
        <v>7</v>
      </c>
      <c r="H712">
        <v>-1</v>
      </c>
      <c r="K712" t="s">
        <v>9</v>
      </c>
      <c r="L712" s="8">
        <f t="shared" si="221"/>
        <v>-1</v>
      </c>
      <c r="M712" t="s">
        <v>771</v>
      </c>
    </row>
    <row r="713" spans="1:13" x14ac:dyDescent="0.35">
      <c r="A713">
        <f t="shared" si="216"/>
        <v>709</v>
      </c>
      <c r="B713" s="9">
        <f t="shared" ref="B713" si="224">B712+H713+I713+J713</f>
        <v>5.48</v>
      </c>
      <c r="C713" s="3" t="s">
        <v>764</v>
      </c>
      <c r="D713">
        <f t="shared" si="209"/>
        <v>22</v>
      </c>
      <c r="E713">
        <f t="shared" si="219"/>
        <v>6</v>
      </c>
      <c r="F713">
        <f t="shared" si="220"/>
        <v>2023</v>
      </c>
      <c r="G713" t="s">
        <v>7</v>
      </c>
      <c r="H713">
        <v>-1</v>
      </c>
      <c r="K713" t="s">
        <v>9</v>
      </c>
      <c r="L713" s="8">
        <f t="shared" si="221"/>
        <v>-1</v>
      </c>
      <c r="M713" t="s">
        <v>772</v>
      </c>
    </row>
    <row r="714" spans="1:13" x14ac:dyDescent="0.35">
      <c r="A714">
        <f t="shared" si="216"/>
        <v>710</v>
      </c>
      <c r="B714" s="9">
        <f t="shared" ref="B714:B715" si="225">B713+H714+I714+J714</f>
        <v>4.4800000000000004</v>
      </c>
      <c r="C714" s="3" t="s">
        <v>764</v>
      </c>
      <c r="D714">
        <f t="shared" si="209"/>
        <v>22</v>
      </c>
      <c r="E714">
        <f t="shared" si="219"/>
        <v>6</v>
      </c>
      <c r="F714">
        <f t="shared" si="220"/>
        <v>2023</v>
      </c>
      <c r="G714" t="s">
        <v>7</v>
      </c>
      <c r="H714">
        <v>-1</v>
      </c>
      <c r="K714" t="s">
        <v>9</v>
      </c>
      <c r="L714" s="8">
        <f t="shared" si="221"/>
        <v>-1</v>
      </c>
      <c r="M714" t="s">
        <v>773</v>
      </c>
    </row>
    <row r="715" spans="1:13" x14ac:dyDescent="0.35">
      <c r="A715">
        <f t="shared" si="216"/>
        <v>711</v>
      </c>
      <c r="B715" s="9">
        <f t="shared" si="225"/>
        <v>5.48</v>
      </c>
      <c r="C715" s="3" t="s">
        <v>764</v>
      </c>
      <c r="D715">
        <f t="shared" si="209"/>
        <v>22</v>
      </c>
      <c r="E715">
        <f t="shared" si="219"/>
        <v>6</v>
      </c>
      <c r="F715">
        <f t="shared" si="220"/>
        <v>2023</v>
      </c>
      <c r="G715" t="s">
        <v>7</v>
      </c>
      <c r="H715">
        <v>-1</v>
      </c>
      <c r="I715">
        <v>2</v>
      </c>
      <c r="K715" t="s">
        <v>10</v>
      </c>
      <c r="L715" s="8">
        <f t="shared" si="221"/>
        <v>1</v>
      </c>
      <c r="M715" t="s">
        <v>774</v>
      </c>
    </row>
    <row r="716" spans="1:13" x14ac:dyDescent="0.35">
      <c r="A716">
        <f t="shared" si="216"/>
        <v>712</v>
      </c>
      <c r="B716" s="9">
        <f t="shared" ref="B716:B718" si="226">B715+H716+I716+J716</f>
        <v>9.48</v>
      </c>
      <c r="C716" s="3" t="s">
        <v>764</v>
      </c>
      <c r="D716">
        <f t="shared" si="209"/>
        <v>22</v>
      </c>
      <c r="E716">
        <f t="shared" si="219"/>
        <v>6</v>
      </c>
      <c r="F716">
        <f t="shared" si="220"/>
        <v>2023</v>
      </c>
      <c r="G716" t="s">
        <v>7</v>
      </c>
      <c r="H716">
        <v>-1</v>
      </c>
      <c r="I716">
        <v>5</v>
      </c>
      <c r="K716" t="s">
        <v>10</v>
      </c>
      <c r="L716" s="8">
        <f t="shared" si="221"/>
        <v>4</v>
      </c>
      <c r="M716" t="s">
        <v>775</v>
      </c>
    </row>
    <row r="717" spans="1:13" x14ac:dyDescent="0.35">
      <c r="A717">
        <f t="shared" si="216"/>
        <v>713</v>
      </c>
      <c r="B717" s="9">
        <f t="shared" si="226"/>
        <v>8.48</v>
      </c>
      <c r="C717" s="3" t="s">
        <v>776</v>
      </c>
      <c r="D717">
        <f t="shared" si="209"/>
        <v>23</v>
      </c>
      <c r="E717">
        <f t="shared" si="219"/>
        <v>6</v>
      </c>
      <c r="F717">
        <f t="shared" si="220"/>
        <v>2023</v>
      </c>
      <c r="G717" t="s">
        <v>7</v>
      </c>
      <c r="H717">
        <v>-1</v>
      </c>
      <c r="K717" t="s">
        <v>9</v>
      </c>
      <c r="L717" s="8">
        <f t="shared" si="221"/>
        <v>-1</v>
      </c>
      <c r="M717" s="2" t="s">
        <v>777</v>
      </c>
    </row>
    <row r="718" spans="1:13" x14ac:dyDescent="0.35">
      <c r="A718">
        <f t="shared" si="216"/>
        <v>714</v>
      </c>
      <c r="B718" s="9">
        <f t="shared" si="226"/>
        <v>9.48</v>
      </c>
      <c r="C718" s="3" t="s">
        <v>778</v>
      </c>
      <c r="D718">
        <f t="shared" si="209"/>
        <v>24</v>
      </c>
      <c r="E718">
        <f t="shared" si="219"/>
        <v>6</v>
      </c>
      <c r="F718">
        <f t="shared" si="220"/>
        <v>2023</v>
      </c>
      <c r="G718" t="s">
        <v>7</v>
      </c>
      <c r="H718">
        <v>-1</v>
      </c>
      <c r="I718">
        <v>2</v>
      </c>
      <c r="K718" t="s">
        <v>10</v>
      </c>
      <c r="L718" s="8">
        <f t="shared" si="221"/>
        <v>1</v>
      </c>
      <c r="M718" t="s">
        <v>779</v>
      </c>
    </row>
    <row r="719" spans="1:13" x14ac:dyDescent="0.35">
      <c r="A719">
        <f t="shared" si="216"/>
        <v>715</v>
      </c>
      <c r="B719" s="9">
        <f t="shared" ref="B719" si="227">B718+H719+I719+J719</f>
        <v>8.48</v>
      </c>
      <c r="C719" s="3" t="s">
        <v>778</v>
      </c>
      <c r="D719">
        <f t="shared" si="209"/>
        <v>24</v>
      </c>
      <c r="E719">
        <f t="shared" si="219"/>
        <v>6</v>
      </c>
      <c r="F719">
        <f t="shared" si="220"/>
        <v>2023</v>
      </c>
      <c r="G719" t="s">
        <v>7</v>
      </c>
      <c r="H719">
        <v>-1</v>
      </c>
      <c r="K719" t="s">
        <v>9</v>
      </c>
      <c r="L719" s="8">
        <f t="shared" si="221"/>
        <v>-1</v>
      </c>
      <c r="M719" t="s">
        <v>780</v>
      </c>
    </row>
    <row r="720" spans="1:13" x14ac:dyDescent="0.35">
      <c r="A720">
        <f t="shared" si="216"/>
        <v>716</v>
      </c>
      <c r="B720" s="9">
        <f t="shared" ref="B720:B721" si="228">B719+H720+I720+J720</f>
        <v>9.2100000000000009</v>
      </c>
      <c r="C720" s="3" t="s">
        <v>778</v>
      </c>
      <c r="D720">
        <f t="shared" si="209"/>
        <v>24</v>
      </c>
      <c r="E720">
        <f t="shared" si="219"/>
        <v>6</v>
      </c>
      <c r="F720">
        <f t="shared" si="220"/>
        <v>2023</v>
      </c>
      <c r="G720" t="s">
        <v>44</v>
      </c>
      <c r="H720">
        <v>-7.5</v>
      </c>
      <c r="I720">
        <v>5.68</v>
      </c>
      <c r="J720">
        <v>2.5499999999999998</v>
      </c>
      <c r="K720" t="s">
        <v>10</v>
      </c>
      <c r="L720" s="8">
        <f t="shared" si="221"/>
        <v>9.7333333333333494E-2</v>
      </c>
      <c r="M720" t="s">
        <v>781</v>
      </c>
    </row>
    <row r="721" spans="1:13" x14ac:dyDescent="0.35">
      <c r="A721">
        <f t="shared" si="216"/>
        <v>717</v>
      </c>
      <c r="B721" s="9">
        <f t="shared" si="228"/>
        <v>8.2100000000000009</v>
      </c>
      <c r="C721" s="3" t="s">
        <v>778</v>
      </c>
      <c r="D721">
        <f t="shared" si="209"/>
        <v>24</v>
      </c>
      <c r="E721">
        <f t="shared" si="219"/>
        <v>6</v>
      </c>
      <c r="F721">
        <f t="shared" si="220"/>
        <v>2023</v>
      </c>
      <c r="G721" t="s">
        <v>7</v>
      </c>
      <c r="H721">
        <v>-1</v>
      </c>
      <c r="K721" t="s">
        <v>9</v>
      </c>
      <c r="L721" s="8">
        <f t="shared" si="221"/>
        <v>-1</v>
      </c>
      <c r="M721" t="s">
        <v>782</v>
      </c>
    </row>
    <row r="722" spans="1:13" x14ac:dyDescent="0.35">
      <c r="A722">
        <f t="shared" si="216"/>
        <v>718</v>
      </c>
      <c r="B722" s="9">
        <f t="shared" ref="B722" si="229">B721+H722+I722+J722</f>
        <v>7.2100000000000009</v>
      </c>
      <c r="C722" s="3" t="s">
        <v>778</v>
      </c>
      <c r="D722">
        <f t="shared" si="209"/>
        <v>24</v>
      </c>
      <c r="E722">
        <f t="shared" si="219"/>
        <v>6</v>
      </c>
      <c r="F722">
        <f t="shared" si="220"/>
        <v>2023</v>
      </c>
      <c r="G722" t="s">
        <v>7</v>
      </c>
      <c r="H722">
        <v>-1</v>
      </c>
      <c r="K722" t="s">
        <v>9</v>
      </c>
      <c r="L722" s="8">
        <f t="shared" si="221"/>
        <v>-1</v>
      </c>
      <c r="M722" t="s">
        <v>783</v>
      </c>
    </row>
    <row r="723" spans="1:13" x14ac:dyDescent="0.35">
      <c r="A723">
        <f t="shared" si="216"/>
        <v>719</v>
      </c>
      <c r="B723" s="9">
        <f t="shared" ref="B723" si="230">B722+H723+I723+J723</f>
        <v>6.2100000000000009</v>
      </c>
      <c r="C723" s="3" t="s">
        <v>778</v>
      </c>
      <c r="D723">
        <f t="shared" si="209"/>
        <v>24</v>
      </c>
      <c r="E723">
        <f t="shared" si="219"/>
        <v>6</v>
      </c>
      <c r="F723">
        <f t="shared" si="220"/>
        <v>2023</v>
      </c>
      <c r="G723" t="s">
        <v>7</v>
      </c>
      <c r="H723">
        <v>-1</v>
      </c>
      <c r="K723" t="s">
        <v>9</v>
      </c>
      <c r="L723" s="8">
        <f t="shared" si="221"/>
        <v>-1</v>
      </c>
      <c r="M723" t="s">
        <v>784</v>
      </c>
    </row>
    <row r="724" spans="1:13" x14ac:dyDescent="0.35">
      <c r="A724">
        <f t="shared" si="216"/>
        <v>720</v>
      </c>
      <c r="B724" s="9">
        <f t="shared" ref="B724" si="231">B723+H724+I724+J724</f>
        <v>5.2100000000000009</v>
      </c>
      <c r="C724" s="3" t="s">
        <v>778</v>
      </c>
      <c r="D724">
        <f t="shared" si="209"/>
        <v>24</v>
      </c>
      <c r="E724">
        <f t="shared" si="219"/>
        <v>6</v>
      </c>
      <c r="F724">
        <f t="shared" si="220"/>
        <v>2023</v>
      </c>
      <c r="G724" t="s">
        <v>7</v>
      </c>
      <c r="H724">
        <v>-1</v>
      </c>
      <c r="K724" t="s">
        <v>9</v>
      </c>
      <c r="L724" s="8">
        <f t="shared" si="221"/>
        <v>-1</v>
      </c>
      <c r="M724" t="s">
        <v>785</v>
      </c>
    </row>
    <row r="725" spans="1:13" x14ac:dyDescent="0.35">
      <c r="A725">
        <f t="shared" si="216"/>
        <v>721</v>
      </c>
      <c r="B725" s="9">
        <f t="shared" ref="B725:B727" si="232">B724+H725+I725+J725</f>
        <v>10.210000000000001</v>
      </c>
      <c r="C725" s="3" t="s">
        <v>778</v>
      </c>
      <c r="D725">
        <f t="shared" si="209"/>
        <v>24</v>
      </c>
      <c r="E725">
        <f t="shared" si="219"/>
        <v>6</v>
      </c>
      <c r="F725">
        <f t="shared" si="220"/>
        <v>2023</v>
      </c>
      <c r="G725" t="s">
        <v>7</v>
      </c>
      <c r="H725">
        <v>-5</v>
      </c>
      <c r="I725">
        <v>10</v>
      </c>
      <c r="K725" t="s">
        <v>10</v>
      </c>
      <c r="L725" s="8">
        <f t="shared" si="221"/>
        <v>1</v>
      </c>
      <c r="M725" t="s">
        <v>786</v>
      </c>
    </row>
    <row r="726" spans="1:13" x14ac:dyDescent="0.35">
      <c r="A726">
        <f t="shared" si="216"/>
        <v>722</v>
      </c>
      <c r="B726" s="9">
        <f t="shared" si="232"/>
        <v>9.2100000000000009</v>
      </c>
      <c r="C726" s="3" t="s">
        <v>778</v>
      </c>
      <c r="D726">
        <f t="shared" si="209"/>
        <v>24</v>
      </c>
      <c r="E726">
        <f t="shared" si="219"/>
        <v>6</v>
      </c>
      <c r="F726">
        <f t="shared" si="220"/>
        <v>2023</v>
      </c>
      <c r="G726" t="s">
        <v>7</v>
      </c>
      <c r="H726">
        <v>-1</v>
      </c>
      <c r="K726" t="s">
        <v>9</v>
      </c>
      <c r="L726" s="8">
        <f t="shared" si="221"/>
        <v>-1</v>
      </c>
      <c r="M726" t="s">
        <v>787</v>
      </c>
    </row>
    <row r="727" spans="1:13" x14ac:dyDescent="0.35">
      <c r="A727">
        <f t="shared" si="216"/>
        <v>723</v>
      </c>
      <c r="B727" s="9">
        <f t="shared" si="232"/>
        <v>10.210000000000001</v>
      </c>
      <c r="C727" s="3" t="s">
        <v>778</v>
      </c>
      <c r="D727">
        <f t="shared" si="209"/>
        <v>24</v>
      </c>
      <c r="E727">
        <f t="shared" si="219"/>
        <v>6</v>
      </c>
      <c r="F727">
        <f t="shared" si="220"/>
        <v>2023</v>
      </c>
      <c r="G727" t="s">
        <v>7</v>
      </c>
      <c r="H727">
        <v>-1</v>
      </c>
      <c r="I727">
        <v>2</v>
      </c>
      <c r="K727" t="s">
        <v>10</v>
      </c>
      <c r="L727" s="8">
        <f t="shared" si="221"/>
        <v>1</v>
      </c>
      <c r="M727" t="s">
        <v>788</v>
      </c>
    </row>
    <row r="728" spans="1:13" x14ac:dyDescent="0.35">
      <c r="A728">
        <f t="shared" si="216"/>
        <v>724</v>
      </c>
      <c r="B728" s="9">
        <f t="shared" ref="B728:B729" si="233">B727+H728+I728+J728</f>
        <v>12.21</v>
      </c>
      <c r="C728" s="3" t="s">
        <v>778</v>
      </c>
      <c r="D728">
        <f t="shared" si="209"/>
        <v>24</v>
      </c>
      <c r="E728">
        <f t="shared" si="219"/>
        <v>6</v>
      </c>
      <c r="F728">
        <f t="shared" si="220"/>
        <v>2023</v>
      </c>
      <c r="G728" t="s">
        <v>7</v>
      </c>
      <c r="H728">
        <v>-1</v>
      </c>
      <c r="I728">
        <v>3</v>
      </c>
      <c r="K728" t="s">
        <v>10</v>
      </c>
      <c r="L728" s="8">
        <f t="shared" si="221"/>
        <v>2</v>
      </c>
      <c r="M728" t="s">
        <v>789</v>
      </c>
    </row>
    <row r="729" spans="1:13" x14ac:dyDescent="0.35">
      <c r="A729">
        <f t="shared" si="216"/>
        <v>725</v>
      </c>
      <c r="B729" s="9">
        <f t="shared" si="233"/>
        <v>11.21</v>
      </c>
      <c r="C729" s="3" t="s">
        <v>790</v>
      </c>
      <c r="D729">
        <f t="shared" si="209"/>
        <v>25</v>
      </c>
      <c r="E729">
        <f t="shared" si="219"/>
        <v>6</v>
      </c>
      <c r="F729">
        <f t="shared" si="220"/>
        <v>2023</v>
      </c>
      <c r="G729" t="s">
        <v>7</v>
      </c>
      <c r="H729">
        <v>-1</v>
      </c>
      <c r="K729" t="s">
        <v>9</v>
      </c>
      <c r="L729" s="8">
        <f t="shared" si="221"/>
        <v>-1</v>
      </c>
      <c r="M729" t="s">
        <v>791</v>
      </c>
    </row>
    <row r="730" spans="1:13" x14ac:dyDescent="0.35">
      <c r="A730">
        <f t="shared" si="216"/>
        <v>726</v>
      </c>
      <c r="B730" s="9">
        <f t="shared" ref="B730:B731" si="234">B729+H730+I730+J730</f>
        <v>21.44</v>
      </c>
      <c r="C730" s="3" t="s">
        <v>790</v>
      </c>
      <c r="D730">
        <f t="shared" si="209"/>
        <v>25</v>
      </c>
      <c r="E730">
        <f t="shared" si="219"/>
        <v>6</v>
      </c>
      <c r="F730">
        <f t="shared" si="220"/>
        <v>2023</v>
      </c>
      <c r="G730" t="s">
        <v>154</v>
      </c>
      <c r="H730">
        <v>-11</v>
      </c>
      <c r="I730">
        <v>12.65</v>
      </c>
      <c r="J730">
        <v>8.58</v>
      </c>
      <c r="K730" t="s">
        <v>10</v>
      </c>
      <c r="L730" s="8">
        <f t="shared" si="221"/>
        <v>0.92999999999999994</v>
      </c>
      <c r="M730" t="s">
        <v>792</v>
      </c>
    </row>
    <row r="731" spans="1:13" x14ac:dyDescent="0.35">
      <c r="A731">
        <f t="shared" si="216"/>
        <v>727</v>
      </c>
      <c r="B731" s="9">
        <f t="shared" si="234"/>
        <v>22.44</v>
      </c>
      <c r="C731" s="3" t="s">
        <v>793</v>
      </c>
      <c r="D731">
        <f t="shared" si="209"/>
        <v>26</v>
      </c>
      <c r="E731">
        <f t="shared" si="219"/>
        <v>6</v>
      </c>
      <c r="F731">
        <f t="shared" si="220"/>
        <v>2023</v>
      </c>
      <c r="G731" t="s">
        <v>7</v>
      </c>
      <c r="H731">
        <v>-1</v>
      </c>
      <c r="I731">
        <v>2</v>
      </c>
      <c r="K731" t="s">
        <v>10</v>
      </c>
      <c r="L731" s="8">
        <f t="shared" si="221"/>
        <v>1</v>
      </c>
      <c r="M731" t="s">
        <v>794</v>
      </c>
    </row>
    <row r="732" spans="1:13" x14ac:dyDescent="0.35">
      <c r="A732">
        <f t="shared" si="216"/>
        <v>728</v>
      </c>
      <c r="B732" s="9">
        <f t="shared" ref="B732:B733" si="235">B731+H732+I732+J732</f>
        <v>21.44</v>
      </c>
      <c r="C732" s="3" t="s">
        <v>793</v>
      </c>
      <c r="D732">
        <f t="shared" si="209"/>
        <v>26</v>
      </c>
      <c r="E732">
        <f t="shared" si="219"/>
        <v>6</v>
      </c>
      <c r="F732">
        <f t="shared" si="220"/>
        <v>2023</v>
      </c>
      <c r="G732" t="s">
        <v>7</v>
      </c>
      <c r="H732">
        <v>-1</v>
      </c>
      <c r="K732" t="s">
        <v>9</v>
      </c>
      <c r="L732" s="8">
        <f t="shared" si="221"/>
        <v>-1</v>
      </c>
      <c r="M732" t="s">
        <v>795</v>
      </c>
    </row>
    <row r="733" spans="1:13" x14ac:dyDescent="0.35">
      <c r="A733">
        <f t="shared" si="216"/>
        <v>729</v>
      </c>
      <c r="B733" s="9">
        <f t="shared" si="235"/>
        <v>22.44</v>
      </c>
      <c r="C733" s="3" t="s">
        <v>793</v>
      </c>
      <c r="D733">
        <f t="shared" si="209"/>
        <v>26</v>
      </c>
      <c r="E733">
        <f t="shared" si="219"/>
        <v>6</v>
      </c>
      <c r="F733">
        <f t="shared" si="220"/>
        <v>2023</v>
      </c>
      <c r="G733" t="s">
        <v>7</v>
      </c>
      <c r="H733">
        <v>-1</v>
      </c>
      <c r="I733">
        <v>2</v>
      </c>
      <c r="K733" t="s">
        <v>10</v>
      </c>
      <c r="L733" s="8">
        <f t="shared" si="221"/>
        <v>1</v>
      </c>
      <c r="M733" t="s">
        <v>796</v>
      </c>
    </row>
    <row r="734" spans="1:13" x14ac:dyDescent="0.35">
      <c r="A734">
        <f t="shared" si="216"/>
        <v>730</v>
      </c>
      <c r="B734" s="9">
        <f t="shared" ref="B734" si="236">B733+H734+I734+J734</f>
        <v>23.44</v>
      </c>
      <c r="C734" s="3" t="s">
        <v>793</v>
      </c>
      <c r="D734">
        <f t="shared" si="209"/>
        <v>26</v>
      </c>
      <c r="E734">
        <f t="shared" si="219"/>
        <v>6</v>
      </c>
      <c r="F734">
        <f t="shared" si="220"/>
        <v>2023</v>
      </c>
      <c r="G734" t="s">
        <v>7</v>
      </c>
      <c r="H734">
        <v>-1</v>
      </c>
      <c r="I734">
        <v>2</v>
      </c>
      <c r="K734" t="s">
        <v>10</v>
      </c>
      <c r="L734" s="8">
        <f t="shared" si="221"/>
        <v>1</v>
      </c>
      <c r="M734" t="s">
        <v>797</v>
      </c>
    </row>
    <row r="735" spans="1:13" x14ac:dyDescent="0.35">
      <c r="A735">
        <f t="shared" si="216"/>
        <v>731</v>
      </c>
      <c r="B735" s="9">
        <f t="shared" ref="B735" si="237">B734+H735+I735+J735</f>
        <v>25.44</v>
      </c>
      <c r="C735" s="3" t="s">
        <v>793</v>
      </c>
      <c r="D735">
        <f t="shared" si="209"/>
        <v>26</v>
      </c>
      <c r="E735">
        <f t="shared" si="219"/>
        <v>6</v>
      </c>
      <c r="F735">
        <f t="shared" si="220"/>
        <v>2023</v>
      </c>
      <c r="G735" t="s">
        <v>7</v>
      </c>
      <c r="H735">
        <v>-1</v>
      </c>
      <c r="I735">
        <v>3</v>
      </c>
      <c r="K735" t="s">
        <v>10</v>
      </c>
      <c r="L735" s="8">
        <f t="shared" si="221"/>
        <v>2</v>
      </c>
      <c r="M735" t="s">
        <v>798</v>
      </c>
    </row>
    <row r="736" spans="1:13" x14ac:dyDescent="0.35">
      <c r="A736">
        <f t="shared" si="216"/>
        <v>732</v>
      </c>
      <c r="B736" s="9">
        <f t="shared" ref="B736" si="238">B735+H736+I736+J736</f>
        <v>27.44</v>
      </c>
      <c r="C736" s="3" t="s">
        <v>808</v>
      </c>
      <c r="D736">
        <f t="shared" ref="D736" si="239">_xlfn.NUMBERVALUE(LEFT(C736,2))</f>
        <v>27</v>
      </c>
      <c r="E736">
        <f t="shared" ref="E736" si="240">_xlfn.NUMBERVALUE(MID(C736,4,2))</f>
        <v>6</v>
      </c>
      <c r="F736">
        <f t="shared" ref="F736" si="241">_xlfn.NUMBERVALUE(RIGHT(C736,4))</f>
        <v>2023</v>
      </c>
      <c r="G736" t="s">
        <v>7</v>
      </c>
      <c r="H736">
        <v>-1</v>
      </c>
      <c r="I736">
        <v>3</v>
      </c>
      <c r="K736" t="s">
        <v>10</v>
      </c>
      <c r="L736" s="8">
        <f t="shared" si="221"/>
        <v>2</v>
      </c>
      <c r="M736" t="s">
        <v>809</v>
      </c>
    </row>
    <row r="737" spans="1:13" x14ac:dyDescent="0.35">
      <c r="A737">
        <f t="shared" si="216"/>
        <v>733</v>
      </c>
      <c r="B737" s="9">
        <f t="shared" ref="B737:B738" si="242">B736+H737+I737+J737</f>
        <v>31.66</v>
      </c>
      <c r="C737" s="3" t="s">
        <v>808</v>
      </c>
      <c r="D737">
        <f t="shared" ref="D737:D738" si="243">_xlfn.NUMBERVALUE(LEFT(C737,2))</f>
        <v>27</v>
      </c>
      <c r="E737">
        <f t="shared" ref="E737:E738" si="244">_xlfn.NUMBERVALUE(MID(C737,4,2))</f>
        <v>6</v>
      </c>
      <c r="F737">
        <f t="shared" ref="F737:F738" si="245">_xlfn.NUMBERVALUE(RIGHT(C737,4))</f>
        <v>2023</v>
      </c>
      <c r="G737" t="s">
        <v>44</v>
      </c>
      <c r="H737">
        <v>-3.3</v>
      </c>
      <c r="I737">
        <v>3.58</v>
      </c>
      <c r="J737">
        <v>3.94</v>
      </c>
      <c r="K737" t="s">
        <v>10</v>
      </c>
      <c r="L737" s="8">
        <f t="shared" si="221"/>
        <v>1.2787878787878788</v>
      </c>
      <c r="M737" t="s">
        <v>810</v>
      </c>
    </row>
    <row r="738" spans="1:13" x14ac:dyDescent="0.35">
      <c r="A738">
        <f t="shared" si="216"/>
        <v>734</v>
      </c>
      <c r="B738" s="9">
        <f t="shared" si="242"/>
        <v>30.66</v>
      </c>
      <c r="C738" s="3" t="s">
        <v>811</v>
      </c>
      <c r="D738">
        <f t="shared" si="243"/>
        <v>28</v>
      </c>
      <c r="E738">
        <f t="shared" si="244"/>
        <v>6</v>
      </c>
      <c r="F738">
        <f t="shared" si="245"/>
        <v>2023</v>
      </c>
      <c r="G738" t="s">
        <v>7</v>
      </c>
      <c r="H738">
        <v>-1</v>
      </c>
      <c r="K738" t="s">
        <v>9</v>
      </c>
      <c r="L738" s="8">
        <f t="shared" si="221"/>
        <v>-1</v>
      </c>
      <c r="M738" t="s">
        <v>812</v>
      </c>
    </row>
    <row r="739" spans="1:13" x14ac:dyDescent="0.35">
      <c r="A739">
        <f t="shared" si="216"/>
        <v>735</v>
      </c>
      <c r="B739" s="9">
        <f t="shared" ref="B739" si="246">B738+H739+I739+J739</f>
        <v>29.66</v>
      </c>
      <c r="C739" s="3" t="s">
        <v>811</v>
      </c>
      <c r="D739">
        <f t="shared" ref="D739" si="247">_xlfn.NUMBERVALUE(LEFT(C739,2))</f>
        <v>28</v>
      </c>
      <c r="E739">
        <f t="shared" ref="E739" si="248">_xlfn.NUMBERVALUE(MID(C739,4,2))</f>
        <v>6</v>
      </c>
      <c r="F739">
        <f t="shared" ref="F739" si="249">_xlfn.NUMBERVALUE(RIGHT(C739,4))</f>
        <v>2023</v>
      </c>
      <c r="G739" t="s">
        <v>7</v>
      </c>
      <c r="H739">
        <v>-1</v>
      </c>
      <c r="K739" t="s">
        <v>9</v>
      </c>
      <c r="L739" s="8">
        <f t="shared" si="221"/>
        <v>-1</v>
      </c>
      <c r="M739" t="s">
        <v>813</v>
      </c>
    </row>
    <row r="740" spans="1:13" x14ac:dyDescent="0.35">
      <c r="A740">
        <f t="shared" si="216"/>
        <v>736</v>
      </c>
      <c r="B740" s="9">
        <f t="shared" ref="B740" si="250">B739+H740+I740+J740</f>
        <v>28.66</v>
      </c>
      <c r="C740" s="3" t="s">
        <v>811</v>
      </c>
      <c r="D740">
        <f t="shared" ref="D740" si="251">_xlfn.NUMBERVALUE(LEFT(C740,2))</f>
        <v>28</v>
      </c>
      <c r="E740">
        <f t="shared" ref="E740" si="252">_xlfn.NUMBERVALUE(MID(C740,4,2))</f>
        <v>6</v>
      </c>
      <c r="F740">
        <f t="shared" ref="F740" si="253">_xlfn.NUMBERVALUE(RIGHT(C740,4))</f>
        <v>2023</v>
      </c>
      <c r="G740" t="s">
        <v>7</v>
      </c>
      <c r="H740">
        <v>-1</v>
      </c>
      <c r="K740" t="s">
        <v>9</v>
      </c>
      <c r="L740" s="8">
        <f t="shared" si="221"/>
        <v>-1</v>
      </c>
      <c r="M740" t="s">
        <v>814</v>
      </c>
    </row>
    <row r="741" spans="1:13" x14ac:dyDescent="0.35">
      <c r="A741">
        <f t="shared" si="216"/>
        <v>737</v>
      </c>
      <c r="B741" s="9">
        <f t="shared" ref="B741" si="254">B740+H741+I741+J741</f>
        <v>27.66</v>
      </c>
      <c r="C741" s="3" t="s">
        <v>811</v>
      </c>
      <c r="D741">
        <f t="shared" ref="D741" si="255">_xlfn.NUMBERVALUE(LEFT(C741,2))</f>
        <v>28</v>
      </c>
      <c r="E741">
        <f t="shared" ref="E741" si="256">_xlfn.NUMBERVALUE(MID(C741,4,2))</f>
        <v>6</v>
      </c>
      <c r="F741">
        <f t="shared" ref="F741" si="257">_xlfn.NUMBERVALUE(RIGHT(C741,4))</f>
        <v>2023</v>
      </c>
      <c r="G741" t="s">
        <v>7</v>
      </c>
      <c r="H741">
        <v>-1</v>
      </c>
      <c r="K741" t="s">
        <v>9</v>
      </c>
      <c r="L741" s="8">
        <f t="shared" si="221"/>
        <v>-1</v>
      </c>
      <c r="M741" t="s">
        <v>815</v>
      </c>
    </row>
    <row r="742" spans="1:13" x14ac:dyDescent="0.35">
      <c r="A742">
        <f t="shared" si="216"/>
        <v>738</v>
      </c>
      <c r="B742" s="9">
        <f t="shared" ref="B742" si="258">B741+H742+I742+J742</f>
        <v>26.66</v>
      </c>
      <c r="C742" s="3" t="s">
        <v>811</v>
      </c>
      <c r="D742">
        <f t="shared" ref="D742" si="259">_xlfn.NUMBERVALUE(LEFT(C742,2))</f>
        <v>28</v>
      </c>
      <c r="E742">
        <f t="shared" ref="E742" si="260">_xlfn.NUMBERVALUE(MID(C742,4,2))</f>
        <v>6</v>
      </c>
      <c r="F742">
        <f t="shared" ref="F742" si="261">_xlfn.NUMBERVALUE(RIGHT(C742,4))</f>
        <v>2023</v>
      </c>
      <c r="G742" t="s">
        <v>7</v>
      </c>
      <c r="H742">
        <v>-1</v>
      </c>
      <c r="K742" t="s">
        <v>9</v>
      </c>
      <c r="L742" s="8">
        <f t="shared" si="221"/>
        <v>-1</v>
      </c>
      <c r="M742" t="s">
        <v>816</v>
      </c>
    </row>
    <row r="743" spans="1:13" x14ac:dyDescent="0.35">
      <c r="A743">
        <f t="shared" si="216"/>
        <v>739</v>
      </c>
      <c r="B743" s="9">
        <f t="shared" ref="B743" si="262">B742+H743+I743+J743</f>
        <v>25.66</v>
      </c>
      <c r="C743" s="3" t="s">
        <v>811</v>
      </c>
      <c r="D743">
        <f t="shared" ref="D743" si="263">_xlfn.NUMBERVALUE(LEFT(C743,2))</f>
        <v>28</v>
      </c>
      <c r="E743">
        <f t="shared" ref="E743" si="264">_xlfn.NUMBERVALUE(MID(C743,4,2))</f>
        <v>6</v>
      </c>
      <c r="F743">
        <f t="shared" ref="F743" si="265">_xlfn.NUMBERVALUE(RIGHT(C743,4))</f>
        <v>2023</v>
      </c>
      <c r="G743" t="s">
        <v>7</v>
      </c>
      <c r="H743">
        <v>-1</v>
      </c>
      <c r="K743" t="s">
        <v>9</v>
      </c>
      <c r="L743" s="8">
        <f t="shared" si="221"/>
        <v>-1</v>
      </c>
      <c r="M743" t="s">
        <v>817</v>
      </c>
    </row>
    <row r="744" spans="1:13" x14ac:dyDescent="0.35">
      <c r="A744">
        <f t="shared" si="216"/>
        <v>740</v>
      </c>
      <c r="B744" s="9">
        <f t="shared" ref="B744" si="266">B743+H744+I744+J744</f>
        <v>24.66</v>
      </c>
      <c r="C744" s="3" t="s">
        <v>811</v>
      </c>
      <c r="D744">
        <f t="shared" ref="D744" si="267">_xlfn.NUMBERVALUE(LEFT(C744,2))</f>
        <v>28</v>
      </c>
      <c r="E744">
        <f t="shared" ref="E744" si="268">_xlfn.NUMBERVALUE(MID(C744,4,2))</f>
        <v>6</v>
      </c>
      <c r="F744">
        <f t="shared" ref="F744" si="269">_xlfn.NUMBERVALUE(RIGHT(C744,4))</f>
        <v>2023</v>
      </c>
      <c r="G744" t="s">
        <v>7</v>
      </c>
      <c r="H744">
        <v>-1</v>
      </c>
      <c r="K744" t="s">
        <v>9</v>
      </c>
      <c r="L744" s="8">
        <f t="shared" si="221"/>
        <v>-1</v>
      </c>
      <c r="M744" t="s">
        <v>818</v>
      </c>
    </row>
    <row r="745" spans="1:13" x14ac:dyDescent="0.35">
      <c r="A745">
        <f t="shared" si="216"/>
        <v>741</v>
      </c>
      <c r="B745" s="9">
        <f t="shared" ref="B745" si="270">B744+H745+I745+J745</f>
        <v>23.66</v>
      </c>
      <c r="C745" s="3" t="s">
        <v>811</v>
      </c>
      <c r="D745">
        <f t="shared" ref="D745" si="271">_xlfn.NUMBERVALUE(LEFT(C745,2))</f>
        <v>28</v>
      </c>
      <c r="E745">
        <f t="shared" ref="E745" si="272">_xlfn.NUMBERVALUE(MID(C745,4,2))</f>
        <v>6</v>
      </c>
      <c r="F745">
        <f t="shared" ref="F745" si="273">_xlfn.NUMBERVALUE(RIGHT(C745,4))</f>
        <v>2023</v>
      </c>
      <c r="G745" t="s">
        <v>7</v>
      </c>
      <c r="H745">
        <v>-1</v>
      </c>
      <c r="K745" t="s">
        <v>9</v>
      </c>
      <c r="L745" s="8">
        <f t="shared" si="221"/>
        <v>-1</v>
      </c>
      <c r="M745" t="s">
        <v>819</v>
      </c>
    </row>
    <row r="746" spans="1:13" x14ac:dyDescent="0.35">
      <c r="A746">
        <f t="shared" si="216"/>
        <v>742</v>
      </c>
      <c r="B746" s="9">
        <f t="shared" ref="B746" si="274">B745+H746+I746+J746</f>
        <v>22.66</v>
      </c>
      <c r="C746" s="3" t="s">
        <v>811</v>
      </c>
      <c r="D746">
        <f t="shared" ref="D746" si="275">_xlfn.NUMBERVALUE(LEFT(C746,2))</f>
        <v>28</v>
      </c>
      <c r="E746">
        <f t="shared" ref="E746" si="276">_xlfn.NUMBERVALUE(MID(C746,4,2))</f>
        <v>6</v>
      </c>
      <c r="F746">
        <f t="shared" ref="F746" si="277">_xlfn.NUMBERVALUE(RIGHT(C746,4))</f>
        <v>2023</v>
      </c>
      <c r="G746" t="s">
        <v>7</v>
      </c>
      <c r="H746">
        <v>-1</v>
      </c>
      <c r="K746" t="s">
        <v>9</v>
      </c>
      <c r="L746" s="8">
        <f t="shared" si="221"/>
        <v>-1</v>
      </c>
      <c r="M746" t="s">
        <v>820</v>
      </c>
    </row>
    <row r="747" spans="1:13" x14ac:dyDescent="0.35">
      <c r="A747">
        <f t="shared" si="216"/>
        <v>743</v>
      </c>
      <c r="B747" s="9">
        <f t="shared" ref="B747" si="278">B746+H747+I747+J747</f>
        <v>21.66</v>
      </c>
      <c r="C747" s="3" t="s">
        <v>811</v>
      </c>
      <c r="D747">
        <f t="shared" ref="D747" si="279">_xlfn.NUMBERVALUE(LEFT(C747,2))</f>
        <v>28</v>
      </c>
      <c r="E747">
        <f t="shared" ref="E747" si="280">_xlfn.NUMBERVALUE(MID(C747,4,2))</f>
        <v>6</v>
      </c>
      <c r="F747">
        <f t="shared" ref="F747" si="281">_xlfn.NUMBERVALUE(RIGHT(C747,4))</f>
        <v>2023</v>
      </c>
      <c r="G747" t="s">
        <v>7</v>
      </c>
      <c r="H747">
        <v>-1</v>
      </c>
      <c r="K747" t="s">
        <v>9</v>
      </c>
      <c r="L747" s="8">
        <f t="shared" si="221"/>
        <v>-1</v>
      </c>
      <c r="M747" t="s">
        <v>821</v>
      </c>
    </row>
    <row r="748" spans="1:13" x14ac:dyDescent="0.35">
      <c r="A748">
        <f t="shared" si="216"/>
        <v>744</v>
      </c>
      <c r="B748" s="9">
        <f t="shared" ref="B748" si="282">B747+H748+I748+J748</f>
        <v>20.66</v>
      </c>
      <c r="C748" s="3" t="s">
        <v>811</v>
      </c>
      <c r="D748">
        <f t="shared" ref="D748" si="283">_xlfn.NUMBERVALUE(LEFT(C748,2))</f>
        <v>28</v>
      </c>
      <c r="E748">
        <f t="shared" ref="E748" si="284">_xlfn.NUMBERVALUE(MID(C748,4,2))</f>
        <v>6</v>
      </c>
      <c r="F748">
        <f t="shared" ref="F748" si="285">_xlfn.NUMBERVALUE(RIGHT(C748,4))</f>
        <v>2023</v>
      </c>
      <c r="G748" t="s">
        <v>7</v>
      </c>
      <c r="H748">
        <v>-1</v>
      </c>
      <c r="K748" t="s">
        <v>9</v>
      </c>
      <c r="L748" s="8">
        <f t="shared" si="221"/>
        <v>-1</v>
      </c>
      <c r="M748" t="s">
        <v>822</v>
      </c>
    </row>
    <row r="749" spans="1:13" x14ac:dyDescent="0.35">
      <c r="A749">
        <f t="shared" si="216"/>
        <v>745</v>
      </c>
      <c r="B749" s="9">
        <f t="shared" ref="B749" si="286">B748+H749+I749+J749</f>
        <v>19.66</v>
      </c>
      <c r="C749" s="3" t="s">
        <v>811</v>
      </c>
      <c r="D749">
        <f t="shared" ref="D749" si="287">_xlfn.NUMBERVALUE(LEFT(C749,2))</f>
        <v>28</v>
      </c>
      <c r="E749">
        <f t="shared" ref="E749" si="288">_xlfn.NUMBERVALUE(MID(C749,4,2))</f>
        <v>6</v>
      </c>
      <c r="F749">
        <f t="shared" ref="F749" si="289">_xlfn.NUMBERVALUE(RIGHT(C749,4))</f>
        <v>2023</v>
      </c>
      <c r="G749" t="s">
        <v>7</v>
      </c>
      <c r="H749">
        <v>-1</v>
      </c>
      <c r="K749" t="s">
        <v>9</v>
      </c>
      <c r="L749" s="8">
        <f t="shared" si="221"/>
        <v>-1</v>
      </c>
      <c r="M749" t="s">
        <v>823</v>
      </c>
    </row>
    <row r="750" spans="1:13" x14ac:dyDescent="0.35">
      <c r="A750">
        <f t="shared" si="216"/>
        <v>746</v>
      </c>
      <c r="B750" s="9">
        <f t="shared" ref="B750" si="290">B749+H750+I750+J750</f>
        <v>18.66</v>
      </c>
      <c r="C750" s="3" t="s">
        <v>811</v>
      </c>
      <c r="D750">
        <f t="shared" ref="D750" si="291">_xlfn.NUMBERVALUE(LEFT(C750,2))</f>
        <v>28</v>
      </c>
      <c r="E750">
        <f t="shared" ref="E750" si="292">_xlfn.NUMBERVALUE(MID(C750,4,2))</f>
        <v>6</v>
      </c>
      <c r="F750">
        <f t="shared" ref="F750" si="293">_xlfn.NUMBERVALUE(RIGHT(C750,4))</f>
        <v>2023</v>
      </c>
      <c r="G750" t="s">
        <v>7</v>
      </c>
      <c r="H750">
        <v>-1</v>
      </c>
      <c r="K750" t="s">
        <v>9</v>
      </c>
      <c r="L750" s="8">
        <f t="shared" si="221"/>
        <v>-1</v>
      </c>
      <c r="M750" t="s">
        <v>824</v>
      </c>
    </row>
    <row r="751" spans="1:13" x14ac:dyDescent="0.35">
      <c r="A751">
        <f t="shared" si="216"/>
        <v>747</v>
      </c>
      <c r="B751" s="9">
        <f t="shared" ref="B751" si="294">B750+H751+I751+J751</f>
        <v>17.66</v>
      </c>
      <c r="C751" s="3" t="s">
        <v>811</v>
      </c>
      <c r="D751">
        <f t="shared" ref="D751" si="295">_xlfn.NUMBERVALUE(LEFT(C751,2))</f>
        <v>28</v>
      </c>
      <c r="E751">
        <f t="shared" ref="E751" si="296">_xlfn.NUMBERVALUE(MID(C751,4,2))</f>
        <v>6</v>
      </c>
      <c r="F751">
        <f t="shared" ref="F751" si="297">_xlfn.NUMBERVALUE(RIGHT(C751,4))</f>
        <v>2023</v>
      </c>
      <c r="G751" t="s">
        <v>7</v>
      </c>
      <c r="H751">
        <v>-1</v>
      </c>
      <c r="K751" t="s">
        <v>9</v>
      </c>
      <c r="L751" s="8">
        <f t="shared" si="221"/>
        <v>-1</v>
      </c>
      <c r="M751" t="s">
        <v>825</v>
      </c>
    </row>
    <row r="752" spans="1:13" x14ac:dyDescent="0.35">
      <c r="A752">
        <f t="shared" si="216"/>
        <v>748</v>
      </c>
      <c r="B752" s="9">
        <f t="shared" ref="B752:B753" si="298">B751+H752+I752+J752</f>
        <v>19.66</v>
      </c>
      <c r="C752" s="3" t="s">
        <v>811</v>
      </c>
      <c r="D752">
        <f t="shared" ref="D752:D753" si="299">_xlfn.NUMBERVALUE(LEFT(C752,2))</f>
        <v>28</v>
      </c>
      <c r="E752">
        <f t="shared" ref="E752:E753" si="300">_xlfn.NUMBERVALUE(MID(C752,4,2))</f>
        <v>6</v>
      </c>
      <c r="F752">
        <f t="shared" ref="F752:F753" si="301">_xlfn.NUMBERVALUE(RIGHT(C752,4))</f>
        <v>2023</v>
      </c>
      <c r="G752" t="s">
        <v>7</v>
      </c>
      <c r="H752">
        <v>-1</v>
      </c>
      <c r="I752">
        <v>3</v>
      </c>
      <c r="K752" t="s">
        <v>10</v>
      </c>
      <c r="L752" s="8">
        <f t="shared" si="221"/>
        <v>2</v>
      </c>
      <c r="M752" t="s">
        <v>826</v>
      </c>
    </row>
    <row r="753" spans="1:13" x14ac:dyDescent="0.35">
      <c r="A753">
        <f t="shared" si="216"/>
        <v>749</v>
      </c>
      <c r="B753" s="9">
        <f t="shared" si="298"/>
        <v>18.66</v>
      </c>
      <c r="C753" s="3" t="s">
        <v>811</v>
      </c>
      <c r="D753">
        <f t="shared" si="299"/>
        <v>28</v>
      </c>
      <c r="E753">
        <f t="shared" si="300"/>
        <v>6</v>
      </c>
      <c r="F753">
        <f t="shared" si="301"/>
        <v>2023</v>
      </c>
      <c r="G753" t="s">
        <v>7</v>
      </c>
      <c r="H753">
        <v>-1</v>
      </c>
      <c r="K753" t="s">
        <v>9</v>
      </c>
      <c r="L753" s="8">
        <f t="shared" si="221"/>
        <v>-1</v>
      </c>
      <c r="M753" t="s">
        <v>827</v>
      </c>
    </row>
    <row r="754" spans="1:13" x14ac:dyDescent="0.35">
      <c r="A754">
        <f t="shared" si="216"/>
        <v>750</v>
      </c>
      <c r="B754" s="9">
        <f t="shared" ref="B754" si="302">B753+H754+I754+J754</f>
        <v>17.66</v>
      </c>
      <c r="C754" s="3" t="s">
        <v>811</v>
      </c>
      <c r="D754">
        <f t="shared" ref="D754" si="303">_xlfn.NUMBERVALUE(LEFT(C754,2))</f>
        <v>28</v>
      </c>
      <c r="E754">
        <f t="shared" ref="E754" si="304">_xlfn.NUMBERVALUE(MID(C754,4,2))</f>
        <v>6</v>
      </c>
      <c r="F754">
        <f t="shared" ref="F754" si="305">_xlfn.NUMBERVALUE(RIGHT(C754,4))</f>
        <v>2023</v>
      </c>
      <c r="G754" t="s">
        <v>7</v>
      </c>
      <c r="H754">
        <v>-1</v>
      </c>
      <c r="K754" t="s">
        <v>9</v>
      </c>
      <c r="L754" s="8">
        <f t="shared" si="221"/>
        <v>-1</v>
      </c>
      <c r="M754" t="s">
        <v>828</v>
      </c>
    </row>
    <row r="755" spans="1:13" x14ac:dyDescent="0.35">
      <c r="A755">
        <f t="shared" si="216"/>
        <v>751</v>
      </c>
      <c r="B755" s="9">
        <f t="shared" ref="B755" si="306">B754+H755+I755+J755</f>
        <v>16.66</v>
      </c>
      <c r="C755" s="3" t="s">
        <v>811</v>
      </c>
      <c r="D755">
        <f t="shared" ref="D755" si="307">_xlfn.NUMBERVALUE(LEFT(C755,2))</f>
        <v>28</v>
      </c>
      <c r="E755">
        <f t="shared" ref="E755" si="308">_xlfn.NUMBERVALUE(MID(C755,4,2))</f>
        <v>6</v>
      </c>
      <c r="F755">
        <f t="shared" ref="F755" si="309">_xlfn.NUMBERVALUE(RIGHT(C755,4))</f>
        <v>2023</v>
      </c>
      <c r="G755" t="s">
        <v>7</v>
      </c>
      <c r="H755">
        <v>-1</v>
      </c>
      <c r="K755" t="s">
        <v>9</v>
      </c>
      <c r="L755" s="8">
        <f t="shared" si="221"/>
        <v>-1</v>
      </c>
      <c r="M755" t="s">
        <v>829</v>
      </c>
    </row>
    <row r="756" spans="1:13" x14ac:dyDescent="0.35">
      <c r="A756">
        <f t="shared" si="216"/>
        <v>752</v>
      </c>
      <c r="B756" s="9">
        <f t="shared" ref="B756" si="310">B755+H756+I756+J756</f>
        <v>15.66</v>
      </c>
      <c r="C756" s="3" t="s">
        <v>811</v>
      </c>
      <c r="D756">
        <f t="shared" ref="D756" si="311">_xlfn.NUMBERVALUE(LEFT(C756,2))</f>
        <v>28</v>
      </c>
      <c r="E756">
        <f t="shared" ref="E756" si="312">_xlfn.NUMBERVALUE(MID(C756,4,2))</f>
        <v>6</v>
      </c>
      <c r="F756">
        <f t="shared" ref="F756" si="313">_xlfn.NUMBERVALUE(RIGHT(C756,4))</f>
        <v>2023</v>
      </c>
      <c r="G756" t="s">
        <v>7</v>
      </c>
      <c r="H756">
        <v>-1</v>
      </c>
      <c r="K756" t="s">
        <v>9</v>
      </c>
      <c r="L756" s="8">
        <f t="shared" si="221"/>
        <v>-1</v>
      </c>
      <c r="M756" t="s">
        <v>830</v>
      </c>
    </row>
    <row r="757" spans="1:13" x14ac:dyDescent="0.35">
      <c r="A757">
        <f t="shared" si="216"/>
        <v>753</v>
      </c>
      <c r="B757" s="9">
        <f t="shared" ref="B757" si="314">B756+H757+I757+J757</f>
        <v>17.66</v>
      </c>
      <c r="C757" s="3" t="s">
        <v>811</v>
      </c>
      <c r="D757">
        <f t="shared" ref="D757" si="315">_xlfn.NUMBERVALUE(LEFT(C757,2))</f>
        <v>28</v>
      </c>
      <c r="E757">
        <f t="shared" ref="E757" si="316">_xlfn.NUMBERVALUE(MID(C757,4,2))</f>
        <v>6</v>
      </c>
      <c r="F757">
        <f t="shared" ref="F757" si="317">_xlfn.NUMBERVALUE(RIGHT(C757,4))</f>
        <v>2023</v>
      </c>
      <c r="G757" t="s">
        <v>7</v>
      </c>
      <c r="H757">
        <v>-1</v>
      </c>
      <c r="I757">
        <v>3</v>
      </c>
      <c r="K757" t="s">
        <v>10</v>
      </c>
      <c r="L757" s="8">
        <f t="shared" si="221"/>
        <v>2</v>
      </c>
      <c r="M757" t="s">
        <v>831</v>
      </c>
    </row>
    <row r="758" spans="1:13" x14ac:dyDescent="0.35">
      <c r="A758">
        <f t="shared" si="216"/>
        <v>754</v>
      </c>
      <c r="B758" s="9">
        <f t="shared" ref="B758:B759" si="318">B757+H758+I758+J758</f>
        <v>19.66</v>
      </c>
      <c r="C758" s="3" t="s">
        <v>811</v>
      </c>
      <c r="D758">
        <f t="shared" ref="D758:D759" si="319">_xlfn.NUMBERVALUE(LEFT(C758,2))</f>
        <v>28</v>
      </c>
      <c r="E758">
        <f t="shared" ref="E758:E759" si="320">_xlfn.NUMBERVALUE(MID(C758,4,2))</f>
        <v>6</v>
      </c>
      <c r="F758">
        <f t="shared" ref="F758:F759" si="321">_xlfn.NUMBERVALUE(RIGHT(C758,4))</f>
        <v>2023</v>
      </c>
      <c r="G758" t="s">
        <v>7</v>
      </c>
      <c r="H758">
        <v>-1</v>
      </c>
      <c r="I758">
        <v>3</v>
      </c>
      <c r="K758" t="s">
        <v>10</v>
      </c>
      <c r="L758" s="8">
        <f t="shared" si="221"/>
        <v>2</v>
      </c>
      <c r="M758" t="s">
        <v>832</v>
      </c>
    </row>
    <row r="759" spans="1:13" x14ac:dyDescent="0.35">
      <c r="A759">
        <f t="shared" si="216"/>
        <v>755</v>
      </c>
      <c r="B759" s="9">
        <f t="shared" si="318"/>
        <v>18.66</v>
      </c>
      <c r="C759" s="3" t="s">
        <v>811</v>
      </c>
      <c r="D759">
        <f t="shared" si="319"/>
        <v>28</v>
      </c>
      <c r="E759">
        <f t="shared" si="320"/>
        <v>6</v>
      </c>
      <c r="F759">
        <f t="shared" si="321"/>
        <v>2023</v>
      </c>
      <c r="G759" t="s">
        <v>7</v>
      </c>
      <c r="H759">
        <v>-1</v>
      </c>
      <c r="K759" t="s">
        <v>9</v>
      </c>
      <c r="L759" s="8">
        <f t="shared" si="221"/>
        <v>-1</v>
      </c>
      <c r="M759" t="s">
        <v>833</v>
      </c>
    </row>
    <row r="760" spans="1:13" x14ac:dyDescent="0.35">
      <c r="A760">
        <f t="shared" si="216"/>
        <v>756</v>
      </c>
      <c r="B760" s="9">
        <f t="shared" ref="B760" si="322">B759+H760+I760+J760</f>
        <v>17.66</v>
      </c>
      <c r="C760" s="3" t="s">
        <v>811</v>
      </c>
      <c r="D760">
        <f t="shared" ref="D760" si="323">_xlfn.NUMBERVALUE(LEFT(C760,2))</f>
        <v>28</v>
      </c>
      <c r="E760">
        <f t="shared" ref="E760" si="324">_xlfn.NUMBERVALUE(MID(C760,4,2))</f>
        <v>6</v>
      </c>
      <c r="F760">
        <f t="shared" ref="F760" si="325">_xlfn.NUMBERVALUE(RIGHT(C760,4))</f>
        <v>2023</v>
      </c>
      <c r="G760" t="s">
        <v>7</v>
      </c>
      <c r="H760">
        <v>-1</v>
      </c>
      <c r="K760" t="s">
        <v>9</v>
      </c>
      <c r="L760" s="8">
        <f t="shared" si="221"/>
        <v>-1</v>
      </c>
      <c r="M760" t="s">
        <v>834</v>
      </c>
    </row>
    <row r="761" spans="1:13" x14ac:dyDescent="0.35">
      <c r="A761">
        <f t="shared" si="216"/>
        <v>757</v>
      </c>
      <c r="B761" s="9">
        <f t="shared" ref="B761:B762" si="326">B760+H761+I761+J761</f>
        <v>16.66</v>
      </c>
      <c r="C761" s="3" t="s">
        <v>811</v>
      </c>
      <c r="D761">
        <f t="shared" ref="D761:D762" si="327">_xlfn.NUMBERVALUE(LEFT(C761,2))</f>
        <v>28</v>
      </c>
      <c r="E761">
        <f t="shared" ref="E761:E762" si="328">_xlfn.NUMBERVALUE(MID(C761,4,2))</f>
        <v>6</v>
      </c>
      <c r="F761">
        <f t="shared" ref="F761:F762" si="329">_xlfn.NUMBERVALUE(RIGHT(C761,4))</f>
        <v>2023</v>
      </c>
      <c r="G761" t="s">
        <v>7</v>
      </c>
      <c r="H761">
        <v>-1</v>
      </c>
      <c r="K761" t="s">
        <v>9</v>
      </c>
      <c r="L761" s="8">
        <f t="shared" si="221"/>
        <v>-1</v>
      </c>
      <c r="M761" t="s">
        <v>835</v>
      </c>
    </row>
    <row r="762" spans="1:13" x14ac:dyDescent="0.35">
      <c r="A762">
        <f t="shared" si="216"/>
        <v>758</v>
      </c>
      <c r="B762" s="9">
        <f t="shared" si="326"/>
        <v>18.66</v>
      </c>
      <c r="C762" s="3" t="s">
        <v>811</v>
      </c>
      <c r="D762">
        <f t="shared" si="327"/>
        <v>28</v>
      </c>
      <c r="E762">
        <f t="shared" si="328"/>
        <v>6</v>
      </c>
      <c r="F762">
        <f t="shared" si="329"/>
        <v>2023</v>
      </c>
      <c r="G762" t="s">
        <v>7</v>
      </c>
      <c r="H762">
        <v>-1</v>
      </c>
      <c r="I762">
        <v>3</v>
      </c>
      <c r="K762" t="s">
        <v>10</v>
      </c>
      <c r="L762" s="8">
        <f t="shared" si="221"/>
        <v>2</v>
      </c>
      <c r="M762" t="s">
        <v>836</v>
      </c>
    </row>
    <row r="763" spans="1:13" x14ac:dyDescent="0.35">
      <c r="A763">
        <f t="shared" si="216"/>
        <v>759</v>
      </c>
      <c r="B763" s="9">
        <f t="shared" ref="B763:B764" si="330">B762+H763+I763+J763</f>
        <v>17.66</v>
      </c>
      <c r="C763" s="3" t="s">
        <v>811</v>
      </c>
      <c r="D763">
        <f t="shared" ref="D763:D764" si="331">_xlfn.NUMBERVALUE(LEFT(C763,2))</f>
        <v>28</v>
      </c>
      <c r="E763">
        <f t="shared" ref="E763:E764" si="332">_xlfn.NUMBERVALUE(MID(C763,4,2))</f>
        <v>6</v>
      </c>
      <c r="F763">
        <f t="shared" ref="F763:F764" si="333">_xlfn.NUMBERVALUE(RIGHT(C763,4))</f>
        <v>2023</v>
      </c>
      <c r="G763" t="s">
        <v>7</v>
      </c>
      <c r="H763">
        <v>-1</v>
      </c>
      <c r="K763" t="s">
        <v>9</v>
      </c>
      <c r="L763" s="8">
        <f t="shared" si="221"/>
        <v>-1</v>
      </c>
      <c r="M763" t="s">
        <v>837</v>
      </c>
    </row>
    <row r="764" spans="1:13" x14ac:dyDescent="0.35">
      <c r="A764">
        <f t="shared" si="216"/>
        <v>760</v>
      </c>
      <c r="B764" s="9">
        <f t="shared" si="330"/>
        <v>19.66</v>
      </c>
      <c r="C764" s="3" t="s">
        <v>811</v>
      </c>
      <c r="D764">
        <f t="shared" si="331"/>
        <v>28</v>
      </c>
      <c r="E764">
        <f t="shared" si="332"/>
        <v>6</v>
      </c>
      <c r="F764">
        <f t="shared" si="333"/>
        <v>2023</v>
      </c>
      <c r="G764" t="s">
        <v>7</v>
      </c>
      <c r="H764">
        <v>-1</v>
      </c>
      <c r="I764">
        <v>3</v>
      </c>
      <c r="K764" t="s">
        <v>10</v>
      </c>
      <c r="L764" s="8">
        <f t="shared" si="221"/>
        <v>2</v>
      </c>
      <c r="M764" t="s">
        <v>838</v>
      </c>
    </row>
    <row r="765" spans="1:13" x14ac:dyDescent="0.35">
      <c r="A765">
        <f t="shared" si="216"/>
        <v>761</v>
      </c>
      <c r="B765" s="9">
        <f t="shared" ref="B765:B766" si="334">B764+H765+I765+J765</f>
        <v>18.66</v>
      </c>
      <c r="C765" s="3" t="s">
        <v>811</v>
      </c>
      <c r="D765">
        <f t="shared" ref="D765:D766" si="335">_xlfn.NUMBERVALUE(LEFT(C765,2))</f>
        <v>28</v>
      </c>
      <c r="E765">
        <f t="shared" ref="E765:E766" si="336">_xlfn.NUMBERVALUE(MID(C765,4,2))</f>
        <v>6</v>
      </c>
      <c r="F765">
        <f t="shared" ref="F765:F766" si="337">_xlfn.NUMBERVALUE(RIGHT(C765,4))</f>
        <v>2023</v>
      </c>
      <c r="G765" t="s">
        <v>7</v>
      </c>
      <c r="H765">
        <v>-1</v>
      </c>
      <c r="K765" t="s">
        <v>9</v>
      </c>
      <c r="L765" s="8">
        <f t="shared" si="221"/>
        <v>-1</v>
      </c>
      <c r="M765" t="s">
        <v>839</v>
      </c>
    </row>
    <row r="766" spans="1:13" x14ac:dyDescent="0.35">
      <c r="A766">
        <f t="shared" si="216"/>
        <v>762</v>
      </c>
      <c r="B766" s="9">
        <f t="shared" si="334"/>
        <v>20.66</v>
      </c>
      <c r="C766" s="3" t="s">
        <v>811</v>
      </c>
      <c r="D766">
        <f t="shared" si="335"/>
        <v>28</v>
      </c>
      <c r="E766">
        <f t="shared" si="336"/>
        <v>6</v>
      </c>
      <c r="F766">
        <f t="shared" si="337"/>
        <v>2023</v>
      </c>
      <c r="G766" t="s">
        <v>7</v>
      </c>
      <c r="H766">
        <v>-1</v>
      </c>
      <c r="I766">
        <v>3</v>
      </c>
      <c r="K766" t="s">
        <v>10</v>
      </c>
      <c r="L766" s="8">
        <f t="shared" si="221"/>
        <v>2</v>
      </c>
      <c r="M766" t="s">
        <v>840</v>
      </c>
    </row>
    <row r="767" spans="1:13" x14ac:dyDescent="0.35">
      <c r="A767">
        <f t="shared" si="216"/>
        <v>763</v>
      </c>
      <c r="B767" s="9">
        <f t="shared" ref="B767:B768" si="338">B766+H767+I767+J767</f>
        <v>19.66</v>
      </c>
      <c r="C767" s="3" t="s">
        <v>811</v>
      </c>
      <c r="D767">
        <f t="shared" ref="D767:D768" si="339">_xlfn.NUMBERVALUE(LEFT(C767,2))</f>
        <v>28</v>
      </c>
      <c r="E767">
        <f t="shared" ref="E767:E768" si="340">_xlfn.NUMBERVALUE(MID(C767,4,2))</f>
        <v>6</v>
      </c>
      <c r="F767">
        <f t="shared" ref="F767:F768" si="341">_xlfn.NUMBERVALUE(RIGHT(C767,4))</f>
        <v>2023</v>
      </c>
      <c r="G767" t="s">
        <v>7</v>
      </c>
      <c r="H767">
        <v>-1</v>
      </c>
      <c r="K767" t="s">
        <v>9</v>
      </c>
      <c r="L767" s="8">
        <f t="shared" si="221"/>
        <v>-1</v>
      </c>
      <c r="M767" t="s">
        <v>841</v>
      </c>
    </row>
    <row r="768" spans="1:13" x14ac:dyDescent="0.35">
      <c r="A768">
        <f t="shared" si="216"/>
        <v>764</v>
      </c>
      <c r="B768" s="9">
        <f t="shared" si="338"/>
        <v>20.66</v>
      </c>
      <c r="C768" s="3" t="s">
        <v>811</v>
      </c>
      <c r="D768">
        <f t="shared" si="339"/>
        <v>28</v>
      </c>
      <c r="E768">
        <f t="shared" si="340"/>
        <v>6</v>
      </c>
      <c r="F768">
        <f t="shared" si="341"/>
        <v>2023</v>
      </c>
      <c r="G768" t="s">
        <v>7</v>
      </c>
      <c r="H768">
        <v>-1</v>
      </c>
      <c r="I768">
        <v>2</v>
      </c>
      <c r="K768" t="s">
        <v>10</v>
      </c>
      <c r="L768" s="8">
        <f t="shared" si="221"/>
        <v>1</v>
      </c>
      <c r="M768" t="s">
        <v>842</v>
      </c>
    </row>
    <row r="769" spans="1:13" x14ac:dyDescent="0.35">
      <c r="A769">
        <f t="shared" si="216"/>
        <v>765</v>
      </c>
      <c r="B769" s="9">
        <f t="shared" ref="B769" si="342">B768+H769+I769+J769</f>
        <v>10.66</v>
      </c>
      <c r="C769" s="3" t="s">
        <v>811</v>
      </c>
      <c r="D769">
        <f t="shared" ref="D769" si="343">_xlfn.NUMBERVALUE(LEFT(C769,2))</f>
        <v>28</v>
      </c>
      <c r="E769">
        <f t="shared" ref="E769" si="344">_xlfn.NUMBERVALUE(MID(C769,4,2))</f>
        <v>6</v>
      </c>
      <c r="F769">
        <f t="shared" ref="F769" si="345">_xlfn.NUMBERVALUE(RIGHT(C769,4))</f>
        <v>2023</v>
      </c>
      <c r="G769" t="s">
        <v>7</v>
      </c>
      <c r="H769">
        <v>-10</v>
      </c>
      <c r="K769" t="s">
        <v>9</v>
      </c>
      <c r="L769" s="8">
        <f t="shared" si="221"/>
        <v>-1</v>
      </c>
      <c r="M769" t="s">
        <v>843</v>
      </c>
    </row>
    <row r="770" spans="1:13" x14ac:dyDescent="0.35">
      <c r="A770">
        <f t="shared" si="216"/>
        <v>766</v>
      </c>
      <c r="B770" s="9">
        <f t="shared" ref="B770:B771" si="346">B769+H770+I770+J770</f>
        <v>50.66</v>
      </c>
      <c r="C770" s="3" t="s">
        <v>811</v>
      </c>
      <c r="D770">
        <f t="shared" ref="D770:D771" si="347">_xlfn.NUMBERVALUE(LEFT(C770,2))</f>
        <v>28</v>
      </c>
      <c r="E770">
        <f t="shared" ref="E770:E771" si="348">_xlfn.NUMBERVALUE(MID(C770,4,2))</f>
        <v>6</v>
      </c>
      <c r="F770">
        <f t="shared" ref="F770:F771" si="349">_xlfn.NUMBERVALUE(RIGHT(C770,4))</f>
        <v>2023</v>
      </c>
      <c r="G770" t="s">
        <v>7</v>
      </c>
      <c r="H770">
        <v>-10</v>
      </c>
      <c r="I770">
        <v>50</v>
      </c>
      <c r="K770" t="s">
        <v>10</v>
      </c>
      <c r="L770" s="8">
        <f t="shared" si="221"/>
        <v>4</v>
      </c>
      <c r="M770" t="s">
        <v>844</v>
      </c>
    </row>
    <row r="771" spans="1:13" x14ac:dyDescent="0.35">
      <c r="A771">
        <f t="shared" si="216"/>
        <v>767</v>
      </c>
      <c r="B771" s="9">
        <f t="shared" si="346"/>
        <v>54.66</v>
      </c>
      <c r="C771" s="3" t="s">
        <v>811</v>
      </c>
      <c r="D771">
        <f t="shared" si="347"/>
        <v>28</v>
      </c>
      <c r="E771">
        <f t="shared" si="348"/>
        <v>6</v>
      </c>
      <c r="F771">
        <f t="shared" si="349"/>
        <v>2023</v>
      </c>
      <c r="G771" t="s">
        <v>7</v>
      </c>
      <c r="H771">
        <v>-1</v>
      </c>
      <c r="I771">
        <v>5</v>
      </c>
      <c r="K771" t="s">
        <v>10</v>
      </c>
      <c r="L771" s="8">
        <f t="shared" si="221"/>
        <v>4</v>
      </c>
      <c r="M771" t="s">
        <v>845</v>
      </c>
    </row>
    <row r="772" spans="1:13" x14ac:dyDescent="0.35">
      <c r="A772">
        <f t="shared" si="216"/>
        <v>768</v>
      </c>
      <c r="B772" s="9">
        <f t="shared" ref="B772" si="350">B771+H772+I772+J772</f>
        <v>55.66</v>
      </c>
      <c r="C772" s="3" t="s">
        <v>811</v>
      </c>
      <c r="D772">
        <f t="shared" ref="D772" si="351">_xlfn.NUMBERVALUE(LEFT(C772,2))</f>
        <v>28</v>
      </c>
      <c r="E772">
        <f t="shared" ref="E772" si="352">_xlfn.NUMBERVALUE(MID(C772,4,2))</f>
        <v>6</v>
      </c>
      <c r="F772">
        <f t="shared" ref="F772" si="353">_xlfn.NUMBERVALUE(RIGHT(C772,4))</f>
        <v>2023</v>
      </c>
      <c r="G772" t="s">
        <v>7</v>
      </c>
      <c r="H772">
        <v>-1</v>
      </c>
      <c r="I772">
        <v>2</v>
      </c>
      <c r="K772" t="s">
        <v>10</v>
      </c>
      <c r="L772" s="8">
        <f t="shared" si="221"/>
        <v>1</v>
      </c>
      <c r="M772" t="s">
        <v>846</v>
      </c>
    </row>
    <row r="773" spans="1:13" x14ac:dyDescent="0.35">
      <c r="A773">
        <f t="shared" si="216"/>
        <v>769</v>
      </c>
      <c r="B773" s="9">
        <f t="shared" ref="B773" si="354">B772+H773+I773+J773</f>
        <v>54.66</v>
      </c>
      <c r="C773" s="3" t="s">
        <v>811</v>
      </c>
      <c r="D773">
        <f t="shared" ref="D773" si="355">_xlfn.NUMBERVALUE(LEFT(C773,2))</f>
        <v>28</v>
      </c>
      <c r="E773">
        <f t="shared" ref="E773" si="356">_xlfn.NUMBERVALUE(MID(C773,4,2))</f>
        <v>6</v>
      </c>
      <c r="F773">
        <f t="shared" ref="F773" si="357">_xlfn.NUMBERVALUE(RIGHT(C773,4))</f>
        <v>2023</v>
      </c>
      <c r="G773" t="s">
        <v>7</v>
      </c>
      <c r="H773">
        <v>-1</v>
      </c>
      <c r="K773" t="s">
        <v>9</v>
      </c>
      <c r="L773" s="8">
        <f t="shared" si="221"/>
        <v>-1</v>
      </c>
      <c r="M773" t="s">
        <v>847</v>
      </c>
    </row>
    <row r="774" spans="1:13" x14ac:dyDescent="0.35">
      <c r="A774">
        <f t="shared" si="216"/>
        <v>770</v>
      </c>
      <c r="B774" s="9">
        <f t="shared" ref="B774" si="358">B773+H774+I774+J774</f>
        <v>53.66</v>
      </c>
      <c r="C774" s="3" t="s">
        <v>811</v>
      </c>
      <c r="D774">
        <f t="shared" ref="D774" si="359">_xlfn.NUMBERVALUE(LEFT(C774,2))</f>
        <v>28</v>
      </c>
      <c r="E774">
        <f t="shared" ref="E774" si="360">_xlfn.NUMBERVALUE(MID(C774,4,2))</f>
        <v>6</v>
      </c>
      <c r="F774">
        <f t="shared" ref="F774" si="361">_xlfn.NUMBERVALUE(RIGHT(C774,4))</f>
        <v>2023</v>
      </c>
      <c r="G774" t="s">
        <v>7</v>
      </c>
      <c r="H774">
        <v>-1</v>
      </c>
      <c r="K774" t="s">
        <v>9</v>
      </c>
      <c r="L774" s="8">
        <f t="shared" ref="L774:L837" si="362">IF(H774="",0,(SUM(I774:J774)/-H774)-1)</f>
        <v>-1</v>
      </c>
      <c r="M774" t="s">
        <v>848</v>
      </c>
    </row>
    <row r="775" spans="1:13" x14ac:dyDescent="0.35">
      <c r="A775">
        <f t="shared" si="216"/>
        <v>771</v>
      </c>
      <c r="B775" s="9">
        <f t="shared" ref="B775" si="363">B774+H775+I775+J775</f>
        <v>52.66</v>
      </c>
      <c r="C775" s="3" t="s">
        <v>849</v>
      </c>
      <c r="D775">
        <f t="shared" ref="D775" si="364">_xlfn.NUMBERVALUE(LEFT(C775,2))</f>
        <v>29</v>
      </c>
      <c r="E775">
        <f t="shared" ref="E775" si="365">_xlfn.NUMBERVALUE(MID(C775,4,2))</f>
        <v>6</v>
      </c>
      <c r="F775">
        <f t="shared" ref="F775" si="366">_xlfn.NUMBERVALUE(RIGHT(C775,4))</f>
        <v>2023</v>
      </c>
      <c r="G775" t="s">
        <v>7</v>
      </c>
      <c r="H775">
        <v>-1</v>
      </c>
      <c r="K775" t="s">
        <v>9</v>
      </c>
      <c r="L775" s="8">
        <f t="shared" si="362"/>
        <v>-1</v>
      </c>
      <c r="M775" t="s">
        <v>850</v>
      </c>
    </row>
    <row r="776" spans="1:13" x14ac:dyDescent="0.35">
      <c r="A776">
        <f t="shared" si="216"/>
        <v>772</v>
      </c>
      <c r="B776" s="9">
        <f t="shared" ref="B776" si="367">B775+H776+I776+J776</f>
        <v>54.66</v>
      </c>
      <c r="C776" s="3" t="s">
        <v>849</v>
      </c>
      <c r="D776">
        <f t="shared" ref="D776" si="368">_xlfn.NUMBERVALUE(LEFT(C776,2))</f>
        <v>29</v>
      </c>
      <c r="E776">
        <f t="shared" ref="E776" si="369">_xlfn.NUMBERVALUE(MID(C776,4,2))</f>
        <v>6</v>
      </c>
      <c r="F776">
        <f t="shared" ref="F776" si="370">_xlfn.NUMBERVALUE(RIGHT(C776,4))</f>
        <v>2023</v>
      </c>
      <c r="G776" t="s">
        <v>7</v>
      </c>
      <c r="H776">
        <v>-1</v>
      </c>
      <c r="I776">
        <v>3</v>
      </c>
      <c r="K776" t="s">
        <v>10</v>
      </c>
      <c r="L776" s="8">
        <f t="shared" si="362"/>
        <v>2</v>
      </c>
      <c r="M776" t="s">
        <v>851</v>
      </c>
    </row>
    <row r="777" spans="1:13" x14ac:dyDescent="0.35">
      <c r="A777">
        <f t="shared" si="216"/>
        <v>773</v>
      </c>
      <c r="B777" s="9">
        <f t="shared" ref="B777" si="371">B776+H777+I777+J777</f>
        <v>55.66</v>
      </c>
      <c r="C777" s="3" t="s">
        <v>849</v>
      </c>
      <c r="D777">
        <f t="shared" ref="D777" si="372">_xlfn.NUMBERVALUE(LEFT(C777,2))</f>
        <v>29</v>
      </c>
      <c r="E777">
        <f t="shared" ref="E777" si="373">_xlfn.NUMBERVALUE(MID(C777,4,2))</f>
        <v>6</v>
      </c>
      <c r="F777">
        <f t="shared" ref="F777" si="374">_xlfn.NUMBERVALUE(RIGHT(C777,4))</f>
        <v>2023</v>
      </c>
      <c r="G777" t="s">
        <v>7</v>
      </c>
      <c r="H777">
        <v>-1</v>
      </c>
      <c r="I777">
        <v>2</v>
      </c>
      <c r="K777" t="s">
        <v>10</v>
      </c>
      <c r="L777" s="8">
        <f t="shared" si="362"/>
        <v>1</v>
      </c>
      <c r="M777" t="s">
        <v>852</v>
      </c>
    </row>
    <row r="778" spans="1:13" x14ac:dyDescent="0.35">
      <c r="A778">
        <f t="shared" si="216"/>
        <v>774</v>
      </c>
      <c r="B778" s="9">
        <f t="shared" ref="B778:B779" si="375">B777+H778+I778+J778</f>
        <v>54.66</v>
      </c>
      <c r="C778" s="3" t="s">
        <v>853</v>
      </c>
      <c r="D778">
        <f t="shared" ref="D778:D779" si="376">_xlfn.NUMBERVALUE(LEFT(C778,2))</f>
        <v>30</v>
      </c>
      <c r="E778">
        <f t="shared" ref="E778:E779" si="377">_xlfn.NUMBERVALUE(MID(C778,4,2))</f>
        <v>6</v>
      </c>
      <c r="F778">
        <f t="shared" ref="F778:F779" si="378">_xlfn.NUMBERVALUE(RIGHT(C778,4))</f>
        <v>2023</v>
      </c>
      <c r="G778" t="s">
        <v>7</v>
      </c>
      <c r="H778">
        <v>-1</v>
      </c>
      <c r="K778" t="s">
        <v>9</v>
      </c>
      <c r="L778" s="8">
        <f t="shared" si="362"/>
        <v>-1</v>
      </c>
      <c r="M778" t="s">
        <v>854</v>
      </c>
    </row>
    <row r="779" spans="1:13" x14ac:dyDescent="0.35">
      <c r="A779">
        <f t="shared" si="216"/>
        <v>775</v>
      </c>
      <c r="B779" s="9">
        <f t="shared" si="375"/>
        <v>56.66</v>
      </c>
      <c r="C779" s="3" t="s">
        <v>853</v>
      </c>
      <c r="D779">
        <f t="shared" si="376"/>
        <v>30</v>
      </c>
      <c r="E779">
        <f t="shared" si="377"/>
        <v>6</v>
      </c>
      <c r="F779">
        <f t="shared" si="378"/>
        <v>2023</v>
      </c>
      <c r="G779" t="s">
        <v>7</v>
      </c>
      <c r="H779">
        <v>-1</v>
      </c>
      <c r="I779">
        <v>3</v>
      </c>
      <c r="K779" t="s">
        <v>10</v>
      </c>
      <c r="L779" s="8">
        <f t="shared" si="362"/>
        <v>2</v>
      </c>
      <c r="M779" t="s">
        <v>855</v>
      </c>
    </row>
    <row r="780" spans="1:13" x14ac:dyDescent="0.35">
      <c r="A780">
        <f t="shared" si="216"/>
        <v>776</v>
      </c>
      <c r="B780" s="9">
        <f t="shared" ref="B780:B781" si="379">B779+H780+I780+J780</f>
        <v>54.11</v>
      </c>
      <c r="C780" s="3" t="s">
        <v>853</v>
      </c>
      <c r="D780">
        <f t="shared" ref="D780:D781" si="380">_xlfn.NUMBERVALUE(LEFT(C780,2))</f>
        <v>30</v>
      </c>
      <c r="E780">
        <f t="shared" ref="E780:E781" si="381">_xlfn.NUMBERVALUE(MID(C780,4,2))</f>
        <v>6</v>
      </c>
      <c r="F780">
        <f t="shared" ref="F780:F781" si="382">_xlfn.NUMBERVALUE(RIGHT(C780,4))</f>
        <v>2023</v>
      </c>
      <c r="G780" t="s">
        <v>44</v>
      </c>
      <c r="H780">
        <v>-3.3</v>
      </c>
      <c r="J780">
        <v>0.75</v>
      </c>
      <c r="K780" t="s">
        <v>9</v>
      </c>
      <c r="L780" s="8">
        <f t="shared" si="362"/>
        <v>-0.77272727272727271</v>
      </c>
      <c r="M780" t="s">
        <v>856</v>
      </c>
    </row>
    <row r="781" spans="1:13" x14ac:dyDescent="0.35">
      <c r="A781">
        <f t="shared" si="216"/>
        <v>777</v>
      </c>
      <c r="B781" s="9">
        <f t="shared" si="379"/>
        <v>53.11</v>
      </c>
      <c r="C781" s="3" t="s">
        <v>853</v>
      </c>
      <c r="D781">
        <f t="shared" si="380"/>
        <v>30</v>
      </c>
      <c r="E781">
        <f t="shared" si="381"/>
        <v>6</v>
      </c>
      <c r="F781">
        <f t="shared" si="382"/>
        <v>2023</v>
      </c>
      <c r="G781" t="s">
        <v>7</v>
      </c>
      <c r="H781">
        <v>-1</v>
      </c>
      <c r="K781" t="s">
        <v>9</v>
      </c>
      <c r="L781" s="8">
        <f t="shared" si="362"/>
        <v>-1</v>
      </c>
      <c r="M781" t="s">
        <v>857</v>
      </c>
    </row>
    <row r="782" spans="1:13" x14ac:dyDescent="0.35">
      <c r="A782">
        <f t="shared" si="216"/>
        <v>778</v>
      </c>
      <c r="B782" s="9">
        <f t="shared" ref="B782" si="383">B781+H782+I782+J782</f>
        <v>52.11</v>
      </c>
      <c r="C782" s="3" t="s">
        <v>853</v>
      </c>
      <c r="D782">
        <f t="shared" ref="D782" si="384">_xlfn.NUMBERVALUE(LEFT(C782,2))</f>
        <v>30</v>
      </c>
      <c r="E782">
        <f t="shared" ref="E782" si="385">_xlfn.NUMBERVALUE(MID(C782,4,2))</f>
        <v>6</v>
      </c>
      <c r="F782">
        <f t="shared" ref="F782" si="386">_xlfn.NUMBERVALUE(RIGHT(C782,4))</f>
        <v>2023</v>
      </c>
      <c r="G782" t="s">
        <v>7</v>
      </c>
      <c r="H782">
        <v>-1</v>
      </c>
      <c r="K782" t="s">
        <v>9</v>
      </c>
      <c r="L782" s="8">
        <f t="shared" si="362"/>
        <v>-1</v>
      </c>
      <c r="M782" t="s">
        <v>858</v>
      </c>
    </row>
    <row r="783" spans="1:13" x14ac:dyDescent="0.35">
      <c r="A783">
        <f t="shared" si="216"/>
        <v>779</v>
      </c>
      <c r="B783" s="9">
        <f t="shared" ref="B783:B784" si="387">B782+H783+I783+J783</f>
        <v>53.11</v>
      </c>
      <c r="C783" s="3" t="s">
        <v>853</v>
      </c>
      <c r="D783">
        <f t="shared" ref="D783:D784" si="388">_xlfn.NUMBERVALUE(LEFT(C783,2))</f>
        <v>30</v>
      </c>
      <c r="E783">
        <f t="shared" ref="E783:E784" si="389">_xlfn.NUMBERVALUE(MID(C783,4,2))</f>
        <v>6</v>
      </c>
      <c r="F783">
        <f t="shared" ref="F783:F784" si="390">_xlfn.NUMBERVALUE(RIGHT(C783,4))</f>
        <v>2023</v>
      </c>
      <c r="G783" t="s">
        <v>7</v>
      </c>
      <c r="H783">
        <v>-1</v>
      </c>
      <c r="I783">
        <v>2</v>
      </c>
      <c r="K783" t="s">
        <v>10</v>
      </c>
      <c r="L783" s="8">
        <f t="shared" si="362"/>
        <v>1</v>
      </c>
      <c r="M783" t="s">
        <v>859</v>
      </c>
    </row>
    <row r="784" spans="1:13" x14ac:dyDescent="0.35">
      <c r="A784">
        <f t="shared" si="216"/>
        <v>780</v>
      </c>
      <c r="B784" s="9">
        <f t="shared" si="387"/>
        <v>52.11</v>
      </c>
      <c r="C784" s="3" t="s">
        <v>853</v>
      </c>
      <c r="D784">
        <f t="shared" si="388"/>
        <v>30</v>
      </c>
      <c r="E784">
        <f t="shared" si="389"/>
        <v>6</v>
      </c>
      <c r="F784">
        <f t="shared" si="390"/>
        <v>2023</v>
      </c>
      <c r="G784" t="s">
        <v>7</v>
      </c>
      <c r="H784">
        <v>-1</v>
      </c>
      <c r="K784" t="s">
        <v>9</v>
      </c>
      <c r="L784" s="8">
        <f t="shared" si="362"/>
        <v>-1</v>
      </c>
      <c r="M784" t="s">
        <v>860</v>
      </c>
    </row>
    <row r="785" spans="1:13" x14ac:dyDescent="0.35">
      <c r="A785">
        <f t="shared" si="216"/>
        <v>781</v>
      </c>
      <c r="B785" s="9">
        <f t="shared" ref="B785:B786" si="391">B784+H785+I785+J785</f>
        <v>51.11</v>
      </c>
      <c r="C785" s="3" t="s">
        <v>853</v>
      </c>
      <c r="D785">
        <f t="shared" ref="D785:D786" si="392">_xlfn.NUMBERVALUE(LEFT(C785,2))</f>
        <v>30</v>
      </c>
      <c r="E785">
        <f t="shared" ref="E785:E786" si="393">_xlfn.NUMBERVALUE(MID(C785,4,2))</f>
        <v>6</v>
      </c>
      <c r="F785">
        <f t="shared" ref="F785:F786" si="394">_xlfn.NUMBERVALUE(RIGHT(C785,4))</f>
        <v>2023</v>
      </c>
      <c r="G785" t="s">
        <v>7</v>
      </c>
      <c r="H785">
        <v>-1</v>
      </c>
      <c r="K785" t="s">
        <v>9</v>
      </c>
      <c r="L785" s="8">
        <f t="shared" si="362"/>
        <v>-1</v>
      </c>
      <c r="M785" t="s">
        <v>861</v>
      </c>
    </row>
    <row r="786" spans="1:13" x14ac:dyDescent="0.35">
      <c r="A786">
        <f t="shared" si="216"/>
        <v>782</v>
      </c>
      <c r="B786" s="9">
        <f t="shared" si="391"/>
        <v>52.11</v>
      </c>
      <c r="C786" s="3" t="s">
        <v>853</v>
      </c>
      <c r="D786">
        <f t="shared" si="392"/>
        <v>30</v>
      </c>
      <c r="E786">
        <f t="shared" si="393"/>
        <v>6</v>
      </c>
      <c r="F786">
        <f t="shared" si="394"/>
        <v>2023</v>
      </c>
      <c r="G786" t="s">
        <v>7</v>
      </c>
      <c r="H786">
        <v>-1</v>
      </c>
      <c r="I786">
        <v>2</v>
      </c>
      <c r="K786" t="s">
        <v>10</v>
      </c>
      <c r="L786" s="8">
        <f t="shared" si="362"/>
        <v>1</v>
      </c>
      <c r="M786" t="s">
        <v>862</v>
      </c>
    </row>
    <row r="787" spans="1:13" x14ac:dyDescent="0.35">
      <c r="A787">
        <f t="shared" si="216"/>
        <v>783</v>
      </c>
      <c r="B787" s="9">
        <f t="shared" ref="B787" si="395">B786+H787+I787+J787</f>
        <v>51.11</v>
      </c>
      <c r="C787" s="3" t="s">
        <v>863</v>
      </c>
      <c r="D787">
        <f t="shared" ref="D787" si="396">_xlfn.NUMBERVALUE(LEFT(C787,2))</f>
        <v>1</v>
      </c>
      <c r="E787">
        <f t="shared" ref="E787" si="397">_xlfn.NUMBERVALUE(MID(C787,4,2))</f>
        <v>7</v>
      </c>
      <c r="F787">
        <f t="shared" ref="F787" si="398">_xlfn.NUMBERVALUE(RIGHT(C787,4))</f>
        <v>2023</v>
      </c>
      <c r="G787" t="s">
        <v>7</v>
      </c>
      <c r="H787">
        <v>-1</v>
      </c>
      <c r="K787" t="s">
        <v>9</v>
      </c>
      <c r="L787" s="8">
        <f t="shared" si="362"/>
        <v>-1</v>
      </c>
      <c r="M787" t="s">
        <v>864</v>
      </c>
    </row>
    <row r="788" spans="1:13" x14ac:dyDescent="0.35">
      <c r="A788">
        <f t="shared" si="216"/>
        <v>784</v>
      </c>
      <c r="B788" s="9">
        <f t="shared" ref="B788:B789" si="399">B787+H788+I788+J788</f>
        <v>52.11</v>
      </c>
      <c r="C788" s="3" t="s">
        <v>863</v>
      </c>
      <c r="D788">
        <f t="shared" ref="D788:D789" si="400">_xlfn.NUMBERVALUE(LEFT(C788,2))</f>
        <v>1</v>
      </c>
      <c r="E788">
        <f t="shared" ref="E788:E789" si="401">_xlfn.NUMBERVALUE(MID(C788,4,2))</f>
        <v>7</v>
      </c>
      <c r="F788">
        <f t="shared" ref="F788:F789" si="402">_xlfn.NUMBERVALUE(RIGHT(C788,4))</f>
        <v>2023</v>
      </c>
      <c r="G788" t="s">
        <v>7</v>
      </c>
      <c r="H788">
        <v>-1</v>
      </c>
      <c r="I788">
        <v>2</v>
      </c>
      <c r="K788" t="s">
        <v>10</v>
      </c>
      <c r="L788" s="8">
        <f t="shared" si="362"/>
        <v>1</v>
      </c>
      <c r="M788" t="s">
        <v>865</v>
      </c>
    </row>
    <row r="789" spans="1:13" x14ac:dyDescent="0.35">
      <c r="A789">
        <f t="shared" si="216"/>
        <v>785</v>
      </c>
      <c r="B789" s="9">
        <f t="shared" si="399"/>
        <v>51.11</v>
      </c>
      <c r="C789" s="3" t="s">
        <v>863</v>
      </c>
      <c r="D789">
        <f t="shared" si="400"/>
        <v>1</v>
      </c>
      <c r="E789">
        <f t="shared" si="401"/>
        <v>7</v>
      </c>
      <c r="F789">
        <f t="shared" si="402"/>
        <v>2023</v>
      </c>
      <c r="G789" t="s">
        <v>7</v>
      </c>
      <c r="H789">
        <v>-1</v>
      </c>
      <c r="K789" t="s">
        <v>9</v>
      </c>
      <c r="L789" s="8">
        <f t="shared" si="362"/>
        <v>-1</v>
      </c>
      <c r="M789" t="s">
        <v>866</v>
      </c>
    </row>
    <row r="790" spans="1:13" x14ac:dyDescent="0.35">
      <c r="A790">
        <f t="shared" si="216"/>
        <v>786</v>
      </c>
      <c r="B790" s="9">
        <f t="shared" ref="B790:B791" si="403">B789+H790+I790+J790</f>
        <v>50.11</v>
      </c>
      <c r="C790" s="3" t="s">
        <v>863</v>
      </c>
      <c r="D790">
        <f t="shared" ref="D790:D791" si="404">_xlfn.NUMBERVALUE(LEFT(C790,2))</f>
        <v>1</v>
      </c>
      <c r="E790">
        <f t="shared" ref="E790:E791" si="405">_xlfn.NUMBERVALUE(MID(C790,4,2))</f>
        <v>7</v>
      </c>
      <c r="F790">
        <f t="shared" ref="F790:F791" si="406">_xlfn.NUMBERVALUE(RIGHT(C790,4))</f>
        <v>2023</v>
      </c>
      <c r="G790" t="s">
        <v>7</v>
      </c>
      <c r="H790">
        <v>-1</v>
      </c>
      <c r="K790" t="s">
        <v>9</v>
      </c>
      <c r="L790" s="8">
        <f t="shared" si="362"/>
        <v>-1</v>
      </c>
      <c r="M790" t="s">
        <v>867</v>
      </c>
    </row>
    <row r="791" spans="1:13" x14ac:dyDescent="0.35">
      <c r="A791">
        <f t="shared" si="216"/>
        <v>787</v>
      </c>
      <c r="B791" s="9">
        <f t="shared" si="403"/>
        <v>51.11</v>
      </c>
      <c r="C791" s="3" t="s">
        <v>863</v>
      </c>
      <c r="D791">
        <f t="shared" si="404"/>
        <v>1</v>
      </c>
      <c r="E791">
        <f t="shared" si="405"/>
        <v>7</v>
      </c>
      <c r="F791">
        <f t="shared" si="406"/>
        <v>2023</v>
      </c>
      <c r="G791" t="s">
        <v>7</v>
      </c>
      <c r="H791">
        <v>-1</v>
      </c>
      <c r="I791">
        <v>2</v>
      </c>
      <c r="K791" t="s">
        <v>10</v>
      </c>
      <c r="L791" s="8">
        <f t="shared" si="362"/>
        <v>1</v>
      </c>
      <c r="M791" t="s">
        <v>868</v>
      </c>
    </row>
    <row r="792" spans="1:13" x14ac:dyDescent="0.35">
      <c r="A792">
        <f t="shared" si="216"/>
        <v>788</v>
      </c>
      <c r="B792" s="9">
        <f t="shared" ref="B792" si="407">B791+H792+I792+J792</f>
        <v>50.11</v>
      </c>
      <c r="C792" s="3" t="s">
        <v>863</v>
      </c>
      <c r="D792">
        <f t="shared" ref="D792" si="408">_xlfn.NUMBERVALUE(LEFT(C792,2))</f>
        <v>1</v>
      </c>
      <c r="E792">
        <f t="shared" ref="E792" si="409">_xlfn.NUMBERVALUE(MID(C792,4,2))</f>
        <v>7</v>
      </c>
      <c r="F792">
        <f t="shared" ref="F792" si="410">_xlfn.NUMBERVALUE(RIGHT(C792,4))</f>
        <v>2023</v>
      </c>
      <c r="G792" t="s">
        <v>7</v>
      </c>
      <c r="H792">
        <v>-1</v>
      </c>
      <c r="K792" t="s">
        <v>9</v>
      </c>
      <c r="L792" s="8">
        <f t="shared" si="362"/>
        <v>-1</v>
      </c>
      <c r="M792" t="s">
        <v>869</v>
      </c>
    </row>
    <row r="793" spans="1:13" x14ac:dyDescent="0.35">
      <c r="A793">
        <f t="shared" si="216"/>
        <v>789</v>
      </c>
      <c r="B793" s="9">
        <f t="shared" ref="B793" si="411">B792+H793+I793+J793</f>
        <v>49.11</v>
      </c>
      <c r="C793" s="3" t="s">
        <v>863</v>
      </c>
      <c r="D793">
        <f t="shared" ref="D793" si="412">_xlfn.NUMBERVALUE(LEFT(C793,2))</f>
        <v>1</v>
      </c>
      <c r="E793">
        <f t="shared" ref="E793" si="413">_xlfn.NUMBERVALUE(MID(C793,4,2))</f>
        <v>7</v>
      </c>
      <c r="F793">
        <f t="shared" ref="F793" si="414">_xlfn.NUMBERVALUE(RIGHT(C793,4))</f>
        <v>2023</v>
      </c>
      <c r="G793" t="s">
        <v>7</v>
      </c>
      <c r="H793">
        <v>-1</v>
      </c>
      <c r="K793" t="s">
        <v>9</v>
      </c>
      <c r="L793" s="8">
        <f t="shared" si="362"/>
        <v>-1</v>
      </c>
      <c r="M793" t="s">
        <v>870</v>
      </c>
    </row>
    <row r="794" spans="1:13" x14ac:dyDescent="0.35">
      <c r="A794">
        <f t="shared" si="216"/>
        <v>790</v>
      </c>
      <c r="B794" s="9">
        <f t="shared" ref="B794" si="415">B793+H794+I794+J794</f>
        <v>48.11</v>
      </c>
      <c r="C794" s="3" t="s">
        <v>863</v>
      </c>
      <c r="D794">
        <f t="shared" ref="D794" si="416">_xlfn.NUMBERVALUE(LEFT(C794,2))</f>
        <v>1</v>
      </c>
      <c r="E794">
        <f t="shared" ref="E794" si="417">_xlfn.NUMBERVALUE(MID(C794,4,2))</f>
        <v>7</v>
      </c>
      <c r="F794">
        <f t="shared" ref="F794" si="418">_xlfn.NUMBERVALUE(RIGHT(C794,4))</f>
        <v>2023</v>
      </c>
      <c r="G794" t="s">
        <v>7</v>
      </c>
      <c r="H794">
        <v>-1</v>
      </c>
      <c r="K794" t="s">
        <v>9</v>
      </c>
      <c r="L794" s="8">
        <f t="shared" si="362"/>
        <v>-1</v>
      </c>
      <c r="M794" t="s">
        <v>871</v>
      </c>
    </row>
    <row r="795" spans="1:13" x14ac:dyDescent="0.35">
      <c r="A795">
        <f t="shared" si="216"/>
        <v>791</v>
      </c>
      <c r="B795" s="9">
        <f t="shared" ref="B795" si="419">B794+H795+I795+J795</f>
        <v>38.11</v>
      </c>
      <c r="C795" s="3" t="s">
        <v>863</v>
      </c>
      <c r="D795">
        <f t="shared" ref="D795" si="420">_xlfn.NUMBERVALUE(LEFT(C795,2))</f>
        <v>1</v>
      </c>
      <c r="E795">
        <f t="shared" ref="E795" si="421">_xlfn.NUMBERVALUE(MID(C795,4,2))</f>
        <v>7</v>
      </c>
      <c r="F795">
        <f t="shared" ref="F795" si="422">_xlfn.NUMBERVALUE(RIGHT(C795,4))</f>
        <v>2023</v>
      </c>
      <c r="G795" t="s">
        <v>7</v>
      </c>
      <c r="H795">
        <v>-10</v>
      </c>
      <c r="K795" t="s">
        <v>9</v>
      </c>
      <c r="L795" s="8">
        <f t="shared" si="362"/>
        <v>-1</v>
      </c>
      <c r="M795" t="s">
        <v>872</v>
      </c>
    </row>
    <row r="796" spans="1:13" x14ac:dyDescent="0.35">
      <c r="A796">
        <f t="shared" si="216"/>
        <v>792</v>
      </c>
      <c r="B796" s="9">
        <f t="shared" ref="B796:B797" si="423">B795+H796+I796+J796</f>
        <v>28.11</v>
      </c>
      <c r="C796" s="3" t="s">
        <v>863</v>
      </c>
      <c r="D796">
        <f t="shared" ref="D796:D797" si="424">_xlfn.NUMBERVALUE(LEFT(C796,2))</f>
        <v>1</v>
      </c>
      <c r="E796">
        <f t="shared" ref="E796:E797" si="425">_xlfn.NUMBERVALUE(MID(C796,4,2))</f>
        <v>7</v>
      </c>
      <c r="F796">
        <f t="shared" ref="F796:F797" si="426">_xlfn.NUMBERVALUE(RIGHT(C796,4))</f>
        <v>2023</v>
      </c>
      <c r="G796" t="s">
        <v>7</v>
      </c>
      <c r="H796">
        <v>-10</v>
      </c>
      <c r="K796" t="s">
        <v>9</v>
      </c>
      <c r="L796" s="8">
        <f t="shared" si="362"/>
        <v>-1</v>
      </c>
      <c r="M796" t="s">
        <v>873</v>
      </c>
    </row>
    <row r="797" spans="1:13" x14ac:dyDescent="0.35">
      <c r="A797">
        <f t="shared" si="216"/>
        <v>793</v>
      </c>
      <c r="B797" s="9">
        <f t="shared" si="423"/>
        <v>27.11</v>
      </c>
      <c r="C797" s="3" t="s">
        <v>874</v>
      </c>
      <c r="D797">
        <f t="shared" si="424"/>
        <v>2</v>
      </c>
      <c r="E797">
        <f t="shared" si="425"/>
        <v>7</v>
      </c>
      <c r="F797">
        <f t="shared" si="426"/>
        <v>2023</v>
      </c>
      <c r="G797" t="s">
        <v>7</v>
      </c>
      <c r="H797">
        <v>-1</v>
      </c>
      <c r="K797" t="s">
        <v>9</v>
      </c>
      <c r="L797" s="8">
        <f t="shared" si="362"/>
        <v>-1</v>
      </c>
      <c r="M797" t="s">
        <v>875</v>
      </c>
    </row>
    <row r="798" spans="1:13" x14ac:dyDescent="0.35">
      <c r="A798">
        <f t="shared" si="216"/>
        <v>794</v>
      </c>
      <c r="B798" s="9">
        <f t="shared" ref="B798:B799" si="427">B797+H798+I798+J798</f>
        <v>28.11</v>
      </c>
      <c r="C798" s="3" t="s">
        <v>874</v>
      </c>
      <c r="D798">
        <f t="shared" ref="D798:D799" si="428">_xlfn.NUMBERVALUE(LEFT(C798,2))</f>
        <v>2</v>
      </c>
      <c r="E798">
        <f t="shared" ref="E798:E799" si="429">_xlfn.NUMBERVALUE(MID(C798,4,2))</f>
        <v>7</v>
      </c>
      <c r="F798">
        <f t="shared" ref="F798:F799" si="430">_xlfn.NUMBERVALUE(RIGHT(C798,4))</f>
        <v>2023</v>
      </c>
      <c r="G798" t="s">
        <v>7</v>
      </c>
      <c r="H798">
        <v>-1</v>
      </c>
      <c r="I798">
        <v>2</v>
      </c>
      <c r="K798" t="s">
        <v>10</v>
      </c>
      <c r="L798" s="8">
        <f t="shared" si="362"/>
        <v>1</v>
      </c>
      <c r="M798" t="s">
        <v>876</v>
      </c>
    </row>
    <row r="799" spans="1:13" x14ac:dyDescent="0.35">
      <c r="A799">
        <f t="shared" si="216"/>
        <v>795</v>
      </c>
      <c r="B799" s="9">
        <f t="shared" si="427"/>
        <v>27.11</v>
      </c>
      <c r="C799" s="3" t="s">
        <v>874</v>
      </c>
      <c r="D799">
        <f t="shared" si="428"/>
        <v>2</v>
      </c>
      <c r="E799">
        <f t="shared" si="429"/>
        <v>7</v>
      </c>
      <c r="F799">
        <f t="shared" si="430"/>
        <v>2023</v>
      </c>
      <c r="G799" t="s">
        <v>7</v>
      </c>
      <c r="H799">
        <v>-1</v>
      </c>
      <c r="K799" t="s">
        <v>9</v>
      </c>
      <c r="L799" s="8">
        <f t="shared" si="362"/>
        <v>-1</v>
      </c>
      <c r="M799" t="s">
        <v>877</v>
      </c>
    </row>
    <row r="800" spans="1:13" x14ac:dyDescent="0.35">
      <c r="A800">
        <f t="shared" si="216"/>
        <v>796</v>
      </c>
      <c r="B800" s="9">
        <f t="shared" ref="B800:B801" si="431">B799+H800+I800+J800</f>
        <v>28.11</v>
      </c>
      <c r="C800" s="3" t="s">
        <v>878</v>
      </c>
      <c r="D800">
        <f t="shared" ref="D800:D801" si="432">_xlfn.NUMBERVALUE(LEFT(C800,2))</f>
        <v>3</v>
      </c>
      <c r="E800">
        <f t="shared" ref="E800:E801" si="433">_xlfn.NUMBERVALUE(MID(C800,4,2))</f>
        <v>7</v>
      </c>
      <c r="F800">
        <f t="shared" ref="F800:F801" si="434">_xlfn.NUMBERVALUE(RIGHT(C800,4))</f>
        <v>2023</v>
      </c>
      <c r="G800" t="s">
        <v>7</v>
      </c>
      <c r="H800">
        <v>-1</v>
      </c>
      <c r="I800">
        <v>2</v>
      </c>
      <c r="K800" t="s">
        <v>10</v>
      </c>
      <c r="L800" s="8">
        <f t="shared" si="362"/>
        <v>1</v>
      </c>
      <c r="M800" t="s">
        <v>879</v>
      </c>
    </row>
    <row r="801" spans="1:13" x14ac:dyDescent="0.35">
      <c r="A801">
        <f t="shared" si="216"/>
        <v>797</v>
      </c>
      <c r="B801" s="9">
        <f t="shared" si="431"/>
        <v>27.11</v>
      </c>
      <c r="C801" s="3" t="s">
        <v>878</v>
      </c>
      <c r="D801">
        <f t="shared" si="432"/>
        <v>3</v>
      </c>
      <c r="E801">
        <f t="shared" si="433"/>
        <v>7</v>
      </c>
      <c r="F801">
        <f t="shared" si="434"/>
        <v>2023</v>
      </c>
      <c r="G801" t="s">
        <v>7</v>
      </c>
      <c r="H801">
        <v>-1</v>
      </c>
      <c r="K801" t="s">
        <v>9</v>
      </c>
      <c r="L801" s="8">
        <f t="shared" si="362"/>
        <v>-1</v>
      </c>
      <c r="M801" t="s">
        <v>880</v>
      </c>
    </row>
    <row r="802" spans="1:13" x14ac:dyDescent="0.35">
      <c r="A802">
        <f t="shared" si="216"/>
        <v>798</v>
      </c>
      <c r="B802" s="9">
        <f t="shared" ref="B802" si="435">B801+H802+I802+J802</f>
        <v>26.11</v>
      </c>
      <c r="C802" s="3" t="s">
        <v>878</v>
      </c>
      <c r="D802">
        <f t="shared" ref="D802" si="436">_xlfn.NUMBERVALUE(LEFT(C802,2))</f>
        <v>3</v>
      </c>
      <c r="E802">
        <f t="shared" ref="E802" si="437">_xlfn.NUMBERVALUE(MID(C802,4,2))</f>
        <v>7</v>
      </c>
      <c r="F802">
        <f t="shared" ref="F802" si="438">_xlfn.NUMBERVALUE(RIGHT(C802,4))</f>
        <v>2023</v>
      </c>
      <c r="G802" t="s">
        <v>7</v>
      </c>
      <c r="H802">
        <v>-1</v>
      </c>
      <c r="K802" t="s">
        <v>9</v>
      </c>
      <c r="L802" s="8">
        <f t="shared" si="362"/>
        <v>-1</v>
      </c>
      <c r="M802" t="s">
        <v>881</v>
      </c>
    </row>
    <row r="803" spans="1:13" x14ac:dyDescent="0.35">
      <c r="A803">
        <f t="shared" si="216"/>
        <v>799</v>
      </c>
      <c r="B803" s="9">
        <f t="shared" ref="B803" si="439">B802+H803+I803+J803</f>
        <v>25.11</v>
      </c>
      <c r="C803" s="3" t="s">
        <v>878</v>
      </c>
      <c r="D803">
        <f t="shared" ref="D803" si="440">_xlfn.NUMBERVALUE(LEFT(C803,2))</f>
        <v>3</v>
      </c>
      <c r="E803">
        <f t="shared" ref="E803" si="441">_xlfn.NUMBERVALUE(MID(C803,4,2))</f>
        <v>7</v>
      </c>
      <c r="F803">
        <f t="shared" ref="F803" si="442">_xlfn.NUMBERVALUE(RIGHT(C803,4))</f>
        <v>2023</v>
      </c>
      <c r="G803" t="s">
        <v>7</v>
      </c>
      <c r="H803">
        <v>-1</v>
      </c>
      <c r="K803" t="s">
        <v>9</v>
      </c>
      <c r="L803" s="8">
        <f t="shared" si="362"/>
        <v>-1</v>
      </c>
      <c r="M803" t="s">
        <v>882</v>
      </c>
    </row>
    <row r="804" spans="1:13" x14ac:dyDescent="0.35">
      <c r="A804">
        <f t="shared" si="216"/>
        <v>800</v>
      </c>
      <c r="B804" s="9">
        <f t="shared" ref="B804" si="443">B803+H804+I804+J804</f>
        <v>24.11</v>
      </c>
      <c r="C804" s="3" t="s">
        <v>884</v>
      </c>
      <c r="D804">
        <f t="shared" ref="D804" si="444">_xlfn.NUMBERVALUE(LEFT(C804,2))</f>
        <v>4</v>
      </c>
      <c r="E804">
        <f t="shared" ref="E804" si="445">_xlfn.NUMBERVALUE(MID(C804,4,2))</f>
        <v>7</v>
      </c>
      <c r="F804">
        <f t="shared" ref="F804" si="446">_xlfn.NUMBERVALUE(RIGHT(C804,4))</f>
        <v>2023</v>
      </c>
      <c r="G804" t="s">
        <v>7</v>
      </c>
      <c r="H804">
        <v>-1</v>
      </c>
      <c r="K804" t="s">
        <v>9</v>
      </c>
      <c r="L804" s="8">
        <f t="shared" si="362"/>
        <v>-1</v>
      </c>
      <c r="M804" t="s">
        <v>883</v>
      </c>
    </row>
    <row r="805" spans="1:13" x14ac:dyDescent="0.35">
      <c r="A805">
        <f t="shared" si="216"/>
        <v>801</v>
      </c>
      <c r="B805" s="9">
        <f t="shared" ref="B805" si="447">B804+H805+I805+J805</f>
        <v>23.11</v>
      </c>
      <c r="C805" s="3" t="s">
        <v>884</v>
      </c>
      <c r="D805">
        <f t="shared" ref="D805" si="448">_xlfn.NUMBERVALUE(LEFT(C805,2))</f>
        <v>4</v>
      </c>
      <c r="E805">
        <f t="shared" ref="E805" si="449">_xlfn.NUMBERVALUE(MID(C805,4,2))</f>
        <v>7</v>
      </c>
      <c r="F805">
        <f t="shared" ref="F805" si="450">_xlfn.NUMBERVALUE(RIGHT(C805,4))</f>
        <v>2023</v>
      </c>
      <c r="G805" t="s">
        <v>7</v>
      </c>
      <c r="H805">
        <v>-1</v>
      </c>
      <c r="K805" t="s">
        <v>9</v>
      </c>
      <c r="L805" s="8">
        <f t="shared" si="362"/>
        <v>-1</v>
      </c>
      <c r="M805" t="s">
        <v>885</v>
      </c>
    </row>
    <row r="806" spans="1:13" x14ac:dyDescent="0.35">
      <c r="A806">
        <f t="shared" si="216"/>
        <v>802</v>
      </c>
      <c r="B806" s="9">
        <f t="shared" ref="B806:B807" si="451">B805+H806+I806+J806</f>
        <v>25.11</v>
      </c>
      <c r="C806" s="3" t="s">
        <v>884</v>
      </c>
      <c r="D806">
        <f t="shared" ref="D806:D807" si="452">_xlfn.NUMBERVALUE(LEFT(C806,2))</f>
        <v>4</v>
      </c>
      <c r="E806">
        <f t="shared" ref="E806:E807" si="453">_xlfn.NUMBERVALUE(MID(C806,4,2))</f>
        <v>7</v>
      </c>
      <c r="F806">
        <f t="shared" ref="F806:F807" si="454">_xlfn.NUMBERVALUE(RIGHT(C806,4))</f>
        <v>2023</v>
      </c>
      <c r="G806" t="s">
        <v>7</v>
      </c>
      <c r="H806">
        <v>-1</v>
      </c>
      <c r="I806">
        <v>3</v>
      </c>
      <c r="K806" t="s">
        <v>10</v>
      </c>
      <c r="L806" s="8">
        <f t="shared" si="362"/>
        <v>2</v>
      </c>
      <c r="M806" t="s">
        <v>886</v>
      </c>
    </row>
    <row r="807" spans="1:13" x14ac:dyDescent="0.35">
      <c r="A807">
        <f t="shared" si="216"/>
        <v>803</v>
      </c>
      <c r="B807" s="9">
        <f t="shared" si="451"/>
        <v>24.11</v>
      </c>
      <c r="C807" s="3" t="s">
        <v>884</v>
      </c>
      <c r="D807">
        <f t="shared" si="452"/>
        <v>4</v>
      </c>
      <c r="E807">
        <f t="shared" si="453"/>
        <v>7</v>
      </c>
      <c r="F807">
        <f t="shared" si="454"/>
        <v>2023</v>
      </c>
      <c r="G807" t="s">
        <v>7</v>
      </c>
      <c r="H807">
        <v>-1</v>
      </c>
      <c r="K807" t="s">
        <v>9</v>
      </c>
      <c r="L807" s="8">
        <f t="shared" si="362"/>
        <v>-1</v>
      </c>
      <c r="M807" t="s">
        <v>887</v>
      </c>
    </row>
    <row r="808" spans="1:13" x14ac:dyDescent="0.35">
      <c r="A808">
        <f t="shared" si="216"/>
        <v>804</v>
      </c>
      <c r="B808" s="9">
        <f t="shared" ref="B808:B809" si="455">B807+H808+I808+J808</f>
        <v>23.11</v>
      </c>
      <c r="C808" s="3" t="s">
        <v>884</v>
      </c>
      <c r="D808">
        <f t="shared" ref="D808:D809" si="456">_xlfn.NUMBERVALUE(LEFT(C808,2))</f>
        <v>4</v>
      </c>
      <c r="E808">
        <f t="shared" ref="E808:E809" si="457">_xlfn.NUMBERVALUE(MID(C808,4,2))</f>
        <v>7</v>
      </c>
      <c r="F808">
        <f t="shared" ref="F808:F809" si="458">_xlfn.NUMBERVALUE(RIGHT(C808,4))</f>
        <v>2023</v>
      </c>
      <c r="G808" t="s">
        <v>7</v>
      </c>
      <c r="H808">
        <v>-1</v>
      </c>
      <c r="K808" t="s">
        <v>9</v>
      </c>
      <c r="L808" s="8">
        <f t="shared" si="362"/>
        <v>-1</v>
      </c>
      <c r="M808" t="s">
        <v>888</v>
      </c>
    </row>
    <row r="809" spans="1:13" x14ac:dyDescent="0.35">
      <c r="A809">
        <f t="shared" si="216"/>
        <v>805</v>
      </c>
      <c r="B809" s="9">
        <f t="shared" si="455"/>
        <v>25.11</v>
      </c>
      <c r="C809" s="3" t="s">
        <v>884</v>
      </c>
      <c r="D809">
        <f t="shared" si="456"/>
        <v>4</v>
      </c>
      <c r="E809">
        <f t="shared" si="457"/>
        <v>7</v>
      </c>
      <c r="F809">
        <f t="shared" si="458"/>
        <v>2023</v>
      </c>
      <c r="G809" t="s">
        <v>7</v>
      </c>
      <c r="H809">
        <v>-1</v>
      </c>
      <c r="I809">
        <v>3</v>
      </c>
      <c r="K809" t="s">
        <v>10</v>
      </c>
      <c r="L809" s="8">
        <f t="shared" si="362"/>
        <v>2</v>
      </c>
      <c r="M809" t="s">
        <v>889</v>
      </c>
    </row>
    <row r="810" spans="1:13" x14ac:dyDescent="0.35">
      <c r="A810">
        <f t="shared" si="216"/>
        <v>806</v>
      </c>
      <c r="B810" s="9">
        <f t="shared" ref="B810:B811" si="459">B809+H810+I810+J810</f>
        <v>24.11</v>
      </c>
      <c r="C810" s="3" t="s">
        <v>884</v>
      </c>
      <c r="D810">
        <f t="shared" ref="D810:D813" si="460">_xlfn.NUMBERVALUE(LEFT(C810,2))</f>
        <v>4</v>
      </c>
      <c r="E810">
        <f t="shared" ref="E810:E811" si="461">_xlfn.NUMBERVALUE(MID(C810,4,2))</f>
        <v>7</v>
      </c>
      <c r="F810">
        <f t="shared" ref="F810:F811" si="462">_xlfn.NUMBERVALUE(RIGHT(C810,4))</f>
        <v>2023</v>
      </c>
      <c r="G810" t="s">
        <v>7</v>
      </c>
      <c r="H810">
        <v>-1</v>
      </c>
      <c r="K810" t="s">
        <v>9</v>
      </c>
      <c r="L810" s="8">
        <f t="shared" si="362"/>
        <v>-1</v>
      </c>
      <c r="M810" t="s">
        <v>890</v>
      </c>
    </row>
    <row r="811" spans="1:13" x14ac:dyDescent="0.35">
      <c r="A811">
        <f t="shared" si="216"/>
        <v>807</v>
      </c>
      <c r="B811" s="9">
        <f t="shared" si="459"/>
        <v>25.11</v>
      </c>
      <c r="C811" s="3" t="s">
        <v>891</v>
      </c>
      <c r="D811">
        <f t="shared" si="460"/>
        <v>5</v>
      </c>
      <c r="E811">
        <f t="shared" si="461"/>
        <v>7</v>
      </c>
      <c r="F811">
        <f t="shared" si="462"/>
        <v>2023</v>
      </c>
      <c r="G811" t="s">
        <v>7</v>
      </c>
      <c r="H811">
        <v>-1</v>
      </c>
      <c r="I811">
        <v>2</v>
      </c>
      <c r="K811" t="s">
        <v>10</v>
      </c>
      <c r="L811" s="8">
        <f t="shared" si="362"/>
        <v>1</v>
      </c>
      <c r="M811" t="s">
        <v>892</v>
      </c>
    </row>
    <row r="812" spans="1:13" x14ac:dyDescent="0.35">
      <c r="A812">
        <f t="shared" si="216"/>
        <v>808</v>
      </c>
      <c r="B812" s="9">
        <f t="shared" ref="B812" si="463">B811+H812+I812+J812</f>
        <v>24.11</v>
      </c>
      <c r="C812" s="3" t="s">
        <v>891</v>
      </c>
      <c r="D812">
        <f t="shared" si="460"/>
        <v>5</v>
      </c>
      <c r="E812">
        <f t="shared" ref="E812" si="464">_xlfn.NUMBERVALUE(MID(C812,4,2))</f>
        <v>7</v>
      </c>
      <c r="F812">
        <f t="shared" ref="F812" si="465">_xlfn.NUMBERVALUE(RIGHT(C812,4))</f>
        <v>2023</v>
      </c>
      <c r="G812" t="s">
        <v>7</v>
      </c>
      <c r="H812">
        <v>-1</v>
      </c>
      <c r="K812" t="s">
        <v>9</v>
      </c>
      <c r="L812" s="8">
        <f t="shared" si="362"/>
        <v>-1</v>
      </c>
      <c r="M812" t="s">
        <v>893</v>
      </c>
    </row>
    <row r="813" spans="1:13" x14ac:dyDescent="0.35">
      <c r="A813">
        <f t="shared" si="216"/>
        <v>809</v>
      </c>
      <c r="B813" s="9">
        <f t="shared" ref="B813" si="466">B812+H813+I813+J813</f>
        <v>23.11</v>
      </c>
      <c r="C813" s="3" t="s">
        <v>891</v>
      </c>
      <c r="D813">
        <f t="shared" si="460"/>
        <v>5</v>
      </c>
      <c r="E813">
        <f t="shared" ref="E813" si="467">_xlfn.NUMBERVALUE(MID(C813,4,2))</f>
        <v>7</v>
      </c>
      <c r="F813">
        <f t="shared" ref="F813" si="468">_xlfn.NUMBERVALUE(RIGHT(C813,4))</f>
        <v>2023</v>
      </c>
      <c r="G813" t="s">
        <v>7</v>
      </c>
      <c r="H813">
        <v>-1</v>
      </c>
      <c r="K813" t="s">
        <v>9</v>
      </c>
      <c r="L813" s="8">
        <f t="shared" si="362"/>
        <v>-1</v>
      </c>
      <c r="M813" t="s">
        <v>894</v>
      </c>
    </row>
    <row r="814" spans="1:13" x14ac:dyDescent="0.35">
      <c r="A814">
        <f t="shared" si="216"/>
        <v>810</v>
      </c>
      <c r="B814" s="9">
        <f t="shared" ref="B814:B815" si="469">B813+H814+I814+J814</f>
        <v>25.11</v>
      </c>
      <c r="C814" s="3" t="s">
        <v>891</v>
      </c>
      <c r="D814">
        <f t="shared" ref="D814:D815" si="470">_xlfn.NUMBERVALUE(LEFT(C814,2))</f>
        <v>5</v>
      </c>
      <c r="E814">
        <f t="shared" ref="E814:E815" si="471">_xlfn.NUMBERVALUE(MID(C814,4,2))</f>
        <v>7</v>
      </c>
      <c r="F814">
        <f t="shared" ref="F814:F815" si="472">_xlfn.NUMBERVALUE(RIGHT(C814,4))</f>
        <v>2023</v>
      </c>
      <c r="G814" t="s">
        <v>7</v>
      </c>
      <c r="H814">
        <v>-1</v>
      </c>
      <c r="I814">
        <v>3</v>
      </c>
      <c r="K814" t="s">
        <v>10</v>
      </c>
      <c r="L814" s="8">
        <f t="shared" si="362"/>
        <v>2</v>
      </c>
      <c r="M814" t="s">
        <v>895</v>
      </c>
    </row>
    <row r="815" spans="1:13" x14ac:dyDescent="0.35">
      <c r="A815">
        <f t="shared" si="216"/>
        <v>811</v>
      </c>
      <c r="B815" s="9">
        <f t="shared" si="469"/>
        <v>24.11</v>
      </c>
      <c r="C815" s="3" t="s">
        <v>891</v>
      </c>
      <c r="D815">
        <f t="shared" si="470"/>
        <v>5</v>
      </c>
      <c r="E815">
        <f t="shared" si="471"/>
        <v>7</v>
      </c>
      <c r="F815">
        <f t="shared" si="472"/>
        <v>2023</v>
      </c>
      <c r="G815" t="s">
        <v>7</v>
      </c>
      <c r="H815">
        <v>-1</v>
      </c>
      <c r="K815" t="s">
        <v>9</v>
      </c>
      <c r="L815" s="8">
        <f t="shared" si="362"/>
        <v>-1</v>
      </c>
      <c r="M815" t="s">
        <v>896</v>
      </c>
    </row>
    <row r="816" spans="1:13" x14ac:dyDescent="0.35">
      <c r="A816">
        <f t="shared" si="216"/>
        <v>812</v>
      </c>
      <c r="B816" s="9">
        <f t="shared" ref="B816" si="473">B815+H816+I816+J816</f>
        <v>23.11</v>
      </c>
      <c r="C816" s="3" t="s">
        <v>891</v>
      </c>
      <c r="D816">
        <f t="shared" ref="D816" si="474">_xlfn.NUMBERVALUE(LEFT(C816,2))</f>
        <v>5</v>
      </c>
      <c r="E816">
        <f t="shared" ref="E816" si="475">_xlfn.NUMBERVALUE(MID(C816,4,2))</f>
        <v>7</v>
      </c>
      <c r="F816">
        <f t="shared" ref="F816" si="476">_xlfn.NUMBERVALUE(RIGHT(C816,4))</f>
        <v>2023</v>
      </c>
      <c r="G816" t="s">
        <v>7</v>
      </c>
      <c r="H816">
        <v>-1</v>
      </c>
      <c r="K816" t="s">
        <v>9</v>
      </c>
      <c r="L816" s="8">
        <f t="shared" si="362"/>
        <v>-1</v>
      </c>
      <c r="M816" t="s">
        <v>897</v>
      </c>
    </row>
    <row r="817" spans="1:13" x14ac:dyDescent="0.35">
      <c r="A817">
        <f t="shared" si="216"/>
        <v>813</v>
      </c>
      <c r="B817" s="9">
        <f t="shared" ref="B817" si="477">B816+H817+I817+J817</f>
        <v>22.11</v>
      </c>
      <c r="C817" s="3" t="s">
        <v>891</v>
      </c>
      <c r="D817">
        <f t="shared" ref="D817" si="478">_xlfn.NUMBERVALUE(LEFT(C817,2))</f>
        <v>5</v>
      </c>
      <c r="E817">
        <f t="shared" ref="E817" si="479">_xlfn.NUMBERVALUE(MID(C817,4,2))</f>
        <v>7</v>
      </c>
      <c r="F817">
        <f t="shared" ref="F817" si="480">_xlfn.NUMBERVALUE(RIGHT(C817,4))</f>
        <v>2023</v>
      </c>
      <c r="G817" t="s">
        <v>7</v>
      </c>
      <c r="H817">
        <v>-1</v>
      </c>
      <c r="K817" t="s">
        <v>9</v>
      </c>
      <c r="L817" s="8">
        <f t="shared" si="362"/>
        <v>-1</v>
      </c>
      <c r="M817" t="s">
        <v>898</v>
      </c>
    </row>
    <row r="818" spans="1:13" x14ac:dyDescent="0.35">
      <c r="A818">
        <f t="shared" si="216"/>
        <v>814</v>
      </c>
      <c r="B818" s="9">
        <f t="shared" ref="B818" si="481">B817+H818+I818+J818</f>
        <v>21.11</v>
      </c>
      <c r="C818" s="3" t="s">
        <v>891</v>
      </c>
      <c r="D818">
        <f t="shared" ref="D818" si="482">_xlfn.NUMBERVALUE(LEFT(C818,2))</f>
        <v>5</v>
      </c>
      <c r="E818">
        <f t="shared" ref="E818" si="483">_xlfn.NUMBERVALUE(MID(C818,4,2))</f>
        <v>7</v>
      </c>
      <c r="F818">
        <f t="shared" ref="F818" si="484">_xlfn.NUMBERVALUE(RIGHT(C818,4))</f>
        <v>2023</v>
      </c>
      <c r="G818" t="s">
        <v>7</v>
      </c>
      <c r="H818">
        <v>-1</v>
      </c>
      <c r="K818" t="s">
        <v>9</v>
      </c>
      <c r="L818" s="8">
        <f t="shared" si="362"/>
        <v>-1</v>
      </c>
      <c r="M818" t="s">
        <v>899</v>
      </c>
    </row>
    <row r="819" spans="1:13" x14ac:dyDescent="0.35">
      <c r="A819">
        <f t="shared" si="216"/>
        <v>815</v>
      </c>
      <c r="B819" s="9">
        <f t="shared" ref="B819" si="485">B818+H819+I819+J819</f>
        <v>20.11</v>
      </c>
      <c r="C819" s="3" t="s">
        <v>891</v>
      </c>
      <c r="D819">
        <f t="shared" ref="D819" si="486">_xlfn.NUMBERVALUE(LEFT(C819,2))</f>
        <v>5</v>
      </c>
      <c r="E819">
        <f t="shared" ref="E819" si="487">_xlfn.NUMBERVALUE(MID(C819,4,2))</f>
        <v>7</v>
      </c>
      <c r="F819">
        <f t="shared" ref="F819" si="488">_xlfn.NUMBERVALUE(RIGHT(C819,4))</f>
        <v>2023</v>
      </c>
      <c r="G819" t="s">
        <v>7</v>
      </c>
      <c r="H819">
        <v>-1</v>
      </c>
      <c r="K819" t="s">
        <v>9</v>
      </c>
      <c r="L819" s="8">
        <f t="shared" si="362"/>
        <v>-1</v>
      </c>
      <c r="M819" t="s">
        <v>900</v>
      </c>
    </row>
    <row r="820" spans="1:13" x14ac:dyDescent="0.35">
      <c r="A820">
        <f t="shared" si="216"/>
        <v>816</v>
      </c>
      <c r="B820" s="9">
        <f t="shared" ref="B820" si="489">B819+H820+I820+J820</f>
        <v>19.11</v>
      </c>
      <c r="C820" s="3" t="s">
        <v>891</v>
      </c>
      <c r="D820">
        <f t="shared" ref="D820" si="490">_xlfn.NUMBERVALUE(LEFT(C820,2))</f>
        <v>5</v>
      </c>
      <c r="E820">
        <f t="shared" ref="E820" si="491">_xlfn.NUMBERVALUE(MID(C820,4,2))</f>
        <v>7</v>
      </c>
      <c r="F820">
        <f t="shared" ref="F820" si="492">_xlfn.NUMBERVALUE(RIGHT(C820,4))</f>
        <v>2023</v>
      </c>
      <c r="G820" t="s">
        <v>7</v>
      </c>
      <c r="H820">
        <v>-1</v>
      </c>
      <c r="K820" t="s">
        <v>9</v>
      </c>
      <c r="L820" s="8">
        <f t="shared" si="362"/>
        <v>-1</v>
      </c>
      <c r="M820" t="s">
        <v>901</v>
      </c>
    </row>
    <row r="821" spans="1:13" x14ac:dyDescent="0.35">
      <c r="A821">
        <f t="shared" si="216"/>
        <v>817</v>
      </c>
      <c r="B821" s="9">
        <f t="shared" ref="B821" si="493">B820+H821+I821+J821</f>
        <v>18.11</v>
      </c>
      <c r="C821" s="3" t="s">
        <v>891</v>
      </c>
      <c r="D821">
        <f t="shared" ref="D821" si="494">_xlfn.NUMBERVALUE(LEFT(C821,2))</f>
        <v>5</v>
      </c>
      <c r="E821">
        <f t="shared" ref="E821" si="495">_xlfn.NUMBERVALUE(MID(C821,4,2))</f>
        <v>7</v>
      </c>
      <c r="F821">
        <f t="shared" ref="F821" si="496">_xlfn.NUMBERVALUE(RIGHT(C821,4))</f>
        <v>2023</v>
      </c>
      <c r="G821" t="s">
        <v>7</v>
      </c>
      <c r="H821">
        <v>-1</v>
      </c>
      <c r="K821" t="s">
        <v>9</v>
      </c>
      <c r="L821" s="8">
        <f t="shared" si="362"/>
        <v>-1</v>
      </c>
      <c r="M821" t="s">
        <v>902</v>
      </c>
    </row>
    <row r="822" spans="1:13" x14ac:dyDescent="0.35">
      <c r="A822">
        <f t="shared" si="216"/>
        <v>818</v>
      </c>
      <c r="B822" s="9">
        <f t="shared" ref="B822" si="497">B821+H822+I822+J822</f>
        <v>17.11</v>
      </c>
      <c r="C822" s="3" t="s">
        <v>891</v>
      </c>
      <c r="D822">
        <f t="shared" ref="D822" si="498">_xlfn.NUMBERVALUE(LEFT(C822,2))</f>
        <v>5</v>
      </c>
      <c r="E822">
        <f t="shared" ref="E822" si="499">_xlfn.NUMBERVALUE(MID(C822,4,2))</f>
        <v>7</v>
      </c>
      <c r="F822">
        <f t="shared" ref="F822" si="500">_xlfn.NUMBERVALUE(RIGHT(C822,4))</f>
        <v>2023</v>
      </c>
      <c r="G822" t="s">
        <v>7</v>
      </c>
      <c r="H822">
        <v>-1</v>
      </c>
      <c r="K822" t="s">
        <v>9</v>
      </c>
      <c r="L822" s="8">
        <f t="shared" si="362"/>
        <v>-1</v>
      </c>
      <c r="M822" t="s">
        <v>903</v>
      </c>
    </row>
    <row r="823" spans="1:13" x14ac:dyDescent="0.35">
      <c r="A823">
        <f t="shared" si="216"/>
        <v>819</v>
      </c>
      <c r="B823" s="9">
        <f t="shared" ref="B823" si="501">B822+H823+I823+J823</f>
        <v>7.1099999999999994</v>
      </c>
      <c r="C823" s="3" t="s">
        <v>891</v>
      </c>
      <c r="D823">
        <f t="shared" ref="D823" si="502">_xlfn.NUMBERVALUE(LEFT(C823,2))</f>
        <v>5</v>
      </c>
      <c r="E823">
        <f t="shared" ref="E823" si="503">_xlfn.NUMBERVALUE(MID(C823,4,2))</f>
        <v>7</v>
      </c>
      <c r="F823">
        <f t="shared" ref="F823" si="504">_xlfn.NUMBERVALUE(RIGHT(C823,4))</f>
        <v>2023</v>
      </c>
      <c r="G823" t="s">
        <v>7</v>
      </c>
      <c r="H823">
        <v>-10</v>
      </c>
      <c r="K823" t="s">
        <v>9</v>
      </c>
      <c r="L823" s="8">
        <f t="shared" si="362"/>
        <v>-1</v>
      </c>
      <c r="M823" t="s">
        <v>904</v>
      </c>
    </row>
    <row r="824" spans="1:13" x14ac:dyDescent="0.35">
      <c r="A824">
        <f t="shared" si="216"/>
        <v>820</v>
      </c>
      <c r="B824" s="9">
        <f t="shared" ref="B824:B826" si="505">B823+H824+I824+J824</f>
        <v>12.11</v>
      </c>
      <c r="C824" s="3" t="s">
        <v>891</v>
      </c>
      <c r="D824">
        <f t="shared" ref="D824:D826" si="506">_xlfn.NUMBERVALUE(LEFT(C824,2))</f>
        <v>5</v>
      </c>
      <c r="E824">
        <f t="shared" ref="E824:E826" si="507">_xlfn.NUMBERVALUE(MID(C824,4,2))</f>
        <v>7</v>
      </c>
      <c r="F824">
        <f t="shared" ref="F824:F826" si="508">_xlfn.NUMBERVALUE(RIGHT(C824,4))</f>
        <v>2023</v>
      </c>
      <c r="G824" t="s">
        <v>7</v>
      </c>
      <c r="H824">
        <v>-5</v>
      </c>
      <c r="I824">
        <v>10</v>
      </c>
      <c r="K824" t="s">
        <v>10</v>
      </c>
      <c r="L824" s="8">
        <f t="shared" si="362"/>
        <v>1</v>
      </c>
      <c r="M824" t="s">
        <v>905</v>
      </c>
    </row>
    <row r="825" spans="1:13" x14ac:dyDescent="0.35">
      <c r="A825">
        <f t="shared" si="216"/>
        <v>821</v>
      </c>
      <c r="B825" s="9">
        <f t="shared" si="505"/>
        <v>32.11</v>
      </c>
      <c r="C825" s="3" t="s">
        <v>891</v>
      </c>
      <c r="D825">
        <f t="shared" si="506"/>
        <v>5</v>
      </c>
      <c r="E825">
        <f t="shared" si="507"/>
        <v>7</v>
      </c>
      <c r="F825">
        <f t="shared" si="508"/>
        <v>2023</v>
      </c>
      <c r="G825" t="s">
        <v>7</v>
      </c>
      <c r="H825">
        <v>-10</v>
      </c>
      <c r="I825">
        <v>30</v>
      </c>
      <c r="K825" t="s">
        <v>10</v>
      </c>
      <c r="L825" s="8">
        <f t="shared" si="362"/>
        <v>2</v>
      </c>
      <c r="M825" t="s">
        <v>906</v>
      </c>
    </row>
    <row r="826" spans="1:13" x14ac:dyDescent="0.35">
      <c r="A826">
        <f t="shared" si="216"/>
        <v>822</v>
      </c>
      <c r="B826" s="9">
        <f t="shared" si="505"/>
        <v>34.11</v>
      </c>
      <c r="C826" s="3" t="s">
        <v>908</v>
      </c>
      <c r="D826">
        <f t="shared" si="506"/>
        <v>6</v>
      </c>
      <c r="E826">
        <f t="shared" si="507"/>
        <v>7</v>
      </c>
      <c r="F826">
        <f t="shared" si="508"/>
        <v>2023</v>
      </c>
      <c r="G826" t="s">
        <v>7</v>
      </c>
      <c r="H826">
        <v>-1</v>
      </c>
      <c r="I826">
        <v>3</v>
      </c>
      <c r="K826" t="s">
        <v>10</v>
      </c>
      <c r="L826" s="8">
        <f t="shared" si="362"/>
        <v>2</v>
      </c>
      <c r="M826" t="s">
        <v>907</v>
      </c>
    </row>
    <row r="827" spans="1:13" x14ac:dyDescent="0.35">
      <c r="A827">
        <f t="shared" si="216"/>
        <v>823</v>
      </c>
      <c r="B827" s="9">
        <f t="shared" ref="B827" si="509">B826+H827+I827+J827</f>
        <v>33.11</v>
      </c>
      <c r="C827" s="3" t="s">
        <v>908</v>
      </c>
      <c r="D827">
        <f t="shared" ref="D827" si="510">_xlfn.NUMBERVALUE(LEFT(C827,2))</f>
        <v>6</v>
      </c>
      <c r="E827">
        <f t="shared" ref="E827" si="511">_xlfn.NUMBERVALUE(MID(C827,4,2))</f>
        <v>7</v>
      </c>
      <c r="F827">
        <f t="shared" ref="F827" si="512">_xlfn.NUMBERVALUE(RIGHT(C827,4))</f>
        <v>2023</v>
      </c>
      <c r="G827" t="s">
        <v>7</v>
      </c>
      <c r="H827">
        <v>-1</v>
      </c>
      <c r="K827" t="s">
        <v>9</v>
      </c>
      <c r="L827" s="8">
        <f t="shared" si="362"/>
        <v>-1</v>
      </c>
      <c r="M827" t="s">
        <v>909</v>
      </c>
    </row>
    <row r="828" spans="1:13" x14ac:dyDescent="0.35">
      <c r="A828">
        <f t="shared" si="216"/>
        <v>824</v>
      </c>
      <c r="B828" s="9">
        <f t="shared" ref="B828" si="513">B827+H828+I828+J828</f>
        <v>32.11</v>
      </c>
      <c r="C828" s="3" t="s">
        <v>908</v>
      </c>
      <c r="D828">
        <f t="shared" ref="D828" si="514">_xlfn.NUMBERVALUE(LEFT(C828,2))</f>
        <v>6</v>
      </c>
      <c r="E828">
        <f t="shared" ref="E828" si="515">_xlfn.NUMBERVALUE(MID(C828,4,2))</f>
        <v>7</v>
      </c>
      <c r="F828">
        <f t="shared" ref="F828" si="516">_xlfn.NUMBERVALUE(RIGHT(C828,4))</f>
        <v>2023</v>
      </c>
      <c r="G828" t="s">
        <v>7</v>
      </c>
      <c r="H828">
        <v>-1</v>
      </c>
      <c r="K828" t="s">
        <v>9</v>
      </c>
      <c r="L828" s="8">
        <f t="shared" si="362"/>
        <v>-1</v>
      </c>
      <c r="M828" t="s">
        <v>910</v>
      </c>
    </row>
    <row r="829" spans="1:13" x14ac:dyDescent="0.35">
      <c r="A829">
        <f t="shared" si="216"/>
        <v>825</v>
      </c>
      <c r="B829" s="9">
        <f t="shared" ref="B829:B830" si="517">B828+H829+I829+J829</f>
        <v>31.11</v>
      </c>
      <c r="C829" s="3" t="s">
        <v>908</v>
      </c>
      <c r="D829">
        <f t="shared" ref="D829:D830" si="518">_xlfn.NUMBERVALUE(LEFT(C829,2))</f>
        <v>6</v>
      </c>
      <c r="E829">
        <f t="shared" ref="E829:E830" si="519">_xlfn.NUMBERVALUE(MID(C829,4,2))</f>
        <v>7</v>
      </c>
      <c r="F829">
        <f t="shared" ref="F829:F830" si="520">_xlfn.NUMBERVALUE(RIGHT(C829,4))</f>
        <v>2023</v>
      </c>
      <c r="G829" t="s">
        <v>7</v>
      </c>
      <c r="H829">
        <v>-1</v>
      </c>
      <c r="K829" t="s">
        <v>9</v>
      </c>
      <c r="L829" s="8">
        <f t="shared" si="362"/>
        <v>-1</v>
      </c>
      <c r="M829" t="s">
        <v>911</v>
      </c>
    </row>
    <row r="830" spans="1:13" x14ac:dyDescent="0.35">
      <c r="A830">
        <f t="shared" si="216"/>
        <v>826</v>
      </c>
      <c r="B830" s="9">
        <f t="shared" si="517"/>
        <v>32.11</v>
      </c>
      <c r="C830" s="3" t="s">
        <v>908</v>
      </c>
      <c r="D830">
        <f t="shared" si="518"/>
        <v>6</v>
      </c>
      <c r="E830">
        <f t="shared" si="519"/>
        <v>7</v>
      </c>
      <c r="F830">
        <f t="shared" si="520"/>
        <v>2023</v>
      </c>
      <c r="G830" t="s">
        <v>7</v>
      </c>
      <c r="H830">
        <v>-1</v>
      </c>
      <c r="I830">
        <v>2</v>
      </c>
      <c r="K830" t="s">
        <v>10</v>
      </c>
      <c r="L830" s="8">
        <f t="shared" si="362"/>
        <v>1</v>
      </c>
      <c r="M830" t="s">
        <v>912</v>
      </c>
    </row>
    <row r="831" spans="1:13" x14ac:dyDescent="0.35">
      <c r="A831">
        <f t="shared" si="216"/>
        <v>827</v>
      </c>
      <c r="B831" s="9">
        <f t="shared" ref="B831" si="521">B830+H831+I831+J831</f>
        <v>22.11</v>
      </c>
      <c r="C831" s="3" t="s">
        <v>908</v>
      </c>
      <c r="D831">
        <f t="shared" ref="D831" si="522">_xlfn.NUMBERVALUE(LEFT(C831,2))</f>
        <v>6</v>
      </c>
      <c r="E831">
        <f t="shared" ref="E831" si="523">_xlfn.NUMBERVALUE(MID(C831,4,2))</f>
        <v>7</v>
      </c>
      <c r="F831">
        <f t="shared" ref="F831" si="524">_xlfn.NUMBERVALUE(RIGHT(C831,4))</f>
        <v>2023</v>
      </c>
      <c r="G831" t="s">
        <v>7</v>
      </c>
      <c r="H831">
        <v>-10</v>
      </c>
      <c r="K831" t="s">
        <v>9</v>
      </c>
      <c r="L831" s="8">
        <f t="shared" si="362"/>
        <v>-1</v>
      </c>
      <c r="M831" t="s">
        <v>913</v>
      </c>
    </row>
    <row r="832" spans="1:13" x14ac:dyDescent="0.35">
      <c r="A832">
        <f t="shared" si="216"/>
        <v>828</v>
      </c>
      <c r="B832" s="9">
        <f t="shared" ref="B832" si="525">B831+H832+I832+J832</f>
        <v>12.11</v>
      </c>
      <c r="C832" s="3" t="s">
        <v>908</v>
      </c>
      <c r="D832">
        <f t="shared" ref="D832" si="526">_xlfn.NUMBERVALUE(LEFT(C832,2))</f>
        <v>6</v>
      </c>
      <c r="E832">
        <f t="shared" ref="E832" si="527">_xlfn.NUMBERVALUE(MID(C832,4,2))</f>
        <v>7</v>
      </c>
      <c r="F832">
        <f t="shared" ref="F832" si="528">_xlfn.NUMBERVALUE(RIGHT(C832,4))</f>
        <v>2023</v>
      </c>
      <c r="G832" t="s">
        <v>7</v>
      </c>
      <c r="H832">
        <v>-10</v>
      </c>
      <c r="K832" t="s">
        <v>9</v>
      </c>
      <c r="L832" s="8">
        <f t="shared" si="362"/>
        <v>-1</v>
      </c>
      <c r="M832" t="s">
        <v>914</v>
      </c>
    </row>
    <row r="833" spans="1:13" x14ac:dyDescent="0.35">
      <c r="A833">
        <f t="shared" si="216"/>
        <v>829</v>
      </c>
      <c r="B833" s="9">
        <f t="shared" ref="B833" si="529">B832+H833+I833+J833</f>
        <v>2.1099999999999994</v>
      </c>
      <c r="C833" s="3" t="s">
        <v>908</v>
      </c>
      <c r="D833">
        <f t="shared" ref="D833" si="530">_xlfn.NUMBERVALUE(LEFT(C833,2))</f>
        <v>6</v>
      </c>
      <c r="E833">
        <f t="shared" ref="E833" si="531">_xlfn.NUMBERVALUE(MID(C833,4,2))</f>
        <v>7</v>
      </c>
      <c r="F833">
        <f t="shared" ref="F833" si="532">_xlfn.NUMBERVALUE(RIGHT(C833,4))</f>
        <v>2023</v>
      </c>
      <c r="G833" t="s">
        <v>7</v>
      </c>
      <c r="H833">
        <v>-10</v>
      </c>
      <c r="K833" t="s">
        <v>9</v>
      </c>
      <c r="L833" s="8">
        <f t="shared" si="362"/>
        <v>-1</v>
      </c>
      <c r="M833" t="s">
        <v>915</v>
      </c>
    </row>
    <row r="834" spans="1:13" x14ac:dyDescent="0.35">
      <c r="A834">
        <f t="shared" si="216"/>
        <v>830</v>
      </c>
      <c r="B834" s="9">
        <f t="shared" ref="B834" si="533">B833+H834+I834+J834</f>
        <v>0.10999999999999943</v>
      </c>
      <c r="C834" s="3" t="s">
        <v>908</v>
      </c>
      <c r="D834">
        <f t="shared" ref="D834" si="534">_xlfn.NUMBERVALUE(LEFT(C834,2))</f>
        <v>6</v>
      </c>
      <c r="E834">
        <f t="shared" ref="E834" si="535">_xlfn.NUMBERVALUE(MID(C834,4,2))</f>
        <v>7</v>
      </c>
      <c r="F834">
        <f t="shared" ref="F834" si="536">_xlfn.NUMBERVALUE(RIGHT(C834,4))</f>
        <v>2023</v>
      </c>
      <c r="G834" t="s">
        <v>7</v>
      </c>
      <c r="H834">
        <v>-2</v>
      </c>
      <c r="K834" t="s">
        <v>9</v>
      </c>
      <c r="L834" s="8">
        <f t="shared" si="362"/>
        <v>-1</v>
      </c>
      <c r="M834" t="s">
        <v>916</v>
      </c>
    </row>
    <row r="835" spans="1:13" x14ac:dyDescent="0.35">
      <c r="A835">
        <f t="shared" si="216"/>
        <v>831</v>
      </c>
      <c r="B835" s="9">
        <f t="shared" ref="B835" si="537">B834+H835+I835+J835</f>
        <v>28.24</v>
      </c>
      <c r="C835" s="3" t="s">
        <v>917</v>
      </c>
      <c r="D835">
        <f t="shared" ref="D835" si="538">_xlfn.NUMBERVALUE(LEFT(C835,2))</f>
        <v>9</v>
      </c>
      <c r="E835">
        <f t="shared" ref="E835" si="539">_xlfn.NUMBERVALUE(MID(C835,4,2))</f>
        <v>7</v>
      </c>
      <c r="F835">
        <f t="shared" ref="F835" si="540">_xlfn.NUMBERVALUE(RIGHT(C835,4))</f>
        <v>2023</v>
      </c>
      <c r="G835" t="s">
        <v>3362</v>
      </c>
      <c r="I835">
        <v>28.13</v>
      </c>
      <c r="L835" s="8"/>
    </row>
    <row r="836" spans="1:13" x14ac:dyDescent="0.35">
      <c r="A836">
        <f t="shared" si="216"/>
        <v>832</v>
      </c>
      <c r="B836" s="9">
        <f t="shared" ref="B836:B837" si="541">B835+H836+I836+J836</f>
        <v>17.239999999999998</v>
      </c>
      <c r="C836" s="3" t="s">
        <v>917</v>
      </c>
      <c r="D836">
        <f t="shared" ref="D836:D837" si="542">_xlfn.NUMBERVALUE(LEFT(C836,2))</f>
        <v>9</v>
      </c>
      <c r="E836">
        <f t="shared" ref="E836:E837" si="543">_xlfn.NUMBERVALUE(MID(C836,4,2))</f>
        <v>7</v>
      </c>
      <c r="F836">
        <f t="shared" ref="F836:F837" si="544">_xlfn.NUMBERVALUE(RIGHT(C836,4))</f>
        <v>2023</v>
      </c>
      <c r="G836" t="s">
        <v>154</v>
      </c>
      <c r="H836">
        <v>-11</v>
      </c>
      <c r="K836" t="s">
        <v>9</v>
      </c>
      <c r="L836" s="8">
        <f t="shared" si="362"/>
        <v>-1</v>
      </c>
      <c r="M836" t="s">
        <v>918</v>
      </c>
    </row>
    <row r="837" spans="1:13" x14ac:dyDescent="0.35">
      <c r="A837">
        <f t="shared" si="216"/>
        <v>833</v>
      </c>
      <c r="B837" s="9">
        <f t="shared" si="541"/>
        <v>7.2399999999999984</v>
      </c>
      <c r="C837" s="3" t="s">
        <v>919</v>
      </c>
      <c r="D837">
        <f t="shared" si="542"/>
        <v>10</v>
      </c>
      <c r="E837">
        <f t="shared" si="543"/>
        <v>7</v>
      </c>
      <c r="F837">
        <f t="shared" si="544"/>
        <v>2023</v>
      </c>
      <c r="G837" t="s">
        <v>7</v>
      </c>
      <c r="H837">
        <v>-10</v>
      </c>
      <c r="K837" t="s">
        <v>9</v>
      </c>
      <c r="L837" s="8">
        <f t="shared" si="362"/>
        <v>-1</v>
      </c>
      <c r="M837" t="s">
        <v>920</v>
      </c>
    </row>
    <row r="838" spans="1:13" x14ac:dyDescent="0.35">
      <c r="A838">
        <f t="shared" si="216"/>
        <v>834</v>
      </c>
      <c r="B838" s="9">
        <f t="shared" ref="B838:B839" si="545">B837+H838+I838+J838</f>
        <v>12.239999999999998</v>
      </c>
      <c r="C838" s="3" t="s">
        <v>919</v>
      </c>
      <c r="D838">
        <f t="shared" ref="D838:D839" si="546">_xlfn.NUMBERVALUE(LEFT(C838,2))</f>
        <v>10</v>
      </c>
      <c r="E838">
        <f t="shared" ref="E838:E839" si="547">_xlfn.NUMBERVALUE(MID(C838,4,2))</f>
        <v>7</v>
      </c>
      <c r="F838">
        <f t="shared" ref="F838:F839" si="548">_xlfn.NUMBERVALUE(RIGHT(C838,4))</f>
        <v>2023</v>
      </c>
      <c r="G838" t="s">
        <v>7</v>
      </c>
      <c r="H838">
        <v>-5</v>
      </c>
      <c r="I838">
        <v>10</v>
      </c>
      <c r="K838" t="s">
        <v>10</v>
      </c>
      <c r="L838" s="8">
        <f t="shared" ref="L838:L901" si="549">IF(H838="",0,(SUM(I838:J838)/-H838)-1)</f>
        <v>1</v>
      </c>
      <c r="M838" t="s">
        <v>921</v>
      </c>
    </row>
    <row r="839" spans="1:13" x14ac:dyDescent="0.35">
      <c r="A839">
        <f t="shared" si="216"/>
        <v>835</v>
      </c>
      <c r="B839" s="9">
        <f t="shared" si="545"/>
        <v>32.239999999999995</v>
      </c>
      <c r="C839" s="3" t="s">
        <v>919</v>
      </c>
      <c r="D839">
        <f t="shared" si="546"/>
        <v>10</v>
      </c>
      <c r="E839">
        <f t="shared" si="547"/>
        <v>7</v>
      </c>
      <c r="F839">
        <f t="shared" si="548"/>
        <v>2023</v>
      </c>
      <c r="G839" t="s">
        <v>7</v>
      </c>
      <c r="H839">
        <v>-10</v>
      </c>
      <c r="I839">
        <v>30</v>
      </c>
      <c r="K839" t="s">
        <v>10</v>
      </c>
      <c r="L839" s="8">
        <f t="shared" si="549"/>
        <v>2</v>
      </c>
      <c r="M839" t="s">
        <v>922</v>
      </c>
    </row>
    <row r="840" spans="1:13" x14ac:dyDescent="0.35">
      <c r="A840">
        <f t="shared" si="216"/>
        <v>836</v>
      </c>
      <c r="B840" s="9">
        <f t="shared" ref="B840" si="550">B839+H840+I840+J840</f>
        <v>28.939999999999994</v>
      </c>
      <c r="C840" s="3" t="s">
        <v>923</v>
      </c>
      <c r="D840">
        <f t="shared" ref="D840" si="551">_xlfn.NUMBERVALUE(LEFT(C840,2))</f>
        <v>11</v>
      </c>
      <c r="E840">
        <f t="shared" ref="E840" si="552">_xlfn.NUMBERVALUE(MID(C840,4,2))</f>
        <v>7</v>
      </c>
      <c r="F840">
        <f t="shared" ref="F840" si="553">_xlfn.NUMBERVALUE(RIGHT(C840,4))</f>
        <v>2023</v>
      </c>
      <c r="G840" t="s">
        <v>44</v>
      </c>
      <c r="H840">
        <v>-3.3</v>
      </c>
      <c r="K840" t="s">
        <v>9</v>
      </c>
      <c r="L840" s="8">
        <f t="shared" si="549"/>
        <v>-1</v>
      </c>
      <c r="M840" t="s">
        <v>924</v>
      </c>
    </row>
    <row r="841" spans="1:13" x14ac:dyDescent="0.35">
      <c r="A841">
        <f t="shared" si="216"/>
        <v>837</v>
      </c>
      <c r="B841" s="9">
        <f t="shared" ref="B841" si="554">B840+H841+I841+J841</f>
        <v>30.939999999999994</v>
      </c>
      <c r="C841" s="3" t="s">
        <v>923</v>
      </c>
      <c r="D841">
        <f t="shared" ref="D841" si="555">_xlfn.NUMBERVALUE(LEFT(C841,2))</f>
        <v>11</v>
      </c>
      <c r="E841">
        <f t="shared" ref="E841" si="556">_xlfn.NUMBERVALUE(MID(C841,4,2))</f>
        <v>7</v>
      </c>
      <c r="F841">
        <f t="shared" ref="F841" si="557">_xlfn.NUMBERVALUE(RIGHT(C841,4))</f>
        <v>2023</v>
      </c>
      <c r="G841" t="s">
        <v>7</v>
      </c>
      <c r="H841">
        <v>-1</v>
      </c>
      <c r="I841">
        <v>3</v>
      </c>
      <c r="K841" t="s">
        <v>10</v>
      </c>
      <c r="L841" s="8">
        <f t="shared" si="549"/>
        <v>2</v>
      </c>
      <c r="M841" t="s">
        <v>925</v>
      </c>
    </row>
    <row r="842" spans="1:13" x14ac:dyDescent="0.35">
      <c r="A842">
        <f t="shared" si="216"/>
        <v>838</v>
      </c>
      <c r="B842" s="9">
        <f t="shared" ref="B842:B843" si="558">B841+H842+I842+J842</f>
        <v>29.939999999999994</v>
      </c>
      <c r="C842" s="3" t="s">
        <v>923</v>
      </c>
      <c r="D842">
        <f t="shared" ref="D842:D843" si="559">_xlfn.NUMBERVALUE(LEFT(C842,2))</f>
        <v>11</v>
      </c>
      <c r="E842">
        <f t="shared" ref="E842:E843" si="560">_xlfn.NUMBERVALUE(MID(C842,4,2))</f>
        <v>7</v>
      </c>
      <c r="F842">
        <f t="shared" ref="F842:F843" si="561">_xlfn.NUMBERVALUE(RIGHT(C842,4))</f>
        <v>2023</v>
      </c>
      <c r="G842" t="s">
        <v>7</v>
      </c>
      <c r="H842">
        <v>-1</v>
      </c>
      <c r="K842" t="s">
        <v>9</v>
      </c>
      <c r="L842" s="8">
        <f t="shared" si="549"/>
        <v>-1</v>
      </c>
      <c r="M842" t="s">
        <v>926</v>
      </c>
    </row>
    <row r="843" spans="1:13" x14ac:dyDescent="0.35">
      <c r="A843">
        <f t="shared" si="216"/>
        <v>839</v>
      </c>
      <c r="B843" s="9">
        <f t="shared" si="558"/>
        <v>31.939999999999994</v>
      </c>
      <c r="C843" s="3" t="s">
        <v>923</v>
      </c>
      <c r="D843">
        <f t="shared" si="559"/>
        <v>11</v>
      </c>
      <c r="E843">
        <f t="shared" si="560"/>
        <v>7</v>
      </c>
      <c r="F843">
        <f t="shared" si="561"/>
        <v>2023</v>
      </c>
      <c r="G843" t="s">
        <v>7</v>
      </c>
      <c r="H843">
        <v>-1</v>
      </c>
      <c r="I843">
        <v>3</v>
      </c>
      <c r="K843" t="s">
        <v>10</v>
      </c>
      <c r="L843" s="8">
        <f t="shared" si="549"/>
        <v>2</v>
      </c>
      <c r="M843" t="s">
        <v>927</v>
      </c>
    </row>
    <row r="844" spans="1:13" x14ac:dyDescent="0.35">
      <c r="A844">
        <f t="shared" si="216"/>
        <v>840</v>
      </c>
      <c r="B844" s="9">
        <f t="shared" ref="B844" si="562">B843+H844+I844+J844</f>
        <v>51.94</v>
      </c>
      <c r="C844" s="3" t="s">
        <v>923</v>
      </c>
      <c r="D844">
        <f t="shared" ref="D844" si="563">_xlfn.NUMBERVALUE(LEFT(C844,2))</f>
        <v>11</v>
      </c>
      <c r="E844">
        <f t="shared" ref="E844" si="564">_xlfn.NUMBERVALUE(MID(C844,4,2))</f>
        <v>7</v>
      </c>
      <c r="F844">
        <f t="shared" ref="F844" si="565">_xlfn.NUMBERVALUE(RIGHT(C844,4))</f>
        <v>2023</v>
      </c>
      <c r="G844" t="s">
        <v>7</v>
      </c>
      <c r="H844">
        <v>-10</v>
      </c>
      <c r="I844">
        <v>30</v>
      </c>
      <c r="K844" t="s">
        <v>10</v>
      </c>
      <c r="L844" s="8">
        <f t="shared" si="549"/>
        <v>2</v>
      </c>
      <c r="M844" t="s">
        <v>928</v>
      </c>
    </row>
    <row r="845" spans="1:13" x14ac:dyDescent="0.35">
      <c r="A845">
        <f t="shared" si="216"/>
        <v>841</v>
      </c>
      <c r="B845" s="9">
        <f t="shared" ref="B845" si="566">B844+H845+I845+J845</f>
        <v>52.94</v>
      </c>
      <c r="C845" s="3" t="s">
        <v>929</v>
      </c>
      <c r="D845">
        <f t="shared" ref="D845" si="567">_xlfn.NUMBERVALUE(LEFT(C845,2))</f>
        <v>12</v>
      </c>
      <c r="E845">
        <f t="shared" ref="E845" si="568">_xlfn.NUMBERVALUE(MID(C845,4,2))</f>
        <v>7</v>
      </c>
      <c r="F845">
        <f t="shared" ref="F845" si="569">_xlfn.NUMBERVALUE(RIGHT(C845,4))</f>
        <v>2023</v>
      </c>
      <c r="G845" t="s">
        <v>7</v>
      </c>
      <c r="H845">
        <v>-1</v>
      </c>
      <c r="I845">
        <v>2</v>
      </c>
      <c r="K845" t="s">
        <v>10</v>
      </c>
      <c r="L845" s="8">
        <f t="shared" si="549"/>
        <v>1</v>
      </c>
      <c r="M845" t="s">
        <v>930</v>
      </c>
    </row>
    <row r="846" spans="1:13" x14ac:dyDescent="0.35">
      <c r="A846">
        <f t="shared" si="216"/>
        <v>842</v>
      </c>
      <c r="B846" s="9">
        <f t="shared" ref="B846:B848" si="570">B845+H846+I846+J846</f>
        <v>51.94</v>
      </c>
      <c r="C846" s="3" t="s">
        <v>929</v>
      </c>
      <c r="D846">
        <f t="shared" ref="D846:D848" si="571">_xlfn.NUMBERVALUE(LEFT(C846,2))</f>
        <v>12</v>
      </c>
      <c r="E846">
        <f t="shared" ref="E846:E848" si="572">_xlfn.NUMBERVALUE(MID(C846,4,2))</f>
        <v>7</v>
      </c>
      <c r="F846">
        <f t="shared" ref="F846:F848" si="573">_xlfn.NUMBERVALUE(RIGHT(C846,4))</f>
        <v>2023</v>
      </c>
      <c r="G846" t="s">
        <v>7</v>
      </c>
      <c r="H846">
        <v>-1</v>
      </c>
      <c r="K846" t="s">
        <v>9</v>
      </c>
      <c r="L846" s="8">
        <f t="shared" si="549"/>
        <v>-1</v>
      </c>
      <c r="M846" t="s">
        <v>931</v>
      </c>
    </row>
    <row r="847" spans="1:13" x14ac:dyDescent="0.35">
      <c r="A847">
        <f t="shared" si="216"/>
        <v>843</v>
      </c>
      <c r="B847" s="9">
        <f t="shared" si="570"/>
        <v>53.94</v>
      </c>
      <c r="C847" s="3" t="s">
        <v>929</v>
      </c>
      <c r="D847">
        <f t="shared" si="571"/>
        <v>12</v>
      </c>
      <c r="E847">
        <f t="shared" si="572"/>
        <v>7</v>
      </c>
      <c r="F847">
        <f t="shared" si="573"/>
        <v>2023</v>
      </c>
      <c r="G847" t="s">
        <v>7</v>
      </c>
      <c r="H847">
        <v>-1</v>
      </c>
      <c r="I847">
        <v>3</v>
      </c>
      <c r="K847" t="s">
        <v>10</v>
      </c>
      <c r="L847" s="8">
        <f t="shared" si="549"/>
        <v>2</v>
      </c>
      <c r="M847" t="s">
        <v>932</v>
      </c>
    </row>
    <row r="848" spans="1:13" x14ac:dyDescent="0.35">
      <c r="A848">
        <f t="shared" si="216"/>
        <v>844</v>
      </c>
      <c r="B848" s="9">
        <f t="shared" si="570"/>
        <v>54.94</v>
      </c>
      <c r="C848" s="3" t="s">
        <v>929</v>
      </c>
      <c r="D848">
        <f t="shared" si="571"/>
        <v>12</v>
      </c>
      <c r="E848">
        <f t="shared" si="572"/>
        <v>7</v>
      </c>
      <c r="F848">
        <f t="shared" si="573"/>
        <v>2023</v>
      </c>
      <c r="G848" t="s">
        <v>7</v>
      </c>
      <c r="H848">
        <v>-1</v>
      </c>
      <c r="I848">
        <v>2</v>
      </c>
      <c r="K848" t="s">
        <v>10</v>
      </c>
      <c r="L848" s="8">
        <f t="shared" si="549"/>
        <v>1</v>
      </c>
      <c r="M848" t="s">
        <v>933</v>
      </c>
    </row>
    <row r="849" spans="1:13" x14ac:dyDescent="0.35">
      <c r="A849">
        <f t="shared" si="216"/>
        <v>845</v>
      </c>
      <c r="B849" s="9">
        <f t="shared" ref="B849" si="574">B848+H849+I849+J849</f>
        <v>53.94</v>
      </c>
      <c r="C849" s="3" t="s">
        <v>929</v>
      </c>
      <c r="D849">
        <f t="shared" ref="D849" si="575">_xlfn.NUMBERVALUE(LEFT(C849,2))</f>
        <v>12</v>
      </c>
      <c r="E849">
        <f t="shared" ref="E849" si="576">_xlfn.NUMBERVALUE(MID(C849,4,2))</f>
        <v>7</v>
      </c>
      <c r="F849">
        <f t="shared" ref="F849" si="577">_xlfn.NUMBERVALUE(RIGHT(C849,4))</f>
        <v>2023</v>
      </c>
      <c r="G849" t="s">
        <v>7</v>
      </c>
      <c r="H849">
        <v>-1</v>
      </c>
      <c r="K849" t="s">
        <v>9</v>
      </c>
      <c r="L849" s="8">
        <f t="shared" si="549"/>
        <v>-1</v>
      </c>
      <c r="M849" t="s">
        <v>934</v>
      </c>
    </row>
    <row r="850" spans="1:13" x14ac:dyDescent="0.35">
      <c r="A850">
        <f t="shared" si="216"/>
        <v>846</v>
      </c>
      <c r="B850" s="9">
        <f t="shared" ref="B850" si="578">B849+H850+I850+J850</f>
        <v>52.94</v>
      </c>
      <c r="C850" s="3" t="s">
        <v>929</v>
      </c>
      <c r="D850">
        <f t="shared" ref="D850" si="579">_xlfn.NUMBERVALUE(LEFT(C850,2))</f>
        <v>12</v>
      </c>
      <c r="E850">
        <f t="shared" ref="E850" si="580">_xlfn.NUMBERVALUE(MID(C850,4,2))</f>
        <v>7</v>
      </c>
      <c r="F850">
        <f t="shared" ref="F850" si="581">_xlfn.NUMBERVALUE(RIGHT(C850,4))</f>
        <v>2023</v>
      </c>
      <c r="G850" t="s">
        <v>7</v>
      </c>
      <c r="H850">
        <v>-1</v>
      </c>
      <c r="K850" t="s">
        <v>9</v>
      </c>
      <c r="L850" s="8">
        <f t="shared" si="549"/>
        <v>-1</v>
      </c>
      <c r="M850" t="s">
        <v>935</v>
      </c>
    </row>
    <row r="851" spans="1:13" x14ac:dyDescent="0.35">
      <c r="A851">
        <f t="shared" si="216"/>
        <v>847</v>
      </c>
      <c r="B851" s="9">
        <f t="shared" ref="B851:B852" si="582">B850+H851+I851+J851</f>
        <v>51.94</v>
      </c>
      <c r="C851" s="3" t="s">
        <v>929</v>
      </c>
      <c r="D851">
        <f t="shared" ref="D851:D852" si="583">_xlfn.NUMBERVALUE(LEFT(C851,2))</f>
        <v>12</v>
      </c>
      <c r="E851">
        <f t="shared" ref="E851:E852" si="584">_xlfn.NUMBERVALUE(MID(C851,4,2))</f>
        <v>7</v>
      </c>
      <c r="F851">
        <f t="shared" ref="F851:F852" si="585">_xlfn.NUMBERVALUE(RIGHT(C851,4))</f>
        <v>2023</v>
      </c>
      <c r="G851" t="s">
        <v>7</v>
      </c>
      <c r="H851">
        <v>-1</v>
      </c>
      <c r="K851" t="s">
        <v>9</v>
      </c>
      <c r="L851" s="8">
        <f t="shared" si="549"/>
        <v>-1</v>
      </c>
      <c r="M851" t="s">
        <v>936</v>
      </c>
    </row>
    <row r="852" spans="1:13" x14ac:dyDescent="0.35">
      <c r="A852">
        <f t="shared" si="216"/>
        <v>848</v>
      </c>
      <c r="B852" s="9">
        <f t="shared" si="582"/>
        <v>53.94</v>
      </c>
      <c r="C852" s="3" t="s">
        <v>929</v>
      </c>
      <c r="D852">
        <f t="shared" si="583"/>
        <v>12</v>
      </c>
      <c r="E852">
        <f t="shared" si="584"/>
        <v>7</v>
      </c>
      <c r="F852">
        <f t="shared" si="585"/>
        <v>2023</v>
      </c>
      <c r="G852" t="s">
        <v>7</v>
      </c>
      <c r="H852">
        <v>-1</v>
      </c>
      <c r="I852">
        <v>3</v>
      </c>
      <c r="K852" t="s">
        <v>10</v>
      </c>
      <c r="L852" s="8">
        <f t="shared" si="549"/>
        <v>2</v>
      </c>
      <c r="M852" t="s">
        <v>937</v>
      </c>
    </row>
    <row r="853" spans="1:13" x14ac:dyDescent="0.35">
      <c r="A853">
        <f t="shared" si="216"/>
        <v>849</v>
      </c>
      <c r="B853" s="9">
        <f t="shared" ref="B853:B854" si="586">B852+H853+I853+J853</f>
        <v>54.94</v>
      </c>
      <c r="C853" s="3" t="s">
        <v>929</v>
      </c>
      <c r="D853">
        <f t="shared" ref="D853:D854" si="587">_xlfn.NUMBERVALUE(LEFT(C853,2))</f>
        <v>12</v>
      </c>
      <c r="E853">
        <f t="shared" ref="E853:E854" si="588">_xlfn.NUMBERVALUE(MID(C853,4,2))</f>
        <v>7</v>
      </c>
      <c r="F853">
        <f t="shared" ref="F853:F854" si="589">_xlfn.NUMBERVALUE(RIGHT(C853,4))</f>
        <v>2023</v>
      </c>
      <c r="G853" t="s">
        <v>7</v>
      </c>
      <c r="H853">
        <v>-1</v>
      </c>
      <c r="I853">
        <v>2</v>
      </c>
      <c r="K853" t="s">
        <v>10</v>
      </c>
      <c r="L853" s="8">
        <f t="shared" si="549"/>
        <v>1</v>
      </c>
      <c r="M853" t="s">
        <v>938</v>
      </c>
    </row>
    <row r="854" spans="1:13" x14ac:dyDescent="0.35">
      <c r="A854">
        <f t="shared" si="216"/>
        <v>850</v>
      </c>
      <c r="B854" s="9">
        <f t="shared" si="586"/>
        <v>53.94</v>
      </c>
      <c r="C854" s="3" t="s">
        <v>929</v>
      </c>
      <c r="D854">
        <f t="shared" si="587"/>
        <v>12</v>
      </c>
      <c r="E854">
        <f t="shared" si="588"/>
        <v>7</v>
      </c>
      <c r="F854">
        <f t="shared" si="589"/>
        <v>2023</v>
      </c>
      <c r="G854" t="s">
        <v>7</v>
      </c>
      <c r="H854">
        <v>-1</v>
      </c>
      <c r="K854" t="s">
        <v>9</v>
      </c>
      <c r="L854" s="8">
        <f t="shared" si="549"/>
        <v>-1</v>
      </c>
      <c r="M854" t="s">
        <v>939</v>
      </c>
    </row>
    <row r="855" spans="1:13" x14ac:dyDescent="0.35">
      <c r="A855">
        <f t="shared" si="216"/>
        <v>851</v>
      </c>
      <c r="B855" s="9">
        <f t="shared" ref="B855" si="590">B854+H855+I855+J855</f>
        <v>52.94</v>
      </c>
      <c r="C855" s="3" t="s">
        <v>929</v>
      </c>
      <c r="D855">
        <f t="shared" ref="D855" si="591">_xlfn.NUMBERVALUE(LEFT(C855,2))</f>
        <v>12</v>
      </c>
      <c r="E855">
        <f t="shared" ref="E855" si="592">_xlfn.NUMBERVALUE(MID(C855,4,2))</f>
        <v>7</v>
      </c>
      <c r="F855">
        <f t="shared" ref="F855" si="593">_xlfn.NUMBERVALUE(RIGHT(C855,4))</f>
        <v>2023</v>
      </c>
      <c r="G855" t="s">
        <v>7</v>
      </c>
      <c r="H855">
        <v>-1</v>
      </c>
      <c r="K855" t="s">
        <v>9</v>
      </c>
      <c r="L855" s="8">
        <f t="shared" si="549"/>
        <v>-1</v>
      </c>
      <c r="M855" t="s">
        <v>940</v>
      </c>
    </row>
    <row r="856" spans="1:13" x14ac:dyDescent="0.35">
      <c r="A856">
        <f t="shared" si="216"/>
        <v>852</v>
      </c>
      <c r="B856" s="9">
        <f t="shared" ref="B856" si="594">B855+H856+I856+J856</f>
        <v>42.94</v>
      </c>
      <c r="C856" s="3" t="s">
        <v>929</v>
      </c>
      <c r="D856">
        <f t="shared" ref="D856" si="595">_xlfn.NUMBERVALUE(LEFT(C856,2))</f>
        <v>12</v>
      </c>
      <c r="E856">
        <f t="shared" ref="E856" si="596">_xlfn.NUMBERVALUE(MID(C856,4,2))</f>
        <v>7</v>
      </c>
      <c r="F856">
        <f t="shared" ref="F856" si="597">_xlfn.NUMBERVALUE(RIGHT(C856,4))</f>
        <v>2023</v>
      </c>
      <c r="G856" t="s">
        <v>7</v>
      </c>
      <c r="H856">
        <v>-10</v>
      </c>
      <c r="K856" t="s">
        <v>9</v>
      </c>
      <c r="L856" s="8">
        <f t="shared" si="549"/>
        <v>-1</v>
      </c>
      <c r="M856" t="s">
        <v>941</v>
      </c>
    </row>
    <row r="857" spans="1:13" x14ac:dyDescent="0.35">
      <c r="A857">
        <f t="shared" si="216"/>
        <v>853</v>
      </c>
      <c r="B857" s="9">
        <f t="shared" ref="B857" si="598">B856+H857+I857+J857</f>
        <v>32.94</v>
      </c>
      <c r="C857" s="3" t="s">
        <v>929</v>
      </c>
      <c r="D857">
        <f t="shared" ref="D857" si="599">_xlfn.NUMBERVALUE(LEFT(C857,2))</f>
        <v>12</v>
      </c>
      <c r="E857">
        <f t="shared" ref="E857" si="600">_xlfn.NUMBERVALUE(MID(C857,4,2))</f>
        <v>7</v>
      </c>
      <c r="F857">
        <f t="shared" ref="F857" si="601">_xlfn.NUMBERVALUE(RIGHT(C857,4))</f>
        <v>2023</v>
      </c>
      <c r="G857" t="s">
        <v>7</v>
      </c>
      <c r="H857">
        <v>-10</v>
      </c>
      <c r="K857" t="s">
        <v>9</v>
      </c>
      <c r="L857" s="8">
        <f t="shared" si="549"/>
        <v>-1</v>
      </c>
      <c r="M857" t="s">
        <v>942</v>
      </c>
    </row>
    <row r="858" spans="1:13" x14ac:dyDescent="0.35">
      <c r="A858">
        <f t="shared" si="216"/>
        <v>854</v>
      </c>
      <c r="B858" s="9">
        <f t="shared" ref="B858" si="602">B857+H858+I858+J858</f>
        <v>22.939999999999998</v>
      </c>
      <c r="C858" s="3" t="s">
        <v>929</v>
      </c>
      <c r="D858">
        <f t="shared" ref="D858" si="603">_xlfn.NUMBERVALUE(LEFT(C858,2))</f>
        <v>12</v>
      </c>
      <c r="E858">
        <f t="shared" ref="E858" si="604">_xlfn.NUMBERVALUE(MID(C858,4,2))</f>
        <v>7</v>
      </c>
      <c r="F858">
        <f t="shared" ref="F858" si="605">_xlfn.NUMBERVALUE(RIGHT(C858,4))</f>
        <v>2023</v>
      </c>
      <c r="G858" t="s">
        <v>7</v>
      </c>
      <c r="H858">
        <v>-10</v>
      </c>
      <c r="K858" t="s">
        <v>9</v>
      </c>
      <c r="L858" s="8">
        <f t="shared" si="549"/>
        <v>-1</v>
      </c>
      <c r="M858" t="s">
        <v>943</v>
      </c>
    </row>
    <row r="859" spans="1:13" x14ac:dyDescent="0.35">
      <c r="A859">
        <f t="shared" si="216"/>
        <v>855</v>
      </c>
      <c r="B859" s="9">
        <f t="shared" ref="B859" si="606">B858+H859+I859+J859</f>
        <v>12.939999999999998</v>
      </c>
      <c r="C859" s="3" t="s">
        <v>929</v>
      </c>
      <c r="D859">
        <f t="shared" ref="D859" si="607">_xlfn.NUMBERVALUE(LEFT(C859,2))</f>
        <v>12</v>
      </c>
      <c r="E859">
        <f t="shared" ref="E859" si="608">_xlfn.NUMBERVALUE(MID(C859,4,2))</f>
        <v>7</v>
      </c>
      <c r="F859">
        <f t="shared" ref="F859" si="609">_xlfn.NUMBERVALUE(RIGHT(C859,4))</f>
        <v>2023</v>
      </c>
      <c r="G859" t="s">
        <v>7</v>
      </c>
      <c r="H859">
        <v>-10</v>
      </c>
      <c r="K859" t="s">
        <v>9</v>
      </c>
      <c r="L859" s="8">
        <f t="shared" si="549"/>
        <v>-1</v>
      </c>
      <c r="M859" t="s">
        <v>944</v>
      </c>
    </row>
    <row r="860" spans="1:13" x14ac:dyDescent="0.35">
      <c r="A860">
        <f t="shared" si="216"/>
        <v>856</v>
      </c>
      <c r="B860" s="9">
        <f t="shared" ref="B860:B861" si="610">B859+H860+I860+J860</f>
        <v>2.9399999999999977</v>
      </c>
      <c r="C860" s="3" t="s">
        <v>929</v>
      </c>
      <c r="D860">
        <f t="shared" ref="D860:D861" si="611">_xlfn.NUMBERVALUE(LEFT(C860,2))</f>
        <v>12</v>
      </c>
      <c r="E860">
        <f t="shared" ref="E860:E861" si="612">_xlfn.NUMBERVALUE(MID(C860,4,2))</f>
        <v>7</v>
      </c>
      <c r="F860">
        <f t="shared" ref="F860:F861" si="613">_xlfn.NUMBERVALUE(RIGHT(C860,4))</f>
        <v>2023</v>
      </c>
      <c r="G860" t="s">
        <v>7</v>
      </c>
      <c r="H860">
        <v>-10</v>
      </c>
      <c r="K860" t="s">
        <v>9</v>
      </c>
      <c r="L860" s="8">
        <f t="shared" si="549"/>
        <v>-1</v>
      </c>
      <c r="M860" t="s">
        <v>945</v>
      </c>
    </row>
    <row r="861" spans="1:13" x14ac:dyDescent="0.35">
      <c r="A861">
        <f t="shared" si="216"/>
        <v>857</v>
      </c>
      <c r="B861" s="9">
        <f t="shared" si="610"/>
        <v>1.9399999999999977</v>
      </c>
      <c r="C861" s="3" t="s">
        <v>946</v>
      </c>
      <c r="D861">
        <f t="shared" si="611"/>
        <v>27</v>
      </c>
      <c r="E861">
        <f t="shared" si="612"/>
        <v>7</v>
      </c>
      <c r="F861">
        <f t="shared" si="613"/>
        <v>2023</v>
      </c>
      <c r="G861" t="s">
        <v>7</v>
      </c>
      <c r="H861">
        <v>-1</v>
      </c>
      <c r="K861" t="s">
        <v>9</v>
      </c>
      <c r="L861" s="8">
        <f t="shared" si="549"/>
        <v>-1</v>
      </c>
      <c r="M861" t="s">
        <v>947</v>
      </c>
    </row>
    <row r="862" spans="1:13" x14ac:dyDescent="0.35">
      <c r="A862">
        <f t="shared" si="216"/>
        <v>858</v>
      </c>
      <c r="B862" s="9">
        <f t="shared" ref="B862" si="614">B861+H862+I862+J862</f>
        <v>0.93999999999999773</v>
      </c>
      <c r="C862" s="3" t="s">
        <v>946</v>
      </c>
      <c r="D862">
        <f t="shared" ref="D862" si="615">_xlfn.NUMBERVALUE(LEFT(C862,2))</f>
        <v>27</v>
      </c>
      <c r="E862">
        <f t="shared" ref="E862" si="616">_xlfn.NUMBERVALUE(MID(C862,4,2))</f>
        <v>7</v>
      </c>
      <c r="F862">
        <f t="shared" ref="F862" si="617">_xlfn.NUMBERVALUE(RIGHT(C862,4))</f>
        <v>2023</v>
      </c>
      <c r="G862" t="s">
        <v>7</v>
      </c>
      <c r="H862">
        <v>-1</v>
      </c>
      <c r="K862" t="s">
        <v>9</v>
      </c>
      <c r="L862" s="8">
        <f t="shared" si="549"/>
        <v>-1</v>
      </c>
      <c r="M862" t="s">
        <v>948</v>
      </c>
    </row>
    <row r="863" spans="1:13" x14ac:dyDescent="0.35">
      <c r="A863">
        <f t="shared" si="216"/>
        <v>859</v>
      </c>
      <c r="B863" s="9">
        <f t="shared" ref="B863:B864" si="618">B862+H863+I863+J863</f>
        <v>30.119999999999997</v>
      </c>
      <c r="C863" s="3" t="s">
        <v>946</v>
      </c>
      <c r="D863">
        <f t="shared" ref="D863:D864" si="619">_xlfn.NUMBERVALUE(LEFT(C863,2))</f>
        <v>27</v>
      </c>
      <c r="E863">
        <f t="shared" ref="E863:E864" si="620">_xlfn.NUMBERVALUE(MID(C863,4,2))</f>
        <v>7</v>
      </c>
      <c r="F863">
        <f t="shared" ref="F863:F864" si="621">_xlfn.NUMBERVALUE(RIGHT(C863,4))</f>
        <v>2023</v>
      </c>
      <c r="G863" t="s">
        <v>3362</v>
      </c>
      <c r="I863">
        <v>29.18</v>
      </c>
      <c r="L863" s="8"/>
    </row>
    <row r="864" spans="1:13" x14ac:dyDescent="0.35">
      <c r="A864">
        <f t="shared" si="216"/>
        <v>860</v>
      </c>
      <c r="B864" s="9">
        <f t="shared" si="618"/>
        <v>29.119999999999997</v>
      </c>
      <c r="C864" s="3" t="s">
        <v>946</v>
      </c>
      <c r="D864">
        <f t="shared" si="619"/>
        <v>27</v>
      </c>
      <c r="E864">
        <f t="shared" si="620"/>
        <v>7</v>
      </c>
      <c r="F864">
        <f t="shared" si="621"/>
        <v>2023</v>
      </c>
      <c r="G864" t="s">
        <v>7</v>
      </c>
      <c r="H864">
        <v>-1</v>
      </c>
      <c r="K864" t="s">
        <v>9</v>
      </c>
      <c r="L864" s="8">
        <f t="shared" si="549"/>
        <v>-1</v>
      </c>
      <c r="M864" t="s">
        <v>949</v>
      </c>
    </row>
    <row r="865" spans="1:13" x14ac:dyDescent="0.35">
      <c r="A865">
        <f t="shared" si="216"/>
        <v>861</v>
      </c>
      <c r="B865" s="9">
        <f t="shared" ref="B865" si="622">B864+H865+I865+J865</f>
        <v>28.119999999999997</v>
      </c>
      <c r="C865" s="3" t="s">
        <v>946</v>
      </c>
      <c r="D865">
        <f t="shared" ref="D865" si="623">_xlfn.NUMBERVALUE(LEFT(C865,2))</f>
        <v>27</v>
      </c>
      <c r="E865">
        <f t="shared" ref="E865" si="624">_xlfn.NUMBERVALUE(MID(C865,4,2))</f>
        <v>7</v>
      </c>
      <c r="F865">
        <f t="shared" ref="F865" si="625">_xlfn.NUMBERVALUE(RIGHT(C865,4))</f>
        <v>2023</v>
      </c>
      <c r="G865" t="s">
        <v>7</v>
      </c>
      <c r="H865">
        <v>-1</v>
      </c>
      <c r="K865" t="s">
        <v>9</v>
      </c>
      <c r="L865" s="8">
        <f t="shared" si="549"/>
        <v>-1</v>
      </c>
      <c r="M865" t="s">
        <v>950</v>
      </c>
    </row>
    <row r="866" spans="1:13" x14ac:dyDescent="0.35">
      <c r="A866">
        <f t="shared" si="216"/>
        <v>862</v>
      </c>
      <c r="B866" s="9">
        <f t="shared" ref="B866" si="626">B865+H866+I866+J866</f>
        <v>27.119999999999997</v>
      </c>
      <c r="C866" s="3" t="s">
        <v>946</v>
      </c>
      <c r="D866">
        <f t="shared" ref="D866" si="627">_xlfn.NUMBERVALUE(LEFT(C866,2))</f>
        <v>27</v>
      </c>
      <c r="E866">
        <f t="shared" ref="E866" si="628">_xlfn.NUMBERVALUE(MID(C866,4,2))</f>
        <v>7</v>
      </c>
      <c r="F866">
        <f t="shared" ref="F866" si="629">_xlfn.NUMBERVALUE(RIGHT(C866,4))</f>
        <v>2023</v>
      </c>
      <c r="G866" t="s">
        <v>7</v>
      </c>
      <c r="H866">
        <v>-1</v>
      </c>
      <c r="K866" t="s">
        <v>9</v>
      </c>
      <c r="L866" s="8">
        <f t="shared" si="549"/>
        <v>-1</v>
      </c>
      <c r="M866" t="s">
        <v>951</v>
      </c>
    </row>
    <row r="867" spans="1:13" x14ac:dyDescent="0.35">
      <c r="A867">
        <f t="shared" si="216"/>
        <v>863</v>
      </c>
      <c r="B867" s="9">
        <f t="shared" ref="B867" si="630">B866+H867+I867+J867</f>
        <v>26.119999999999997</v>
      </c>
      <c r="C867" s="3" t="s">
        <v>946</v>
      </c>
      <c r="D867">
        <f t="shared" ref="D867" si="631">_xlfn.NUMBERVALUE(LEFT(C867,2))</f>
        <v>27</v>
      </c>
      <c r="E867">
        <f t="shared" ref="E867" si="632">_xlfn.NUMBERVALUE(MID(C867,4,2))</f>
        <v>7</v>
      </c>
      <c r="F867">
        <f t="shared" ref="F867" si="633">_xlfn.NUMBERVALUE(RIGHT(C867,4))</f>
        <v>2023</v>
      </c>
      <c r="G867" t="s">
        <v>7</v>
      </c>
      <c r="H867">
        <v>-1</v>
      </c>
      <c r="K867" t="s">
        <v>9</v>
      </c>
      <c r="L867" s="8">
        <f t="shared" si="549"/>
        <v>-1</v>
      </c>
      <c r="M867" t="s">
        <v>952</v>
      </c>
    </row>
    <row r="868" spans="1:13" x14ac:dyDescent="0.35">
      <c r="A868">
        <f t="shared" si="216"/>
        <v>864</v>
      </c>
      <c r="B868" s="9">
        <f t="shared" ref="B868" si="634">B867+H868+I868+J868</f>
        <v>25.119999999999997</v>
      </c>
      <c r="C868" s="3" t="s">
        <v>946</v>
      </c>
      <c r="D868">
        <f t="shared" ref="D868" si="635">_xlfn.NUMBERVALUE(LEFT(C868,2))</f>
        <v>27</v>
      </c>
      <c r="E868">
        <f t="shared" ref="E868" si="636">_xlfn.NUMBERVALUE(MID(C868,4,2))</f>
        <v>7</v>
      </c>
      <c r="F868">
        <f t="shared" ref="F868" si="637">_xlfn.NUMBERVALUE(RIGHT(C868,4))</f>
        <v>2023</v>
      </c>
      <c r="G868" t="s">
        <v>7</v>
      </c>
      <c r="H868">
        <v>-1</v>
      </c>
      <c r="K868" t="s">
        <v>9</v>
      </c>
      <c r="L868" s="8">
        <f t="shared" si="549"/>
        <v>-1</v>
      </c>
      <c r="M868" t="s">
        <v>953</v>
      </c>
    </row>
    <row r="869" spans="1:13" x14ac:dyDescent="0.35">
      <c r="A869">
        <f t="shared" si="216"/>
        <v>865</v>
      </c>
      <c r="B869" s="9">
        <f t="shared" ref="B869:B870" si="638">B868+H869+I869+J869</f>
        <v>26.119999999999997</v>
      </c>
      <c r="C869" s="3" t="s">
        <v>946</v>
      </c>
      <c r="D869">
        <f t="shared" ref="D869:D870" si="639">_xlfn.NUMBERVALUE(LEFT(C869,2))</f>
        <v>27</v>
      </c>
      <c r="E869">
        <f t="shared" ref="E869:E870" si="640">_xlfn.NUMBERVALUE(MID(C869,4,2))</f>
        <v>7</v>
      </c>
      <c r="F869">
        <f t="shared" ref="F869:F870" si="641">_xlfn.NUMBERVALUE(RIGHT(C869,4))</f>
        <v>2023</v>
      </c>
      <c r="G869" t="s">
        <v>7</v>
      </c>
      <c r="H869">
        <v>-1</v>
      </c>
      <c r="I869">
        <v>2</v>
      </c>
      <c r="K869" t="s">
        <v>10</v>
      </c>
      <c r="L869" s="8">
        <f t="shared" si="549"/>
        <v>1</v>
      </c>
      <c r="M869" t="s">
        <v>954</v>
      </c>
    </row>
    <row r="870" spans="1:13" x14ac:dyDescent="0.35">
      <c r="A870">
        <f t="shared" si="216"/>
        <v>866</v>
      </c>
      <c r="B870" s="9">
        <f t="shared" si="638"/>
        <v>25.119999999999997</v>
      </c>
      <c r="C870" s="3" t="s">
        <v>946</v>
      </c>
      <c r="D870">
        <f t="shared" si="639"/>
        <v>27</v>
      </c>
      <c r="E870">
        <f t="shared" si="640"/>
        <v>7</v>
      </c>
      <c r="F870">
        <f t="shared" si="641"/>
        <v>2023</v>
      </c>
      <c r="G870" t="s">
        <v>7</v>
      </c>
      <c r="H870">
        <v>-1</v>
      </c>
      <c r="K870" t="s">
        <v>9</v>
      </c>
      <c r="L870" s="8">
        <f t="shared" si="549"/>
        <v>-1</v>
      </c>
      <c r="M870" t="s">
        <v>955</v>
      </c>
    </row>
    <row r="871" spans="1:13" x14ac:dyDescent="0.35">
      <c r="A871">
        <f t="shared" si="216"/>
        <v>867</v>
      </c>
      <c r="B871" s="9">
        <f t="shared" ref="B871:B873" si="642">B870+H871+I871+J871</f>
        <v>22.919999999999998</v>
      </c>
      <c r="C871" s="3" t="s">
        <v>946</v>
      </c>
      <c r="D871">
        <f t="shared" ref="D871:D873" si="643">_xlfn.NUMBERVALUE(LEFT(C871,2))</f>
        <v>27</v>
      </c>
      <c r="E871">
        <f t="shared" ref="E871:E873" si="644">_xlfn.NUMBERVALUE(MID(C871,4,2))</f>
        <v>7</v>
      </c>
      <c r="F871">
        <f t="shared" ref="F871:F873" si="645">_xlfn.NUMBERVALUE(RIGHT(C871,4))</f>
        <v>2023</v>
      </c>
      <c r="G871" t="s">
        <v>44</v>
      </c>
      <c r="H871">
        <v>-2.2000000000000002</v>
      </c>
      <c r="K871" t="s">
        <v>9</v>
      </c>
      <c r="L871" s="8">
        <f t="shared" si="549"/>
        <v>-1</v>
      </c>
      <c r="M871" t="s">
        <v>956</v>
      </c>
    </row>
    <row r="872" spans="1:13" x14ac:dyDescent="0.35">
      <c r="A872">
        <f t="shared" si="216"/>
        <v>868</v>
      </c>
      <c r="B872" s="9">
        <f t="shared" si="642"/>
        <v>23.919999999999998</v>
      </c>
      <c r="C872" s="3" t="s">
        <v>946</v>
      </c>
      <c r="D872">
        <f t="shared" si="643"/>
        <v>27</v>
      </c>
      <c r="E872">
        <f t="shared" si="644"/>
        <v>7</v>
      </c>
      <c r="F872">
        <f t="shared" si="645"/>
        <v>2023</v>
      </c>
      <c r="G872" t="s">
        <v>7</v>
      </c>
      <c r="H872">
        <v>-1</v>
      </c>
      <c r="I872">
        <v>2</v>
      </c>
      <c r="K872" t="s">
        <v>10</v>
      </c>
      <c r="L872" s="8">
        <f t="shared" si="549"/>
        <v>1</v>
      </c>
      <c r="M872" t="s">
        <v>957</v>
      </c>
    </row>
    <row r="873" spans="1:13" x14ac:dyDescent="0.35">
      <c r="A873">
        <f t="shared" si="216"/>
        <v>869</v>
      </c>
      <c r="B873" s="9">
        <f t="shared" si="642"/>
        <v>22.919999999999998</v>
      </c>
      <c r="C873" s="3" t="s">
        <v>946</v>
      </c>
      <c r="D873">
        <f t="shared" si="643"/>
        <v>27</v>
      </c>
      <c r="E873">
        <f t="shared" si="644"/>
        <v>7</v>
      </c>
      <c r="F873">
        <f t="shared" si="645"/>
        <v>2023</v>
      </c>
      <c r="G873" t="s">
        <v>7</v>
      </c>
      <c r="H873">
        <v>-1</v>
      </c>
      <c r="K873" t="s">
        <v>9</v>
      </c>
      <c r="L873" s="8">
        <f t="shared" si="549"/>
        <v>-1</v>
      </c>
      <c r="M873" t="s">
        <v>958</v>
      </c>
    </row>
    <row r="874" spans="1:13" x14ac:dyDescent="0.35">
      <c r="A874">
        <f t="shared" si="216"/>
        <v>870</v>
      </c>
      <c r="B874" s="9">
        <f t="shared" ref="B874:B875" si="646">B873+H874+I874+J874</f>
        <v>21.919999999999998</v>
      </c>
      <c r="C874" s="3" t="s">
        <v>946</v>
      </c>
      <c r="D874">
        <f t="shared" ref="D874:D875" si="647">_xlfn.NUMBERVALUE(LEFT(C874,2))</f>
        <v>27</v>
      </c>
      <c r="E874">
        <f t="shared" ref="E874:E875" si="648">_xlfn.NUMBERVALUE(MID(C874,4,2))</f>
        <v>7</v>
      </c>
      <c r="F874">
        <f t="shared" ref="F874:F875" si="649">_xlfn.NUMBERVALUE(RIGHT(C874,4))</f>
        <v>2023</v>
      </c>
      <c r="G874" t="s">
        <v>7</v>
      </c>
      <c r="H874">
        <v>-1</v>
      </c>
      <c r="K874" t="s">
        <v>9</v>
      </c>
      <c r="L874" s="8">
        <f t="shared" si="549"/>
        <v>-1</v>
      </c>
      <c r="M874" t="s">
        <v>959</v>
      </c>
    </row>
    <row r="875" spans="1:13" x14ac:dyDescent="0.35">
      <c r="A875">
        <f t="shared" si="216"/>
        <v>871</v>
      </c>
      <c r="B875" s="9">
        <f t="shared" si="646"/>
        <v>22.919999999999998</v>
      </c>
      <c r="C875" s="3" t="s">
        <v>946</v>
      </c>
      <c r="D875">
        <f t="shared" si="647"/>
        <v>27</v>
      </c>
      <c r="E875">
        <f t="shared" si="648"/>
        <v>7</v>
      </c>
      <c r="F875">
        <f t="shared" si="649"/>
        <v>2023</v>
      </c>
      <c r="G875" t="s">
        <v>7</v>
      </c>
      <c r="H875">
        <v>-1</v>
      </c>
      <c r="I875">
        <v>2</v>
      </c>
      <c r="K875" t="s">
        <v>10</v>
      </c>
      <c r="L875" s="8">
        <f t="shared" si="549"/>
        <v>1</v>
      </c>
      <c r="M875" t="s">
        <v>960</v>
      </c>
    </row>
    <row r="876" spans="1:13" x14ac:dyDescent="0.35">
      <c r="A876">
        <f t="shared" si="216"/>
        <v>872</v>
      </c>
      <c r="B876" s="9">
        <f t="shared" ref="B876" si="650">B875+H876+I876+J876</f>
        <v>21.919999999999998</v>
      </c>
      <c r="C876" s="3" t="s">
        <v>946</v>
      </c>
      <c r="D876">
        <f t="shared" ref="D876" si="651">_xlfn.NUMBERVALUE(LEFT(C876,2))</f>
        <v>27</v>
      </c>
      <c r="E876">
        <f t="shared" ref="E876" si="652">_xlfn.NUMBERVALUE(MID(C876,4,2))</f>
        <v>7</v>
      </c>
      <c r="F876">
        <f t="shared" ref="F876" si="653">_xlfn.NUMBERVALUE(RIGHT(C876,4))</f>
        <v>2023</v>
      </c>
      <c r="G876" t="s">
        <v>7</v>
      </c>
      <c r="H876">
        <v>-1</v>
      </c>
      <c r="K876" t="s">
        <v>9</v>
      </c>
      <c r="L876" s="8">
        <f t="shared" si="549"/>
        <v>-1</v>
      </c>
      <c r="M876" t="s">
        <v>961</v>
      </c>
    </row>
    <row r="877" spans="1:13" x14ac:dyDescent="0.35">
      <c r="A877">
        <f t="shared" si="216"/>
        <v>873</v>
      </c>
      <c r="B877" s="9">
        <f t="shared" ref="B877" si="654">B876+H877+I877+J877</f>
        <v>20.919999999999998</v>
      </c>
      <c r="C877" s="3" t="s">
        <v>963</v>
      </c>
      <c r="D877">
        <f t="shared" ref="D877" si="655">_xlfn.NUMBERVALUE(LEFT(C877,2))</f>
        <v>28</v>
      </c>
      <c r="E877">
        <f t="shared" ref="E877" si="656">_xlfn.NUMBERVALUE(MID(C877,4,2))</f>
        <v>7</v>
      </c>
      <c r="F877">
        <f t="shared" ref="F877" si="657">_xlfn.NUMBERVALUE(RIGHT(C877,4))</f>
        <v>2023</v>
      </c>
      <c r="G877" t="s">
        <v>7</v>
      </c>
      <c r="H877">
        <v>-1</v>
      </c>
      <c r="K877" t="s">
        <v>9</v>
      </c>
      <c r="L877" s="8">
        <f t="shared" si="549"/>
        <v>-1</v>
      </c>
      <c r="M877" t="s">
        <v>962</v>
      </c>
    </row>
    <row r="878" spans="1:13" x14ac:dyDescent="0.35">
      <c r="A878">
        <f t="shared" si="216"/>
        <v>874</v>
      </c>
      <c r="B878" s="9">
        <f t="shared" ref="B878:B879" si="658">B877+H878+I878+J878</f>
        <v>21.919999999999998</v>
      </c>
      <c r="C878" s="3" t="s">
        <v>963</v>
      </c>
      <c r="D878">
        <f t="shared" ref="D878:D879" si="659">_xlfn.NUMBERVALUE(LEFT(C878,2))</f>
        <v>28</v>
      </c>
      <c r="E878">
        <f t="shared" ref="E878:E879" si="660">_xlfn.NUMBERVALUE(MID(C878,4,2))</f>
        <v>7</v>
      </c>
      <c r="F878">
        <f t="shared" ref="F878:F879" si="661">_xlfn.NUMBERVALUE(RIGHT(C878,4))</f>
        <v>2023</v>
      </c>
      <c r="G878" t="s">
        <v>7</v>
      </c>
      <c r="H878">
        <v>-1</v>
      </c>
      <c r="I878">
        <v>2</v>
      </c>
      <c r="K878" t="s">
        <v>10</v>
      </c>
      <c r="L878" s="8">
        <f t="shared" si="549"/>
        <v>1</v>
      </c>
      <c r="M878" t="s">
        <v>964</v>
      </c>
    </row>
    <row r="879" spans="1:13" x14ac:dyDescent="0.35">
      <c r="A879">
        <f t="shared" si="216"/>
        <v>875</v>
      </c>
      <c r="B879" s="9">
        <f t="shared" si="658"/>
        <v>20.919999999999998</v>
      </c>
      <c r="C879" s="3" t="s">
        <v>963</v>
      </c>
      <c r="D879">
        <f t="shared" si="659"/>
        <v>28</v>
      </c>
      <c r="E879">
        <f t="shared" si="660"/>
        <v>7</v>
      </c>
      <c r="F879">
        <f t="shared" si="661"/>
        <v>2023</v>
      </c>
      <c r="G879" t="s">
        <v>7</v>
      </c>
      <c r="H879">
        <v>-1</v>
      </c>
      <c r="K879" t="s">
        <v>9</v>
      </c>
      <c r="L879" s="8">
        <f t="shared" si="549"/>
        <v>-1</v>
      </c>
      <c r="M879" t="s">
        <v>965</v>
      </c>
    </row>
    <row r="880" spans="1:13" x14ac:dyDescent="0.35">
      <c r="A880">
        <f t="shared" si="216"/>
        <v>876</v>
      </c>
      <c r="B880" s="9">
        <f t="shared" ref="B880:B881" si="662">B879+H880+I880+J880</f>
        <v>22.919999999999998</v>
      </c>
      <c r="C880" s="3" t="s">
        <v>963</v>
      </c>
      <c r="D880">
        <f t="shared" ref="D880:D881" si="663">_xlfn.NUMBERVALUE(LEFT(C880,2))</f>
        <v>28</v>
      </c>
      <c r="E880">
        <f t="shared" ref="E880:E881" si="664">_xlfn.NUMBERVALUE(MID(C880,4,2))</f>
        <v>7</v>
      </c>
      <c r="F880">
        <f t="shared" ref="F880:F881" si="665">_xlfn.NUMBERVALUE(RIGHT(C880,4))</f>
        <v>2023</v>
      </c>
      <c r="G880" t="s">
        <v>7</v>
      </c>
      <c r="H880">
        <v>-1</v>
      </c>
      <c r="I880">
        <v>3</v>
      </c>
      <c r="K880" t="s">
        <v>10</v>
      </c>
      <c r="L880" s="8">
        <f t="shared" si="549"/>
        <v>2</v>
      </c>
      <c r="M880" t="s">
        <v>966</v>
      </c>
    </row>
    <row r="881" spans="1:13" x14ac:dyDescent="0.35">
      <c r="A881">
        <f t="shared" si="216"/>
        <v>877</v>
      </c>
      <c r="B881" s="9">
        <f t="shared" si="662"/>
        <v>21.919999999999998</v>
      </c>
      <c r="C881" s="3" t="s">
        <v>963</v>
      </c>
      <c r="D881">
        <f t="shared" si="663"/>
        <v>28</v>
      </c>
      <c r="E881">
        <f t="shared" si="664"/>
        <v>7</v>
      </c>
      <c r="F881">
        <f t="shared" si="665"/>
        <v>2023</v>
      </c>
      <c r="G881" t="s">
        <v>7</v>
      </c>
      <c r="H881">
        <v>-1</v>
      </c>
      <c r="K881" t="s">
        <v>9</v>
      </c>
      <c r="L881" s="8">
        <f t="shared" si="549"/>
        <v>-1</v>
      </c>
      <c r="M881" t="s">
        <v>967</v>
      </c>
    </row>
    <row r="882" spans="1:13" x14ac:dyDescent="0.35">
      <c r="A882">
        <f t="shared" si="216"/>
        <v>878</v>
      </c>
      <c r="B882" s="9">
        <f t="shared" ref="B882" si="666">B881+H882+I882+J882</f>
        <v>20.919999999999998</v>
      </c>
      <c r="C882" s="3" t="s">
        <v>963</v>
      </c>
      <c r="D882">
        <f t="shared" ref="D882:D894" si="667">_xlfn.NUMBERVALUE(LEFT(C882,2))</f>
        <v>28</v>
      </c>
      <c r="E882">
        <f t="shared" ref="E882" si="668">_xlfn.NUMBERVALUE(MID(C882,4,2))</f>
        <v>7</v>
      </c>
      <c r="F882">
        <f t="shared" ref="F882" si="669">_xlfn.NUMBERVALUE(RIGHT(C882,4))</f>
        <v>2023</v>
      </c>
      <c r="G882" t="s">
        <v>7</v>
      </c>
      <c r="H882">
        <v>-1</v>
      </c>
      <c r="K882" t="s">
        <v>9</v>
      </c>
      <c r="L882" s="8">
        <f t="shared" si="549"/>
        <v>-1</v>
      </c>
      <c r="M882" t="s">
        <v>968</v>
      </c>
    </row>
    <row r="883" spans="1:13" x14ac:dyDescent="0.35">
      <c r="A883">
        <f t="shared" si="216"/>
        <v>879</v>
      </c>
      <c r="B883" s="9">
        <f t="shared" ref="B883" si="670">B882+H883+I883+J883</f>
        <v>19.919999999999998</v>
      </c>
      <c r="C883" s="3" t="s">
        <v>979</v>
      </c>
      <c r="D883">
        <f t="shared" si="667"/>
        <v>30</v>
      </c>
      <c r="E883">
        <f t="shared" ref="E883" si="671">_xlfn.NUMBERVALUE(MID(C883,4,2))</f>
        <v>7</v>
      </c>
      <c r="F883">
        <f t="shared" ref="F883" si="672">_xlfn.NUMBERVALUE(RIGHT(C883,4))</f>
        <v>2023</v>
      </c>
      <c r="G883" t="s">
        <v>7</v>
      </c>
      <c r="H883">
        <v>-1</v>
      </c>
      <c r="K883" t="s">
        <v>9</v>
      </c>
      <c r="L883" s="8">
        <f t="shared" si="549"/>
        <v>-1</v>
      </c>
      <c r="M883" t="s">
        <v>969</v>
      </c>
    </row>
    <row r="884" spans="1:13" x14ac:dyDescent="0.35">
      <c r="A884">
        <f t="shared" si="216"/>
        <v>880</v>
      </c>
      <c r="B884" s="9">
        <f t="shared" ref="B884" si="673">B883+H884+I884+J884</f>
        <v>18.919999999999998</v>
      </c>
      <c r="C884" s="3" t="s">
        <v>979</v>
      </c>
      <c r="D884">
        <f t="shared" si="667"/>
        <v>30</v>
      </c>
      <c r="E884">
        <f t="shared" ref="E884" si="674">_xlfn.NUMBERVALUE(MID(C884,4,2))</f>
        <v>7</v>
      </c>
      <c r="F884">
        <f t="shared" ref="F884" si="675">_xlfn.NUMBERVALUE(RIGHT(C884,4))</f>
        <v>2023</v>
      </c>
      <c r="G884" t="s">
        <v>7</v>
      </c>
      <c r="H884">
        <v>-1</v>
      </c>
      <c r="K884" t="s">
        <v>9</v>
      </c>
      <c r="L884" s="8">
        <f t="shared" si="549"/>
        <v>-1</v>
      </c>
      <c r="M884" t="s">
        <v>970</v>
      </c>
    </row>
    <row r="885" spans="1:13" x14ac:dyDescent="0.35">
      <c r="A885">
        <f t="shared" si="216"/>
        <v>881</v>
      </c>
      <c r="B885" s="9">
        <f t="shared" ref="B885" si="676">B884+H885+I885+J885</f>
        <v>17.919999999999998</v>
      </c>
      <c r="C885" s="3" t="s">
        <v>979</v>
      </c>
      <c r="D885">
        <f t="shared" si="667"/>
        <v>30</v>
      </c>
      <c r="E885">
        <f t="shared" ref="E885" si="677">_xlfn.NUMBERVALUE(MID(C885,4,2))</f>
        <v>7</v>
      </c>
      <c r="F885">
        <f t="shared" ref="F885" si="678">_xlfn.NUMBERVALUE(RIGHT(C885,4))</f>
        <v>2023</v>
      </c>
      <c r="G885" t="s">
        <v>7</v>
      </c>
      <c r="H885">
        <v>-1</v>
      </c>
      <c r="K885" t="s">
        <v>9</v>
      </c>
      <c r="L885" s="8">
        <f t="shared" si="549"/>
        <v>-1</v>
      </c>
      <c r="M885" t="s">
        <v>971</v>
      </c>
    </row>
    <row r="886" spans="1:13" x14ac:dyDescent="0.35">
      <c r="A886">
        <f t="shared" si="216"/>
        <v>882</v>
      </c>
      <c r="B886" s="9">
        <f t="shared" ref="B886" si="679">B885+H886+I886+J886</f>
        <v>16.919999999999998</v>
      </c>
      <c r="C886" s="3" t="s">
        <v>979</v>
      </c>
      <c r="D886">
        <f t="shared" si="667"/>
        <v>30</v>
      </c>
      <c r="E886">
        <f t="shared" ref="E886" si="680">_xlfn.NUMBERVALUE(MID(C886,4,2))</f>
        <v>7</v>
      </c>
      <c r="F886">
        <f t="shared" ref="F886" si="681">_xlfn.NUMBERVALUE(RIGHT(C886,4))</f>
        <v>2023</v>
      </c>
      <c r="G886" t="s">
        <v>7</v>
      </c>
      <c r="H886">
        <v>-1</v>
      </c>
      <c r="K886" t="s">
        <v>9</v>
      </c>
      <c r="L886" s="8">
        <f t="shared" si="549"/>
        <v>-1</v>
      </c>
      <c r="M886" t="s">
        <v>972</v>
      </c>
    </row>
    <row r="887" spans="1:13" x14ac:dyDescent="0.35">
      <c r="A887">
        <f t="shared" si="216"/>
        <v>883</v>
      </c>
      <c r="B887" s="9">
        <f t="shared" ref="B887" si="682">B886+H887+I887+J887</f>
        <v>15.919999999999998</v>
      </c>
      <c r="C887" s="3" t="s">
        <v>979</v>
      </c>
      <c r="D887">
        <f t="shared" si="667"/>
        <v>30</v>
      </c>
      <c r="E887">
        <f t="shared" ref="E887" si="683">_xlfn.NUMBERVALUE(MID(C887,4,2))</f>
        <v>7</v>
      </c>
      <c r="F887">
        <f t="shared" ref="F887" si="684">_xlfn.NUMBERVALUE(RIGHT(C887,4))</f>
        <v>2023</v>
      </c>
      <c r="G887" t="s">
        <v>7</v>
      </c>
      <c r="H887">
        <v>-1</v>
      </c>
      <c r="K887" t="s">
        <v>9</v>
      </c>
      <c r="L887" s="8">
        <f t="shared" si="549"/>
        <v>-1</v>
      </c>
      <c r="M887" t="s">
        <v>973</v>
      </c>
    </row>
    <row r="888" spans="1:13" x14ac:dyDescent="0.35">
      <c r="A888">
        <f t="shared" si="216"/>
        <v>884</v>
      </c>
      <c r="B888" s="9">
        <f t="shared" ref="B888" si="685">B887+H888+I888+J888</f>
        <v>14.919999999999998</v>
      </c>
      <c r="C888" s="3" t="s">
        <v>979</v>
      </c>
      <c r="D888">
        <f t="shared" si="667"/>
        <v>30</v>
      </c>
      <c r="E888">
        <f t="shared" ref="E888" si="686">_xlfn.NUMBERVALUE(MID(C888,4,2))</f>
        <v>7</v>
      </c>
      <c r="F888">
        <f t="shared" ref="F888" si="687">_xlfn.NUMBERVALUE(RIGHT(C888,4))</f>
        <v>2023</v>
      </c>
      <c r="G888" t="s">
        <v>7</v>
      </c>
      <c r="H888">
        <v>-1</v>
      </c>
      <c r="K888" t="s">
        <v>9</v>
      </c>
      <c r="L888" s="8">
        <f t="shared" si="549"/>
        <v>-1</v>
      </c>
      <c r="M888" t="s">
        <v>974</v>
      </c>
    </row>
    <row r="889" spans="1:13" x14ac:dyDescent="0.35">
      <c r="A889">
        <f t="shared" si="216"/>
        <v>885</v>
      </c>
      <c r="B889" s="9">
        <f t="shared" ref="B889" si="688">B888+H889+I889+J889</f>
        <v>13.919999999999998</v>
      </c>
      <c r="C889" s="3" t="s">
        <v>979</v>
      </c>
      <c r="D889">
        <f t="shared" si="667"/>
        <v>30</v>
      </c>
      <c r="E889">
        <f t="shared" ref="E889" si="689">_xlfn.NUMBERVALUE(MID(C889,4,2))</f>
        <v>7</v>
      </c>
      <c r="F889">
        <f t="shared" ref="F889" si="690">_xlfn.NUMBERVALUE(RIGHT(C889,4))</f>
        <v>2023</v>
      </c>
      <c r="G889" t="s">
        <v>7</v>
      </c>
      <c r="H889">
        <v>-1</v>
      </c>
      <c r="K889" t="s">
        <v>9</v>
      </c>
      <c r="L889" s="8">
        <f t="shared" si="549"/>
        <v>-1</v>
      </c>
      <c r="M889" t="s">
        <v>975</v>
      </c>
    </row>
    <row r="890" spans="1:13" x14ac:dyDescent="0.35">
      <c r="A890">
        <f t="shared" si="216"/>
        <v>886</v>
      </c>
      <c r="B890" s="9">
        <f t="shared" ref="B890:B891" si="691">B889+H890+I890+J890</f>
        <v>15.919999999999998</v>
      </c>
      <c r="C890" s="3" t="s">
        <v>979</v>
      </c>
      <c r="D890">
        <f t="shared" si="667"/>
        <v>30</v>
      </c>
      <c r="E890">
        <f t="shared" ref="E890:E891" si="692">_xlfn.NUMBERVALUE(MID(C890,4,2))</f>
        <v>7</v>
      </c>
      <c r="F890">
        <f t="shared" ref="F890:F891" si="693">_xlfn.NUMBERVALUE(RIGHT(C890,4))</f>
        <v>2023</v>
      </c>
      <c r="G890" t="s">
        <v>7</v>
      </c>
      <c r="H890">
        <v>-1</v>
      </c>
      <c r="I890">
        <v>3</v>
      </c>
      <c r="K890" t="s">
        <v>10</v>
      </c>
      <c r="L890" s="8">
        <f t="shared" si="549"/>
        <v>2</v>
      </c>
      <c r="M890" t="s">
        <v>976</v>
      </c>
    </row>
    <row r="891" spans="1:13" x14ac:dyDescent="0.35">
      <c r="A891">
        <f t="shared" si="216"/>
        <v>887</v>
      </c>
      <c r="B891" s="9">
        <f t="shared" si="691"/>
        <v>14.919999999999998</v>
      </c>
      <c r="C891" s="3" t="s">
        <v>979</v>
      </c>
      <c r="D891">
        <f t="shared" si="667"/>
        <v>30</v>
      </c>
      <c r="E891">
        <f t="shared" si="692"/>
        <v>7</v>
      </c>
      <c r="F891">
        <f t="shared" si="693"/>
        <v>2023</v>
      </c>
      <c r="G891" t="s">
        <v>7</v>
      </c>
      <c r="H891">
        <v>-1</v>
      </c>
      <c r="K891" t="s">
        <v>9</v>
      </c>
      <c r="L891" s="8">
        <f t="shared" si="549"/>
        <v>-1</v>
      </c>
      <c r="M891" t="s">
        <v>977</v>
      </c>
    </row>
    <row r="892" spans="1:13" x14ac:dyDescent="0.35">
      <c r="A892">
        <f t="shared" si="216"/>
        <v>888</v>
      </c>
      <c r="B892" s="9">
        <f t="shared" ref="B892" si="694">B891+H892+I892+J892</f>
        <v>16.919999999999998</v>
      </c>
      <c r="C892" s="3" t="s">
        <v>979</v>
      </c>
      <c r="D892">
        <f t="shared" si="667"/>
        <v>30</v>
      </c>
      <c r="E892">
        <f t="shared" ref="E892" si="695">_xlfn.NUMBERVALUE(MID(C892,4,2))</f>
        <v>7</v>
      </c>
      <c r="F892">
        <f t="shared" ref="F892" si="696">_xlfn.NUMBERVALUE(RIGHT(C892,4))</f>
        <v>2023</v>
      </c>
      <c r="G892" t="s">
        <v>7</v>
      </c>
      <c r="H892">
        <v>-1</v>
      </c>
      <c r="I892">
        <v>3</v>
      </c>
      <c r="K892" t="s">
        <v>10</v>
      </c>
      <c r="L892" s="8">
        <f t="shared" si="549"/>
        <v>2</v>
      </c>
      <c r="M892" t="s">
        <v>978</v>
      </c>
    </row>
    <row r="893" spans="1:13" x14ac:dyDescent="0.35">
      <c r="A893">
        <f t="shared" si="216"/>
        <v>889</v>
      </c>
      <c r="B893" s="9">
        <f t="shared" ref="B893:B894" si="697">B892+H893+I893+J893</f>
        <v>17.919999999999998</v>
      </c>
      <c r="C893" s="3" t="s">
        <v>980</v>
      </c>
      <c r="D893">
        <f t="shared" si="667"/>
        <v>31</v>
      </c>
      <c r="E893">
        <f t="shared" ref="E893:E894" si="698">_xlfn.NUMBERVALUE(MID(C893,4,2))</f>
        <v>7</v>
      </c>
      <c r="F893">
        <f t="shared" ref="F893:F894" si="699">_xlfn.NUMBERVALUE(RIGHT(C893,4))</f>
        <v>2023</v>
      </c>
      <c r="G893" t="s">
        <v>7</v>
      </c>
      <c r="H893">
        <v>-1</v>
      </c>
      <c r="I893">
        <v>2</v>
      </c>
      <c r="K893" t="s">
        <v>10</v>
      </c>
      <c r="L893" s="8">
        <f t="shared" si="549"/>
        <v>1</v>
      </c>
      <c r="M893" t="s">
        <v>981</v>
      </c>
    </row>
    <row r="894" spans="1:13" x14ac:dyDescent="0.35">
      <c r="A894">
        <f t="shared" si="216"/>
        <v>890</v>
      </c>
      <c r="B894" s="9">
        <f t="shared" si="697"/>
        <v>16.919999999999998</v>
      </c>
      <c r="C894" s="3" t="s">
        <v>980</v>
      </c>
      <c r="D894">
        <f t="shared" si="667"/>
        <v>31</v>
      </c>
      <c r="E894">
        <f t="shared" si="698"/>
        <v>7</v>
      </c>
      <c r="F894">
        <f t="shared" si="699"/>
        <v>2023</v>
      </c>
      <c r="G894" t="s">
        <v>7</v>
      </c>
      <c r="H894">
        <v>-1</v>
      </c>
      <c r="K894" t="s">
        <v>9</v>
      </c>
      <c r="L894" s="8">
        <f t="shared" si="549"/>
        <v>-1</v>
      </c>
      <c r="M894" t="s">
        <v>982</v>
      </c>
    </row>
    <row r="895" spans="1:13" x14ac:dyDescent="0.35">
      <c r="A895">
        <f t="shared" si="216"/>
        <v>891</v>
      </c>
      <c r="B895" s="9">
        <f t="shared" ref="B895:B897" si="700">B894+H895+I895+J895</f>
        <v>18.919999999999998</v>
      </c>
      <c r="C895" s="3" t="s">
        <v>980</v>
      </c>
      <c r="D895">
        <f t="shared" ref="D895:D897" si="701">_xlfn.NUMBERVALUE(LEFT(C895,2))</f>
        <v>31</v>
      </c>
      <c r="E895">
        <f t="shared" ref="E895:E897" si="702">_xlfn.NUMBERVALUE(MID(C895,4,2))</f>
        <v>7</v>
      </c>
      <c r="F895">
        <f t="shared" ref="F895:F897" si="703">_xlfn.NUMBERVALUE(RIGHT(C895,4))</f>
        <v>2023</v>
      </c>
      <c r="G895" t="s">
        <v>7</v>
      </c>
      <c r="H895">
        <v>-1</v>
      </c>
      <c r="I895">
        <v>3</v>
      </c>
      <c r="K895" t="s">
        <v>10</v>
      </c>
      <c r="L895" s="8">
        <f t="shared" si="549"/>
        <v>2</v>
      </c>
      <c r="M895" t="s">
        <v>983</v>
      </c>
    </row>
    <row r="896" spans="1:13" x14ac:dyDescent="0.35">
      <c r="A896">
        <f t="shared" si="216"/>
        <v>892</v>
      </c>
      <c r="B896" s="9">
        <f t="shared" si="700"/>
        <v>17.919999999999998</v>
      </c>
      <c r="C896" s="3" t="s">
        <v>980</v>
      </c>
      <c r="D896">
        <f t="shared" si="701"/>
        <v>31</v>
      </c>
      <c r="E896">
        <f t="shared" si="702"/>
        <v>7</v>
      </c>
      <c r="F896">
        <f t="shared" si="703"/>
        <v>2023</v>
      </c>
      <c r="G896" t="s">
        <v>7</v>
      </c>
      <c r="H896">
        <v>-1</v>
      </c>
      <c r="K896" t="s">
        <v>9</v>
      </c>
      <c r="L896" s="8">
        <f t="shared" si="549"/>
        <v>-1</v>
      </c>
      <c r="M896" t="s">
        <v>984</v>
      </c>
    </row>
    <row r="897" spans="1:13" x14ac:dyDescent="0.35">
      <c r="A897">
        <f t="shared" si="216"/>
        <v>893</v>
      </c>
      <c r="B897" s="9">
        <f t="shared" si="700"/>
        <v>18.919999999999998</v>
      </c>
      <c r="C897" s="3" t="s">
        <v>980</v>
      </c>
      <c r="D897">
        <f t="shared" si="701"/>
        <v>31</v>
      </c>
      <c r="E897">
        <f t="shared" si="702"/>
        <v>7</v>
      </c>
      <c r="F897">
        <f t="shared" si="703"/>
        <v>2023</v>
      </c>
      <c r="G897" t="s">
        <v>7</v>
      </c>
      <c r="H897">
        <v>-1</v>
      </c>
      <c r="I897">
        <v>2</v>
      </c>
      <c r="K897" t="s">
        <v>10</v>
      </c>
      <c r="L897" s="8">
        <f t="shared" si="549"/>
        <v>1</v>
      </c>
      <c r="M897" t="s">
        <v>985</v>
      </c>
    </row>
    <row r="898" spans="1:13" x14ac:dyDescent="0.35">
      <c r="A898">
        <f t="shared" si="216"/>
        <v>894</v>
      </c>
      <c r="B898" s="9">
        <f t="shared" ref="B898" si="704">B897+H898+I898+J898</f>
        <v>20.919999999999998</v>
      </c>
      <c r="C898" s="3" t="s">
        <v>980</v>
      </c>
      <c r="D898">
        <f t="shared" ref="D898" si="705">_xlfn.NUMBERVALUE(LEFT(C898,2))</f>
        <v>31</v>
      </c>
      <c r="E898">
        <f t="shared" ref="E898" si="706">_xlfn.NUMBERVALUE(MID(C898,4,2))</f>
        <v>7</v>
      </c>
      <c r="F898">
        <f t="shared" ref="F898" si="707">_xlfn.NUMBERVALUE(RIGHT(C898,4))</f>
        <v>2023</v>
      </c>
      <c r="G898" t="s">
        <v>7</v>
      </c>
      <c r="H898">
        <v>-1</v>
      </c>
      <c r="I898">
        <v>3</v>
      </c>
      <c r="K898" t="s">
        <v>10</v>
      </c>
      <c r="L898" s="8">
        <f t="shared" si="549"/>
        <v>2</v>
      </c>
      <c r="M898" t="s">
        <v>986</v>
      </c>
    </row>
    <row r="899" spans="1:13" x14ac:dyDescent="0.35">
      <c r="A899">
        <f t="shared" si="216"/>
        <v>895</v>
      </c>
      <c r="B899" s="9">
        <f t="shared" ref="B899" si="708">B898+H899+I899+J899</f>
        <v>19.919999999999998</v>
      </c>
      <c r="C899" s="3" t="s">
        <v>987</v>
      </c>
      <c r="D899">
        <f t="shared" ref="D899" si="709">_xlfn.NUMBERVALUE(LEFT(C899,2))</f>
        <v>1</v>
      </c>
      <c r="E899">
        <f t="shared" ref="E899" si="710">_xlfn.NUMBERVALUE(MID(C899,4,2))</f>
        <v>8</v>
      </c>
      <c r="F899">
        <f t="shared" ref="F899" si="711">_xlfn.NUMBERVALUE(RIGHT(C899,4))</f>
        <v>2023</v>
      </c>
      <c r="G899" t="s">
        <v>7</v>
      </c>
      <c r="H899">
        <v>-1</v>
      </c>
      <c r="K899" t="s">
        <v>9</v>
      </c>
      <c r="L899" s="8">
        <f t="shared" si="549"/>
        <v>-1</v>
      </c>
      <c r="M899" t="s">
        <v>988</v>
      </c>
    </row>
    <row r="900" spans="1:13" x14ac:dyDescent="0.35">
      <c r="A900">
        <f t="shared" si="216"/>
        <v>896</v>
      </c>
      <c r="B900" s="9">
        <f t="shared" ref="B900:B901" si="712">B899+H900+I900+J900</f>
        <v>24.089999999999996</v>
      </c>
      <c r="C900" s="3" t="s">
        <v>987</v>
      </c>
      <c r="D900">
        <f t="shared" ref="D900:D906" si="713">_xlfn.NUMBERVALUE(LEFT(C900,2))</f>
        <v>1</v>
      </c>
      <c r="E900">
        <f t="shared" ref="E900:E901" si="714">_xlfn.NUMBERVALUE(MID(C900,4,2))</f>
        <v>8</v>
      </c>
      <c r="F900">
        <f t="shared" ref="F900:F901" si="715">_xlfn.NUMBERVALUE(RIGHT(C900,4))</f>
        <v>2023</v>
      </c>
      <c r="G900" t="s">
        <v>44</v>
      </c>
      <c r="H900">
        <v>-5.5</v>
      </c>
      <c r="I900">
        <v>5.92</v>
      </c>
      <c r="J900">
        <v>3.75</v>
      </c>
      <c r="K900" t="s">
        <v>10</v>
      </c>
      <c r="L900" s="8">
        <f t="shared" si="549"/>
        <v>0.75818181818181807</v>
      </c>
      <c r="M900" t="s">
        <v>989</v>
      </c>
    </row>
    <row r="901" spans="1:13" x14ac:dyDescent="0.35">
      <c r="A901">
        <f t="shared" si="216"/>
        <v>897</v>
      </c>
      <c r="B901" s="9">
        <f t="shared" si="712"/>
        <v>26.089999999999996</v>
      </c>
      <c r="C901" s="3" t="s">
        <v>996</v>
      </c>
      <c r="D901">
        <f t="shared" si="713"/>
        <v>3</v>
      </c>
      <c r="E901">
        <f t="shared" si="714"/>
        <v>8</v>
      </c>
      <c r="F901">
        <f t="shared" si="715"/>
        <v>2023</v>
      </c>
      <c r="G901" t="s">
        <v>7</v>
      </c>
      <c r="H901">
        <v>-1</v>
      </c>
      <c r="I901">
        <v>3</v>
      </c>
      <c r="K901" t="s">
        <v>10</v>
      </c>
      <c r="L901" s="8">
        <f t="shared" si="549"/>
        <v>2</v>
      </c>
      <c r="M901" t="s">
        <v>990</v>
      </c>
    </row>
    <row r="902" spans="1:13" x14ac:dyDescent="0.35">
      <c r="A902">
        <f t="shared" si="216"/>
        <v>898</v>
      </c>
      <c r="B902" s="9">
        <f t="shared" ref="B902" si="716">B901+H902+I902+J902</f>
        <v>25.089999999999996</v>
      </c>
      <c r="C902" s="3" t="s">
        <v>996</v>
      </c>
      <c r="D902">
        <f t="shared" si="713"/>
        <v>3</v>
      </c>
      <c r="E902">
        <f t="shared" ref="E902" si="717">_xlfn.NUMBERVALUE(MID(C902,4,2))</f>
        <v>8</v>
      </c>
      <c r="F902">
        <f t="shared" ref="F902" si="718">_xlfn.NUMBERVALUE(RIGHT(C902,4))</f>
        <v>2023</v>
      </c>
      <c r="G902" t="s">
        <v>7</v>
      </c>
      <c r="H902">
        <v>-1</v>
      </c>
      <c r="K902" t="s">
        <v>9</v>
      </c>
      <c r="L902" s="8">
        <f t="shared" ref="L902:L965" si="719">IF(H902="",0,(SUM(I902:J902)/-H902)-1)</f>
        <v>-1</v>
      </c>
      <c r="M902" t="s">
        <v>991</v>
      </c>
    </row>
    <row r="903" spans="1:13" x14ac:dyDescent="0.35">
      <c r="A903">
        <f t="shared" si="216"/>
        <v>899</v>
      </c>
      <c r="B903" s="9">
        <f t="shared" ref="B903" si="720">B902+H903+I903+J903</f>
        <v>24.089999999999996</v>
      </c>
      <c r="C903" s="3" t="s">
        <v>996</v>
      </c>
      <c r="D903">
        <f t="shared" si="713"/>
        <v>3</v>
      </c>
      <c r="E903">
        <f t="shared" ref="E903" si="721">_xlfn.NUMBERVALUE(MID(C903,4,2))</f>
        <v>8</v>
      </c>
      <c r="F903">
        <f t="shared" ref="F903" si="722">_xlfn.NUMBERVALUE(RIGHT(C903,4))</f>
        <v>2023</v>
      </c>
      <c r="G903" t="s">
        <v>7</v>
      </c>
      <c r="H903">
        <v>-1</v>
      </c>
      <c r="K903" t="s">
        <v>9</v>
      </c>
      <c r="L903" s="8">
        <f t="shared" si="719"/>
        <v>-1</v>
      </c>
      <c r="M903" t="s">
        <v>992</v>
      </c>
    </row>
    <row r="904" spans="1:13" x14ac:dyDescent="0.35">
      <c r="A904">
        <f t="shared" si="216"/>
        <v>900</v>
      </c>
      <c r="B904" s="9">
        <f t="shared" ref="B904" si="723">B903+H904+I904+J904</f>
        <v>23.089999999999996</v>
      </c>
      <c r="C904" s="3" t="s">
        <v>996</v>
      </c>
      <c r="D904">
        <f t="shared" si="713"/>
        <v>3</v>
      </c>
      <c r="E904">
        <f t="shared" ref="E904" si="724">_xlfn.NUMBERVALUE(MID(C904,4,2))</f>
        <v>8</v>
      </c>
      <c r="F904">
        <f t="shared" ref="F904" si="725">_xlfn.NUMBERVALUE(RIGHT(C904,4))</f>
        <v>2023</v>
      </c>
      <c r="G904" t="s">
        <v>7</v>
      </c>
      <c r="H904">
        <v>-1</v>
      </c>
      <c r="K904" t="s">
        <v>9</v>
      </c>
      <c r="L904" s="8">
        <f t="shared" si="719"/>
        <v>-1</v>
      </c>
      <c r="M904" t="s">
        <v>993</v>
      </c>
    </row>
    <row r="905" spans="1:13" x14ac:dyDescent="0.35">
      <c r="A905">
        <f t="shared" si="216"/>
        <v>901</v>
      </c>
      <c r="B905" s="9">
        <f t="shared" ref="B905" si="726">B904+H905+I905+J905</f>
        <v>22.089999999999996</v>
      </c>
      <c r="C905" s="3" t="s">
        <v>996</v>
      </c>
      <c r="D905">
        <f t="shared" si="713"/>
        <v>3</v>
      </c>
      <c r="E905">
        <f t="shared" ref="E905" si="727">_xlfn.NUMBERVALUE(MID(C905,4,2))</f>
        <v>8</v>
      </c>
      <c r="F905">
        <f t="shared" ref="F905" si="728">_xlfn.NUMBERVALUE(RIGHT(C905,4))</f>
        <v>2023</v>
      </c>
      <c r="G905" t="s">
        <v>7</v>
      </c>
      <c r="H905">
        <v>-1</v>
      </c>
      <c r="K905" t="s">
        <v>9</v>
      </c>
      <c r="L905" s="8">
        <f t="shared" si="719"/>
        <v>-1</v>
      </c>
      <c r="M905" t="s">
        <v>994</v>
      </c>
    </row>
    <row r="906" spans="1:13" x14ac:dyDescent="0.35">
      <c r="A906">
        <f t="shared" si="216"/>
        <v>902</v>
      </c>
      <c r="B906" s="9">
        <f t="shared" ref="B906" si="729">B905+H906+I906+J906</f>
        <v>21.089999999999996</v>
      </c>
      <c r="C906" s="3" t="s">
        <v>996</v>
      </c>
      <c r="D906">
        <f t="shared" si="713"/>
        <v>3</v>
      </c>
      <c r="E906">
        <f t="shared" ref="E906" si="730">_xlfn.NUMBERVALUE(MID(C906,4,2))</f>
        <v>8</v>
      </c>
      <c r="F906">
        <f t="shared" ref="F906" si="731">_xlfn.NUMBERVALUE(RIGHT(C906,4))</f>
        <v>2023</v>
      </c>
      <c r="G906" t="s">
        <v>7</v>
      </c>
      <c r="H906">
        <v>-1</v>
      </c>
      <c r="K906" t="s">
        <v>9</v>
      </c>
      <c r="L906" s="8">
        <f t="shared" si="719"/>
        <v>-1</v>
      </c>
      <c r="M906" t="s">
        <v>995</v>
      </c>
    </row>
    <row r="907" spans="1:13" x14ac:dyDescent="0.35">
      <c r="A907">
        <f t="shared" si="216"/>
        <v>903</v>
      </c>
      <c r="B907" s="9">
        <f t="shared" ref="B907:B908" si="732">B906+H907+I907+J907</f>
        <v>22.089999999999996</v>
      </c>
      <c r="C907" s="3" t="s">
        <v>996</v>
      </c>
      <c r="D907">
        <f t="shared" ref="D907:D908" si="733">_xlfn.NUMBERVALUE(LEFT(C907,2))</f>
        <v>3</v>
      </c>
      <c r="E907">
        <f t="shared" ref="E907:E908" si="734">_xlfn.NUMBERVALUE(MID(C907,4,2))</f>
        <v>8</v>
      </c>
      <c r="F907">
        <f t="shared" ref="F907:F908" si="735">_xlfn.NUMBERVALUE(RIGHT(C907,4))</f>
        <v>2023</v>
      </c>
      <c r="G907" t="s">
        <v>7</v>
      </c>
      <c r="H907">
        <v>-1</v>
      </c>
      <c r="I907">
        <v>2</v>
      </c>
      <c r="K907" t="s">
        <v>10</v>
      </c>
      <c r="L907" s="8">
        <f t="shared" si="719"/>
        <v>1</v>
      </c>
      <c r="M907" t="s">
        <v>997</v>
      </c>
    </row>
    <row r="908" spans="1:13" x14ac:dyDescent="0.35">
      <c r="A908">
        <f t="shared" si="216"/>
        <v>904</v>
      </c>
      <c r="B908" s="9">
        <f t="shared" si="732"/>
        <v>21.089999999999996</v>
      </c>
      <c r="C908" s="3" t="s">
        <v>996</v>
      </c>
      <c r="D908">
        <f t="shared" si="733"/>
        <v>3</v>
      </c>
      <c r="E908">
        <f t="shared" si="734"/>
        <v>8</v>
      </c>
      <c r="F908">
        <f t="shared" si="735"/>
        <v>2023</v>
      </c>
      <c r="G908" t="s">
        <v>7</v>
      </c>
      <c r="H908">
        <v>-1</v>
      </c>
      <c r="K908" t="s">
        <v>9</v>
      </c>
      <c r="L908" s="8">
        <f t="shared" si="719"/>
        <v>-1</v>
      </c>
      <c r="M908" t="s">
        <v>998</v>
      </c>
    </row>
    <row r="909" spans="1:13" x14ac:dyDescent="0.35">
      <c r="A909">
        <f t="shared" si="216"/>
        <v>905</v>
      </c>
      <c r="B909" s="9">
        <f t="shared" ref="B909" si="736">B908+H909+I909+J909</f>
        <v>22.089999999999996</v>
      </c>
      <c r="C909" s="3" t="s">
        <v>996</v>
      </c>
      <c r="D909">
        <f t="shared" ref="D909" si="737">_xlfn.NUMBERVALUE(LEFT(C909,2))</f>
        <v>3</v>
      </c>
      <c r="E909">
        <f t="shared" ref="E909" si="738">_xlfn.NUMBERVALUE(MID(C909,4,2))</f>
        <v>8</v>
      </c>
      <c r="F909">
        <f t="shared" ref="F909" si="739">_xlfn.NUMBERVALUE(RIGHT(C909,4))</f>
        <v>2023</v>
      </c>
      <c r="G909" t="s">
        <v>7</v>
      </c>
      <c r="H909">
        <v>-1</v>
      </c>
      <c r="I909">
        <v>2</v>
      </c>
      <c r="K909" t="s">
        <v>10</v>
      </c>
      <c r="L909" s="8">
        <f t="shared" si="719"/>
        <v>1</v>
      </c>
      <c r="M909" t="s">
        <v>999</v>
      </c>
    </row>
    <row r="910" spans="1:13" x14ac:dyDescent="0.35">
      <c r="A910">
        <f t="shared" si="216"/>
        <v>906</v>
      </c>
      <c r="B910" s="9">
        <f t="shared" ref="B910" si="740">B909+H910+I910+J910</f>
        <v>26.089999999999996</v>
      </c>
      <c r="C910" s="3" t="s">
        <v>1000</v>
      </c>
      <c r="D910">
        <f t="shared" ref="D910" si="741">_xlfn.NUMBERVALUE(LEFT(C910,2))</f>
        <v>4</v>
      </c>
      <c r="E910">
        <f t="shared" ref="E910" si="742">_xlfn.NUMBERVALUE(MID(C910,4,2))</f>
        <v>8</v>
      </c>
      <c r="F910">
        <f t="shared" ref="F910" si="743">_xlfn.NUMBERVALUE(RIGHT(C910,4))</f>
        <v>2023</v>
      </c>
      <c r="G910" t="s">
        <v>7</v>
      </c>
      <c r="H910">
        <v>-1</v>
      </c>
      <c r="I910">
        <v>5</v>
      </c>
      <c r="K910" t="s">
        <v>10</v>
      </c>
      <c r="L910" s="8">
        <f t="shared" si="719"/>
        <v>4</v>
      </c>
      <c r="M910" t="s">
        <v>1001</v>
      </c>
    </row>
    <row r="911" spans="1:13" x14ac:dyDescent="0.35">
      <c r="A911">
        <f t="shared" si="216"/>
        <v>907</v>
      </c>
      <c r="B911" s="9">
        <f t="shared" ref="B911" si="744">B910+H911+I911+J911</f>
        <v>27.089999999999996</v>
      </c>
      <c r="C911" s="3" t="s">
        <v>1000</v>
      </c>
      <c r="D911">
        <f t="shared" ref="D911" si="745">_xlfn.NUMBERVALUE(LEFT(C911,2))</f>
        <v>4</v>
      </c>
      <c r="E911">
        <f t="shared" ref="E911" si="746">_xlfn.NUMBERVALUE(MID(C911,4,2))</f>
        <v>8</v>
      </c>
      <c r="F911">
        <f t="shared" ref="F911" si="747">_xlfn.NUMBERVALUE(RIGHT(C911,4))</f>
        <v>2023</v>
      </c>
      <c r="G911" t="s">
        <v>7</v>
      </c>
      <c r="H911">
        <v>-1</v>
      </c>
      <c r="I911">
        <v>2</v>
      </c>
      <c r="K911" t="s">
        <v>10</v>
      </c>
      <c r="L911" s="8">
        <f t="shared" si="719"/>
        <v>1</v>
      </c>
      <c r="M911" t="s">
        <v>1002</v>
      </c>
    </row>
    <row r="912" spans="1:13" x14ac:dyDescent="0.35">
      <c r="A912">
        <f t="shared" si="216"/>
        <v>908</v>
      </c>
      <c r="B912" s="9">
        <f t="shared" ref="B912:B913" si="748">B911+H912+I912+J912</f>
        <v>23.789999999999996</v>
      </c>
      <c r="C912" s="3" t="s">
        <v>1000</v>
      </c>
      <c r="D912">
        <f t="shared" ref="D912:D913" si="749">_xlfn.NUMBERVALUE(LEFT(C912,2))</f>
        <v>4</v>
      </c>
      <c r="E912">
        <f t="shared" ref="E912:E913" si="750">_xlfn.NUMBERVALUE(MID(C912,4,2))</f>
        <v>8</v>
      </c>
      <c r="F912">
        <f t="shared" ref="F912:F913" si="751">_xlfn.NUMBERVALUE(RIGHT(C912,4))</f>
        <v>2023</v>
      </c>
      <c r="G912" t="s">
        <v>44</v>
      </c>
      <c r="H912">
        <v>-3.3</v>
      </c>
      <c r="K912" t="s">
        <v>9</v>
      </c>
      <c r="L912" s="8">
        <f t="shared" si="719"/>
        <v>-1</v>
      </c>
      <c r="M912" t="s">
        <v>1003</v>
      </c>
    </row>
    <row r="913" spans="1:13" x14ac:dyDescent="0.35">
      <c r="A913">
        <f t="shared" si="216"/>
        <v>909</v>
      </c>
      <c r="B913" s="9">
        <f t="shared" si="748"/>
        <v>24.789999999999996</v>
      </c>
      <c r="C913" s="3" t="s">
        <v>1000</v>
      </c>
      <c r="D913">
        <f t="shared" si="749"/>
        <v>4</v>
      </c>
      <c r="E913">
        <f t="shared" si="750"/>
        <v>8</v>
      </c>
      <c r="F913">
        <f t="shared" si="751"/>
        <v>2023</v>
      </c>
      <c r="G913" t="s">
        <v>7</v>
      </c>
      <c r="H913">
        <v>-1</v>
      </c>
      <c r="I913">
        <v>2</v>
      </c>
      <c r="K913" t="s">
        <v>10</v>
      </c>
      <c r="L913" s="8">
        <f t="shared" si="719"/>
        <v>1</v>
      </c>
      <c r="M913" t="s">
        <v>1004</v>
      </c>
    </row>
    <row r="914" spans="1:13" x14ac:dyDescent="0.35">
      <c r="A914">
        <f t="shared" si="216"/>
        <v>910</v>
      </c>
      <c r="B914" s="9">
        <f t="shared" ref="B914" si="752">B913+H914+I914+J914</f>
        <v>23.789999999999996</v>
      </c>
      <c r="C914" s="3" t="s">
        <v>1000</v>
      </c>
      <c r="D914">
        <f t="shared" ref="D914" si="753">_xlfn.NUMBERVALUE(LEFT(C914,2))</f>
        <v>4</v>
      </c>
      <c r="E914">
        <f t="shared" ref="E914" si="754">_xlfn.NUMBERVALUE(MID(C914,4,2))</f>
        <v>8</v>
      </c>
      <c r="F914">
        <f t="shared" ref="F914" si="755">_xlfn.NUMBERVALUE(RIGHT(C914,4))</f>
        <v>2023</v>
      </c>
      <c r="G914" t="s">
        <v>7</v>
      </c>
      <c r="H914">
        <v>-1</v>
      </c>
      <c r="K914" t="s">
        <v>9</v>
      </c>
      <c r="L914" s="8">
        <f t="shared" si="719"/>
        <v>-1</v>
      </c>
      <c r="M914" t="s">
        <v>1005</v>
      </c>
    </row>
    <row r="915" spans="1:13" x14ac:dyDescent="0.35">
      <c r="A915">
        <f t="shared" si="216"/>
        <v>911</v>
      </c>
      <c r="B915" s="9">
        <f t="shared" ref="B915" si="756">B914+H915+I915+J915</f>
        <v>22.789999999999996</v>
      </c>
      <c r="C915" s="3" t="s">
        <v>1000</v>
      </c>
      <c r="D915">
        <f t="shared" ref="D915" si="757">_xlfn.NUMBERVALUE(LEFT(C915,2))</f>
        <v>4</v>
      </c>
      <c r="E915">
        <f t="shared" ref="E915" si="758">_xlfn.NUMBERVALUE(MID(C915,4,2))</f>
        <v>8</v>
      </c>
      <c r="F915">
        <f t="shared" ref="F915" si="759">_xlfn.NUMBERVALUE(RIGHT(C915,4))</f>
        <v>2023</v>
      </c>
      <c r="G915" t="s">
        <v>7</v>
      </c>
      <c r="H915">
        <v>-1</v>
      </c>
      <c r="K915" t="s">
        <v>9</v>
      </c>
      <c r="L915" s="8">
        <f t="shared" si="719"/>
        <v>-1</v>
      </c>
      <c r="M915" t="s">
        <v>1006</v>
      </c>
    </row>
    <row r="916" spans="1:13" x14ac:dyDescent="0.35">
      <c r="A916">
        <f t="shared" si="216"/>
        <v>912</v>
      </c>
      <c r="B916" s="9">
        <f t="shared" ref="B916" si="760">B915+H916+I916+J916</f>
        <v>21.789999999999996</v>
      </c>
      <c r="C916" s="3" t="s">
        <v>1000</v>
      </c>
      <c r="D916">
        <f t="shared" ref="D916" si="761">_xlfn.NUMBERVALUE(LEFT(C916,2))</f>
        <v>4</v>
      </c>
      <c r="E916">
        <f t="shared" ref="E916" si="762">_xlfn.NUMBERVALUE(MID(C916,4,2))</f>
        <v>8</v>
      </c>
      <c r="F916">
        <f t="shared" ref="F916" si="763">_xlfn.NUMBERVALUE(RIGHT(C916,4))</f>
        <v>2023</v>
      </c>
      <c r="G916" t="s">
        <v>7</v>
      </c>
      <c r="H916">
        <v>-1</v>
      </c>
      <c r="K916" t="s">
        <v>9</v>
      </c>
      <c r="L916" s="8">
        <f t="shared" si="719"/>
        <v>-1</v>
      </c>
      <c r="M916" t="s">
        <v>1007</v>
      </c>
    </row>
    <row r="917" spans="1:13" x14ac:dyDescent="0.35">
      <c r="A917">
        <f t="shared" si="216"/>
        <v>913</v>
      </c>
      <c r="B917" s="9">
        <f t="shared" ref="B917" si="764">B916+H917+I917+J917</f>
        <v>20.789999999999996</v>
      </c>
      <c r="C917" s="3" t="s">
        <v>1008</v>
      </c>
      <c r="D917">
        <f t="shared" ref="D917" si="765">_xlfn.NUMBERVALUE(LEFT(C917,2))</f>
        <v>5</v>
      </c>
      <c r="E917">
        <f t="shared" ref="E917" si="766">_xlfn.NUMBERVALUE(MID(C917,4,2))</f>
        <v>8</v>
      </c>
      <c r="F917">
        <f t="shared" ref="F917" si="767">_xlfn.NUMBERVALUE(RIGHT(C917,4))</f>
        <v>2023</v>
      </c>
      <c r="G917" t="s">
        <v>7</v>
      </c>
      <c r="H917">
        <v>-1</v>
      </c>
      <c r="K917" t="s">
        <v>9</v>
      </c>
      <c r="L917" s="8">
        <f t="shared" si="719"/>
        <v>-1</v>
      </c>
      <c r="M917" t="s">
        <v>1009</v>
      </c>
    </row>
    <row r="918" spans="1:13" x14ac:dyDescent="0.35">
      <c r="A918">
        <f t="shared" si="216"/>
        <v>914</v>
      </c>
      <c r="B918" s="9">
        <f t="shared" ref="B918" si="768">B917+H918+I918+J918</f>
        <v>19.789999999999996</v>
      </c>
      <c r="C918" s="3" t="s">
        <v>1008</v>
      </c>
      <c r="D918">
        <f t="shared" ref="D918" si="769">_xlfn.NUMBERVALUE(LEFT(C918,2))</f>
        <v>5</v>
      </c>
      <c r="E918">
        <f t="shared" ref="E918" si="770">_xlfn.NUMBERVALUE(MID(C918,4,2))</f>
        <v>8</v>
      </c>
      <c r="F918">
        <f t="shared" ref="F918" si="771">_xlfn.NUMBERVALUE(RIGHT(C918,4))</f>
        <v>2023</v>
      </c>
      <c r="G918" t="s">
        <v>7</v>
      </c>
      <c r="H918">
        <v>-1</v>
      </c>
      <c r="K918" t="s">
        <v>9</v>
      </c>
      <c r="L918" s="8">
        <f t="shared" si="719"/>
        <v>-1</v>
      </c>
      <c r="M918" t="s">
        <v>1010</v>
      </c>
    </row>
    <row r="919" spans="1:13" x14ac:dyDescent="0.35">
      <c r="A919">
        <f t="shared" si="216"/>
        <v>915</v>
      </c>
      <c r="B919" s="9">
        <f t="shared" ref="B919:B920" si="772">B918+H919+I919+J919</f>
        <v>18.689999999999994</v>
      </c>
      <c r="C919" s="3" t="s">
        <v>1008</v>
      </c>
      <c r="D919">
        <f t="shared" ref="D919:D920" si="773">_xlfn.NUMBERVALUE(LEFT(C919,2))</f>
        <v>5</v>
      </c>
      <c r="E919">
        <f t="shared" ref="E919:E920" si="774">_xlfn.NUMBERVALUE(MID(C919,4,2))</f>
        <v>8</v>
      </c>
      <c r="F919">
        <f t="shared" ref="F919:F920" si="775">_xlfn.NUMBERVALUE(RIGHT(C919,4))</f>
        <v>2023</v>
      </c>
      <c r="G919" t="s">
        <v>44</v>
      </c>
      <c r="H919">
        <v>-1.1000000000000001</v>
      </c>
      <c r="K919" t="s">
        <v>9</v>
      </c>
      <c r="L919" s="8">
        <f t="shared" si="719"/>
        <v>-1</v>
      </c>
      <c r="M919" t="s">
        <v>1012</v>
      </c>
    </row>
    <row r="920" spans="1:13" x14ac:dyDescent="0.35">
      <c r="A920">
        <f t="shared" si="216"/>
        <v>916</v>
      </c>
      <c r="B920" s="9">
        <f t="shared" si="772"/>
        <v>17.689999999999994</v>
      </c>
      <c r="C920" s="3" t="s">
        <v>1008</v>
      </c>
      <c r="D920">
        <f t="shared" si="773"/>
        <v>5</v>
      </c>
      <c r="E920">
        <f t="shared" si="774"/>
        <v>8</v>
      </c>
      <c r="F920">
        <f t="shared" si="775"/>
        <v>2023</v>
      </c>
      <c r="G920" t="s">
        <v>7</v>
      </c>
      <c r="H920">
        <v>-1</v>
      </c>
      <c r="K920" t="s">
        <v>9</v>
      </c>
      <c r="L920" s="8">
        <f t="shared" si="719"/>
        <v>-1</v>
      </c>
      <c r="M920" t="s">
        <v>1011</v>
      </c>
    </row>
    <row r="921" spans="1:13" x14ac:dyDescent="0.35">
      <c r="A921">
        <f t="shared" si="216"/>
        <v>917</v>
      </c>
      <c r="B921" s="9">
        <f t="shared" ref="B921" si="776">B920+H921+I921+J921</f>
        <v>16.689999999999994</v>
      </c>
      <c r="C921" s="3" t="s">
        <v>1008</v>
      </c>
      <c r="D921">
        <f t="shared" ref="D921" si="777">_xlfn.NUMBERVALUE(LEFT(C921,2))</f>
        <v>5</v>
      </c>
      <c r="E921">
        <f t="shared" ref="E921" si="778">_xlfn.NUMBERVALUE(MID(C921,4,2))</f>
        <v>8</v>
      </c>
      <c r="F921">
        <f t="shared" ref="F921" si="779">_xlfn.NUMBERVALUE(RIGHT(C921,4))</f>
        <v>2023</v>
      </c>
      <c r="G921" t="s">
        <v>7</v>
      </c>
      <c r="H921">
        <v>-1</v>
      </c>
      <c r="K921" t="s">
        <v>9</v>
      </c>
      <c r="L921" s="8">
        <f t="shared" si="719"/>
        <v>-1</v>
      </c>
      <c r="M921" t="s">
        <v>1013</v>
      </c>
    </row>
    <row r="922" spans="1:13" x14ac:dyDescent="0.35">
      <c r="A922">
        <f t="shared" si="216"/>
        <v>918</v>
      </c>
      <c r="B922" s="9">
        <f t="shared" ref="B922:B923" si="780">B921+H922+I922+J922</f>
        <v>17.689999999999994</v>
      </c>
      <c r="C922" s="3" t="s">
        <v>1008</v>
      </c>
      <c r="D922">
        <f t="shared" ref="D922:D923" si="781">_xlfn.NUMBERVALUE(LEFT(C922,2))</f>
        <v>5</v>
      </c>
      <c r="E922">
        <f t="shared" ref="E922:E923" si="782">_xlfn.NUMBERVALUE(MID(C922,4,2))</f>
        <v>8</v>
      </c>
      <c r="F922">
        <f t="shared" ref="F922:F923" si="783">_xlfn.NUMBERVALUE(RIGHT(C922,4))</f>
        <v>2023</v>
      </c>
      <c r="G922" t="s">
        <v>7</v>
      </c>
      <c r="H922">
        <v>-1</v>
      </c>
      <c r="I922">
        <v>2</v>
      </c>
      <c r="K922" t="s">
        <v>10</v>
      </c>
      <c r="L922" s="8">
        <f t="shared" si="719"/>
        <v>1</v>
      </c>
      <c r="M922" t="s">
        <v>1014</v>
      </c>
    </row>
    <row r="923" spans="1:13" x14ac:dyDescent="0.35">
      <c r="A923">
        <f t="shared" si="216"/>
        <v>919</v>
      </c>
      <c r="B923" s="9">
        <f t="shared" si="780"/>
        <v>16.689999999999994</v>
      </c>
      <c r="C923" s="3" t="s">
        <v>1008</v>
      </c>
      <c r="D923">
        <f t="shared" si="781"/>
        <v>5</v>
      </c>
      <c r="E923">
        <f t="shared" si="782"/>
        <v>8</v>
      </c>
      <c r="F923">
        <f t="shared" si="783"/>
        <v>2023</v>
      </c>
      <c r="G923" t="s">
        <v>7</v>
      </c>
      <c r="H923">
        <v>-1</v>
      </c>
      <c r="K923" t="s">
        <v>9</v>
      </c>
      <c r="L923" s="8">
        <f t="shared" si="719"/>
        <v>-1</v>
      </c>
      <c r="M923" t="s">
        <v>1015</v>
      </c>
    </row>
    <row r="924" spans="1:13" x14ac:dyDescent="0.35">
      <c r="A924">
        <f t="shared" si="216"/>
        <v>920</v>
      </c>
      <c r="B924" s="9">
        <f t="shared" ref="B924" si="784">B923+H924+I924+J924</f>
        <v>15.689999999999994</v>
      </c>
      <c r="C924" s="3" t="s">
        <v>1008</v>
      </c>
      <c r="D924">
        <f t="shared" ref="D924" si="785">_xlfn.NUMBERVALUE(LEFT(C924,2))</f>
        <v>5</v>
      </c>
      <c r="E924">
        <f t="shared" ref="E924" si="786">_xlfn.NUMBERVALUE(MID(C924,4,2))</f>
        <v>8</v>
      </c>
      <c r="F924">
        <f t="shared" ref="F924" si="787">_xlfn.NUMBERVALUE(RIGHT(C924,4))</f>
        <v>2023</v>
      </c>
      <c r="G924" t="s">
        <v>7</v>
      </c>
      <c r="H924">
        <v>-1</v>
      </c>
      <c r="K924" t="s">
        <v>9</v>
      </c>
      <c r="L924" s="8">
        <f t="shared" si="719"/>
        <v>-1</v>
      </c>
      <c r="M924" t="s">
        <v>1016</v>
      </c>
    </row>
    <row r="925" spans="1:13" x14ac:dyDescent="0.35">
      <c r="A925">
        <f t="shared" si="216"/>
        <v>921</v>
      </c>
      <c r="B925" s="9">
        <f t="shared" ref="B925" si="788">B924+H925+I925+J925</f>
        <v>14.689999999999994</v>
      </c>
      <c r="C925" s="3" t="s">
        <v>1008</v>
      </c>
      <c r="D925">
        <f t="shared" ref="D925" si="789">_xlfn.NUMBERVALUE(LEFT(C925,2))</f>
        <v>5</v>
      </c>
      <c r="E925">
        <f t="shared" ref="E925" si="790">_xlfn.NUMBERVALUE(MID(C925,4,2))</f>
        <v>8</v>
      </c>
      <c r="F925">
        <f t="shared" ref="F925" si="791">_xlfn.NUMBERVALUE(RIGHT(C925,4))</f>
        <v>2023</v>
      </c>
      <c r="G925" t="s">
        <v>7</v>
      </c>
      <c r="H925">
        <v>-1</v>
      </c>
      <c r="K925" t="s">
        <v>9</v>
      </c>
      <c r="L925" s="8">
        <f t="shared" si="719"/>
        <v>-1</v>
      </c>
      <c r="M925" t="s">
        <v>1017</v>
      </c>
    </row>
    <row r="926" spans="1:13" x14ac:dyDescent="0.35">
      <c r="A926">
        <f t="shared" si="216"/>
        <v>922</v>
      </c>
      <c r="B926" s="9">
        <f t="shared" ref="B926" si="792">B925+H926+I926+J926</f>
        <v>13.689999999999994</v>
      </c>
      <c r="C926" s="3" t="s">
        <v>1008</v>
      </c>
      <c r="D926">
        <f t="shared" ref="D926" si="793">_xlfn.NUMBERVALUE(LEFT(C926,2))</f>
        <v>5</v>
      </c>
      <c r="E926">
        <f t="shared" ref="E926" si="794">_xlfn.NUMBERVALUE(MID(C926,4,2))</f>
        <v>8</v>
      </c>
      <c r="F926">
        <f t="shared" ref="F926" si="795">_xlfn.NUMBERVALUE(RIGHT(C926,4))</f>
        <v>2023</v>
      </c>
      <c r="G926" t="s">
        <v>7</v>
      </c>
      <c r="H926">
        <v>-1</v>
      </c>
      <c r="K926" t="s">
        <v>9</v>
      </c>
      <c r="L926" s="8">
        <f t="shared" si="719"/>
        <v>-1</v>
      </c>
      <c r="M926" t="s">
        <v>1018</v>
      </c>
    </row>
    <row r="927" spans="1:13" x14ac:dyDescent="0.35">
      <c r="A927">
        <f t="shared" si="216"/>
        <v>923</v>
      </c>
      <c r="B927" s="9">
        <f t="shared" ref="B927:B928" si="796">B926+H927+I927+J927</f>
        <v>15.689999999999994</v>
      </c>
      <c r="C927" s="3" t="s">
        <v>1008</v>
      </c>
      <c r="D927">
        <f t="shared" ref="D927:D928" si="797">_xlfn.NUMBERVALUE(LEFT(C927,2))</f>
        <v>5</v>
      </c>
      <c r="E927">
        <f t="shared" ref="E927:E928" si="798">_xlfn.NUMBERVALUE(MID(C927,4,2))</f>
        <v>8</v>
      </c>
      <c r="F927">
        <f t="shared" ref="F927:F928" si="799">_xlfn.NUMBERVALUE(RIGHT(C927,4))</f>
        <v>2023</v>
      </c>
      <c r="G927" t="s">
        <v>7</v>
      </c>
      <c r="H927">
        <v>-1</v>
      </c>
      <c r="I927">
        <v>3</v>
      </c>
      <c r="K927" t="s">
        <v>10</v>
      </c>
      <c r="L927" s="8">
        <f t="shared" si="719"/>
        <v>2</v>
      </c>
      <c r="M927" t="s">
        <v>1019</v>
      </c>
    </row>
    <row r="928" spans="1:13" x14ac:dyDescent="0.35">
      <c r="A928">
        <f t="shared" si="216"/>
        <v>924</v>
      </c>
      <c r="B928" s="9">
        <f t="shared" si="796"/>
        <v>14.689999999999994</v>
      </c>
      <c r="C928" s="3" t="s">
        <v>1008</v>
      </c>
      <c r="D928">
        <f t="shared" si="797"/>
        <v>5</v>
      </c>
      <c r="E928">
        <f t="shared" si="798"/>
        <v>8</v>
      </c>
      <c r="F928">
        <f t="shared" si="799"/>
        <v>2023</v>
      </c>
      <c r="G928" t="s">
        <v>7</v>
      </c>
      <c r="H928">
        <v>-1</v>
      </c>
      <c r="K928" t="s">
        <v>9</v>
      </c>
      <c r="L928" s="8">
        <f t="shared" si="719"/>
        <v>-1</v>
      </c>
      <c r="M928" t="s">
        <v>1020</v>
      </c>
    </row>
    <row r="929" spans="1:13" x14ac:dyDescent="0.35">
      <c r="A929">
        <f t="shared" si="216"/>
        <v>925</v>
      </c>
      <c r="B929" s="9">
        <f t="shared" ref="B929" si="800">B928+H929+I929+J929</f>
        <v>13.689999999999994</v>
      </c>
      <c r="C929" s="3" t="s">
        <v>1008</v>
      </c>
      <c r="D929">
        <f t="shared" ref="D929" si="801">_xlfn.NUMBERVALUE(LEFT(C929,2))</f>
        <v>5</v>
      </c>
      <c r="E929">
        <f t="shared" ref="E929" si="802">_xlfn.NUMBERVALUE(MID(C929,4,2))</f>
        <v>8</v>
      </c>
      <c r="F929">
        <f t="shared" ref="F929" si="803">_xlfn.NUMBERVALUE(RIGHT(C929,4))</f>
        <v>2023</v>
      </c>
      <c r="G929" t="s">
        <v>7</v>
      </c>
      <c r="H929">
        <v>-1</v>
      </c>
      <c r="K929" t="s">
        <v>9</v>
      </c>
      <c r="L929" s="8">
        <f t="shared" si="719"/>
        <v>-1</v>
      </c>
      <c r="M929" t="s">
        <v>1021</v>
      </c>
    </row>
    <row r="930" spans="1:13" x14ac:dyDescent="0.35">
      <c r="A930">
        <f t="shared" si="216"/>
        <v>926</v>
      </c>
      <c r="B930" s="9">
        <f t="shared" ref="B930" si="804">B929+H930+I930+J930</f>
        <v>12.689999999999994</v>
      </c>
      <c r="C930" s="3" t="s">
        <v>1008</v>
      </c>
      <c r="D930">
        <f t="shared" ref="D930" si="805">_xlfn.NUMBERVALUE(LEFT(C930,2))</f>
        <v>5</v>
      </c>
      <c r="E930">
        <f t="shared" ref="E930" si="806">_xlfn.NUMBERVALUE(MID(C930,4,2))</f>
        <v>8</v>
      </c>
      <c r="F930">
        <f t="shared" ref="F930" si="807">_xlfn.NUMBERVALUE(RIGHT(C930,4))</f>
        <v>2023</v>
      </c>
      <c r="G930" t="s">
        <v>7</v>
      </c>
      <c r="H930">
        <v>-1</v>
      </c>
      <c r="K930" t="s">
        <v>9</v>
      </c>
      <c r="L930" s="8">
        <f t="shared" si="719"/>
        <v>-1</v>
      </c>
      <c r="M930" t="s">
        <v>1022</v>
      </c>
    </row>
    <row r="931" spans="1:13" x14ac:dyDescent="0.35">
      <c r="A931">
        <f t="shared" si="216"/>
        <v>927</v>
      </c>
      <c r="B931" s="9">
        <f t="shared" ref="B931" si="808">B930+H931+I931+J931</f>
        <v>11.689999999999994</v>
      </c>
      <c r="C931" s="3" t="s">
        <v>1008</v>
      </c>
      <c r="D931">
        <f t="shared" ref="D931" si="809">_xlfn.NUMBERVALUE(LEFT(C931,2))</f>
        <v>5</v>
      </c>
      <c r="E931">
        <f t="shared" ref="E931" si="810">_xlfn.NUMBERVALUE(MID(C931,4,2))</f>
        <v>8</v>
      </c>
      <c r="F931">
        <f t="shared" ref="F931" si="811">_xlfn.NUMBERVALUE(RIGHT(C931,4))</f>
        <v>2023</v>
      </c>
      <c r="G931" t="s">
        <v>7</v>
      </c>
      <c r="H931">
        <v>-1</v>
      </c>
      <c r="K931" t="s">
        <v>9</v>
      </c>
      <c r="L931" s="8">
        <f t="shared" si="719"/>
        <v>-1</v>
      </c>
      <c r="M931" t="s">
        <v>1023</v>
      </c>
    </row>
    <row r="932" spans="1:13" x14ac:dyDescent="0.35">
      <c r="A932">
        <f t="shared" si="216"/>
        <v>928</v>
      </c>
      <c r="B932" s="9">
        <f t="shared" ref="B932" si="812">B931+H932+I932+J932</f>
        <v>10.689999999999994</v>
      </c>
      <c r="C932" s="3" t="s">
        <v>1008</v>
      </c>
      <c r="D932">
        <f t="shared" ref="D932" si="813">_xlfn.NUMBERVALUE(LEFT(C932,2))</f>
        <v>5</v>
      </c>
      <c r="E932">
        <f t="shared" ref="E932" si="814">_xlfn.NUMBERVALUE(MID(C932,4,2))</f>
        <v>8</v>
      </c>
      <c r="F932">
        <f t="shared" ref="F932" si="815">_xlfn.NUMBERVALUE(RIGHT(C932,4))</f>
        <v>2023</v>
      </c>
      <c r="G932" t="s">
        <v>7</v>
      </c>
      <c r="H932">
        <v>-1</v>
      </c>
      <c r="K932" t="s">
        <v>9</v>
      </c>
      <c r="L932" s="8">
        <f t="shared" si="719"/>
        <v>-1</v>
      </c>
      <c r="M932" t="s">
        <v>1024</v>
      </c>
    </row>
    <row r="933" spans="1:13" x14ac:dyDescent="0.35">
      <c r="A933">
        <f t="shared" si="216"/>
        <v>929</v>
      </c>
      <c r="B933" s="9">
        <f t="shared" ref="B933" si="816">B932+H933+I933+J933</f>
        <v>0.68999999999999417</v>
      </c>
      <c r="C933" s="3" t="s">
        <v>1008</v>
      </c>
      <c r="D933">
        <f t="shared" ref="D933" si="817">_xlfn.NUMBERVALUE(LEFT(C933,2))</f>
        <v>5</v>
      </c>
      <c r="E933">
        <f t="shared" ref="E933" si="818">_xlfn.NUMBERVALUE(MID(C933,4,2))</f>
        <v>8</v>
      </c>
      <c r="F933">
        <f t="shared" ref="F933:F936" si="819">_xlfn.NUMBERVALUE(RIGHT(C933,4))</f>
        <v>2023</v>
      </c>
      <c r="G933" t="s">
        <v>7</v>
      </c>
      <c r="H933">
        <v>-10</v>
      </c>
      <c r="K933" t="s">
        <v>9</v>
      </c>
      <c r="L933" s="8">
        <f t="shared" si="719"/>
        <v>-1</v>
      </c>
      <c r="M933" t="s">
        <v>1025</v>
      </c>
    </row>
    <row r="934" spans="1:13" x14ac:dyDescent="0.35">
      <c r="A934">
        <f t="shared" si="216"/>
        <v>930</v>
      </c>
      <c r="B934" s="9">
        <f t="shared" ref="B934:B935" si="820">B933+H934+I934+J934</f>
        <v>86.61</v>
      </c>
      <c r="C934" s="3" t="s">
        <v>1008</v>
      </c>
      <c r="D934">
        <f t="shared" ref="D934:D936" si="821">_xlfn.NUMBERVALUE(LEFT(C934,2))</f>
        <v>5</v>
      </c>
      <c r="E934">
        <f t="shared" ref="E934:E936" si="822">_xlfn.NUMBERVALUE(MID(C934,4,2))</f>
        <v>8</v>
      </c>
      <c r="F934">
        <f t="shared" si="819"/>
        <v>2023</v>
      </c>
      <c r="G934" t="s">
        <v>3362</v>
      </c>
      <c r="I934">
        <v>85.92</v>
      </c>
      <c r="L934" s="8"/>
    </row>
    <row r="935" spans="1:13" x14ac:dyDescent="0.35">
      <c r="A935">
        <f t="shared" si="216"/>
        <v>931</v>
      </c>
      <c r="B935" s="9">
        <f t="shared" si="820"/>
        <v>85.61</v>
      </c>
      <c r="C935" s="3" t="s">
        <v>1026</v>
      </c>
      <c r="D935">
        <f t="shared" si="821"/>
        <v>6</v>
      </c>
      <c r="E935">
        <f t="shared" si="822"/>
        <v>8</v>
      </c>
      <c r="F935">
        <f t="shared" si="819"/>
        <v>2023</v>
      </c>
      <c r="G935" t="s">
        <v>7</v>
      </c>
      <c r="H935">
        <v>-1</v>
      </c>
      <c r="K935" t="s">
        <v>9</v>
      </c>
      <c r="L935" s="8">
        <f t="shared" si="719"/>
        <v>-1</v>
      </c>
      <c r="M935" t="s">
        <v>1027</v>
      </c>
    </row>
    <row r="936" spans="1:13" x14ac:dyDescent="0.35">
      <c r="A936">
        <f t="shared" si="216"/>
        <v>932</v>
      </c>
      <c r="B936" s="9">
        <f t="shared" ref="B936" si="823">B935+H936+I936+J936</f>
        <v>86.61</v>
      </c>
      <c r="C936" s="3" t="s">
        <v>1028</v>
      </c>
      <c r="D936">
        <f t="shared" si="821"/>
        <v>15</v>
      </c>
      <c r="E936">
        <f t="shared" si="822"/>
        <v>8</v>
      </c>
      <c r="F936">
        <f t="shared" si="819"/>
        <v>2023</v>
      </c>
      <c r="G936" t="s">
        <v>7</v>
      </c>
      <c r="H936">
        <v>-1</v>
      </c>
      <c r="I936">
        <v>2</v>
      </c>
      <c r="K936" t="s">
        <v>10</v>
      </c>
      <c r="L936" s="8">
        <f t="shared" si="719"/>
        <v>1</v>
      </c>
      <c r="M936" t="s">
        <v>1029</v>
      </c>
    </row>
    <row r="937" spans="1:13" x14ac:dyDescent="0.35">
      <c r="A937">
        <f t="shared" si="216"/>
        <v>933</v>
      </c>
      <c r="B937" s="9">
        <f t="shared" ref="B937" si="824">B936+H937+I937+J937</f>
        <v>85.61</v>
      </c>
      <c r="C937" s="3" t="s">
        <v>1028</v>
      </c>
      <c r="D937">
        <f t="shared" ref="D937" si="825">_xlfn.NUMBERVALUE(LEFT(C937,2))</f>
        <v>15</v>
      </c>
      <c r="E937">
        <f t="shared" ref="E937" si="826">_xlfn.NUMBERVALUE(MID(C937,4,2))</f>
        <v>8</v>
      </c>
      <c r="F937">
        <f t="shared" ref="F937" si="827">_xlfn.NUMBERVALUE(RIGHT(C937,4))</f>
        <v>2023</v>
      </c>
      <c r="G937" t="s">
        <v>7</v>
      </c>
      <c r="H937">
        <v>-1</v>
      </c>
      <c r="K937" t="s">
        <v>9</v>
      </c>
      <c r="L937" s="8">
        <f t="shared" si="719"/>
        <v>-1</v>
      </c>
      <c r="M937" t="s">
        <v>1030</v>
      </c>
    </row>
    <row r="938" spans="1:13" x14ac:dyDescent="0.35">
      <c r="A938">
        <f t="shared" si="216"/>
        <v>934</v>
      </c>
      <c r="B938" s="9">
        <f t="shared" ref="B938" si="828">B937+H938+I938+J938</f>
        <v>86.61</v>
      </c>
      <c r="C938" s="3" t="s">
        <v>1028</v>
      </c>
      <c r="D938">
        <f t="shared" ref="D938" si="829">_xlfn.NUMBERVALUE(LEFT(C938,2))</f>
        <v>15</v>
      </c>
      <c r="E938">
        <f t="shared" ref="E938" si="830">_xlfn.NUMBERVALUE(MID(C938,4,2))</f>
        <v>8</v>
      </c>
      <c r="F938">
        <f t="shared" ref="F938" si="831">_xlfn.NUMBERVALUE(RIGHT(C938,4))</f>
        <v>2023</v>
      </c>
      <c r="G938" t="s">
        <v>7</v>
      </c>
      <c r="H938">
        <v>-1</v>
      </c>
      <c r="I938">
        <v>2</v>
      </c>
      <c r="K938" t="s">
        <v>10</v>
      </c>
      <c r="L938" s="8">
        <f t="shared" si="719"/>
        <v>1</v>
      </c>
      <c r="M938" t="s">
        <v>1031</v>
      </c>
    </row>
    <row r="939" spans="1:13" x14ac:dyDescent="0.35">
      <c r="A939">
        <f t="shared" si="216"/>
        <v>935</v>
      </c>
      <c r="B939" s="9">
        <f t="shared" ref="B939" si="832">B938+H939+I939+J939</f>
        <v>85.61</v>
      </c>
      <c r="C939" s="3" t="s">
        <v>1028</v>
      </c>
      <c r="D939">
        <f t="shared" ref="D939" si="833">_xlfn.NUMBERVALUE(LEFT(C939,2))</f>
        <v>15</v>
      </c>
      <c r="E939">
        <f t="shared" ref="E939" si="834">_xlfn.NUMBERVALUE(MID(C939,4,2))</f>
        <v>8</v>
      </c>
      <c r="F939">
        <f t="shared" ref="F939" si="835">_xlfn.NUMBERVALUE(RIGHT(C939,4))</f>
        <v>2023</v>
      </c>
      <c r="G939" t="s">
        <v>7</v>
      </c>
      <c r="H939">
        <v>-1</v>
      </c>
      <c r="K939" t="s">
        <v>9</v>
      </c>
      <c r="L939" s="8">
        <f t="shared" si="719"/>
        <v>-1</v>
      </c>
      <c r="M939" t="s">
        <v>1032</v>
      </c>
    </row>
    <row r="940" spans="1:13" x14ac:dyDescent="0.35">
      <c r="A940">
        <f t="shared" si="216"/>
        <v>936</v>
      </c>
      <c r="B940" s="9">
        <f t="shared" ref="B940" si="836">B939+H940+I940+J940</f>
        <v>84.61</v>
      </c>
      <c r="C940" s="3" t="s">
        <v>1028</v>
      </c>
      <c r="D940">
        <f t="shared" ref="D940" si="837">_xlfn.NUMBERVALUE(LEFT(C940,2))</f>
        <v>15</v>
      </c>
      <c r="E940">
        <f t="shared" ref="E940" si="838">_xlfn.NUMBERVALUE(MID(C940,4,2))</f>
        <v>8</v>
      </c>
      <c r="F940">
        <f t="shared" ref="F940" si="839">_xlfn.NUMBERVALUE(RIGHT(C940,4))</f>
        <v>2023</v>
      </c>
      <c r="G940" t="s">
        <v>7</v>
      </c>
      <c r="H940">
        <v>-1</v>
      </c>
      <c r="K940" t="s">
        <v>9</v>
      </c>
      <c r="L940" s="8">
        <f t="shared" si="719"/>
        <v>-1</v>
      </c>
      <c r="M940" t="s">
        <v>1033</v>
      </c>
    </row>
    <row r="941" spans="1:13" x14ac:dyDescent="0.35">
      <c r="A941">
        <f t="shared" si="216"/>
        <v>937</v>
      </c>
      <c r="B941" s="9">
        <f t="shared" ref="B941" si="840">B940+H941+I941+J941</f>
        <v>83.61</v>
      </c>
      <c r="C941" s="3" t="s">
        <v>1028</v>
      </c>
      <c r="D941">
        <f t="shared" ref="D941" si="841">_xlfn.NUMBERVALUE(LEFT(C941,2))</f>
        <v>15</v>
      </c>
      <c r="E941">
        <f t="shared" ref="E941" si="842">_xlfn.NUMBERVALUE(MID(C941,4,2))</f>
        <v>8</v>
      </c>
      <c r="F941">
        <f t="shared" ref="F941" si="843">_xlfn.NUMBERVALUE(RIGHT(C941,4))</f>
        <v>2023</v>
      </c>
      <c r="G941" t="s">
        <v>7</v>
      </c>
      <c r="H941">
        <v>-1</v>
      </c>
      <c r="K941" t="s">
        <v>9</v>
      </c>
      <c r="L941" s="8">
        <f t="shared" si="719"/>
        <v>-1</v>
      </c>
      <c r="M941" t="s">
        <v>1034</v>
      </c>
    </row>
    <row r="942" spans="1:13" x14ac:dyDescent="0.35">
      <c r="A942">
        <f t="shared" si="216"/>
        <v>938</v>
      </c>
      <c r="B942" s="9">
        <f t="shared" ref="B942" si="844">B941+H942+I942+J942</f>
        <v>82.61</v>
      </c>
      <c r="C942" s="3" t="s">
        <v>1028</v>
      </c>
      <c r="D942">
        <f t="shared" ref="D942" si="845">_xlfn.NUMBERVALUE(LEFT(C942,2))</f>
        <v>15</v>
      </c>
      <c r="E942">
        <f t="shared" ref="E942" si="846">_xlfn.NUMBERVALUE(MID(C942,4,2))</f>
        <v>8</v>
      </c>
      <c r="F942">
        <f t="shared" ref="F942" si="847">_xlfn.NUMBERVALUE(RIGHT(C942,4))</f>
        <v>2023</v>
      </c>
      <c r="G942" t="s">
        <v>7</v>
      </c>
      <c r="H942">
        <v>-1</v>
      </c>
      <c r="K942" t="s">
        <v>9</v>
      </c>
      <c r="L942" s="8">
        <f t="shared" si="719"/>
        <v>-1</v>
      </c>
      <c r="M942" t="s">
        <v>1035</v>
      </c>
    </row>
    <row r="943" spans="1:13" x14ac:dyDescent="0.35">
      <c r="A943">
        <f t="shared" si="216"/>
        <v>939</v>
      </c>
      <c r="B943" s="9">
        <f t="shared" ref="B943" si="848">B942+H943+I943+J943</f>
        <v>81.61</v>
      </c>
      <c r="C943" s="3" t="s">
        <v>1028</v>
      </c>
      <c r="D943">
        <f t="shared" ref="D943" si="849">_xlfn.NUMBERVALUE(LEFT(C943,2))</f>
        <v>15</v>
      </c>
      <c r="E943">
        <f t="shared" ref="E943" si="850">_xlfn.NUMBERVALUE(MID(C943,4,2))</f>
        <v>8</v>
      </c>
      <c r="F943">
        <f t="shared" ref="F943" si="851">_xlfn.NUMBERVALUE(RIGHT(C943,4))</f>
        <v>2023</v>
      </c>
      <c r="G943" t="s">
        <v>7</v>
      </c>
      <c r="H943">
        <v>-1</v>
      </c>
      <c r="K943" t="s">
        <v>9</v>
      </c>
      <c r="L943" s="8">
        <f t="shared" si="719"/>
        <v>-1</v>
      </c>
      <c r="M943" t="s">
        <v>1036</v>
      </c>
    </row>
    <row r="944" spans="1:13" x14ac:dyDescent="0.35">
      <c r="A944">
        <f t="shared" si="216"/>
        <v>940</v>
      </c>
      <c r="B944" s="9">
        <f t="shared" ref="B944" si="852">B943+H944+I944+J944</f>
        <v>83.61</v>
      </c>
      <c r="C944" s="3" t="s">
        <v>1037</v>
      </c>
      <c r="D944">
        <f t="shared" ref="D944" si="853">_xlfn.NUMBERVALUE(LEFT(C944,2))</f>
        <v>16</v>
      </c>
      <c r="E944">
        <f t="shared" ref="E944" si="854">_xlfn.NUMBERVALUE(MID(C944,4,2))</f>
        <v>8</v>
      </c>
      <c r="F944">
        <f t="shared" ref="F944" si="855">_xlfn.NUMBERVALUE(RIGHT(C944,4))</f>
        <v>2023</v>
      </c>
      <c r="G944" t="s">
        <v>7</v>
      </c>
      <c r="H944">
        <v>-1</v>
      </c>
      <c r="I944">
        <v>3</v>
      </c>
      <c r="K944" t="s">
        <v>10</v>
      </c>
      <c r="L944" s="8">
        <f t="shared" si="719"/>
        <v>2</v>
      </c>
      <c r="M944" t="s">
        <v>1038</v>
      </c>
    </row>
    <row r="945" spans="1:13" x14ac:dyDescent="0.35">
      <c r="A945">
        <f t="shared" si="216"/>
        <v>941</v>
      </c>
      <c r="B945" s="9">
        <f t="shared" ref="B945" si="856">B944+H945+I945+J945</f>
        <v>82.61</v>
      </c>
      <c r="C945" s="3" t="s">
        <v>1037</v>
      </c>
      <c r="D945">
        <f t="shared" ref="D945" si="857">_xlfn.NUMBERVALUE(LEFT(C945,2))</f>
        <v>16</v>
      </c>
      <c r="E945">
        <f t="shared" ref="E945" si="858">_xlfn.NUMBERVALUE(MID(C945,4,2))</f>
        <v>8</v>
      </c>
      <c r="F945">
        <f t="shared" ref="F945" si="859">_xlfn.NUMBERVALUE(RIGHT(C945,4))</f>
        <v>2023</v>
      </c>
      <c r="G945" t="s">
        <v>7</v>
      </c>
      <c r="H945">
        <v>-1</v>
      </c>
      <c r="K945" t="s">
        <v>9</v>
      </c>
      <c r="L945" s="8">
        <f t="shared" si="719"/>
        <v>-1</v>
      </c>
      <c r="M945" t="s">
        <v>1039</v>
      </c>
    </row>
    <row r="946" spans="1:13" x14ac:dyDescent="0.35">
      <c r="A946">
        <f t="shared" si="216"/>
        <v>942</v>
      </c>
      <c r="B946" s="9">
        <f t="shared" ref="B946" si="860">B945+H946+I946+J946</f>
        <v>81.61</v>
      </c>
      <c r="C946" s="3" t="s">
        <v>1037</v>
      </c>
      <c r="D946">
        <f t="shared" ref="D946" si="861">_xlfn.NUMBERVALUE(LEFT(C946,2))</f>
        <v>16</v>
      </c>
      <c r="E946">
        <f t="shared" ref="E946" si="862">_xlfn.NUMBERVALUE(MID(C946,4,2))</f>
        <v>8</v>
      </c>
      <c r="F946">
        <f t="shared" ref="F946" si="863">_xlfn.NUMBERVALUE(RIGHT(C946,4))</f>
        <v>2023</v>
      </c>
      <c r="G946" t="s">
        <v>7</v>
      </c>
      <c r="H946">
        <v>-1</v>
      </c>
      <c r="K946" t="s">
        <v>9</v>
      </c>
      <c r="L946" s="8">
        <f t="shared" si="719"/>
        <v>-1</v>
      </c>
      <c r="M946" t="s">
        <v>1040</v>
      </c>
    </row>
    <row r="947" spans="1:13" x14ac:dyDescent="0.35">
      <c r="A947">
        <f t="shared" si="216"/>
        <v>943</v>
      </c>
      <c r="B947" s="9">
        <f t="shared" ref="B947" si="864">B946+H947+I947+J947</f>
        <v>80.61</v>
      </c>
      <c r="C947" s="3" t="s">
        <v>1037</v>
      </c>
      <c r="D947">
        <f t="shared" ref="D947" si="865">_xlfn.NUMBERVALUE(LEFT(C947,2))</f>
        <v>16</v>
      </c>
      <c r="E947">
        <f t="shared" ref="E947" si="866">_xlfn.NUMBERVALUE(MID(C947,4,2))</f>
        <v>8</v>
      </c>
      <c r="F947">
        <f t="shared" ref="F947" si="867">_xlfn.NUMBERVALUE(RIGHT(C947,4))</f>
        <v>2023</v>
      </c>
      <c r="G947" t="s">
        <v>7</v>
      </c>
      <c r="H947">
        <v>-1</v>
      </c>
      <c r="K947" t="s">
        <v>9</v>
      </c>
      <c r="L947" s="8">
        <f t="shared" si="719"/>
        <v>-1</v>
      </c>
      <c r="M947" t="s">
        <v>1041</v>
      </c>
    </row>
    <row r="948" spans="1:13" x14ac:dyDescent="0.35">
      <c r="A948">
        <f t="shared" si="216"/>
        <v>944</v>
      </c>
      <c r="B948" s="9">
        <f t="shared" ref="B948" si="868">B947+H948+I948+J948</f>
        <v>79.61</v>
      </c>
      <c r="C948" s="3" t="s">
        <v>1042</v>
      </c>
      <c r="D948">
        <f t="shared" ref="D948" si="869">_xlfn.NUMBERVALUE(LEFT(C948,2))</f>
        <v>17</v>
      </c>
      <c r="E948">
        <f t="shared" ref="E948" si="870">_xlfn.NUMBERVALUE(MID(C948,4,2))</f>
        <v>8</v>
      </c>
      <c r="F948">
        <f t="shared" ref="F948" si="871">_xlfn.NUMBERVALUE(RIGHT(C948,4))</f>
        <v>2023</v>
      </c>
      <c r="G948" t="s">
        <v>7</v>
      </c>
      <c r="H948">
        <v>-1</v>
      </c>
      <c r="K948" t="s">
        <v>9</v>
      </c>
      <c r="L948" s="8">
        <f t="shared" si="719"/>
        <v>-1</v>
      </c>
      <c r="M948" t="s">
        <v>1043</v>
      </c>
    </row>
    <row r="949" spans="1:13" x14ac:dyDescent="0.35">
      <c r="A949">
        <f t="shared" si="216"/>
        <v>945</v>
      </c>
      <c r="B949" s="9">
        <f t="shared" ref="B949" si="872">B948+H949+I949+J949</f>
        <v>80.61</v>
      </c>
      <c r="C949" s="3" t="s">
        <v>1042</v>
      </c>
      <c r="D949">
        <f t="shared" ref="D949" si="873">_xlfn.NUMBERVALUE(LEFT(C949,2))</f>
        <v>17</v>
      </c>
      <c r="E949">
        <f t="shared" ref="E949" si="874">_xlfn.NUMBERVALUE(MID(C949,4,2))</f>
        <v>8</v>
      </c>
      <c r="F949">
        <f t="shared" ref="F949" si="875">_xlfn.NUMBERVALUE(RIGHT(C949,4))</f>
        <v>2023</v>
      </c>
      <c r="G949" t="s">
        <v>7</v>
      </c>
      <c r="H949">
        <v>-1</v>
      </c>
      <c r="I949">
        <v>2</v>
      </c>
      <c r="K949" t="s">
        <v>10</v>
      </c>
      <c r="L949" s="8">
        <f t="shared" si="719"/>
        <v>1</v>
      </c>
      <c r="M949" t="s">
        <v>1044</v>
      </c>
    </row>
    <row r="950" spans="1:13" x14ac:dyDescent="0.35">
      <c r="A950">
        <f t="shared" si="216"/>
        <v>946</v>
      </c>
      <c r="B950" s="9">
        <f t="shared" ref="B950:B951" si="876">B949+H950+I950+J950</f>
        <v>82.61</v>
      </c>
      <c r="C950" s="3" t="s">
        <v>1045</v>
      </c>
      <c r="D950">
        <f t="shared" ref="D950:D951" si="877">_xlfn.NUMBERVALUE(LEFT(C950,2))</f>
        <v>18</v>
      </c>
      <c r="E950">
        <f t="shared" ref="E950:E951" si="878">_xlfn.NUMBERVALUE(MID(C950,4,2))</f>
        <v>8</v>
      </c>
      <c r="F950">
        <f t="shared" ref="F950:F951" si="879">_xlfn.NUMBERVALUE(RIGHT(C950,4))</f>
        <v>2023</v>
      </c>
      <c r="G950" t="s">
        <v>7</v>
      </c>
      <c r="H950">
        <v>-1</v>
      </c>
      <c r="I950">
        <v>3</v>
      </c>
      <c r="K950" t="s">
        <v>10</v>
      </c>
      <c r="L950" s="8">
        <f t="shared" si="719"/>
        <v>2</v>
      </c>
      <c r="M950" t="s">
        <v>1046</v>
      </c>
    </row>
    <row r="951" spans="1:13" x14ac:dyDescent="0.35">
      <c r="A951">
        <f t="shared" si="216"/>
        <v>947</v>
      </c>
      <c r="B951" s="9">
        <f t="shared" si="876"/>
        <v>83.61</v>
      </c>
      <c r="C951" s="3" t="s">
        <v>1047</v>
      </c>
      <c r="D951">
        <f t="shared" si="877"/>
        <v>19</v>
      </c>
      <c r="E951">
        <f t="shared" si="878"/>
        <v>8</v>
      </c>
      <c r="F951">
        <f t="shared" si="879"/>
        <v>2023</v>
      </c>
      <c r="G951" t="s">
        <v>7</v>
      </c>
      <c r="H951">
        <v>-1</v>
      </c>
      <c r="I951">
        <v>2</v>
      </c>
      <c r="K951" t="s">
        <v>10</v>
      </c>
      <c r="L951" s="8">
        <f t="shared" si="719"/>
        <v>1</v>
      </c>
      <c r="M951" t="s">
        <v>1048</v>
      </c>
    </row>
    <row r="952" spans="1:13" x14ac:dyDescent="0.35">
      <c r="A952">
        <f t="shared" si="216"/>
        <v>948</v>
      </c>
      <c r="B952" s="9">
        <f t="shared" ref="B952" si="880">B951+H952+I952+J952</f>
        <v>82.61</v>
      </c>
      <c r="C952" s="3" t="s">
        <v>1047</v>
      </c>
      <c r="D952">
        <f t="shared" ref="D952" si="881">_xlfn.NUMBERVALUE(LEFT(C952,2))</f>
        <v>19</v>
      </c>
      <c r="E952">
        <f t="shared" ref="E952" si="882">_xlfn.NUMBERVALUE(MID(C952,4,2))</f>
        <v>8</v>
      </c>
      <c r="F952">
        <f t="shared" ref="F952" si="883">_xlfn.NUMBERVALUE(RIGHT(C952,4))</f>
        <v>2023</v>
      </c>
      <c r="G952" t="s">
        <v>7</v>
      </c>
      <c r="H952">
        <v>-1</v>
      </c>
      <c r="K952" t="s">
        <v>9</v>
      </c>
      <c r="L952" s="8">
        <f t="shared" si="719"/>
        <v>-1</v>
      </c>
      <c r="M952" t="s">
        <v>1049</v>
      </c>
    </row>
    <row r="953" spans="1:13" x14ac:dyDescent="0.35">
      <c r="A953">
        <f t="shared" si="216"/>
        <v>949</v>
      </c>
      <c r="B953" s="9">
        <f t="shared" ref="B953" si="884">B952+H953+I953+J953</f>
        <v>81.61</v>
      </c>
      <c r="C953" s="3" t="s">
        <v>1050</v>
      </c>
      <c r="D953">
        <f t="shared" ref="D953" si="885">_xlfn.NUMBERVALUE(LEFT(C953,2))</f>
        <v>25</v>
      </c>
      <c r="E953">
        <f t="shared" ref="E953" si="886">_xlfn.NUMBERVALUE(MID(C953,4,2))</f>
        <v>8</v>
      </c>
      <c r="F953">
        <f t="shared" ref="F953" si="887">_xlfn.NUMBERVALUE(RIGHT(C953,4))</f>
        <v>2023</v>
      </c>
      <c r="G953" t="s">
        <v>7</v>
      </c>
      <c r="H953">
        <v>-1</v>
      </c>
      <c r="K953" t="s">
        <v>9</v>
      </c>
      <c r="L953" s="8">
        <f t="shared" si="719"/>
        <v>-1</v>
      </c>
      <c r="M953" t="s">
        <v>1051</v>
      </c>
    </row>
    <row r="954" spans="1:13" x14ac:dyDescent="0.35">
      <c r="A954">
        <f t="shared" si="216"/>
        <v>950</v>
      </c>
      <c r="B954" s="9">
        <f t="shared" ref="B954" si="888">B953+H954+I954+J954</f>
        <v>80.61</v>
      </c>
      <c r="C954" s="3" t="s">
        <v>1052</v>
      </c>
      <c r="D954">
        <f t="shared" ref="D954" si="889">_xlfn.NUMBERVALUE(LEFT(C954,2))</f>
        <v>26</v>
      </c>
      <c r="E954">
        <f t="shared" ref="E954" si="890">_xlfn.NUMBERVALUE(MID(C954,4,2))</f>
        <v>8</v>
      </c>
      <c r="F954">
        <f t="shared" ref="F954" si="891">_xlfn.NUMBERVALUE(RIGHT(C954,4))</f>
        <v>2023</v>
      </c>
      <c r="G954" t="s">
        <v>7</v>
      </c>
      <c r="H954">
        <v>-1</v>
      </c>
      <c r="K954" t="s">
        <v>9</v>
      </c>
      <c r="L954" s="8">
        <f t="shared" si="719"/>
        <v>-1</v>
      </c>
      <c r="M954" t="s">
        <v>1053</v>
      </c>
    </row>
    <row r="955" spans="1:13" x14ac:dyDescent="0.35">
      <c r="A955">
        <f t="shared" si="216"/>
        <v>951</v>
      </c>
      <c r="B955" s="9">
        <f t="shared" ref="B955" si="892">B954+H955+I955+J955</f>
        <v>79.61</v>
      </c>
      <c r="C955" s="3" t="s">
        <v>1052</v>
      </c>
      <c r="D955">
        <f t="shared" ref="D955" si="893">_xlfn.NUMBERVALUE(LEFT(C955,2))</f>
        <v>26</v>
      </c>
      <c r="E955">
        <f t="shared" ref="E955" si="894">_xlfn.NUMBERVALUE(MID(C955,4,2))</f>
        <v>8</v>
      </c>
      <c r="F955">
        <f t="shared" ref="F955" si="895">_xlfn.NUMBERVALUE(RIGHT(C955,4))</f>
        <v>2023</v>
      </c>
      <c r="G955" t="s">
        <v>7</v>
      </c>
      <c r="H955">
        <v>-1</v>
      </c>
      <c r="K955" t="s">
        <v>9</v>
      </c>
      <c r="L955" s="8">
        <f t="shared" si="719"/>
        <v>-1</v>
      </c>
      <c r="M955" t="s">
        <v>1054</v>
      </c>
    </row>
    <row r="956" spans="1:13" x14ac:dyDescent="0.35">
      <c r="A956">
        <f t="shared" si="216"/>
        <v>952</v>
      </c>
      <c r="B956" s="9">
        <f t="shared" ref="B956" si="896">B955+H956+I956+J956</f>
        <v>78.61</v>
      </c>
      <c r="C956" s="3" t="s">
        <v>1052</v>
      </c>
      <c r="D956">
        <f t="shared" ref="D956" si="897">_xlfn.NUMBERVALUE(LEFT(C956,2))</f>
        <v>26</v>
      </c>
      <c r="E956">
        <f t="shared" ref="E956" si="898">_xlfn.NUMBERVALUE(MID(C956,4,2))</f>
        <v>8</v>
      </c>
      <c r="F956">
        <f t="shared" ref="F956" si="899">_xlfn.NUMBERVALUE(RIGHT(C956,4))</f>
        <v>2023</v>
      </c>
      <c r="G956" t="s">
        <v>7</v>
      </c>
      <c r="H956">
        <v>-1</v>
      </c>
      <c r="K956" t="s">
        <v>9</v>
      </c>
      <c r="L956" s="8">
        <f t="shared" si="719"/>
        <v>-1</v>
      </c>
      <c r="M956" t="s">
        <v>1055</v>
      </c>
    </row>
    <row r="957" spans="1:13" x14ac:dyDescent="0.35">
      <c r="A957">
        <f t="shared" si="216"/>
        <v>953</v>
      </c>
      <c r="B957" s="9">
        <f t="shared" ref="B957" si="900">B956+H957+I957+J957</f>
        <v>77.61</v>
      </c>
      <c r="C957" s="3" t="s">
        <v>1052</v>
      </c>
      <c r="D957">
        <f t="shared" ref="D957" si="901">_xlfn.NUMBERVALUE(LEFT(C957,2))</f>
        <v>26</v>
      </c>
      <c r="E957">
        <f t="shared" ref="E957" si="902">_xlfn.NUMBERVALUE(MID(C957,4,2))</f>
        <v>8</v>
      </c>
      <c r="F957">
        <f t="shared" ref="F957" si="903">_xlfn.NUMBERVALUE(RIGHT(C957,4))</f>
        <v>2023</v>
      </c>
      <c r="G957" t="s">
        <v>7</v>
      </c>
      <c r="H957">
        <v>-1</v>
      </c>
      <c r="K957" t="s">
        <v>9</v>
      </c>
      <c r="L957" s="8">
        <f t="shared" si="719"/>
        <v>-1</v>
      </c>
      <c r="M957" t="s">
        <v>1056</v>
      </c>
    </row>
    <row r="958" spans="1:13" x14ac:dyDescent="0.35">
      <c r="A958">
        <f t="shared" si="216"/>
        <v>954</v>
      </c>
      <c r="B958" s="9">
        <f t="shared" ref="B958" si="904">B957+H958+I958+J958</f>
        <v>76.61</v>
      </c>
      <c r="C958" s="3" t="s">
        <v>1052</v>
      </c>
      <c r="D958">
        <f t="shared" ref="D958" si="905">_xlfn.NUMBERVALUE(LEFT(C958,2))</f>
        <v>26</v>
      </c>
      <c r="E958">
        <f t="shared" ref="E958" si="906">_xlfn.NUMBERVALUE(MID(C958,4,2))</f>
        <v>8</v>
      </c>
      <c r="F958">
        <f t="shared" ref="F958" si="907">_xlfn.NUMBERVALUE(RIGHT(C958,4))</f>
        <v>2023</v>
      </c>
      <c r="G958" t="s">
        <v>7</v>
      </c>
      <c r="H958">
        <v>-1</v>
      </c>
      <c r="K958" t="s">
        <v>9</v>
      </c>
      <c r="L958" s="8">
        <f t="shared" si="719"/>
        <v>-1</v>
      </c>
      <c r="M958" t="s">
        <v>1057</v>
      </c>
    </row>
    <row r="959" spans="1:13" x14ac:dyDescent="0.35">
      <c r="A959">
        <f t="shared" si="216"/>
        <v>955</v>
      </c>
      <c r="B959" s="9">
        <f t="shared" ref="B959" si="908">B958+H959+I959+J959</f>
        <v>77.61</v>
      </c>
      <c r="C959" s="3" t="s">
        <v>1052</v>
      </c>
      <c r="D959">
        <f t="shared" ref="D959" si="909">_xlfn.NUMBERVALUE(LEFT(C959,2))</f>
        <v>26</v>
      </c>
      <c r="E959">
        <f t="shared" ref="E959" si="910">_xlfn.NUMBERVALUE(MID(C959,4,2))</f>
        <v>8</v>
      </c>
      <c r="F959">
        <f t="shared" ref="F959" si="911">_xlfn.NUMBERVALUE(RIGHT(C959,4))</f>
        <v>2023</v>
      </c>
      <c r="G959" t="s">
        <v>7</v>
      </c>
      <c r="H959">
        <v>-1</v>
      </c>
      <c r="I959">
        <v>2</v>
      </c>
      <c r="K959" t="s">
        <v>10</v>
      </c>
      <c r="L959" s="8">
        <f t="shared" si="719"/>
        <v>1</v>
      </c>
      <c r="M959" t="s">
        <v>1058</v>
      </c>
    </row>
    <row r="960" spans="1:13" x14ac:dyDescent="0.35">
      <c r="A960">
        <f t="shared" si="216"/>
        <v>956</v>
      </c>
      <c r="B960" s="9">
        <f t="shared" ref="B960" si="912">B959+H960+I960+J960</f>
        <v>76.61</v>
      </c>
      <c r="C960" s="3" t="s">
        <v>1052</v>
      </c>
      <c r="D960">
        <f t="shared" ref="D960" si="913">_xlfn.NUMBERVALUE(LEFT(C960,2))</f>
        <v>26</v>
      </c>
      <c r="E960">
        <f t="shared" ref="E960" si="914">_xlfn.NUMBERVALUE(MID(C960,4,2))</f>
        <v>8</v>
      </c>
      <c r="F960">
        <f t="shared" ref="F960" si="915">_xlfn.NUMBERVALUE(RIGHT(C960,4))</f>
        <v>2023</v>
      </c>
      <c r="G960" t="s">
        <v>7</v>
      </c>
      <c r="H960">
        <v>-1</v>
      </c>
      <c r="K960" t="s">
        <v>9</v>
      </c>
      <c r="L960" s="8">
        <f t="shared" si="719"/>
        <v>-1</v>
      </c>
      <c r="M960" t="s">
        <v>1059</v>
      </c>
    </row>
    <row r="961" spans="1:13" x14ac:dyDescent="0.35">
      <c r="A961">
        <f t="shared" si="216"/>
        <v>957</v>
      </c>
      <c r="B961" s="9">
        <f t="shared" ref="B961" si="916">B960+H961+I961+J961</f>
        <v>75.61</v>
      </c>
      <c r="C961" s="3" t="s">
        <v>1052</v>
      </c>
      <c r="D961">
        <f t="shared" ref="D961" si="917">_xlfn.NUMBERVALUE(LEFT(C961,2))</f>
        <v>26</v>
      </c>
      <c r="E961">
        <f t="shared" ref="E961" si="918">_xlfn.NUMBERVALUE(MID(C961,4,2))</f>
        <v>8</v>
      </c>
      <c r="F961">
        <f t="shared" ref="F961" si="919">_xlfn.NUMBERVALUE(RIGHT(C961,4))</f>
        <v>2023</v>
      </c>
      <c r="G961" t="s">
        <v>7</v>
      </c>
      <c r="H961">
        <v>-1</v>
      </c>
      <c r="K961" t="s">
        <v>9</v>
      </c>
      <c r="L961" s="8">
        <f t="shared" si="719"/>
        <v>-1</v>
      </c>
      <c r="M961" t="s">
        <v>1060</v>
      </c>
    </row>
    <row r="962" spans="1:13" x14ac:dyDescent="0.35">
      <c r="A962">
        <f t="shared" si="216"/>
        <v>958</v>
      </c>
      <c r="B962" s="9">
        <f t="shared" ref="B962" si="920">B961+H962+I962+J962</f>
        <v>74.61</v>
      </c>
      <c r="C962" s="3" t="s">
        <v>1052</v>
      </c>
      <c r="D962">
        <f t="shared" ref="D962" si="921">_xlfn.NUMBERVALUE(LEFT(C962,2))</f>
        <v>26</v>
      </c>
      <c r="E962">
        <f t="shared" ref="E962" si="922">_xlfn.NUMBERVALUE(MID(C962,4,2))</f>
        <v>8</v>
      </c>
      <c r="F962">
        <f t="shared" ref="F962" si="923">_xlfn.NUMBERVALUE(RIGHT(C962,4))</f>
        <v>2023</v>
      </c>
      <c r="G962" t="s">
        <v>7</v>
      </c>
      <c r="H962">
        <v>-1</v>
      </c>
      <c r="K962" t="s">
        <v>9</v>
      </c>
      <c r="L962" s="8">
        <f t="shared" si="719"/>
        <v>-1</v>
      </c>
      <c r="M962" t="s">
        <v>1061</v>
      </c>
    </row>
    <row r="963" spans="1:13" x14ac:dyDescent="0.35">
      <c r="A963">
        <f t="shared" si="216"/>
        <v>959</v>
      </c>
      <c r="B963" s="9">
        <f t="shared" ref="B963" si="924">B962+H963+I963+J963</f>
        <v>73.61</v>
      </c>
      <c r="C963" s="3" t="s">
        <v>1062</v>
      </c>
      <c r="D963">
        <f t="shared" ref="D963" si="925">_xlfn.NUMBERVALUE(LEFT(C963,2))</f>
        <v>30</v>
      </c>
      <c r="E963">
        <f t="shared" ref="E963" si="926">_xlfn.NUMBERVALUE(MID(C963,4,2))</f>
        <v>8</v>
      </c>
      <c r="F963">
        <f t="shared" ref="F963" si="927">_xlfn.NUMBERVALUE(RIGHT(C963,4))</f>
        <v>2023</v>
      </c>
      <c r="G963" t="s">
        <v>7</v>
      </c>
      <c r="H963">
        <v>-1</v>
      </c>
      <c r="K963" t="s">
        <v>9</v>
      </c>
      <c r="L963" s="8">
        <f t="shared" si="719"/>
        <v>-1</v>
      </c>
      <c r="M963" t="s">
        <v>1063</v>
      </c>
    </row>
    <row r="964" spans="1:13" x14ac:dyDescent="0.35">
      <c r="A964">
        <f t="shared" ref="A964:A1218" si="928">A963+1</f>
        <v>960</v>
      </c>
      <c r="B964" s="9">
        <f t="shared" ref="B964" si="929">B963+H964+I964+J964</f>
        <v>75.61</v>
      </c>
      <c r="C964" s="3" t="s">
        <v>1062</v>
      </c>
      <c r="D964">
        <f t="shared" ref="D964" si="930">_xlfn.NUMBERVALUE(LEFT(C964,2))</f>
        <v>30</v>
      </c>
      <c r="E964">
        <f t="shared" ref="E964" si="931">_xlfn.NUMBERVALUE(MID(C964,4,2))</f>
        <v>8</v>
      </c>
      <c r="F964">
        <f t="shared" ref="F964" si="932">_xlfn.NUMBERVALUE(RIGHT(C964,4))</f>
        <v>2023</v>
      </c>
      <c r="G964" t="s">
        <v>7</v>
      </c>
      <c r="H964">
        <v>-1</v>
      </c>
      <c r="I964">
        <v>3</v>
      </c>
      <c r="K964" t="s">
        <v>10</v>
      </c>
      <c r="L964" s="8">
        <f t="shared" si="719"/>
        <v>2</v>
      </c>
      <c r="M964" t="s">
        <v>1064</v>
      </c>
    </row>
    <row r="965" spans="1:13" x14ac:dyDescent="0.35">
      <c r="A965">
        <f t="shared" si="928"/>
        <v>961</v>
      </c>
      <c r="B965" s="9">
        <f t="shared" ref="B965" si="933">B964+H965+I965+J965</f>
        <v>74.61</v>
      </c>
      <c r="C965" s="3" t="s">
        <v>1065</v>
      </c>
      <c r="D965">
        <f t="shared" ref="D965" si="934">_xlfn.NUMBERVALUE(LEFT(C965,2))</f>
        <v>31</v>
      </c>
      <c r="E965">
        <f t="shared" ref="E965" si="935">_xlfn.NUMBERVALUE(MID(C965,4,2))</f>
        <v>8</v>
      </c>
      <c r="F965">
        <f t="shared" ref="F965" si="936">_xlfn.NUMBERVALUE(RIGHT(C965,4))</f>
        <v>2023</v>
      </c>
      <c r="G965" t="s">
        <v>7</v>
      </c>
      <c r="H965">
        <v>-1</v>
      </c>
      <c r="K965" t="s">
        <v>9</v>
      </c>
      <c r="L965" s="8">
        <f t="shared" si="719"/>
        <v>-1</v>
      </c>
      <c r="M965" t="s">
        <v>1066</v>
      </c>
    </row>
    <row r="966" spans="1:13" x14ac:dyDescent="0.35">
      <c r="A966">
        <f t="shared" si="928"/>
        <v>962</v>
      </c>
      <c r="B966" s="9">
        <f t="shared" ref="B966" si="937">B965+H966+I966+J966</f>
        <v>78.61</v>
      </c>
      <c r="C966" s="3" t="s">
        <v>1065</v>
      </c>
      <c r="D966">
        <f t="shared" ref="D966" si="938">_xlfn.NUMBERVALUE(LEFT(C966,2))</f>
        <v>31</v>
      </c>
      <c r="E966">
        <f t="shared" ref="E966" si="939">_xlfn.NUMBERVALUE(MID(C966,4,2))</f>
        <v>8</v>
      </c>
      <c r="F966">
        <f t="shared" ref="F966" si="940">_xlfn.NUMBERVALUE(RIGHT(C966,4))</f>
        <v>2023</v>
      </c>
      <c r="G966" t="s">
        <v>7</v>
      </c>
      <c r="H966">
        <v>-1</v>
      </c>
      <c r="I966">
        <v>5</v>
      </c>
      <c r="K966" t="s">
        <v>10</v>
      </c>
      <c r="L966" s="8">
        <f t="shared" ref="L966:L1029" si="941">IF(H966="",0,(SUM(I966:J966)/-H966)-1)</f>
        <v>4</v>
      </c>
      <c r="M966" t="s">
        <v>1067</v>
      </c>
    </row>
    <row r="967" spans="1:13" x14ac:dyDescent="0.35">
      <c r="A967">
        <f t="shared" si="928"/>
        <v>963</v>
      </c>
      <c r="B967" s="9">
        <f t="shared" ref="B967:B968" si="942">B966+H967+I967+J967</f>
        <v>77.61</v>
      </c>
      <c r="C967" s="3" t="s">
        <v>1065</v>
      </c>
      <c r="D967">
        <f t="shared" ref="D967:D968" si="943">_xlfn.NUMBERVALUE(LEFT(C967,2))</f>
        <v>31</v>
      </c>
      <c r="E967">
        <f t="shared" ref="E967:E968" si="944">_xlfn.NUMBERVALUE(MID(C967,4,2))</f>
        <v>8</v>
      </c>
      <c r="F967">
        <f t="shared" ref="F967:F968" si="945">_xlfn.NUMBERVALUE(RIGHT(C967,4))</f>
        <v>2023</v>
      </c>
      <c r="G967" t="s">
        <v>1068</v>
      </c>
      <c r="H967">
        <v>-1</v>
      </c>
      <c r="K967" t="s">
        <v>9</v>
      </c>
      <c r="L967" s="8">
        <f t="shared" si="941"/>
        <v>-1</v>
      </c>
      <c r="M967" t="s">
        <v>1069</v>
      </c>
    </row>
    <row r="968" spans="1:13" x14ac:dyDescent="0.35">
      <c r="A968">
        <f t="shared" si="928"/>
        <v>964</v>
      </c>
      <c r="B968" s="9">
        <f t="shared" si="942"/>
        <v>76.61</v>
      </c>
      <c r="C968" s="3" t="s">
        <v>1065</v>
      </c>
      <c r="D968">
        <f t="shared" si="943"/>
        <v>31</v>
      </c>
      <c r="E968">
        <f t="shared" si="944"/>
        <v>8</v>
      </c>
      <c r="F968">
        <f t="shared" si="945"/>
        <v>2023</v>
      </c>
      <c r="G968" t="s">
        <v>7</v>
      </c>
      <c r="H968">
        <v>-1</v>
      </c>
      <c r="K968" t="s">
        <v>9</v>
      </c>
      <c r="L968" s="8">
        <f t="shared" si="941"/>
        <v>-1</v>
      </c>
      <c r="M968" t="s">
        <v>1070</v>
      </c>
    </row>
    <row r="969" spans="1:13" x14ac:dyDescent="0.35">
      <c r="A969">
        <f t="shared" si="928"/>
        <v>965</v>
      </c>
      <c r="B969" s="9">
        <f t="shared" ref="B969" si="946">B968+H969+I969+J969</f>
        <v>75.61</v>
      </c>
      <c r="C969" s="3" t="s">
        <v>1065</v>
      </c>
      <c r="D969">
        <f t="shared" ref="D969" si="947">_xlfn.NUMBERVALUE(LEFT(C969,2))</f>
        <v>31</v>
      </c>
      <c r="E969">
        <f t="shared" ref="E969" si="948">_xlfn.NUMBERVALUE(MID(C969,4,2))</f>
        <v>8</v>
      </c>
      <c r="F969">
        <f t="shared" ref="F969" si="949">_xlfn.NUMBERVALUE(RIGHT(C969,4))</f>
        <v>2023</v>
      </c>
      <c r="G969" t="s">
        <v>7</v>
      </c>
      <c r="H969">
        <v>-1</v>
      </c>
      <c r="K969" t="s">
        <v>9</v>
      </c>
      <c r="L969" s="8">
        <f t="shared" si="941"/>
        <v>-1</v>
      </c>
      <c r="M969" t="s">
        <v>1071</v>
      </c>
    </row>
    <row r="970" spans="1:13" x14ac:dyDescent="0.35">
      <c r="A970">
        <f t="shared" si="928"/>
        <v>966</v>
      </c>
      <c r="B970" s="9">
        <f t="shared" ref="B970" si="950">B969+H970+I970+J970</f>
        <v>74.61</v>
      </c>
      <c r="C970" s="3" t="s">
        <v>1065</v>
      </c>
      <c r="D970">
        <f t="shared" ref="D970" si="951">_xlfn.NUMBERVALUE(LEFT(C970,2))</f>
        <v>31</v>
      </c>
      <c r="E970">
        <f t="shared" ref="E970" si="952">_xlfn.NUMBERVALUE(MID(C970,4,2))</f>
        <v>8</v>
      </c>
      <c r="F970">
        <f t="shared" ref="F970" si="953">_xlfn.NUMBERVALUE(RIGHT(C970,4))</f>
        <v>2023</v>
      </c>
      <c r="G970" t="s">
        <v>7</v>
      </c>
      <c r="H970">
        <v>-1</v>
      </c>
      <c r="K970" t="s">
        <v>9</v>
      </c>
      <c r="L970" s="8">
        <f t="shared" si="941"/>
        <v>-1</v>
      </c>
      <c r="M970" t="s">
        <v>1072</v>
      </c>
    </row>
    <row r="971" spans="1:13" x14ac:dyDescent="0.35">
      <c r="A971">
        <f t="shared" si="928"/>
        <v>967</v>
      </c>
      <c r="B971" s="9">
        <f t="shared" ref="B971" si="954">B970+H971+I971+J971</f>
        <v>75.61</v>
      </c>
      <c r="C971" s="3" t="s">
        <v>1065</v>
      </c>
      <c r="D971">
        <f t="shared" ref="D971" si="955">_xlfn.NUMBERVALUE(LEFT(C971,2))</f>
        <v>31</v>
      </c>
      <c r="E971">
        <f t="shared" ref="E971" si="956">_xlfn.NUMBERVALUE(MID(C971,4,2))</f>
        <v>8</v>
      </c>
      <c r="F971">
        <f t="shared" ref="F971" si="957">_xlfn.NUMBERVALUE(RIGHT(C971,4))</f>
        <v>2023</v>
      </c>
      <c r="G971" t="s">
        <v>7</v>
      </c>
      <c r="H971">
        <v>-1</v>
      </c>
      <c r="I971">
        <v>2</v>
      </c>
      <c r="K971" t="s">
        <v>10</v>
      </c>
      <c r="L971" s="8">
        <f t="shared" si="941"/>
        <v>1</v>
      </c>
      <c r="M971" t="s">
        <v>1073</v>
      </c>
    </row>
    <row r="972" spans="1:13" x14ac:dyDescent="0.35">
      <c r="A972">
        <f t="shared" si="928"/>
        <v>968</v>
      </c>
      <c r="B972" s="9">
        <f t="shared" ref="B972" si="958">B971+H972+I972+J972</f>
        <v>79.61</v>
      </c>
      <c r="C972" s="3" t="s">
        <v>1065</v>
      </c>
      <c r="D972">
        <f t="shared" ref="D972" si="959">_xlfn.NUMBERVALUE(LEFT(C972,2))</f>
        <v>31</v>
      </c>
      <c r="E972">
        <f t="shared" ref="E972" si="960">_xlfn.NUMBERVALUE(MID(C972,4,2))</f>
        <v>8</v>
      </c>
      <c r="F972">
        <f t="shared" ref="F972" si="961">_xlfn.NUMBERVALUE(RIGHT(C972,4))</f>
        <v>2023</v>
      </c>
      <c r="G972" t="s">
        <v>7</v>
      </c>
      <c r="H972">
        <v>-1</v>
      </c>
      <c r="I972">
        <v>5</v>
      </c>
      <c r="K972" t="s">
        <v>10</v>
      </c>
      <c r="L972" s="8">
        <f t="shared" si="941"/>
        <v>4</v>
      </c>
      <c r="M972" t="s">
        <v>1074</v>
      </c>
    </row>
    <row r="973" spans="1:13" x14ac:dyDescent="0.35">
      <c r="A973">
        <f t="shared" si="928"/>
        <v>969</v>
      </c>
      <c r="B973" s="9">
        <f t="shared" ref="B973" si="962">B972+H973+I973+J973</f>
        <v>78.61</v>
      </c>
      <c r="C973" s="3" t="s">
        <v>1075</v>
      </c>
      <c r="D973">
        <f t="shared" ref="D973" si="963">_xlfn.NUMBERVALUE(LEFT(C973,2))</f>
        <v>2</v>
      </c>
      <c r="E973">
        <f t="shared" ref="E973" si="964">_xlfn.NUMBERVALUE(MID(C973,4,2))</f>
        <v>9</v>
      </c>
      <c r="F973">
        <f t="shared" ref="F973" si="965">_xlfn.NUMBERVALUE(RIGHT(C973,4))</f>
        <v>2023</v>
      </c>
      <c r="G973" t="s">
        <v>7</v>
      </c>
      <c r="H973">
        <v>-1</v>
      </c>
      <c r="K973" t="s">
        <v>9</v>
      </c>
      <c r="L973" s="8">
        <f t="shared" si="941"/>
        <v>-1</v>
      </c>
      <c r="M973" t="s">
        <v>1076</v>
      </c>
    </row>
    <row r="974" spans="1:13" x14ac:dyDescent="0.35">
      <c r="A974">
        <f t="shared" si="928"/>
        <v>970</v>
      </c>
      <c r="B974" s="9">
        <f t="shared" ref="B974" si="966">B973+H974+I974+J974</f>
        <v>79.61</v>
      </c>
      <c r="C974" s="3" t="s">
        <v>1075</v>
      </c>
      <c r="D974">
        <f t="shared" ref="D974" si="967">_xlfn.NUMBERVALUE(LEFT(C974,2))</f>
        <v>2</v>
      </c>
      <c r="E974">
        <f t="shared" ref="E974" si="968">_xlfn.NUMBERVALUE(MID(C974,4,2))</f>
        <v>9</v>
      </c>
      <c r="F974">
        <f t="shared" ref="F974" si="969">_xlfn.NUMBERVALUE(RIGHT(C974,4))</f>
        <v>2023</v>
      </c>
      <c r="G974" t="s">
        <v>7</v>
      </c>
      <c r="H974">
        <v>-1</v>
      </c>
      <c r="I974">
        <v>2</v>
      </c>
      <c r="K974" t="s">
        <v>10</v>
      </c>
      <c r="L974" s="8">
        <f t="shared" si="941"/>
        <v>1</v>
      </c>
      <c r="M974" t="s">
        <v>1077</v>
      </c>
    </row>
    <row r="975" spans="1:13" x14ac:dyDescent="0.35">
      <c r="A975">
        <f t="shared" si="928"/>
        <v>971</v>
      </c>
      <c r="B975" s="9">
        <f t="shared" ref="B975" si="970">B974+H975+I975+J975</f>
        <v>78.61</v>
      </c>
      <c r="C975" s="3" t="s">
        <v>1075</v>
      </c>
      <c r="D975">
        <f t="shared" ref="D975" si="971">_xlfn.NUMBERVALUE(LEFT(C975,2))</f>
        <v>2</v>
      </c>
      <c r="E975">
        <f t="shared" ref="E975" si="972">_xlfn.NUMBERVALUE(MID(C975,4,2))</f>
        <v>9</v>
      </c>
      <c r="F975">
        <f t="shared" ref="F975" si="973">_xlfn.NUMBERVALUE(RIGHT(C975,4))</f>
        <v>2023</v>
      </c>
      <c r="G975" t="s">
        <v>7</v>
      </c>
      <c r="H975">
        <v>-1</v>
      </c>
      <c r="K975" t="s">
        <v>9</v>
      </c>
      <c r="L975" s="8">
        <f t="shared" si="941"/>
        <v>-1</v>
      </c>
      <c r="M975" t="s">
        <v>1078</v>
      </c>
    </row>
    <row r="976" spans="1:13" x14ac:dyDescent="0.35">
      <c r="A976">
        <f t="shared" si="928"/>
        <v>972</v>
      </c>
      <c r="B976" s="9">
        <f t="shared" ref="B976" si="974">B975+H976+I976+J976</f>
        <v>77.61</v>
      </c>
      <c r="C976" s="3" t="s">
        <v>1075</v>
      </c>
      <c r="D976">
        <f t="shared" ref="D976" si="975">_xlfn.NUMBERVALUE(LEFT(C976,2))</f>
        <v>2</v>
      </c>
      <c r="E976">
        <f t="shared" ref="E976" si="976">_xlfn.NUMBERVALUE(MID(C976,4,2))</f>
        <v>9</v>
      </c>
      <c r="F976">
        <f t="shared" ref="F976" si="977">_xlfn.NUMBERVALUE(RIGHT(C976,4))</f>
        <v>2023</v>
      </c>
      <c r="G976" t="s">
        <v>7</v>
      </c>
      <c r="H976">
        <v>-1</v>
      </c>
      <c r="K976" t="s">
        <v>9</v>
      </c>
      <c r="L976" s="8">
        <f t="shared" si="941"/>
        <v>-1</v>
      </c>
      <c r="M976" t="s">
        <v>1079</v>
      </c>
    </row>
    <row r="977" spans="1:13" x14ac:dyDescent="0.35">
      <c r="A977">
        <f t="shared" si="928"/>
        <v>973</v>
      </c>
      <c r="B977" s="9">
        <f t="shared" ref="B977" si="978">B976+H977+I977+J977</f>
        <v>76.61</v>
      </c>
      <c r="C977" s="3" t="s">
        <v>1075</v>
      </c>
      <c r="D977">
        <f t="shared" ref="D977" si="979">_xlfn.NUMBERVALUE(LEFT(C977,2))</f>
        <v>2</v>
      </c>
      <c r="E977">
        <f t="shared" ref="E977" si="980">_xlfn.NUMBERVALUE(MID(C977,4,2))</f>
        <v>9</v>
      </c>
      <c r="F977">
        <f t="shared" ref="F977" si="981">_xlfn.NUMBERVALUE(RIGHT(C977,4))</f>
        <v>2023</v>
      </c>
      <c r="G977" t="s">
        <v>7</v>
      </c>
      <c r="H977">
        <v>-1</v>
      </c>
      <c r="K977" t="s">
        <v>9</v>
      </c>
      <c r="L977" s="8">
        <f t="shared" si="941"/>
        <v>-1</v>
      </c>
      <c r="M977" t="s">
        <v>1080</v>
      </c>
    </row>
    <row r="978" spans="1:13" x14ac:dyDescent="0.35">
      <c r="A978">
        <f t="shared" si="928"/>
        <v>974</v>
      </c>
      <c r="B978" s="9">
        <f t="shared" ref="B978" si="982">B977+H978+I978+J978</f>
        <v>78.61</v>
      </c>
      <c r="C978" s="3" t="s">
        <v>1075</v>
      </c>
      <c r="D978">
        <f t="shared" ref="D978" si="983">_xlfn.NUMBERVALUE(LEFT(C978,2))</f>
        <v>2</v>
      </c>
      <c r="E978">
        <f t="shared" ref="E978" si="984">_xlfn.NUMBERVALUE(MID(C978,4,2))</f>
        <v>9</v>
      </c>
      <c r="F978">
        <f t="shared" ref="F978" si="985">_xlfn.NUMBERVALUE(RIGHT(C978,4))</f>
        <v>2023</v>
      </c>
      <c r="G978" t="s">
        <v>7</v>
      </c>
      <c r="H978">
        <v>-1</v>
      </c>
      <c r="I978">
        <v>3</v>
      </c>
      <c r="K978" t="s">
        <v>10</v>
      </c>
      <c r="L978" s="8">
        <f t="shared" si="941"/>
        <v>2</v>
      </c>
      <c r="M978" t="s">
        <v>1081</v>
      </c>
    </row>
    <row r="979" spans="1:13" x14ac:dyDescent="0.35">
      <c r="A979">
        <f t="shared" si="928"/>
        <v>975</v>
      </c>
      <c r="B979" s="9">
        <f t="shared" ref="B979" si="986">B978+H979+I979+J979</f>
        <v>77.61</v>
      </c>
      <c r="C979" s="3" t="s">
        <v>1075</v>
      </c>
      <c r="D979">
        <f t="shared" ref="D979" si="987">_xlfn.NUMBERVALUE(LEFT(C979,2))</f>
        <v>2</v>
      </c>
      <c r="E979">
        <f t="shared" ref="E979" si="988">_xlfn.NUMBERVALUE(MID(C979,4,2))</f>
        <v>9</v>
      </c>
      <c r="F979">
        <f t="shared" ref="F979" si="989">_xlfn.NUMBERVALUE(RIGHT(C979,4))</f>
        <v>2023</v>
      </c>
      <c r="G979" t="s">
        <v>7</v>
      </c>
      <c r="H979">
        <v>-1</v>
      </c>
      <c r="K979" t="s">
        <v>9</v>
      </c>
      <c r="L979" s="8">
        <f t="shared" si="941"/>
        <v>-1</v>
      </c>
      <c r="M979" t="s">
        <v>1082</v>
      </c>
    </row>
    <row r="980" spans="1:13" x14ac:dyDescent="0.35">
      <c r="A980">
        <f t="shared" si="928"/>
        <v>976</v>
      </c>
      <c r="B980" s="9">
        <f t="shared" ref="B980" si="990">B979+H980+I980+J980</f>
        <v>78.61</v>
      </c>
      <c r="C980" s="3" t="s">
        <v>1075</v>
      </c>
      <c r="D980">
        <f t="shared" ref="D980" si="991">_xlfn.NUMBERVALUE(LEFT(C980,2))</f>
        <v>2</v>
      </c>
      <c r="E980">
        <f t="shared" ref="E980" si="992">_xlfn.NUMBERVALUE(MID(C980,4,2))</f>
        <v>9</v>
      </c>
      <c r="F980">
        <f t="shared" ref="F980" si="993">_xlfn.NUMBERVALUE(RIGHT(C980,4))</f>
        <v>2023</v>
      </c>
      <c r="G980" t="s">
        <v>7</v>
      </c>
      <c r="H980">
        <v>-1</v>
      </c>
      <c r="I980">
        <v>2</v>
      </c>
      <c r="K980" t="s">
        <v>10</v>
      </c>
      <c r="L980" s="8">
        <f t="shared" si="941"/>
        <v>1</v>
      </c>
      <c r="M980" t="s">
        <v>1083</v>
      </c>
    </row>
    <row r="981" spans="1:13" x14ac:dyDescent="0.35">
      <c r="A981">
        <f t="shared" si="928"/>
        <v>977</v>
      </c>
      <c r="B981" s="9">
        <f t="shared" ref="B981" si="994">B980+H981+I981+J981</f>
        <v>79.61</v>
      </c>
      <c r="C981" s="3" t="s">
        <v>1075</v>
      </c>
      <c r="D981">
        <f t="shared" ref="D981" si="995">_xlfn.NUMBERVALUE(LEFT(C981,2))</f>
        <v>2</v>
      </c>
      <c r="E981">
        <f t="shared" ref="E981" si="996">_xlfn.NUMBERVALUE(MID(C981,4,2))</f>
        <v>9</v>
      </c>
      <c r="F981">
        <f t="shared" ref="F981" si="997">_xlfn.NUMBERVALUE(RIGHT(C981,4))</f>
        <v>2023</v>
      </c>
      <c r="G981" t="s">
        <v>7</v>
      </c>
      <c r="H981">
        <v>-1</v>
      </c>
      <c r="I981">
        <v>2</v>
      </c>
      <c r="K981" t="s">
        <v>10</v>
      </c>
      <c r="L981" s="8">
        <f t="shared" si="941"/>
        <v>1</v>
      </c>
      <c r="M981" t="s">
        <v>1084</v>
      </c>
    </row>
    <row r="982" spans="1:13" x14ac:dyDescent="0.35">
      <c r="A982">
        <f t="shared" si="928"/>
        <v>978</v>
      </c>
      <c r="B982" s="9">
        <f t="shared" ref="B982" si="998">B981+H982+I982+J982</f>
        <v>78.61</v>
      </c>
      <c r="C982" s="3" t="s">
        <v>1075</v>
      </c>
      <c r="D982">
        <f t="shared" ref="D982" si="999">_xlfn.NUMBERVALUE(LEFT(C982,2))</f>
        <v>2</v>
      </c>
      <c r="E982">
        <f t="shared" ref="E982" si="1000">_xlfn.NUMBERVALUE(MID(C982,4,2))</f>
        <v>9</v>
      </c>
      <c r="F982">
        <f t="shared" ref="F982" si="1001">_xlfn.NUMBERVALUE(RIGHT(C982,4))</f>
        <v>2023</v>
      </c>
      <c r="G982" t="s">
        <v>7</v>
      </c>
      <c r="H982">
        <v>-1</v>
      </c>
      <c r="K982" t="s">
        <v>9</v>
      </c>
      <c r="L982" s="8">
        <f t="shared" si="941"/>
        <v>-1</v>
      </c>
      <c r="M982" t="s">
        <v>1085</v>
      </c>
    </row>
    <row r="983" spans="1:13" x14ac:dyDescent="0.35">
      <c r="A983">
        <f t="shared" si="928"/>
        <v>979</v>
      </c>
      <c r="B983" s="9">
        <f t="shared" ref="B983" si="1002">B982+H983+I983+J983</f>
        <v>77.61</v>
      </c>
      <c r="C983" s="3" t="s">
        <v>1075</v>
      </c>
      <c r="D983">
        <f t="shared" ref="D983" si="1003">_xlfn.NUMBERVALUE(LEFT(C983,2))</f>
        <v>2</v>
      </c>
      <c r="E983">
        <f t="shared" ref="E983" si="1004">_xlfn.NUMBERVALUE(MID(C983,4,2))</f>
        <v>9</v>
      </c>
      <c r="F983">
        <f t="shared" ref="F983" si="1005">_xlfn.NUMBERVALUE(RIGHT(C983,4))</f>
        <v>2023</v>
      </c>
      <c r="G983" t="s">
        <v>7</v>
      </c>
      <c r="H983">
        <v>-1</v>
      </c>
      <c r="K983" t="s">
        <v>9</v>
      </c>
      <c r="L983" s="8">
        <f t="shared" si="941"/>
        <v>-1</v>
      </c>
      <c r="M983" t="s">
        <v>1086</v>
      </c>
    </row>
    <row r="984" spans="1:13" x14ac:dyDescent="0.35">
      <c r="A984">
        <f t="shared" si="928"/>
        <v>980</v>
      </c>
      <c r="B984" s="9">
        <f t="shared" ref="B984" si="1006">B983+H984+I984+J984</f>
        <v>76.61</v>
      </c>
      <c r="C984" s="3" t="s">
        <v>1075</v>
      </c>
      <c r="D984">
        <f t="shared" ref="D984" si="1007">_xlfn.NUMBERVALUE(LEFT(C984,2))</f>
        <v>2</v>
      </c>
      <c r="E984">
        <f t="shared" ref="E984" si="1008">_xlfn.NUMBERVALUE(MID(C984,4,2))</f>
        <v>9</v>
      </c>
      <c r="F984">
        <f t="shared" ref="F984" si="1009">_xlfn.NUMBERVALUE(RIGHT(C984,4))</f>
        <v>2023</v>
      </c>
      <c r="G984" t="s">
        <v>7</v>
      </c>
      <c r="H984">
        <v>-1</v>
      </c>
      <c r="K984" t="s">
        <v>9</v>
      </c>
      <c r="L984" s="8">
        <f t="shared" si="941"/>
        <v>-1</v>
      </c>
      <c r="M984" t="s">
        <v>1087</v>
      </c>
    </row>
    <row r="985" spans="1:13" x14ac:dyDescent="0.35">
      <c r="A985">
        <f t="shared" si="928"/>
        <v>981</v>
      </c>
      <c r="B985" s="9">
        <f t="shared" ref="B985" si="1010">B984+H985+I985+J985</f>
        <v>75.61</v>
      </c>
      <c r="C985" s="3" t="s">
        <v>1075</v>
      </c>
      <c r="D985">
        <f t="shared" ref="D985" si="1011">_xlfn.NUMBERVALUE(LEFT(C985,2))</f>
        <v>2</v>
      </c>
      <c r="E985">
        <f t="shared" ref="E985" si="1012">_xlfn.NUMBERVALUE(MID(C985,4,2))</f>
        <v>9</v>
      </c>
      <c r="F985">
        <f t="shared" ref="F985" si="1013">_xlfn.NUMBERVALUE(RIGHT(C985,4))</f>
        <v>2023</v>
      </c>
      <c r="G985" t="s">
        <v>7</v>
      </c>
      <c r="H985">
        <v>-1</v>
      </c>
      <c r="K985" t="s">
        <v>9</v>
      </c>
      <c r="L985" s="8">
        <f t="shared" si="941"/>
        <v>-1</v>
      </c>
      <c r="M985" t="s">
        <v>1088</v>
      </c>
    </row>
    <row r="986" spans="1:13" x14ac:dyDescent="0.35">
      <c r="A986">
        <f t="shared" si="928"/>
        <v>982</v>
      </c>
      <c r="B986" s="9">
        <f t="shared" ref="B986" si="1014">B985+H986+I986+J986</f>
        <v>79.61</v>
      </c>
      <c r="C986" s="3" t="s">
        <v>1075</v>
      </c>
      <c r="D986">
        <f t="shared" ref="D986" si="1015">_xlfn.NUMBERVALUE(LEFT(C986,2))</f>
        <v>2</v>
      </c>
      <c r="E986">
        <f t="shared" ref="E986" si="1016">_xlfn.NUMBERVALUE(MID(C986,4,2))</f>
        <v>9</v>
      </c>
      <c r="F986">
        <f t="shared" ref="F986" si="1017">_xlfn.NUMBERVALUE(RIGHT(C986,4))</f>
        <v>2023</v>
      </c>
      <c r="G986" t="s">
        <v>7</v>
      </c>
      <c r="H986">
        <v>-1</v>
      </c>
      <c r="I986">
        <v>5</v>
      </c>
      <c r="K986" t="s">
        <v>10</v>
      </c>
      <c r="L986" s="8">
        <f t="shared" si="941"/>
        <v>4</v>
      </c>
      <c r="M986" t="s">
        <v>1089</v>
      </c>
    </row>
    <row r="987" spans="1:13" x14ac:dyDescent="0.35">
      <c r="A987">
        <f t="shared" si="928"/>
        <v>983</v>
      </c>
      <c r="B987" s="9">
        <f t="shared" ref="B987" si="1018">B986+H987+I987+J987</f>
        <v>78.61</v>
      </c>
      <c r="C987" s="3" t="s">
        <v>1075</v>
      </c>
      <c r="D987">
        <f t="shared" ref="D987" si="1019">_xlfn.NUMBERVALUE(LEFT(C987,2))</f>
        <v>2</v>
      </c>
      <c r="E987">
        <f t="shared" ref="E987" si="1020">_xlfn.NUMBERVALUE(MID(C987,4,2))</f>
        <v>9</v>
      </c>
      <c r="F987">
        <f t="shared" ref="F987" si="1021">_xlfn.NUMBERVALUE(RIGHT(C987,4))</f>
        <v>2023</v>
      </c>
      <c r="G987" t="s">
        <v>7</v>
      </c>
      <c r="H987">
        <v>-1</v>
      </c>
      <c r="K987" t="s">
        <v>9</v>
      </c>
      <c r="L987" s="8">
        <f t="shared" si="941"/>
        <v>-1</v>
      </c>
      <c r="M987" t="s">
        <v>1090</v>
      </c>
    </row>
    <row r="988" spans="1:13" x14ac:dyDescent="0.35">
      <c r="A988">
        <f t="shared" si="928"/>
        <v>984</v>
      </c>
      <c r="B988" s="9">
        <f t="shared" ref="B988" si="1022">B987+H988+I988+J988</f>
        <v>77.61</v>
      </c>
      <c r="C988" s="3" t="s">
        <v>1075</v>
      </c>
      <c r="D988">
        <f t="shared" ref="D988" si="1023">_xlfn.NUMBERVALUE(LEFT(C988,2))</f>
        <v>2</v>
      </c>
      <c r="E988">
        <f t="shared" ref="E988" si="1024">_xlfn.NUMBERVALUE(MID(C988,4,2))</f>
        <v>9</v>
      </c>
      <c r="F988">
        <f t="shared" ref="F988" si="1025">_xlfn.NUMBERVALUE(RIGHT(C988,4))</f>
        <v>2023</v>
      </c>
      <c r="G988" t="s">
        <v>7</v>
      </c>
      <c r="H988">
        <v>-1</v>
      </c>
      <c r="K988" t="s">
        <v>9</v>
      </c>
      <c r="L988" s="8">
        <f t="shared" si="941"/>
        <v>-1</v>
      </c>
      <c r="M988" t="s">
        <v>1091</v>
      </c>
    </row>
    <row r="989" spans="1:13" x14ac:dyDescent="0.35">
      <c r="A989">
        <f t="shared" si="928"/>
        <v>985</v>
      </c>
      <c r="B989" s="9">
        <f t="shared" ref="B989" si="1026">B988+H989+I989+J989</f>
        <v>76.61</v>
      </c>
      <c r="C989" s="3" t="s">
        <v>1075</v>
      </c>
      <c r="D989">
        <f t="shared" ref="D989" si="1027">_xlfn.NUMBERVALUE(LEFT(C989,2))</f>
        <v>2</v>
      </c>
      <c r="E989">
        <f t="shared" ref="E989" si="1028">_xlfn.NUMBERVALUE(MID(C989,4,2))</f>
        <v>9</v>
      </c>
      <c r="F989">
        <f t="shared" ref="F989" si="1029">_xlfn.NUMBERVALUE(RIGHT(C989,4))</f>
        <v>2023</v>
      </c>
      <c r="G989" t="s">
        <v>7</v>
      </c>
      <c r="H989">
        <v>-1</v>
      </c>
      <c r="K989" t="s">
        <v>9</v>
      </c>
      <c r="L989" s="8">
        <f t="shared" si="941"/>
        <v>-1</v>
      </c>
      <c r="M989" t="s">
        <v>1180</v>
      </c>
    </row>
    <row r="990" spans="1:13" x14ac:dyDescent="0.35">
      <c r="A990">
        <f t="shared" si="928"/>
        <v>986</v>
      </c>
      <c r="B990" s="9">
        <f t="shared" ref="B990" si="1030">B989+H990+I990+J990</f>
        <v>75.61</v>
      </c>
      <c r="C990" s="3" t="s">
        <v>1075</v>
      </c>
      <c r="D990">
        <f t="shared" ref="D990" si="1031">_xlfn.NUMBERVALUE(LEFT(C990,2))</f>
        <v>2</v>
      </c>
      <c r="E990">
        <f t="shared" ref="E990" si="1032">_xlfn.NUMBERVALUE(MID(C990,4,2))</f>
        <v>9</v>
      </c>
      <c r="F990">
        <f t="shared" ref="F990" si="1033">_xlfn.NUMBERVALUE(RIGHT(C990,4))</f>
        <v>2023</v>
      </c>
      <c r="G990" t="s">
        <v>7</v>
      </c>
      <c r="H990">
        <v>-1</v>
      </c>
      <c r="K990" t="s">
        <v>9</v>
      </c>
      <c r="L990" s="8">
        <f t="shared" si="941"/>
        <v>-1</v>
      </c>
      <c r="M990" t="s">
        <v>1092</v>
      </c>
    </row>
    <row r="991" spans="1:13" x14ac:dyDescent="0.35">
      <c r="A991">
        <f t="shared" si="928"/>
        <v>987</v>
      </c>
      <c r="B991" s="9">
        <f t="shared" ref="B991" si="1034">B990+H991+I991+J991</f>
        <v>74.61</v>
      </c>
      <c r="C991" s="3" t="s">
        <v>1075</v>
      </c>
      <c r="D991">
        <f t="shared" ref="D991" si="1035">_xlfn.NUMBERVALUE(LEFT(C991,2))</f>
        <v>2</v>
      </c>
      <c r="E991">
        <f t="shared" ref="E991" si="1036">_xlfn.NUMBERVALUE(MID(C991,4,2))</f>
        <v>9</v>
      </c>
      <c r="F991">
        <f t="shared" ref="F991" si="1037">_xlfn.NUMBERVALUE(RIGHT(C991,4))</f>
        <v>2023</v>
      </c>
      <c r="G991" t="s">
        <v>7</v>
      </c>
      <c r="H991">
        <v>-1</v>
      </c>
      <c r="K991" t="s">
        <v>9</v>
      </c>
      <c r="L991" s="8">
        <f t="shared" si="941"/>
        <v>-1</v>
      </c>
      <c r="M991" t="s">
        <v>1093</v>
      </c>
    </row>
    <row r="992" spans="1:13" x14ac:dyDescent="0.35">
      <c r="A992">
        <f t="shared" si="928"/>
        <v>988</v>
      </c>
      <c r="B992" s="9">
        <f t="shared" ref="B992" si="1038">B991+H992+I992+J992</f>
        <v>73.61</v>
      </c>
      <c r="C992" s="3" t="s">
        <v>1075</v>
      </c>
      <c r="D992">
        <f t="shared" ref="D992" si="1039">_xlfn.NUMBERVALUE(LEFT(C992,2))</f>
        <v>2</v>
      </c>
      <c r="E992">
        <f t="shared" ref="E992" si="1040">_xlfn.NUMBERVALUE(MID(C992,4,2))</f>
        <v>9</v>
      </c>
      <c r="F992">
        <f t="shared" ref="F992" si="1041">_xlfn.NUMBERVALUE(RIGHT(C992,4))</f>
        <v>2023</v>
      </c>
      <c r="G992" t="s">
        <v>7</v>
      </c>
      <c r="H992">
        <v>-1</v>
      </c>
      <c r="K992" t="s">
        <v>9</v>
      </c>
      <c r="L992" s="8">
        <f t="shared" si="941"/>
        <v>-1</v>
      </c>
      <c r="M992" t="s">
        <v>1094</v>
      </c>
    </row>
    <row r="993" spans="1:13" x14ac:dyDescent="0.35">
      <c r="A993">
        <f t="shared" si="928"/>
        <v>989</v>
      </c>
      <c r="B993" s="9">
        <f t="shared" ref="B993" si="1042">B992+H993+I993+J993</f>
        <v>72.61</v>
      </c>
      <c r="C993" s="3" t="s">
        <v>1075</v>
      </c>
      <c r="D993">
        <f t="shared" ref="D993" si="1043">_xlfn.NUMBERVALUE(LEFT(C993,2))</f>
        <v>2</v>
      </c>
      <c r="E993">
        <f t="shared" ref="E993" si="1044">_xlfn.NUMBERVALUE(MID(C993,4,2))</f>
        <v>9</v>
      </c>
      <c r="F993">
        <f t="shared" ref="F993" si="1045">_xlfn.NUMBERVALUE(RIGHT(C993,4))</f>
        <v>2023</v>
      </c>
      <c r="G993" t="s">
        <v>7</v>
      </c>
      <c r="H993">
        <v>-1</v>
      </c>
      <c r="K993" t="s">
        <v>9</v>
      </c>
      <c r="L993" s="8">
        <f t="shared" si="941"/>
        <v>-1</v>
      </c>
      <c r="M993" t="s">
        <v>1095</v>
      </c>
    </row>
    <row r="994" spans="1:13" x14ac:dyDescent="0.35">
      <c r="A994">
        <f t="shared" si="928"/>
        <v>990</v>
      </c>
      <c r="B994" s="9">
        <f t="shared" ref="B994" si="1046">B993+H994+I994+J994</f>
        <v>73.61</v>
      </c>
      <c r="C994" s="3" t="s">
        <v>1075</v>
      </c>
      <c r="D994">
        <f t="shared" ref="D994" si="1047">_xlfn.NUMBERVALUE(LEFT(C994,2))</f>
        <v>2</v>
      </c>
      <c r="E994">
        <f t="shared" ref="E994" si="1048">_xlfn.NUMBERVALUE(MID(C994,4,2))</f>
        <v>9</v>
      </c>
      <c r="F994">
        <f t="shared" ref="F994" si="1049">_xlfn.NUMBERVALUE(RIGHT(C994,4))</f>
        <v>2023</v>
      </c>
      <c r="G994" t="s">
        <v>7</v>
      </c>
      <c r="H994">
        <v>-1</v>
      </c>
      <c r="I994">
        <v>2</v>
      </c>
      <c r="K994" t="s">
        <v>10</v>
      </c>
      <c r="L994" s="8">
        <f t="shared" si="941"/>
        <v>1</v>
      </c>
      <c r="M994" t="s">
        <v>1096</v>
      </c>
    </row>
    <row r="995" spans="1:13" x14ac:dyDescent="0.35">
      <c r="A995">
        <f t="shared" si="928"/>
        <v>991</v>
      </c>
      <c r="B995" s="9">
        <f t="shared" ref="B995" si="1050">B994+H995+I995+J995</f>
        <v>74.61</v>
      </c>
      <c r="C995" s="3" t="s">
        <v>1075</v>
      </c>
      <c r="D995">
        <f t="shared" ref="D995" si="1051">_xlfn.NUMBERVALUE(LEFT(C995,2))</f>
        <v>2</v>
      </c>
      <c r="E995">
        <f t="shared" ref="E995" si="1052">_xlfn.NUMBERVALUE(MID(C995,4,2))</f>
        <v>9</v>
      </c>
      <c r="F995">
        <f t="shared" ref="F995" si="1053">_xlfn.NUMBERVALUE(RIGHT(C995,4))</f>
        <v>2023</v>
      </c>
      <c r="G995" t="s">
        <v>7</v>
      </c>
      <c r="H995">
        <v>-1</v>
      </c>
      <c r="I995">
        <v>2</v>
      </c>
      <c r="K995" t="s">
        <v>10</v>
      </c>
      <c r="L995" s="8">
        <f t="shared" si="941"/>
        <v>1</v>
      </c>
      <c r="M995" t="s">
        <v>1097</v>
      </c>
    </row>
    <row r="996" spans="1:13" x14ac:dyDescent="0.35">
      <c r="A996">
        <f t="shared" si="928"/>
        <v>992</v>
      </c>
      <c r="B996" s="9">
        <f t="shared" ref="B996" si="1054">B995+H996+I996+J996</f>
        <v>73.61</v>
      </c>
      <c r="C996" s="3" t="s">
        <v>1075</v>
      </c>
      <c r="D996">
        <f t="shared" ref="D996" si="1055">_xlfn.NUMBERVALUE(LEFT(C996,2))</f>
        <v>2</v>
      </c>
      <c r="E996">
        <f t="shared" ref="E996" si="1056">_xlfn.NUMBERVALUE(MID(C996,4,2))</f>
        <v>9</v>
      </c>
      <c r="F996">
        <f t="shared" ref="F996" si="1057">_xlfn.NUMBERVALUE(RIGHT(C996,4))</f>
        <v>2023</v>
      </c>
      <c r="G996" t="s">
        <v>7</v>
      </c>
      <c r="H996">
        <v>-1</v>
      </c>
      <c r="K996" t="s">
        <v>9</v>
      </c>
      <c r="L996" s="8">
        <f t="shared" si="941"/>
        <v>-1</v>
      </c>
      <c r="M996" t="s">
        <v>1098</v>
      </c>
    </row>
    <row r="997" spans="1:13" x14ac:dyDescent="0.35">
      <c r="A997">
        <f t="shared" si="928"/>
        <v>993</v>
      </c>
      <c r="B997" s="9">
        <f t="shared" ref="B997" si="1058">B996+H997+I997+J997</f>
        <v>72.61</v>
      </c>
      <c r="C997" s="3" t="s">
        <v>1075</v>
      </c>
      <c r="D997">
        <f t="shared" ref="D997" si="1059">_xlfn.NUMBERVALUE(LEFT(C997,2))</f>
        <v>2</v>
      </c>
      <c r="E997">
        <f t="shared" ref="E997" si="1060">_xlfn.NUMBERVALUE(MID(C997,4,2))</f>
        <v>9</v>
      </c>
      <c r="F997">
        <f t="shared" ref="F997" si="1061">_xlfn.NUMBERVALUE(RIGHT(C997,4))</f>
        <v>2023</v>
      </c>
      <c r="G997" t="s">
        <v>7</v>
      </c>
      <c r="H997">
        <v>-1</v>
      </c>
      <c r="K997" t="s">
        <v>9</v>
      </c>
      <c r="L997" s="8">
        <f t="shared" si="941"/>
        <v>-1</v>
      </c>
      <c r="M997" t="s">
        <v>1099</v>
      </c>
    </row>
    <row r="998" spans="1:13" x14ac:dyDescent="0.35">
      <c r="A998">
        <f t="shared" si="928"/>
        <v>994</v>
      </c>
      <c r="B998" s="9">
        <f t="shared" ref="B998" si="1062">B997+H998+I998+J998</f>
        <v>71.61</v>
      </c>
      <c r="C998" s="3" t="s">
        <v>1075</v>
      </c>
      <c r="D998">
        <f t="shared" ref="D998" si="1063">_xlfn.NUMBERVALUE(LEFT(C998,2))</f>
        <v>2</v>
      </c>
      <c r="E998">
        <f t="shared" ref="E998" si="1064">_xlfn.NUMBERVALUE(MID(C998,4,2))</f>
        <v>9</v>
      </c>
      <c r="F998">
        <f t="shared" ref="F998" si="1065">_xlfn.NUMBERVALUE(RIGHT(C998,4))</f>
        <v>2023</v>
      </c>
      <c r="G998" t="s">
        <v>7</v>
      </c>
      <c r="H998">
        <v>-1</v>
      </c>
      <c r="K998" t="s">
        <v>9</v>
      </c>
      <c r="L998" s="8">
        <f t="shared" si="941"/>
        <v>-1</v>
      </c>
      <c r="M998" t="s">
        <v>1100</v>
      </c>
    </row>
    <row r="999" spans="1:13" x14ac:dyDescent="0.35">
      <c r="A999">
        <f t="shared" si="928"/>
        <v>995</v>
      </c>
      <c r="B999" s="9">
        <f t="shared" ref="B999" si="1066">B998+H999+I999+J999</f>
        <v>70.61</v>
      </c>
      <c r="C999" s="3" t="s">
        <v>1075</v>
      </c>
      <c r="D999">
        <f t="shared" ref="D999" si="1067">_xlfn.NUMBERVALUE(LEFT(C999,2))</f>
        <v>2</v>
      </c>
      <c r="E999">
        <f t="shared" ref="E999" si="1068">_xlfn.NUMBERVALUE(MID(C999,4,2))</f>
        <v>9</v>
      </c>
      <c r="F999">
        <f t="shared" ref="F999" si="1069">_xlfn.NUMBERVALUE(RIGHT(C999,4))</f>
        <v>2023</v>
      </c>
      <c r="G999" t="s">
        <v>7</v>
      </c>
      <c r="H999">
        <v>-1</v>
      </c>
      <c r="K999" t="s">
        <v>9</v>
      </c>
      <c r="L999" s="8">
        <f t="shared" si="941"/>
        <v>-1</v>
      </c>
      <c r="M999" t="s">
        <v>1101</v>
      </c>
    </row>
    <row r="1000" spans="1:13" x14ac:dyDescent="0.35">
      <c r="A1000">
        <f t="shared" si="928"/>
        <v>996</v>
      </c>
      <c r="B1000" s="9">
        <f t="shared" ref="B1000" si="1070">B999+H1000+I1000+J1000</f>
        <v>69.61</v>
      </c>
      <c r="C1000" s="3" t="s">
        <v>1075</v>
      </c>
      <c r="D1000">
        <f t="shared" ref="D1000" si="1071">_xlfn.NUMBERVALUE(LEFT(C1000,2))</f>
        <v>2</v>
      </c>
      <c r="E1000">
        <f t="shared" ref="E1000" si="1072">_xlfn.NUMBERVALUE(MID(C1000,4,2))</f>
        <v>9</v>
      </c>
      <c r="F1000">
        <f t="shared" ref="F1000" si="1073">_xlfn.NUMBERVALUE(RIGHT(C1000,4))</f>
        <v>2023</v>
      </c>
      <c r="G1000" t="s">
        <v>7</v>
      </c>
      <c r="H1000">
        <v>-1</v>
      </c>
      <c r="K1000" t="s">
        <v>9</v>
      </c>
      <c r="L1000" s="8">
        <f t="shared" si="941"/>
        <v>-1</v>
      </c>
      <c r="M1000" t="s">
        <v>1102</v>
      </c>
    </row>
    <row r="1001" spans="1:13" x14ac:dyDescent="0.35">
      <c r="A1001">
        <f t="shared" si="928"/>
        <v>997</v>
      </c>
      <c r="B1001" s="9">
        <f t="shared" ref="B1001" si="1074">B1000+H1001+I1001+J1001</f>
        <v>68.61</v>
      </c>
      <c r="C1001" s="3" t="s">
        <v>1075</v>
      </c>
      <c r="D1001">
        <f t="shared" ref="D1001" si="1075">_xlfn.NUMBERVALUE(LEFT(C1001,2))</f>
        <v>2</v>
      </c>
      <c r="E1001">
        <f t="shared" ref="E1001" si="1076">_xlfn.NUMBERVALUE(MID(C1001,4,2))</f>
        <v>9</v>
      </c>
      <c r="F1001">
        <f t="shared" ref="F1001" si="1077">_xlfn.NUMBERVALUE(RIGHT(C1001,4))</f>
        <v>2023</v>
      </c>
      <c r="G1001" t="s">
        <v>7</v>
      </c>
      <c r="H1001">
        <v>-1</v>
      </c>
      <c r="K1001" t="s">
        <v>9</v>
      </c>
      <c r="L1001" s="8">
        <f t="shared" si="941"/>
        <v>-1</v>
      </c>
      <c r="M1001" t="s">
        <v>1103</v>
      </c>
    </row>
    <row r="1002" spans="1:13" x14ac:dyDescent="0.35">
      <c r="A1002">
        <f t="shared" si="928"/>
        <v>998</v>
      </c>
      <c r="B1002" s="9">
        <f t="shared" ref="B1002" si="1078">B1001+H1002+I1002+J1002</f>
        <v>69.61</v>
      </c>
      <c r="C1002" s="3" t="s">
        <v>1105</v>
      </c>
      <c r="D1002">
        <f t="shared" ref="D1002" si="1079">_xlfn.NUMBERVALUE(LEFT(C1002,2))</f>
        <v>3</v>
      </c>
      <c r="E1002">
        <f t="shared" ref="E1002" si="1080">_xlfn.NUMBERVALUE(MID(C1002,4,2))</f>
        <v>9</v>
      </c>
      <c r="F1002">
        <f t="shared" ref="F1002" si="1081">_xlfn.NUMBERVALUE(RIGHT(C1002,4))</f>
        <v>2023</v>
      </c>
      <c r="G1002" t="s">
        <v>7</v>
      </c>
      <c r="H1002">
        <v>-1</v>
      </c>
      <c r="I1002">
        <v>2</v>
      </c>
      <c r="K1002" t="s">
        <v>10</v>
      </c>
      <c r="L1002" s="8">
        <f t="shared" si="941"/>
        <v>1</v>
      </c>
      <c r="M1002" t="s">
        <v>1104</v>
      </c>
    </row>
    <row r="1003" spans="1:13" x14ac:dyDescent="0.35">
      <c r="A1003">
        <f t="shared" si="928"/>
        <v>999</v>
      </c>
      <c r="B1003" s="9">
        <f t="shared" ref="B1003" si="1082">B1002+H1003+I1003+J1003</f>
        <v>68.61</v>
      </c>
      <c r="C1003" s="3" t="s">
        <v>1105</v>
      </c>
      <c r="D1003">
        <f t="shared" ref="D1003" si="1083">_xlfn.NUMBERVALUE(LEFT(C1003,2))</f>
        <v>3</v>
      </c>
      <c r="E1003">
        <f t="shared" ref="E1003" si="1084">_xlfn.NUMBERVALUE(MID(C1003,4,2))</f>
        <v>9</v>
      </c>
      <c r="F1003">
        <f t="shared" ref="F1003" si="1085">_xlfn.NUMBERVALUE(RIGHT(C1003,4))</f>
        <v>2023</v>
      </c>
      <c r="G1003" t="s">
        <v>7</v>
      </c>
      <c r="H1003">
        <v>-1</v>
      </c>
      <c r="K1003" t="s">
        <v>9</v>
      </c>
      <c r="L1003" s="8">
        <f t="shared" si="941"/>
        <v>-1</v>
      </c>
      <c r="M1003" t="s">
        <v>1106</v>
      </c>
    </row>
    <row r="1004" spans="1:13" x14ac:dyDescent="0.35">
      <c r="A1004">
        <f t="shared" si="928"/>
        <v>1000</v>
      </c>
      <c r="B1004" s="9">
        <f t="shared" ref="B1004" si="1086">B1003+H1004+I1004+J1004</f>
        <v>67.61</v>
      </c>
      <c r="C1004" s="3" t="s">
        <v>1105</v>
      </c>
      <c r="D1004">
        <f t="shared" ref="D1004" si="1087">_xlfn.NUMBERVALUE(LEFT(C1004,2))</f>
        <v>3</v>
      </c>
      <c r="E1004">
        <f t="shared" ref="E1004" si="1088">_xlfn.NUMBERVALUE(MID(C1004,4,2))</f>
        <v>9</v>
      </c>
      <c r="F1004">
        <f t="shared" ref="F1004" si="1089">_xlfn.NUMBERVALUE(RIGHT(C1004,4))</f>
        <v>2023</v>
      </c>
      <c r="G1004" t="s">
        <v>7</v>
      </c>
      <c r="H1004">
        <v>-1</v>
      </c>
      <c r="K1004" t="s">
        <v>9</v>
      </c>
      <c r="L1004" s="8">
        <f t="shared" si="941"/>
        <v>-1</v>
      </c>
      <c r="M1004" t="s">
        <v>1107</v>
      </c>
    </row>
    <row r="1005" spans="1:13" x14ac:dyDescent="0.35">
      <c r="A1005">
        <f t="shared" si="928"/>
        <v>1001</v>
      </c>
      <c r="B1005" s="9">
        <f t="shared" ref="B1005" si="1090">B1004+H1005+I1005+J1005</f>
        <v>69.61</v>
      </c>
      <c r="C1005" s="3" t="s">
        <v>1105</v>
      </c>
      <c r="D1005">
        <f t="shared" ref="D1005" si="1091">_xlfn.NUMBERVALUE(LEFT(C1005,2))</f>
        <v>3</v>
      </c>
      <c r="E1005">
        <f t="shared" ref="E1005" si="1092">_xlfn.NUMBERVALUE(MID(C1005,4,2))</f>
        <v>9</v>
      </c>
      <c r="F1005">
        <f t="shared" ref="F1005" si="1093">_xlfn.NUMBERVALUE(RIGHT(C1005,4))</f>
        <v>2023</v>
      </c>
      <c r="G1005" t="s">
        <v>7</v>
      </c>
      <c r="H1005">
        <v>-1</v>
      </c>
      <c r="I1005">
        <v>3</v>
      </c>
      <c r="K1005" t="s">
        <v>10</v>
      </c>
      <c r="L1005" s="8">
        <f t="shared" si="941"/>
        <v>2</v>
      </c>
      <c r="M1005" t="s">
        <v>1108</v>
      </c>
    </row>
    <row r="1006" spans="1:13" x14ac:dyDescent="0.35">
      <c r="A1006">
        <f t="shared" si="928"/>
        <v>1002</v>
      </c>
      <c r="B1006" s="9">
        <f t="shared" ref="B1006" si="1094">B1005+H1006+I1006+J1006</f>
        <v>71.61</v>
      </c>
      <c r="C1006" s="3" t="s">
        <v>1105</v>
      </c>
      <c r="D1006">
        <f t="shared" ref="D1006" si="1095">_xlfn.NUMBERVALUE(LEFT(C1006,2))</f>
        <v>3</v>
      </c>
      <c r="E1006">
        <f t="shared" ref="E1006" si="1096">_xlfn.NUMBERVALUE(MID(C1006,4,2))</f>
        <v>9</v>
      </c>
      <c r="F1006">
        <f t="shared" ref="F1006" si="1097">_xlfn.NUMBERVALUE(RIGHT(C1006,4))</f>
        <v>2023</v>
      </c>
      <c r="G1006" t="s">
        <v>7</v>
      </c>
      <c r="H1006">
        <v>-1</v>
      </c>
      <c r="I1006">
        <v>3</v>
      </c>
      <c r="K1006" t="s">
        <v>10</v>
      </c>
      <c r="L1006" s="8">
        <f t="shared" si="941"/>
        <v>2</v>
      </c>
      <c r="M1006" t="s">
        <v>1109</v>
      </c>
    </row>
    <row r="1007" spans="1:13" x14ac:dyDescent="0.35">
      <c r="A1007">
        <f t="shared" si="928"/>
        <v>1003</v>
      </c>
      <c r="B1007" s="9">
        <f t="shared" ref="B1007" si="1098">B1006+H1007+I1007+J1007</f>
        <v>70.61</v>
      </c>
      <c r="C1007" s="3" t="s">
        <v>1105</v>
      </c>
      <c r="D1007">
        <f t="shared" ref="D1007" si="1099">_xlfn.NUMBERVALUE(LEFT(C1007,2))</f>
        <v>3</v>
      </c>
      <c r="E1007">
        <f t="shared" ref="E1007" si="1100">_xlfn.NUMBERVALUE(MID(C1007,4,2))</f>
        <v>9</v>
      </c>
      <c r="F1007">
        <f t="shared" ref="F1007" si="1101">_xlfn.NUMBERVALUE(RIGHT(C1007,4))</f>
        <v>2023</v>
      </c>
      <c r="G1007" t="s">
        <v>7</v>
      </c>
      <c r="H1007">
        <v>-1</v>
      </c>
      <c r="K1007" t="s">
        <v>9</v>
      </c>
      <c r="L1007" s="8">
        <f t="shared" si="941"/>
        <v>-1</v>
      </c>
      <c r="M1007" t="s">
        <v>1110</v>
      </c>
    </row>
    <row r="1008" spans="1:13" x14ac:dyDescent="0.35">
      <c r="A1008">
        <f t="shared" si="928"/>
        <v>1004</v>
      </c>
      <c r="B1008" s="9">
        <f t="shared" ref="B1008" si="1102">B1007+H1008+I1008+J1008</f>
        <v>69.61</v>
      </c>
      <c r="C1008" s="3" t="s">
        <v>1105</v>
      </c>
      <c r="D1008">
        <f t="shared" ref="D1008" si="1103">_xlfn.NUMBERVALUE(LEFT(C1008,2))</f>
        <v>3</v>
      </c>
      <c r="E1008">
        <f t="shared" ref="E1008" si="1104">_xlfn.NUMBERVALUE(MID(C1008,4,2))</f>
        <v>9</v>
      </c>
      <c r="F1008">
        <f t="shared" ref="F1008" si="1105">_xlfn.NUMBERVALUE(RIGHT(C1008,4))</f>
        <v>2023</v>
      </c>
      <c r="G1008" t="s">
        <v>7</v>
      </c>
      <c r="H1008">
        <v>-1</v>
      </c>
      <c r="K1008" t="s">
        <v>9</v>
      </c>
      <c r="L1008" s="8">
        <f t="shared" si="941"/>
        <v>-1</v>
      </c>
      <c r="M1008" t="s">
        <v>1111</v>
      </c>
    </row>
    <row r="1009" spans="1:13" x14ac:dyDescent="0.35">
      <c r="A1009">
        <f t="shared" si="928"/>
        <v>1005</v>
      </c>
      <c r="B1009" s="9">
        <f t="shared" ref="B1009" si="1106">B1008+H1009+I1009+J1009</f>
        <v>68.61</v>
      </c>
      <c r="C1009" s="3" t="s">
        <v>1105</v>
      </c>
      <c r="D1009">
        <f t="shared" ref="D1009" si="1107">_xlfn.NUMBERVALUE(LEFT(C1009,2))</f>
        <v>3</v>
      </c>
      <c r="E1009">
        <f t="shared" ref="E1009" si="1108">_xlfn.NUMBERVALUE(MID(C1009,4,2))</f>
        <v>9</v>
      </c>
      <c r="F1009">
        <f t="shared" ref="F1009" si="1109">_xlfn.NUMBERVALUE(RIGHT(C1009,4))</f>
        <v>2023</v>
      </c>
      <c r="G1009" t="s">
        <v>7</v>
      </c>
      <c r="H1009">
        <v>-1</v>
      </c>
      <c r="K1009" t="s">
        <v>9</v>
      </c>
      <c r="L1009" s="8">
        <f t="shared" si="941"/>
        <v>-1</v>
      </c>
      <c r="M1009" t="s">
        <v>1112</v>
      </c>
    </row>
    <row r="1010" spans="1:13" x14ac:dyDescent="0.35">
      <c r="A1010">
        <f t="shared" si="928"/>
        <v>1006</v>
      </c>
      <c r="B1010" s="9">
        <f t="shared" ref="B1010" si="1110">B1009+H1010+I1010+J1010</f>
        <v>69.61</v>
      </c>
      <c r="C1010" s="3" t="s">
        <v>1105</v>
      </c>
      <c r="D1010">
        <f t="shared" ref="D1010" si="1111">_xlfn.NUMBERVALUE(LEFT(C1010,2))</f>
        <v>3</v>
      </c>
      <c r="E1010">
        <f t="shared" ref="E1010" si="1112">_xlfn.NUMBERVALUE(MID(C1010,4,2))</f>
        <v>9</v>
      </c>
      <c r="F1010">
        <f t="shared" ref="F1010" si="1113">_xlfn.NUMBERVALUE(RIGHT(C1010,4))</f>
        <v>2023</v>
      </c>
      <c r="G1010" t="s">
        <v>7</v>
      </c>
      <c r="H1010">
        <v>-1</v>
      </c>
      <c r="I1010">
        <v>2</v>
      </c>
      <c r="K1010" t="s">
        <v>10</v>
      </c>
      <c r="L1010" s="8">
        <f t="shared" si="941"/>
        <v>1</v>
      </c>
      <c r="M1010" t="s">
        <v>1113</v>
      </c>
    </row>
    <row r="1011" spans="1:13" x14ac:dyDescent="0.35">
      <c r="A1011">
        <f t="shared" si="928"/>
        <v>1007</v>
      </c>
      <c r="B1011" s="9">
        <f t="shared" ref="B1011" si="1114">B1010+H1011+I1011+J1011</f>
        <v>71.61</v>
      </c>
      <c r="C1011" s="3" t="s">
        <v>1105</v>
      </c>
      <c r="D1011">
        <f t="shared" ref="D1011" si="1115">_xlfn.NUMBERVALUE(LEFT(C1011,2))</f>
        <v>3</v>
      </c>
      <c r="E1011">
        <f t="shared" ref="E1011" si="1116">_xlfn.NUMBERVALUE(MID(C1011,4,2))</f>
        <v>9</v>
      </c>
      <c r="F1011">
        <f t="shared" ref="F1011" si="1117">_xlfn.NUMBERVALUE(RIGHT(C1011,4))</f>
        <v>2023</v>
      </c>
      <c r="G1011" t="s">
        <v>7</v>
      </c>
      <c r="H1011">
        <v>-1</v>
      </c>
      <c r="I1011">
        <v>3</v>
      </c>
      <c r="K1011" t="s">
        <v>10</v>
      </c>
      <c r="L1011" s="8">
        <f t="shared" si="941"/>
        <v>2</v>
      </c>
      <c r="M1011" t="s">
        <v>1114</v>
      </c>
    </row>
    <row r="1012" spans="1:13" x14ac:dyDescent="0.35">
      <c r="A1012">
        <f t="shared" si="928"/>
        <v>1008</v>
      </c>
      <c r="B1012" s="9">
        <f t="shared" ref="B1012" si="1118">B1011+H1012+I1012+J1012</f>
        <v>73.61</v>
      </c>
      <c r="C1012" s="3" t="s">
        <v>1105</v>
      </c>
      <c r="D1012">
        <f t="shared" ref="D1012" si="1119">_xlfn.NUMBERVALUE(LEFT(C1012,2))</f>
        <v>3</v>
      </c>
      <c r="E1012">
        <f t="shared" ref="E1012" si="1120">_xlfn.NUMBERVALUE(MID(C1012,4,2))</f>
        <v>9</v>
      </c>
      <c r="F1012">
        <f t="shared" ref="F1012" si="1121">_xlfn.NUMBERVALUE(RIGHT(C1012,4))</f>
        <v>2023</v>
      </c>
      <c r="G1012" t="s">
        <v>7</v>
      </c>
      <c r="H1012">
        <v>-1</v>
      </c>
      <c r="I1012">
        <v>3</v>
      </c>
      <c r="K1012" t="s">
        <v>10</v>
      </c>
      <c r="L1012" s="8">
        <f t="shared" si="941"/>
        <v>2</v>
      </c>
      <c r="M1012" t="s">
        <v>1115</v>
      </c>
    </row>
    <row r="1013" spans="1:13" x14ac:dyDescent="0.35">
      <c r="A1013">
        <f t="shared" si="928"/>
        <v>1009</v>
      </c>
      <c r="B1013" s="9">
        <f t="shared" ref="B1013" si="1122">B1012+H1013+I1013+J1013</f>
        <v>75.61</v>
      </c>
      <c r="C1013" s="3" t="s">
        <v>1105</v>
      </c>
      <c r="D1013">
        <f t="shared" ref="D1013" si="1123">_xlfn.NUMBERVALUE(LEFT(C1013,2))</f>
        <v>3</v>
      </c>
      <c r="E1013">
        <f t="shared" ref="E1013" si="1124">_xlfn.NUMBERVALUE(MID(C1013,4,2))</f>
        <v>9</v>
      </c>
      <c r="F1013">
        <f t="shared" ref="F1013" si="1125">_xlfn.NUMBERVALUE(RIGHT(C1013,4))</f>
        <v>2023</v>
      </c>
      <c r="G1013" t="s">
        <v>7</v>
      </c>
      <c r="H1013">
        <v>-1</v>
      </c>
      <c r="I1013">
        <v>3</v>
      </c>
      <c r="K1013" t="s">
        <v>10</v>
      </c>
      <c r="L1013" s="8">
        <f t="shared" si="941"/>
        <v>2</v>
      </c>
      <c r="M1013" t="s">
        <v>1116</v>
      </c>
    </row>
    <row r="1014" spans="1:13" x14ac:dyDescent="0.35">
      <c r="A1014">
        <f t="shared" si="928"/>
        <v>1010</v>
      </c>
      <c r="B1014" s="9">
        <f t="shared" ref="B1014" si="1126">B1013+H1014+I1014+J1014</f>
        <v>74.61</v>
      </c>
      <c r="C1014" s="3" t="s">
        <v>1105</v>
      </c>
      <c r="D1014">
        <f t="shared" ref="D1014" si="1127">_xlfn.NUMBERVALUE(LEFT(C1014,2))</f>
        <v>3</v>
      </c>
      <c r="E1014">
        <f t="shared" ref="E1014" si="1128">_xlfn.NUMBERVALUE(MID(C1014,4,2))</f>
        <v>9</v>
      </c>
      <c r="F1014">
        <f t="shared" ref="F1014" si="1129">_xlfn.NUMBERVALUE(RIGHT(C1014,4))</f>
        <v>2023</v>
      </c>
      <c r="G1014" t="s">
        <v>7</v>
      </c>
      <c r="H1014">
        <v>-1</v>
      </c>
      <c r="K1014" t="s">
        <v>9</v>
      </c>
      <c r="L1014" s="8">
        <f t="shared" si="941"/>
        <v>-1</v>
      </c>
      <c r="M1014" t="s">
        <v>1117</v>
      </c>
    </row>
    <row r="1015" spans="1:13" x14ac:dyDescent="0.35">
      <c r="A1015">
        <f t="shared" si="928"/>
        <v>1011</v>
      </c>
      <c r="B1015" s="9">
        <f t="shared" ref="B1015" si="1130">B1014+H1015+I1015+J1015</f>
        <v>73.61</v>
      </c>
      <c r="C1015" s="3" t="s">
        <v>1105</v>
      </c>
      <c r="D1015">
        <f t="shared" ref="D1015" si="1131">_xlfn.NUMBERVALUE(LEFT(C1015,2))</f>
        <v>3</v>
      </c>
      <c r="E1015">
        <f t="shared" ref="E1015" si="1132">_xlfn.NUMBERVALUE(MID(C1015,4,2))</f>
        <v>9</v>
      </c>
      <c r="F1015">
        <f t="shared" ref="F1015" si="1133">_xlfn.NUMBERVALUE(RIGHT(C1015,4))</f>
        <v>2023</v>
      </c>
      <c r="G1015" t="s">
        <v>7</v>
      </c>
      <c r="H1015">
        <v>-1</v>
      </c>
      <c r="K1015" t="s">
        <v>9</v>
      </c>
      <c r="L1015" s="8">
        <f t="shared" si="941"/>
        <v>-1</v>
      </c>
      <c r="M1015" t="s">
        <v>1118</v>
      </c>
    </row>
    <row r="1016" spans="1:13" x14ac:dyDescent="0.35">
      <c r="A1016">
        <f t="shared" si="928"/>
        <v>1012</v>
      </c>
      <c r="B1016" s="9">
        <f t="shared" ref="B1016" si="1134">B1015+H1016+I1016+J1016</f>
        <v>74.61</v>
      </c>
      <c r="C1016" s="3" t="s">
        <v>1105</v>
      </c>
      <c r="D1016">
        <f t="shared" ref="D1016" si="1135">_xlfn.NUMBERVALUE(LEFT(C1016,2))</f>
        <v>3</v>
      </c>
      <c r="E1016">
        <f t="shared" ref="E1016" si="1136">_xlfn.NUMBERVALUE(MID(C1016,4,2))</f>
        <v>9</v>
      </c>
      <c r="F1016">
        <f t="shared" ref="F1016" si="1137">_xlfn.NUMBERVALUE(RIGHT(C1016,4))</f>
        <v>2023</v>
      </c>
      <c r="G1016" t="s">
        <v>7</v>
      </c>
      <c r="H1016">
        <v>-1</v>
      </c>
      <c r="I1016">
        <v>2</v>
      </c>
      <c r="K1016" t="s">
        <v>10</v>
      </c>
      <c r="L1016" s="8">
        <f t="shared" si="941"/>
        <v>1</v>
      </c>
      <c r="M1016" t="s">
        <v>1119</v>
      </c>
    </row>
    <row r="1017" spans="1:13" x14ac:dyDescent="0.35">
      <c r="A1017">
        <f t="shared" si="928"/>
        <v>1013</v>
      </c>
      <c r="B1017" s="9">
        <f t="shared" ref="B1017" si="1138">B1016+H1017+I1017+J1017</f>
        <v>73.61</v>
      </c>
      <c r="C1017" s="3" t="s">
        <v>1105</v>
      </c>
      <c r="D1017">
        <f t="shared" ref="D1017" si="1139">_xlfn.NUMBERVALUE(LEFT(C1017,2))</f>
        <v>3</v>
      </c>
      <c r="E1017">
        <f t="shared" ref="E1017" si="1140">_xlfn.NUMBERVALUE(MID(C1017,4,2))</f>
        <v>9</v>
      </c>
      <c r="F1017">
        <f t="shared" ref="F1017" si="1141">_xlfn.NUMBERVALUE(RIGHT(C1017,4))</f>
        <v>2023</v>
      </c>
      <c r="G1017" t="s">
        <v>7</v>
      </c>
      <c r="H1017">
        <v>-1</v>
      </c>
      <c r="K1017" t="s">
        <v>9</v>
      </c>
      <c r="L1017" s="8">
        <f t="shared" si="941"/>
        <v>-1</v>
      </c>
      <c r="M1017" t="s">
        <v>1120</v>
      </c>
    </row>
    <row r="1018" spans="1:13" x14ac:dyDescent="0.35">
      <c r="A1018">
        <f t="shared" si="928"/>
        <v>1014</v>
      </c>
      <c r="B1018" s="9">
        <f t="shared" ref="B1018" si="1142">B1017+H1018+I1018+J1018</f>
        <v>72.61</v>
      </c>
      <c r="C1018" s="3" t="s">
        <v>1122</v>
      </c>
      <c r="D1018">
        <f t="shared" ref="D1018" si="1143">_xlfn.NUMBERVALUE(LEFT(C1018,2))</f>
        <v>4</v>
      </c>
      <c r="E1018">
        <f t="shared" ref="E1018" si="1144">_xlfn.NUMBERVALUE(MID(C1018,4,2))</f>
        <v>9</v>
      </c>
      <c r="F1018">
        <f t="shared" ref="F1018" si="1145">_xlfn.NUMBERVALUE(RIGHT(C1018,4))</f>
        <v>2023</v>
      </c>
      <c r="G1018" t="s">
        <v>7</v>
      </c>
      <c r="H1018">
        <v>-1</v>
      </c>
      <c r="K1018" t="s">
        <v>9</v>
      </c>
      <c r="L1018" s="8">
        <f t="shared" si="941"/>
        <v>-1</v>
      </c>
      <c r="M1018" t="s">
        <v>1121</v>
      </c>
    </row>
    <row r="1019" spans="1:13" x14ac:dyDescent="0.35">
      <c r="A1019">
        <f t="shared" si="928"/>
        <v>1015</v>
      </c>
      <c r="B1019" s="9">
        <f t="shared" ref="B1019" si="1146">B1018+H1019+I1019+J1019</f>
        <v>71.61</v>
      </c>
      <c r="C1019" s="3" t="s">
        <v>1122</v>
      </c>
      <c r="D1019">
        <f t="shared" ref="D1019" si="1147">_xlfn.NUMBERVALUE(LEFT(C1019,2))</f>
        <v>4</v>
      </c>
      <c r="E1019">
        <f t="shared" ref="E1019" si="1148">_xlfn.NUMBERVALUE(MID(C1019,4,2))</f>
        <v>9</v>
      </c>
      <c r="F1019">
        <f t="shared" ref="F1019" si="1149">_xlfn.NUMBERVALUE(RIGHT(C1019,4))</f>
        <v>2023</v>
      </c>
      <c r="G1019" t="s">
        <v>7</v>
      </c>
      <c r="H1019">
        <v>-1</v>
      </c>
      <c r="K1019" t="s">
        <v>9</v>
      </c>
      <c r="L1019" s="8">
        <f t="shared" si="941"/>
        <v>-1</v>
      </c>
      <c r="M1019" t="s">
        <v>1123</v>
      </c>
    </row>
    <row r="1020" spans="1:13" x14ac:dyDescent="0.35">
      <c r="A1020">
        <f t="shared" si="928"/>
        <v>1016</v>
      </c>
      <c r="B1020" s="9">
        <f t="shared" ref="B1020" si="1150">B1019+H1020+I1020+J1020</f>
        <v>73.61</v>
      </c>
      <c r="C1020" s="3" t="s">
        <v>1122</v>
      </c>
      <c r="D1020">
        <f t="shared" ref="D1020" si="1151">_xlfn.NUMBERVALUE(LEFT(C1020,2))</f>
        <v>4</v>
      </c>
      <c r="E1020">
        <f t="shared" ref="E1020" si="1152">_xlfn.NUMBERVALUE(MID(C1020,4,2))</f>
        <v>9</v>
      </c>
      <c r="F1020">
        <f t="shared" ref="F1020" si="1153">_xlfn.NUMBERVALUE(RIGHT(C1020,4))</f>
        <v>2023</v>
      </c>
      <c r="G1020" t="s">
        <v>7</v>
      </c>
      <c r="H1020">
        <v>-1</v>
      </c>
      <c r="I1020">
        <v>3</v>
      </c>
      <c r="K1020" t="s">
        <v>10</v>
      </c>
      <c r="L1020" s="8">
        <f t="shared" si="941"/>
        <v>2</v>
      </c>
      <c r="M1020" t="s">
        <v>1124</v>
      </c>
    </row>
    <row r="1021" spans="1:13" x14ac:dyDescent="0.35">
      <c r="A1021">
        <f t="shared" si="928"/>
        <v>1017</v>
      </c>
      <c r="B1021" s="9">
        <f t="shared" ref="B1021" si="1154">B1020+H1021+I1021+J1021</f>
        <v>72.61</v>
      </c>
      <c r="C1021" s="3" t="s">
        <v>1122</v>
      </c>
      <c r="D1021">
        <f t="shared" ref="D1021" si="1155">_xlfn.NUMBERVALUE(LEFT(C1021,2))</f>
        <v>4</v>
      </c>
      <c r="E1021">
        <f t="shared" ref="E1021" si="1156">_xlfn.NUMBERVALUE(MID(C1021,4,2))</f>
        <v>9</v>
      </c>
      <c r="F1021">
        <f t="shared" ref="F1021" si="1157">_xlfn.NUMBERVALUE(RIGHT(C1021,4))</f>
        <v>2023</v>
      </c>
      <c r="G1021" t="s">
        <v>7</v>
      </c>
      <c r="H1021">
        <v>-1</v>
      </c>
      <c r="K1021" t="s">
        <v>9</v>
      </c>
      <c r="L1021" s="8">
        <f t="shared" si="941"/>
        <v>-1</v>
      </c>
      <c r="M1021" t="s">
        <v>1125</v>
      </c>
    </row>
    <row r="1022" spans="1:13" x14ac:dyDescent="0.35">
      <c r="A1022">
        <f t="shared" si="928"/>
        <v>1018</v>
      </c>
      <c r="B1022" s="9">
        <f t="shared" ref="B1022" si="1158">B1021+H1022+I1022+J1022</f>
        <v>71.61</v>
      </c>
      <c r="C1022" s="3" t="s">
        <v>1122</v>
      </c>
      <c r="D1022">
        <f t="shared" ref="D1022" si="1159">_xlfn.NUMBERVALUE(LEFT(C1022,2))</f>
        <v>4</v>
      </c>
      <c r="E1022">
        <f t="shared" ref="E1022" si="1160">_xlfn.NUMBERVALUE(MID(C1022,4,2))</f>
        <v>9</v>
      </c>
      <c r="F1022">
        <f t="shared" ref="F1022" si="1161">_xlfn.NUMBERVALUE(RIGHT(C1022,4))</f>
        <v>2023</v>
      </c>
      <c r="G1022" t="s">
        <v>7</v>
      </c>
      <c r="H1022">
        <v>-1</v>
      </c>
      <c r="K1022" t="s">
        <v>9</v>
      </c>
      <c r="L1022" s="8">
        <f t="shared" si="941"/>
        <v>-1</v>
      </c>
      <c r="M1022" t="s">
        <v>1126</v>
      </c>
    </row>
    <row r="1023" spans="1:13" x14ac:dyDescent="0.35">
      <c r="A1023">
        <f t="shared" si="928"/>
        <v>1019</v>
      </c>
      <c r="B1023" s="9">
        <f t="shared" ref="B1023" si="1162">B1022+H1023+I1023+J1023</f>
        <v>70.61</v>
      </c>
      <c r="C1023" s="3" t="s">
        <v>1122</v>
      </c>
      <c r="D1023">
        <f t="shared" ref="D1023" si="1163">_xlfn.NUMBERVALUE(LEFT(C1023,2))</f>
        <v>4</v>
      </c>
      <c r="E1023">
        <f t="shared" ref="E1023" si="1164">_xlfn.NUMBERVALUE(MID(C1023,4,2))</f>
        <v>9</v>
      </c>
      <c r="F1023">
        <f t="shared" ref="F1023" si="1165">_xlfn.NUMBERVALUE(RIGHT(C1023,4))</f>
        <v>2023</v>
      </c>
      <c r="G1023" t="s">
        <v>7</v>
      </c>
      <c r="H1023">
        <v>-1</v>
      </c>
      <c r="K1023" t="s">
        <v>9</v>
      </c>
      <c r="L1023" s="8">
        <f t="shared" si="941"/>
        <v>-1</v>
      </c>
      <c r="M1023" t="s">
        <v>1127</v>
      </c>
    </row>
    <row r="1024" spans="1:13" x14ac:dyDescent="0.35">
      <c r="A1024">
        <f t="shared" si="928"/>
        <v>1020</v>
      </c>
      <c r="B1024" s="9">
        <f t="shared" ref="B1024" si="1166">B1023+H1024+I1024+J1024</f>
        <v>71.61</v>
      </c>
      <c r="C1024" s="3" t="s">
        <v>1122</v>
      </c>
      <c r="D1024">
        <f t="shared" ref="D1024" si="1167">_xlfn.NUMBERVALUE(LEFT(C1024,2))</f>
        <v>4</v>
      </c>
      <c r="E1024">
        <f t="shared" ref="E1024" si="1168">_xlfn.NUMBERVALUE(MID(C1024,4,2))</f>
        <v>9</v>
      </c>
      <c r="F1024">
        <f t="shared" ref="F1024" si="1169">_xlfn.NUMBERVALUE(RIGHT(C1024,4))</f>
        <v>2023</v>
      </c>
      <c r="G1024" t="s">
        <v>7</v>
      </c>
      <c r="H1024">
        <v>-1</v>
      </c>
      <c r="I1024">
        <v>2</v>
      </c>
      <c r="K1024" t="s">
        <v>10</v>
      </c>
      <c r="L1024" s="8">
        <f t="shared" si="941"/>
        <v>1</v>
      </c>
      <c r="M1024" t="s">
        <v>1128</v>
      </c>
    </row>
    <row r="1025" spans="1:13" x14ac:dyDescent="0.35">
      <c r="A1025">
        <f t="shared" si="928"/>
        <v>1021</v>
      </c>
      <c r="B1025" s="9">
        <f t="shared" ref="B1025" si="1170">B1024+H1025+I1025+J1025</f>
        <v>70.61</v>
      </c>
      <c r="C1025" s="3" t="s">
        <v>1122</v>
      </c>
      <c r="D1025">
        <f t="shared" ref="D1025" si="1171">_xlfn.NUMBERVALUE(LEFT(C1025,2))</f>
        <v>4</v>
      </c>
      <c r="E1025">
        <f t="shared" ref="E1025" si="1172">_xlfn.NUMBERVALUE(MID(C1025,4,2))</f>
        <v>9</v>
      </c>
      <c r="F1025">
        <f t="shared" ref="F1025" si="1173">_xlfn.NUMBERVALUE(RIGHT(C1025,4))</f>
        <v>2023</v>
      </c>
      <c r="G1025" t="s">
        <v>7</v>
      </c>
      <c r="H1025">
        <v>-1</v>
      </c>
      <c r="K1025" t="s">
        <v>9</v>
      </c>
      <c r="L1025" s="8">
        <f t="shared" si="941"/>
        <v>-1</v>
      </c>
      <c r="M1025" t="s">
        <v>1129</v>
      </c>
    </row>
    <row r="1026" spans="1:13" x14ac:dyDescent="0.35">
      <c r="A1026">
        <f t="shared" si="928"/>
        <v>1022</v>
      </c>
      <c r="B1026" s="9">
        <f t="shared" ref="B1026" si="1174">B1025+H1026+I1026+J1026</f>
        <v>71.61</v>
      </c>
      <c r="C1026" s="3" t="s">
        <v>1122</v>
      </c>
      <c r="D1026">
        <f t="shared" ref="D1026" si="1175">_xlfn.NUMBERVALUE(LEFT(C1026,2))</f>
        <v>4</v>
      </c>
      <c r="E1026">
        <f t="shared" ref="E1026" si="1176">_xlfn.NUMBERVALUE(MID(C1026,4,2))</f>
        <v>9</v>
      </c>
      <c r="F1026">
        <f t="shared" ref="F1026" si="1177">_xlfn.NUMBERVALUE(RIGHT(C1026,4))</f>
        <v>2023</v>
      </c>
      <c r="G1026" t="s">
        <v>7</v>
      </c>
      <c r="H1026">
        <v>-1</v>
      </c>
      <c r="I1026">
        <v>2</v>
      </c>
      <c r="K1026" t="s">
        <v>10</v>
      </c>
      <c r="L1026" s="8">
        <f t="shared" si="941"/>
        <v>1</v>
      </c>
      <c r="M1026" t="s">
        <v>1130</v>
      </c>
    </row>
    <row r="1027" spans="1:13" x14ac:dyDescent="0.35">
      <c r="A1027">
        <f t="shared" si="928"/>
        <v>1023</v>
      </c>
      <c r="B1027" s="9">
        <f t="shared" ref="B1027:B1028" si="1178">B1026+H1027+I1027+J1027</f>
        <v>70.61</v>
      </c>
      <c r="C1027" s="3" t="s">
        <v>1122</v>
      </c>
      <c r="D1027">
        <f t="shared" ref="D1027:D1028" si="1179">_xlfn.NUMBERVALUE(LEFT(C1027,2))</f>
        <v>4</v>
      </c>
      <c r="E1027">
        <f t="shared" ref="E1027:E1028" si="1180">_xlfn.NUMBERVALUE(MID(C1027,4,2))</f>
        <v>9</v>
      </c>
      <c r="F1027">
        <f t="shared" ref="F1027:F1028" si="1181">_xlfn.NUMBERVALUE(RIGHT(C1027,4))</f>
        <v>2023</v>
      </c>
      <c r="G1027" t="s">
        <v>7</v>
      </c>
      <c r="H1027">
        <v>-1</v>
      </c>
      <c r="K1027" t="s">
        <v>9</v>
      </c>
      <c r="L1027" s="8">
        <f t="shared" si="941"/>
        <v>-1</v>
      </c>
      <c r="M1027" t="s">
        <v>1131</v>
      </c>
    </row>
    <row r="1028" spans="1:13" x14ac:dyDescent="0.35">
      <c r="A1028">
        <f t="shared" si="928"/>
        <v>1024</v>
      </c>
      <c r="B1028" s="9">
        <f t="shared" si="1178"/>
        <v>71.61</v>
      </c>
      <c r="C1028" s="3" t="s">
        <v>1122</v>
      </c>
      <c r="D1028">
        <f t="shared" si="1179"/>
        <v>4</v>
      </c>
      <c r="E1028">
        <f t="shared" si="1180"/>
        <v>9</v>
      </c>
      <c r="F1028">
        <f t="shared" si="1181"/>
        <v>2023</v>
      </c>
      <c r="G1028" t="s">
        <v>7</v>
      </c>
      <c r="H1028">
        <v>-1</v>
      </c>
      <c r="I1028">
        <v>2</v>
      </c>
      <c r="K1028" t="s">
        <v>10</v>
      </c>
      <c r="L1028" s="8">
        <f t="shared" si="941"/>
        <v>1</v>
      </c>
      <c r="M1028" t="s">
        <v>1132</v>
      </c>
    </row>
    <row r="1029" spans="1:13" x14ac:dyDescent="0.35">
      <c r="A1029">
        <f t="shared" si="928"/>
        <v>1025</v>
      </c>
      <c r="B1029" s="9">
        <f t="shared" ref="B1029" si="1182">B1028+H1029+I1029+J1029</f>
        <v>70.61</v>
      </c>
      <c r="C1029" s="3" t="s">
        <v>1122</v>
      </c>
      <c r="D1029">
        <f t="shared" ref="D1029" si="1183">_xlfn.NUMBERVALUE(LEFT(C1029,2))</f>
        <v>4</v>
      </c>
      <c r="E1029">
        <f t="shared" ref="E1029" si="1184">_xlfn.NUMBERVALUE(MID(C1029,4,2))</f>
        <v>9</v>
      </c>
      <c r="F1029">
        <f t="shared" ref="F1029" si="1185">_xlfn.NUMBERVALUE(RIGHT(C1029,4))</f>
        <v>2023</v>
      </c>
      <c r="G1029" t="s">
        <v>7</v>
      </c>
      <c r="H1029">
        <v>-1</v>
      </c>
      <c r="K1029" t="s">
        <v>9</v>
      </c>
      <c r="L1029" s="8">
        <f t="shared" si="941"/>
        <v>-1</v>
      </c>
      <c r="M1029" t="s">
        <v>1133</v>
      </c>
    </row>
    <row r="1030" spans="1:13" x14ac:dyDescent="0.35">
      <c r="A1030">
        <f t="shared" si="928"/>
        <v>1026</v>
      </c>
      <c r="B1030" s="9">
        <f t="shared" ref="B1030" si="1186">B1029+H1030+I1030+J1030</f>
        <v>69.61</v>
      </c>
      <c r="C1030" s="3" t="s">
        <v>1122</v>
      </c>
      <c r="D1030">
        <f t="shared" ref="D1030" si="1187">_xlfn.NUMBERVALUE(LEFT(C1030,2))</f>
        <v>4</v>
      </c>
      <c r="E1030">
        <f t="shared" ref="E1030" si="1188">_xlfn.NUMBERVALUE(MID(C1030,4,2))</f>
        <v>9</v>
      </c>
      <c r="F1030">
        <f t="shared" ref="F1030" si="1189">_xlfn.NUMBERVALUE(RIGHT(C1030,4))</f>
        <v>2023</v>
      </c>
      <c r="G1030" t="s">
        <v>7</v>
      </c>
      <c r="H1030">
        <v>-1</v>
      </c>
      <c r="K1030" t="s">
        <v>9</v>
      </c>
      <c r="L1030" s="8">
        <f t="shared" ref="L1030:L1093" si="1190">IF(H1030="",0,(SUM(I1030:J1030)/-H1030)-1)</f>
        <v>-1</v>
      </c>
      <c r="M1030" t="s">
        <v>1134</v>
      </c>
    </row>
    <row r="1031" spans="1:13" x14ac:dyDescent="0.35">
      <c r="A1031">
        <f t="shared" si="928"/>
        <v>1027</v>
      </c>
      <c r="B1031" s="9">
        <f t="shared" ref="B1031" si="1191">B1030+H1031+I1031+J1031</f>
        <v>59.61</v>
      </c>
      <c r="C1031" s="3" t="s">
        <v>1122</v>
      </c>
      <c r="D1031">
        <f t="shared" ref="D1031" si="1192">_xlfn.NUMBERVALUE(LEFT(C1031,2))</f>
        <v>4</v>
      </c>
      <c r="E1031">
        <f t="shared" ref="E1031" si="1193">_xlfn.NUMBERVALUE(MID(C1031,4,2))</f>
        <v>9</v>
      </c>
      <c r="F1031">
        <f t="shared" ref="F1031" si="1194">_xlfn.NUMBERVALUE(RIGHT(C1031,4))</f>
        <v>2023</v>
      </c>
      <c r="G1031" t="s">
        <v>7</v>
      </c>
      <c r="H1031">
        <v>-10</v>
      </c>
      <c r="K1031" t="s">
        <v>9</v>
      </c>
      <c r="L1031" s="8">
        <f t="shared" si="1190"/>
        <v>-1</v>
      </c>
      <c r="M1031" t="s">
        <v>1135</v>
      </c>
    </row>
    <row r="1032" spans="1:13" x14ac:dyDescent="0.35">
      <c r="A1032">
        <f t="shared" si="928"/>
        <v>1028</v>
      </c>
      <c r="B1032" s="9">
        <f t="shared" ref="B1032" si="1195">B1031+H1032+I1032+J1032</f>
        <v>49.61</v>
      </c>
      <c r="C1032" s="3" t="s">
        <v>1122</v>
      </c>
      <c r="D1032">
        <f t="shared" ref="D1032" si="1196">_xlfn.NUMBERVALUE(LEFT(C1032,2))</f>
        <v>4</v>
      </c>
      <c r="E1032">
        <f t="shared" ref="E1032" si="1197">_xlfn.NUMBERVALUE(MID(C1032,4,2))</f>
        <v>9</v>
      </c>
      <c r="F1032">
        <f t="shared" ref="F1032" si="1198">_xlfn.NUMBERVALUE(RIGHT(C1032,4))</f>
        <v>2023</v>
      </c>
      <c r="G1032" t="s">
        <v>7</v>
      </c>
      <c r="H1032">
        <v>-10</v>
      </c>
      <c r="K1032" t="s">
        <v>9</v>
      </c>
      <c r="L1032" s="8">
        <f t="shared" si="1190"/>
        <v>-1</v>
      </c>
      <c r="M1032" t="s">
        <v>1136</v>
      </c>
    </row>
    <row r="1033" spans="1:13" x14ac:dyDescent="0.35">
      <c r="A1033">
        <f t="shared" si="928"/>
        <v>1029</v>
      </c>
      <c r="B1033" s="9">
        <f t="shared" ref="B1033" si="1199">B1032+H1033+I1033+J1033</f>
        <v>47.61</v>
      </c>
      <c r="C1033" s="3" t="s">
        <v>1122</v>
      </c>
      <c r="D1033">
        <f t="shared" ref="D1033" si="1200">_xlfn.NUMBERVALUE(LEFT(C1033,2))</f>
        <v>4</v>
      </c>
      <c r="E1033">
        <f t="shared" ref="E1033" si="1201">_xlfn.NUMBERVALUE(MID(C1033,4,2))</f>
        <v>9</v>
      </c>
      <c r="F1033">
        <f t="shared" ref="F1033" si="1202">_xlfn.NUMBERVALUE(RIGHT(C1033,4))</f>
        <v>2023</v>
      </c>
      <c r="G1033" t="s">
        <v>7</v>
      </c>
      <c r="H1033">
        <v>-2</v>
      </c>
      <c r="K1033" t="s">
        <v>9</v>
      </c>
      <c r="L1033" s="8">
        <f t="shared" si="1190"/>
        <v>-1</v>
      </c>
      <c r="M1033" t="s">
        <v>1137</v>
      </c>
    </row>
    <row r="1034" spans="1:13" x14ac:dyDescent="0.35">
      <c r="A1034">
        <f t="shared" si="928"/>
        <v>1030</v>
      </c>
      <c r="B1034" s="9">
        <f t="shared" ref="B1034:B1035" si="1203">B1033+H1034+I1034+J1034</f>
        <v>57.61</v>
      </c>
      <c r="C1034" s="3" t="s">
        <v>1122</v>
      </c>
      <c r="D1034">
        <f t="shared" ref="D1034:D1035" si="1204">_xlfn.NUMBERVALUE(LEFT(C1034,2))</f>
        <v>4</v>
      </c>
      <c r="E1034">
        <f t="shared" ref="E1034:E1035" si="1205">_xlfn.NUMBERVALUE(MID(C1034,4,2))</f>
        <v>9</v>
      </c>
      <c r="F1034">
        <f t="shared" ref="F1034:F1035" si="1206">_xlfn.NUMBERVALUE(RIGHT(C1034,4))</f>
        <v>2023</v>
      </c>
      <c r="G1034" t="s">
        <v>193</v>
      </c>
      <c r="I1034">
        <v>10</v>
      </c>
      <c r="K1034" t="s">
        <v>10</v>
      </c>
      <c r="L1034" s="8"/>
    </row>
    <row r="1035" spans="1:13" x14ac:dyDescent="0.35">
      <c r="A1035">
        <f t="shared" si="928"/>
        <v>1031</v>
      </c>
      <c r="B1035" s="9">
        <f t="shared" si="1203"/>
        <v>56.61</v>
      </c>
      <c r="C1035" s="3" t="s">
        <v>1139</v>
      </c>
      <c r="D1035">
        <f t="shared" si="1204"/>
        <v>5</v>
      </c>
      <c r="E1035">
        <f t="shared" si="1205"/>
        <v>9</v>
      </c>
      <c r="F1035">
        <f t="shared" si="1206"/>
        <v>2023</v>
      </c>
      <c r="G1035" t="s">
        <v>7</v>
      </c>
      <c r="H1035">
        <v>-1</v>
      </c>
      <c r="K1035" t="s">
        <v>9</v>
      </c>
      <c r="L1035" s="8">
        <f t="shared" si="1190"/>
        <v>-1</v>
      </c>
      <c r="M1035" t="s">
        <v>1138</v>
      </c>
    </row>
    <row r="1036" spans="1:13" x14ac:dyDescent="0.35">
      <c r="A1036">
        <f t="shared" si="928"/>
        <v>1032</v>
      </c>
      <c r="B1036" s="9">
        <f t="shared" ref="B1036" si="1207">B1035+H1036+I1036+J1036</f>
        <v>55.61</v>
      </c>
      <c r="C1036" s="3" t="s">
        <v>1139</v>
      </c>
      <c r="D1036">
        <f t="shared" ref="D1036" si="1208">_xlfn.NUMBERVALUE(LEFT(C1036,2))</f>
        <v>5</v>
      </c>
      <c r="E1036">
        <f t="shared" ref="E1036" si="1209">_xlfn.NUMBERVALUE(MID(C1036,4,2))</f>
        <v>9</v>
      </c>
      <c r="F1036">
        <f t="shared" ref="F1036" si="1210">_xlfn.NUMBERVALUE(RIGHT(C1036,4))</f>
        <v>2023</v>
      </c>
      <c r="G1036" t="s">
        <v>7</v>
      </c>
      <c r="H1036">
        <v>-1</v>
      </c>
      <c r="K1036" t="s">
        <v>9</v>
      </c>
      <c r="L1036" s="8">
        <f t="shared" si="1190"/>
        <v>-1</v>
      </c>
      <c r="M1036" t="s">
        <v>1140</v>
      </c>
    </row>
    <row r="1037" spans="1:13" x14ac:dyDescent="0.35">
      <c r="A1037">
        <f t="shared" si="928"/>
        <v>1033</v>
      </c>
      <c r="B1037" s="9">
        <f t="shared" ref="B1037" si="1211">B1036+H1037+I1037+J1037</f>
        <v>54.61</v>
      </c>
      <c r="C1037" s="3" t="s">
        <v>1139</v>
      </c>
      <c r="D1037">
        <f t="shared" ref="D1037" si="1212">_xlfn.NUMBERVALUE(LEFT(C1037,2))</f>
        <v>5</v>
      </c>
      <c r="E1037">
        <f t="shared" ref="E1037" si="1213">_xlfn.NUMBERVALUE(MID(C1037,4,2))</f>
        <v>9</v>
      </c>
      <c r="F1037">
        <f t="shared" ref="F1037" si="1214">_xlfn.NUMBERVALUE(RIGHT(C1037,4))</f>
        <v>2023</v>
      </c>
      <c r="G1037" t="s">
        <v>7</v>
      </c>
      <c r="H1037">
        <v>-1</v>
      </c>
      <c r="K1037" t="s">
        <v>9</v>
      </c>
      <c r="L1037" s="8">
        <f t="shared" si="1190"/>
        <v>-1</v>
      </c>
      <c r="M1037" t="s">
        <v>1141</v>
      </c>
    </row>
    <row r="1038" spans="1:13" x14ac:dyDescent="0.35">
      <c r="A1038">
        <f t="shared" si="928"/>
        <v>1034</v>
      </c>
      <c r="B1038" s="9">
        <f t="shared" ref="B1038" si="1215">B1037+H1038+I1038+J1038</f>
        <v>53.61</v>
      </c>
      <c r="C1038" s="3" t="s">
        <v>1139</v>
      </c>
      <c r="D1038">
        <f t="shared" ref="D1038" si="1216">_xlfn.NUMBERVALUE(LEFT(C1038,2))</f>
        <v>5</v>
      </c>
      <c r="E1038">
        <f t="shared" ref="E1038" si="1217">_xlfn.NUMBERVALUE(MID(C1038,4,2))</f>
        <v>9</v>
      </c>
      <c r="F1038">
        <f t="shared" ref="F1038" si="1218">_xlfn.NUMBERVALUE(RIGHT(C1038,4))</f>
        <v>2023</v>
      </c>
      <c r="G1038" t="s">
        <v>7</v>
      </c>
      <c r="H1038">
        <v>-1</v>
      </c>
      <c r="K1038" t="s">
        <v>9</v>
      </c>
      <c r="L1038" s="8">
        <f t="shared" si="1190"/>
        <v>-1</v>
      </c>
      <c r="M1038" t="s">
        <v>1142</v>
      </c>
    </row>
    <row r="1039" spans="1:13" x14ac:dyDescent="0.35">
      <c r="A1039">
        <f t="shared" si="928"/>
        <v>1035</v>
      </c>
      <c r="B1039" s="9">
        <f t="shared" ref="B1039" si="1219">B1038+H1039+I1039+J1039</f>
        <v>52.61</v>
      </c>
      <c r="C1039" s="3" t="s">
        <v>1139</v>
      </c>
      <c r="D1039">
        <f t="shared" ref="D1039" si="1220">_xlfn.NUMBERVALUE(LEFT(C1039,2))</f>
        <v>5</v>
      </c>
      <c r="E1039">
        <f t="shared" ref="E1039" si="1221">_xlfn.NUMBERVALUE(MID(C1039,4,2))</f>
        <v>9</v>
      </c>
      <c r="F1039">
        <f t="shared" ref="F1039" si="1222">_xlfn.NUMBERVALUE(RIGHT(C1039,4))</f>
        <v>2023</v>
      </c>
      <c r="G1039" t="s">
        <v>7</v>
      </c>
      <c r="H1039">
        <v>-1</v>
      </c>
      <c r="K1039" t="s">
        <v>9</v>
      </c>
      <c r="L1039" s="8">
        <f t="shared" si="1190"/>
        <v>-1</v>
      </c>
      <c r="M1039" t="s">
        <v>1143</v>
      </c>
    </row>
    <row r="1040" spans="1:13" x14ac:dyDescent="0.35">
      <c r="A1040">
        <f t="shared" si="928"/>
        <v>1036</v>
      </c>
      <c r="B1040" s="9">
        <f t="shared" ref="B1040" si="1223">B1039+H1040+I1040+J1040</f>
        <v>51.61</v>
      </c>
      <c r="C1040" s="3" t="s">
        <v>1139</v>
      </c>
      <c r="D1040">
        <f t="shared" ref="D1040" si="1224">_xlfn.NUMBERVALUE(LEFT(C1040,2))</f>
        <v>5</v>
      </c>
      <c r="E1040">
        <f t="shared" ref="E1040" si="1225">_xlfn.NUMBERVALUE(MID(C1040,4,2))</f>
        <v>9</v>
      </c>
      <c r="F1040">
        <f t="shared" ref="F1040" si="1226">_xlfn.NUMBERVALUE(RIGHT(C1040,4))</f>
        <v>2023</v>
      </c>
      <c r="G1040" t="s">
        <v>7</v>
      </c>
      <c r="H1040">
        <v>-1</v>
      </c>
      <c r="K1040" t="s">
        <v>9</v>
      </c>
      <c r="L1040" s="8">
        <f t="shared" si="1190"/>
        <v>-1</v>
      </c>
      <c r="M1040" t="s">
        <v>1144</v>
      </c>
    </row>
    <row r="1041" spans="1:13" x14ac:dyDescent="0.35">
      <c r="A1041">
        <f t="shared" si="928"/>
        <v>1037</v>
      </c>
      <c r="B1041" s="9">
        <f t="shared" ref="B1041" si="1227">B1040+H1041+I1041+J1041</f>
        <v>50.61</v>
      </c>
      <c r="C1041" s="3" t="s">
        <v>1139</v>
      </c>
      <c r="D1041">
        <f t="shared" ref="D1041" si="1228">_xlfn.NUMBERVALUE(LEFT(C1041,2))</f>
        <v>5</v>
      </c>
      <c r="E1041">
        <f t="shared" ref="E1041" si="1229">_xlfn.NUMBERVALUE(MID(C1041,4,2))</f>
        <v>9</v>
      </c>
      <c r="F1041">
        <f t="shared" ref="F1041" si="1230">_xlfn.NUMBERVALUE(RIGHT(C1041,4))</f>
        <v>2023</v>
      </c>
      <c r="G1041" t="s">
        <v>7</v>
      </c>
      <c r="H1041">
        <v>-1</v>
      </c>
      <c r="K1041" t="s">
        <v>9</v>
      </c>
      <c r="L1041" s="8">
        <f t="shared" si="1190"/>
        <v>-1</v>
      </c>
      <c r="M1041" t="s">
        <v>1145</v>
      </c>
    </row>
    <row r="1042" spans="1:13" x14ac:dyDescent="0.35">
      <c r="A1042">
        <f t="shared" si="928"/>
        <v>1038</v>
      </c>
      <c r="B1042" s="9">
        <f t="shared" ref="B1042" si="1231">B1041+H1042+I1042+J1042</f>
        <v>52.61</v>
      </c>
      <c r="C1042" s="3" t="s">
        <v>1139</v>
      </c>
      <c r="D1042">
        <f t="shared" ref="D1042" si="1232">_xlfn.NUMBERVALUE(LEFT(C1042,2))</f>
        <v>5</v>
      </c>
      <c r="E1042">
        <f t="shared" ref="E1042" si="1233">_xlfn.NUMBERVALUE(MID(C1042,4,2))</f>
        <v>9</v>
      </c>
      <c r="F1042">
        <f t="shared" ref="F1042" si="1234">_xlfn.NUMBERVALUE(RIGHT(C1042,4))</f>
        <v>2023</v>
      </c>
      <c r="G1042" t="s">
        <v>7</v>
      </c>
      <c r="H1042">
        <v>-1</v>
      </c>
      <c r="I1042">
        <v>3</v>
      </c>
      <c r="K1042" t="s">
        <v>10</v>
      </c>
      <c r="L1042" s="8">
        <f t="shared" si="1190"/>
        <v>2</v>
      </c>
      <c r="M1042" t="s">
        <v>1146</v>
      </c>
    </row>
    <row r="1043" spans="1:13" x14ac:dyDescent="0.35">
      <c r="A1043">
        <f t="shared" si="928"/>
        <v>1039</v>
      </c>
      <c r="B1043" s="9">
        <f t="shared" ref="B1043" si="1235">B1042+H1043+I1043+J1043</f>
        <v>54.61</v>
      </c>
      <c r="C1043" s="3" t="s">
        <v>1139</v>
      </c>
      <c r="D1043">
        <f t="shared" ref="D1043" si="1236">_xlfn.NUMBERVALUE(LEFT(C1043,2))</f>
        <v>5</v>
      </c>
      <c r="E1043">
        <f t="shared" ref="E1043" si="1237">_xlfn.NUMBERVALUE(MID(C1043,4,2))</f>
        <v>9</v>
      </c>
      <c r="F1043">
        <f t="shared" ref="F1043" si="1238">_xlfn.NUMBERVALUE(RIGHT(C1043,4))</f>
        <v>2023</v>
      </c>
      <c r="G1043" t="s">
        <v>7</v>
      </c>
      <c r="H1043">
        <v>-1</v>
      </c>
      <c r="I1043">
        <v>3</v>
      </c>
      <c r="K1043" t="s">
        <v>10</v>
      </c>
      <c r="L1043" s="8">
        <f t="shared" si="1190"/>
        <v>2</v>
      </c>
      <c r="M1043" t="s">
        <v>1147</v>
      </c>
    </row>
    <row r="1044" spans="1:13" x14ac:dyDescent="0.35">
      <c r="A1044">
        <f t="shared" si="928"/>
        <v>1040</v>
      </c>
      <c r="B1044" s="9">
        <f t="shared" ref="B1044" si="1239">B1043+H1044+I1044+J1044</f>
        <v>53.61</v>
      </c>
      <c r="C1044" s="3" t="s">
        <v>1139</v>
      </c>
      <c r="D1044">
        <f t="shared" ref="D1044" si="1240">_xlfn.NUMBERVALUE(LEFT(C1044,2))</f>
        <v>5</v>
      </c>
      <c r="E1044">
        <f t="shared" ref="E1044" si="1241">_xlfn.NUMBERVALUE(MID(C1044,4,2))</f>
        <v>9</v>
      </c>
      <c r="F1044">
        <f t="shared" ref="F1044" si="1242">_xlfn.NUMBERVALUE(RIGHT(C1044,4))</f>
        <v>2023</v>
      </c>
      <c r="G1044" t="s">
        <v>7</v>
      </c>
      <c r="H1044">
        <v>-1</v>
      </c>
      <c r="K1044" t="s">
        <v>9</v>
      </c>
      <c r="L1044" s="8">
        <f t="shared" si="1190"/>
        <v>-1</v>
      </c>
      <c r="M1044" t="s">
        <v>1148</v>
      </c>
    </row>
    <row r="1045" spans="1:13" x14ac:dyDescent="0.35">
      <c r="A1045">
        <f t="shared" si="928"/>
        <v>1041</v>
      </c>
      <c r="B1045" s="9">
        <f t="shared" ref="B1045" si="1243">B1044+H1045+I1045+J1045</f>
        <v>52.61</v>
      </c>
      <c r="C1045" s="3" t="s">
        <v>1139</v>
      </c>
      <c r="D1045">
        <f t="shared" ref="D1045" si="1244">_xlfn.NUMBERVALUE(LEFT(C1045,2))</f>
        <v>5</v>
      </c>
      <c r="E1045">
        <f t="shared" ref="E1045" si="1245">_xlfn.NUMBERVALUE(MID(C1045,4,2))</f>
        <v>9</v>
      </c>
      <c r="F1045">
        <f t="shared" ref="F1045" si="1246">_xlfn.NUMBERVALUE(RIGHT(C1045,4))</f>
        <v>2023</v>
      </c>
      <c r="G1045" t="s">
        <v>7</v>
      </c>
      <c r="H1045">
        <v>-1</v>
      </c>
      <c r="K1045" t="s">
        <v>9</v>
      </c>
      <c r="L1045" s="8">
        <f t="shared" si="1190"/>
        <v>-1</v>
      </c>
      <c r="M1045" t="s">
        <v>1149</v>
      </c>
    </row>
    <row r="1046" spans="1:13" x14ac:dyDescent="0.35">
      <c r="A1046">
        <f t="shared" si="928"/>
        <v>1042</v>
      </c>
      <c r="B1046" s="9">
        <f t="shared" ref="B1046" si="1247">B1045+H1046+I1046+J1046</f>
        <v>54.61</v>
      </c>
      <c r="C1046" s="3" t="s">
        <v>1139</v>
      </c>
      <c r="D1046">
        <f t="shared" ref="D1046" si="1248">_xlfn.NUMBERVALUE(LEFT(C1046,2))</f>
        <v>5</v>
      </c>
      <c r="E1046">
        <f t="shared" ref="E1046" si="1249">_xlfn.NUMBERVALUE(MID(C1046,4,2))</f>
        <v>9</v>
      </c>
      <c r="F1046">
        <f t="shared" ref="F1046" si="1250">_xlfn.NUMBERVALUE(RIGHT(C1046,4))</f>
        <v>2023</v>
      </c>
      <c r="G1046" t="s">
        <v>7</v>
      </c>
      <c r="H1046">
        <v>-1</v>
      </c>
      <c r="I1046">
        <v>3</v>
      </c>
      <c r="K1046" t="s">
        <v>10</v>
      </c>
      <c r="L1046" s="8">
        <f t="shared" si="1190"/>
        <v>2</v>
      </c>
      <c r="M1046" t="s">
        <v>1150</v>
      </c>
    </row>
    <row r="1047" spans="1:13" x14ac:dyDescent="0.35">
      <c r="A1047">
        <f t="shared" si="928"/>
        <v>1043</v>
      </c>
      <c r="B1047" s="9">
        <f t="shared" ref="B1047" si="1251">B1046+H1047+I1047+J1047</f>
        <v>53.61</v>
      </c>
      <c r="C1047" s="3" t="s">
        <v>1151</v>
      </c>
      <c r="D1047">
        <f t="shared" ref="D1047" si="1252">_xlfn.NUMBERVALUE(LEFT(C1047,2))</f>
        <v>12</v>
      </c>
      <c r="E1047">
        <f t="shared" ref="E1047" si="1253">_xlfn.NUMBERVALUE(MID(C1047,4,2))</f>
        <v>9</v>
      </c>
      <c r="F1047">
        <f t="shared" ref="F1047" si="1254">_xlfn.NUMBERVALUE(RIGHT(C1047,4))</f>
        <v>2023</v>
      </c>
      <c r="G1047" t="s">
        <v>7</v>
      </c>
      <c r="H1047">
        <v>-1</v>
      </c>
      <c r="K1047" t="s">
        <v>9</v>
      </c>
      <c r="L1047" s="8">
        <f t="shared" si="1190"/>
        <v>-1</v>
      </c>
      <c r="M1047" t="s">
        <v>1152</v>
      </c>
    </row>
    <row r="1048" spans="1:13" x14ac:dyDescent="0.35">
      <c r="A1048">
        <f t="shared" si="928"/>
        <v>1044</v>
      </c>
      <c r="B1048" s="9">
        <f t="shared" ref="B1048" si="1255">B1047+H1048+I1048+J1048</f>
        <v>57.61</v>
      </c>
      <c r="C1048" s="3" t="s">
        <v>1151</v>
      </c>
      <c r="D1048">
        <f t="shared" ref="D1048" si="1256">_xlfn.NUMBERVALUE(LEFT(C1048,2))</f>
        <v>12</v>
      </c>
      <c r="E1048">
        <f t="shared" ref="E1048" si="1257">_xlfn.NUMBERVALUE(MID(C1048,4,2))</f>
        <v>9</v>
      </c>
      <c r="F1048">
        <f t="shared" ref="F1048" si="1258">_xlfn.NUMBERVALUE(RIGHT(C1048,4))</f>
        <v>2023</v>
      </c>
      <c r="G1048" t="s">
        <v>7</v>
      </c>
      <c r="H1048">
        <v>-1</v>
      </c>
      <c r="I1048">
        <v>5</v>
      </c>
      <c r="K1048" t="s">
        <v>10</v>
      </c>
      <c r="L1048" s="8">
        <f t="shared" si="1190"/>
        <v>4</v>
      </c>
      <c r="M1048" t="s">
        <v>1153</v>
      </c>
    </row>
    <row r="1049" spans="1:13" x14ac:dyDescent="0.35">
      <c r="A1049">
        <f t="shared" si="928"/>
        <v>1045</v>
      </c>
      <c r="B1049" s="9">
        <f t="shared" ref="B1049" si="1259">B1048+H1049+I1049+J1049</f>
        <v>59.61</v>
      </c>
      <c r="C1049" s="3" t="s">
        <v>1151</v>
      </c>
      <c r="D1049">
        <f t="shared" ref="D1049" si="1260">_xlfn.NUMBERVALUE(LEFT(C1049,2))</f>
        <v>12</v>
      </c>
      <c r="E1049">
        <f t="shared" ref="E1049" si="1261">_xlfn.NUMBERVALUE(MID(C1049,4,2))</f>
        <v>9</v>
      </c>
      <c r="F1049">
        <f t="shared" ref="F1049" si="1262">_xlfn.NUMBERVALUE(RIGHT(C1049,4))</f>
        <v>2023</v>
      </c>
      <c r="G1049" t="s">
        <v>7</v>
      </c>
      <c r="H1049">
        <v>-1</v>
      </c>
      <c r="I1049">
        <v>3</v>
      </c>
      <c r="K1049" t="s">
        <v>10</v>
      </c>
      <c r="L1049" s="8">
        <f t="shared" si="1190"/>
        <v>2</v>
      </c>
      <c r="M1049" t="s">
        <v>1154</v>
      </c>
    </row>
    <row r="1050" spans="1:13" x14ac:dyDescent="0.35">
      <c r="A1050">
        <f t="shared" si="928"/>
        <v>1046</v>
      </c>
      <c r="B1050" s="9">
        <f t="shared" ref="B1050" si="1263">B1049+H1050+I1050+J1050</f>
        <v>60.61</v>
      </c>
      <c r="C1050" s="3" t="s">
        <v>1151</v>
      </c>
      <c r="D1050">
        <f t="shared" ref="D1050" si="1264">_xlfn.NUMBERVALUE(LEFT(C1050,2))</f>
        <v>12</v>
      </c>
      <c r="E1050">
        <f t="shared" ref="E1050" si="1265">_xlfn.NUMBERVALUE(MID(C1050,4,2))</f>
        <v>9</v>
      </c>
      <c r="F1050">
        <f t="shared" ref="F1050" si="1266">_xlfn.NUMBERVALUE(RIGHT(C1050,4))</f>
        <v>2023</v>
      </c>
      <c r="G1050" t="s">
        <v>7</v>
      </c>
      <c r="H1050">
        <v>-1</v>
      </c>
      <c r="I1050">
        <v>2</v>
      </c>
      <c r="K1050" t="s">
        <v>10</v>
      </c>
      <c r="L1050" s="8">
        <f t="shared" si="1190"/>
        <v>1</v>
      </c>
      <c r="M1050" t="s">
        <v>1155</v>
      </c>
    </row>
    <row r="1051" spans="1:13" x14ac:dyDescent="0.35">
      <c r="A1051">
        <f t="shared" si="928"/>
        <v>1047</v>
      </c>
      <c r="B1051" s="9">
        <f t="shared" ref="B1051" si="1267">B1050+H1051+I1051+J1051</f>
        <v>59.61</v>
      </c>
      <c r="C1051" s="3" t="s">
        <v>1157</v>
      </c>
      <c r="D1051">
        <f t="shared" ref="D1051" si="1268">_xlfn.NUMBERVALUE(LEFT(C1051,2))</f>
        <v>15</v>
      </c>
      <c r="E1051">
        <f t="shared" ref="E1051" si="1269">_xlfn.NUMBERVALUE(MID(C1051,4,2))</f>
        <v>9</v>
      </c>
      <c r="F1051">
        <f t="shared" ref="F1051" si="1270">_xlfn.NUMBERVALUE(RIGHT(C1051,4))</f>
        <v>2023</v>
      </c>
      <c r="G1051" t="s">
        <v>7</v>
      </c>
      <c r="H1051">
        <v>-1</v>
      </c>
      <c r="K1051" t="s">
        <v>9</v>
      </c>
      <c r="L1051" s="8">
        <f t="shared" si="1190"/>
        <v>-1</v>
      </c>
      <c r="M1051" t="s">
        <v>1156</v>
      </c>
    </row>
    <row r="1052" spans="1:13" x14ac:dyDescent="0.35">
      <c r="A1052">
        <f t="shared" si="928"/>
        <v>1048</v>
      </c>
      <c r="B1052" s="9">
        <f t="shared" ref="B1052" si="1271">B1051+H1052+I1052+J1052</f>
        <v>61.61</v>
      </c>
      <c r="C1052" s="3" t="s">
        <v>1157</v>
      </c>
      <c r="D1052">
        <f t="shared" ref="D1052" si="1272">_xlfn.NUMBERVALUE(LEFT(C1052,2))</f>
        <v>15</v>
      </c>
      <c r="E1052">
        <f t="shared" ref="E1052" si="1273">_xlfn.NUMBERVALUE(MID(C1052,4,2))</f>
        <v>9</v>
      </c>
      <c r="F1052">
        <f t="shared" ref="F1052" si="1274">_xlfn.NUMBERVALUE(RIGHT(C1052,4))</f>
        <v>2023</v>
      </c>
      <c r="G1052" t="s">
        <v>7</v>
      </c>
      <c r="H1052">
        <v>-1</v>
      </c>
      <c r="I1052">
        <v>3</v>
      </c>
      <c r="K1052" t="s">
        <v>10</v>
      </c>
      <c r="L1052" s="8">
        <f t="shared" si="1190"/>
        <v>2</v>
      </c>
      <c r="M1052" t="s">
        <v>1158</v>
      </c>
    </row>
    <row r="1053" spans="1:13" x14ac:dyDescent="0.35">
      <c r="A1053">
        <f t="shared" si="928"/>
        <v>1049</v>
      </c>
      <c r="B1053" s="9">
        <f t="shared" ref="B1053" si="1275">B1052+H1053+I1053+J1053</f>
        <v>60.61</v>
      </c>
      <c r="C1053" s="3" t="s">
        <v>1159</v>
      </c>
      <c r="D1053">
        <f t="shared" ref="D1053" si="1276">_xlfn.NUMBERVALUE(LEFT(C1053,2))</f>
        <v>16</v>
      </c>
      <c r="E1053">
        <f t="shared" ref="E1053" si="1277">_xlfn.NUMBERVALUE(MID(C1053,4,2))</f>
        <v>9</v>
      </c>
      <c r="F1053">
        <f t="shared" ref="F1053" si="1278">_xlfn.NUMBERVALUE(RIGHT(C1053,4))</f>
        <v>2023</v>
      </c>
      <c r="G1053" t="s">
        <v>7</v>
      </c>
      <c r="H1053">
        <v>-1</v>
      </c>
      <c r="K1053" t="s">
        <v>9</v>
      </c>
      <c r="L1053" s="8">
        <f t="shared" si="1190"/>
        <v>-1</v>
      </c>
      <c r="M1053" t="s">
        <v>1160</v>
      </c>
    </row>
    <row r="1054" spans="1:13" x14ac:dyDescent="0.35">
      <c r="A1054">
        <f t="shared" si="928"/>
        <v>1050</v>
      </c>
      <c r="B1054" s="9">
        <f t="shared" ref="B1054" si="1279">B1053+H1054+I1054+J1054</f>
        <v>63.61</v>
      </c>
      <c r="C1054" s="3" t="s">
        <v>1159</v>
      </c>
      <c r="D1054">
        <f t="shared" ref="D1054" si="1280">_xlfn.NUMBERVALUE(LEFT(C1054,2))</f>
        <v>16</v>
      </c>
      <c r="E1054">
        <f t="shared" ref="E1054" si="1281">_xlfn.NUMBERVALUE(MID(C1054,4,2))</f>
        <v>9</v>
      </c>
      <c r="F1054">
        <f t="shared" ref="F1054" si="1282">_xlfn.NUMBERVALUE(RIGHT(C1054,4))</f>
        <v>2023</v>
      </c>
      <c r="G1054" t="s">
        <v>7</v>
      </c>
      <c r="H1054">
        <v>-1</v>
      </c>
      <c r="I1054">
        <v>4</v>
      </c>
      <c r="K1054" t="s">
        <v>10</v>
      </c>
      <c r="L1054" s="8">
        <f t="shared" si="1190"/>
        <v>3</v>
      </c>
      <c r="M1054" t="s">
        <v>1161</v>
      </c>
    </row>
    <row r="1055" spans="1:13" x14ac:dyDescent="0.35">
      <c r="A1055">
        <f t="shared" si="928"/>
        <v>1051</v>
      </c>
      <c r="B1055" s="9">
        <f t="shared" ref="B1055" si="1283">B1054+H1055+I1055+J1055</f>
        <v>62.61</v>
      </c>
      <c r="C1055" s="3" t="s">
        <v>1164</v>
      </c>
      <c r="D1055">
        <f t="shared" ref="D1055" si="1284">_xlfn.NUMBERVALUE(LEFT(C1055,2))</f>
        <v>17</v>
      </c>
      <c r="E1055">
        <f t="shared" ref="E1055" si="1285">_xlfn.NUMBERVALUE(MID(C1055,4,2))</f>
        <v>9</v>
      </c>
      <c r="F1055">
        <f t="shared" ref="F1055" si="1286">_xlfn.NUMBERVALUE(RIGHT(C1055,4))</f>
        <v>2023</v>
      </c>
      <c r="G1055" t="s">
        <v>7</v>
      </c>
      <c r="H1055">
        <v>-1</v>
      </c>
      <c r="K1055" t="s">
        <v>9</v>
      </c>
      <c r="L1055" s="8">
        <f t="shared" si="1190"/>
        <v>-1</v>
      </c>
      <c r="M1055" t="s">
        <v>1162</v>
      </c>
    </row>
    <row r="1056" spans="1:13" x14ac:dyDescent="0.35">
      <c r="A1056">
        <f t="shared" si="928"/>
        <v>1052</v>
      </c>
      <c r="B1056" s="9">
        <f t="shared" ref="B1056" si="1287">B1055+H1056+I1056+J1056</f>
        <v>61.61</v>
      </c>
      <c r="C1056" s="3" t="s">
        <v>1164</v>
      </c>
      <c r="D1056">
        <f t="shared" ref="D1056" si="1288">_xlfn.NUMBERVALUE(LEFT(C1056,2))</f>
        <v>17</v>
      </c>
      <c r="E1056">
        <f t="shared" ref="E1056" si="1289">_xlfn.NUMBERVALUE(MID(C1056,4,2))</f>
        <v>9</v>
      </c>
      <c r="F1056">
        <f t="shared" ref="F1056" si="1290">_xlfn.NUMBERVALUE(RIGHT(C1056,4))</f>
        <v>2023</v>
      </c>
      <c r="G1056" t="s">
        <v>7</v>
      </c>
      <c r="H1056">
        <v>-1</v>
      </c>
      <c r="K1056" t="s">
        <v>9</v>
      </c>
      <c r="L1056" s="8">
        <f t="shared" si="1190"/>
        <v>-1</v>
      </c>
      <c r="M1056" t="s">
        <v>1163</v>
      </c>
    </row>
    <row r="1057" spans="1:13" x14ac:dyDescent="0.35">
      <c r="A1057">
        <f t="shared" si="928"/>
        <v>1053</v>
      </c>
      <c r="B1057" s="9">
        <f t="shared" ref="B1057" si="1291">B1056+H1057+I1057+J1057</f>
        <v>60.61</v>
      </c>
      <c r="C1057" s="3" t="s">
        <v>1165</v>
      </c>
      <c r="D1057">
        <f t="shared" ref="D1057" si="1292">_xlfn.NUMBERVALUE(LEFT(C1057,2))</f>
        <v>21</v>
      </c>
      <c r="E1057">
        <f t="shared" ref="E1057" si="1293">_xlfn.NUMBERVALUE(MID(C1057,4,2))</f>
        <v>9</v>
      </c>
      <c r="F1057">
        <f t="shared" ref="F1057" si="1294">_xlfn.NUMBERVALUE(RIGHT(C1057,4))</f>
        <v>2023</v>
      </c>
      <c r="G1057" t="s">
        <v>7</v>
      </c>
      <c r="H1057">
        <v>-1</v>
      </c>
      <c r="K1057" t="s">
        <v>9</v>
      </c>
      <c r="L1057" s="8">
        <f t="shared" si="1190"/>
        <v>-1</v>
      </c>
      <c r="M1057" t="s">
        <v>1166</v>
      </c>
    </row>
    <row r="1058" spans="1:13" x14ac:dyDescent="0.35">
      <c r="A1058">
        <f t="shared" si="928"/>
        <v>1054</v>
      </c>
      <c r="B1058" s="9">
        <f t="shared" ref="B1058" si="1295">B1057+H1058+I1058+J1058</f>
        <v>59.61</v>
      </c>
      <c r="C1058" s="3" t="s">
        <v>1165</v>
      </c>
      <c r="D1058">
        <f t="shared" ref="D1058" si="1296">_xlfn.NUMBERVALUE(LEFT(C1058,2))</f>
        <v>21</v>
      </c>
      <c r="E1058">
        <f t="shared" ref="E1058" si="1297">_xlfn.NUMBERVALUE(MID(C1058,4,2))</f>
        <v>9</v>
      </c>
      <c r="F1058">
        <f t="shared" ref="F1058" si="1298">_xlfn.NUMBERVALUE(RIGHT(C1058,4))</f>
        <v>2023</v>
      </c>
      <c r="G1058" t="s">
        <v>7</v>
      </c>
      <c r="H1058">
        <v>-1</v>
      </c>
      <c r="K1058" t="s">
        <v>9</v>
      </c>
      <c r="L1058" s="8">
        <f t="shared" si="1190"/>
        <v>-1</v>
      </c>
      <c r="M1058" t="s">
        <v>1167</v>
      </c>
    </row>
    <row r="1059" spans="1:13" x14ac:dyDescent="0.35">
      <c r="A1059">
        <f t="shared" si="928"/>
        <v>1055</v>
      </c>
      <c r="B1059" s="9">
        <f t="shared" ref="B1059" si="1299">B1058+H1059+I1059+J1059</f>
        <v>58.61</v>
      </c>
      <c r="C1059" s="3" t="s">
        <v>1165</v>
      </c>
      <c r="D1059">
        <f t="shared" ref="D1059" si="1300">_xlfn.NUMBERVALUE(LEFT(C1059,2))</f>
        <v>21</v>
      </c>
      <c r="E1059">
        <f t="shared" ref="E1059" si="1301">_xlfn.NUMBERVALUE(MID(C1059,4,2))</f>
        <v>9</v>
      </c>
      <c r="F1059">
        <f t="shared" ref="F1059" si="1302">_xlfn.NUMBERVALUE(RIGHT(C1059,4))</f>
        <v>2023</v>
      </c>
      <c r="G1059" t="s">
        <v>7</v>
      </c>
      <c r="H1059">
        <v>-1</v>
      </c>
      <c r="K1059" t="s">
        <v>9</v>
      </c>
      <c r="L1059" s="8">
        <f t="shared" si="1190"/>
        <v>-1</v>
      </c>
      <c r="M1059" t="s">
        <v>1168</v>
      </c>
    </row>
    <row r="1060" spans="1:13" x14ac:dyDescent="0.35">
      <c r="A1060">
        <f t="shared" si="928"/>
        <v>1056</v>
      </c>
      <c r="B1060" s="9">
        <f t="shared" ref="B1060" si="1303">B1059+H1060+I1060+J1060</f>
        <v>57.61</v>
      </c>
      <c r="C1060" s="3" t="s">
        <v>1170</v>
      </c>
      <c r="D1060">
        <f t="shared" ref="D1060" si="1304">_xlfn.NUMBERVALUE(LEFT(C1060,2))</f>
        <v>23</v>
      </c>
      <c r="E1060">
        <f t="shared" ref="E1060" si="1305">_xlfn.NUMBERVALUE(MID(C1060,4,2))</f>
        <v>9</v>
      </c>
      <c r="F1060">
        <f t="shared" ref="F1060" si="1306">_xlfn.NUMBERVALUE(RIGHT(C1060,4))</f>
        <v>2023</v>
      </c>
      <c r="G1060" t="s">
        <v>7</v>
      </c>
      <c r="H1060">
        <v>-1</v>
      </c>
      <c r="K1060" t="s">
        <v>9</v>
      </c>
      <c r="L1060" s="8">
        <f t="shared" si="1190"/>
        <v>-1</v>
      </c>
      <c r="M1060" t="s">
        <v>1169</v>
      </c>
    </row>
    <row r="1061" spans="1:13" x14ac:dyDescent="0.35">
      <c r="A1061">
        <f t="shared" si="928"/>
        <v>1057</v>
      </c>
      <c r="B1061" s="9">
        <f t="shared" ref="B1061" si="1307">B1060+H1061+I1061+J1061</f>
        <v>56.61</v>
      </c>
      <c r="C1061" s="3" t="s">
        <v>1170</v>
      </c>
      <c r="D1061">
        <f t="shared" ref="D1061" si="1308">_xlfn.NUMBERVALUE(LEFT(C1061,2))</f>
        <v>23</v>
      </c>
      <c r="E1061">
        <f t="shared" ref="E1061" si="1309">_xlfn.NUMBERVALUE(MID(C1061,4,2))</f>
        <v>9</v>
      </c>
      <c r="F1061">
        <f t="shared" ref="F1061" si="1310">_xlfn.NUMBERVALUE(RIGHT(C1061,4))</f>
        <v>2023</v>
      </c>
      <c r="G1061" t="s">
        <v>7</v>
      </c>
      <c r="H1061">
        <v>-1</v>
      </c>
      <c r="K1061" t="s">
        <v>9</v>
      </c>
      <c r="L1061" s="8">
        <f t="shared" si="1190"/>
        <v>-1</v>
      </c>
      <c r="M1061" t="s">
        <v>1171</v>
      </c>
    </row>
    <row r="1062" spans="1:13" x14ac:dyDescent="0.35">
      <c r="A1062">
        <f t="shared" si="928"/>
        <v>1058</v>
      </c>
      <c r="B1062" s="9">
        <f t="shared" ref="B1062" si="1311">B1061+H1062+I1062+J1062</f>
        <v>57.61</v>
      </c>
      <c r="C1062" s="3" t="s">
        <v>1170</v>
      </c>
      <c r="D1062">
        <f t="shared" ref="D1062" si="1312">_xlfn.NUMBERVALUE(LEFT(C1062,2))</f>
        <v>23</v>
      </c>
      <c r="E1062">
        <f t="shared" ref="E1062" si="1313">_xlfn.NUMBERVALUE(MID(C1062,4,2))</f>
        <v>9</v>
      </c>
      <c r="F1062">
        <f t="shared" ref="F1062" si="1314">_xlfn.NUMBERVALUE(RIGHT(C1062,4))</f>
        <v>2023</v>
      </c>
      <c r="G1062" t="s">
        <v>7</v>
      </c>
      <c r="H1062">
        <v>-1</v>
      </c>
      <c r="I1062">
        <v>2</v>
      </c>
      <c r="K1062" t="s">
        <v>10</v>
      </c>
      <c r="L1062" s="8">
        <f t="shared" si="1190"/>
        <v>1</v>
      </c>
      <c r="M1062" t="s">
        <v>1172</v>
      </c>
    </row>
    <row r="1063" spans="1:13" x14ac:dyDescent="0.35">
      <c r="A1063">
        <f t="shared" si="928"/>
        <v>1059</v>
      </c>
      <c r="B1063" s="9">
        <f t="shared" ref="B1063" si="1315">B1062+H1063+I1063+J1063</f>
        <v>59.61</v>
      </c>
      <c r="C1063" s="3" t="s">
        <v>1170</v>
      </c>
      <c r="D1063">
        <f t="shared" ref="D1063" si="1316">_xlfn.NUMBERVALUE(LEFT(C1063,2))</f>
        <v>23</v>
      </c>
      <c r="E1063">
        <f t="shared" ref="E1063" si="1317">_xlfn.NUMBERVALUE(MID(C1063,4,2))</f>
        <v>9</v>
      </c>
      <c r="F1063">
        <f t="shared" ref="F1063" si="1318">_xlfn.NUMBERVALUE(RIGHT(C1063,4))</f>
        <v>2023</v>
      </c>
      <c r="G1063" t="s">
        <v>7</v>
      </c>
      <c r="H1063">
        <v>-1</v>
      </c>
      <c r="I1063">
        <v>3</v>
      </c>
      <c r="K1063" t="s">
        <v>10</v>
      </c>
      <c r="L1063" s="8">
        <f t="shared" si="1190"/>
        <v>2</v>
      </c>
      <c r="M1063" t="s">
        <v>1173</v>
      </c>
    </row>
    <row r="1064" spans="1:13" x14ac:dyDescent="0.35">
      <c r="A1064">
        <f t="shared" si="928"/>
        <v>1060</v>
      </c>
      <c r="B1064" s="9">
        <f t="shared" ref="B1064" si="1319">B1063+H1064+I1064+J1064</f>
        <v>58.61</v>
      </c>
      <c r="C1064" s="3" t="s">
        <v>1170</v>
      </c>
      <c r="D1064">
        <f t="shared" ref="D1064" si="1320">_xlfn.NUMBERVALUE(LEFT(C1064,2))</f>
        <v>23</v>
      </c>
      <c r="E1064">
        <f t="shared" ref="E1064" si="1321">_xlfn.NUMBERVALUE(MID(C1064,4,2))</f>
        <v>9</v>
      </c>
      <c r="F1064">
        <f t="shared" ref="F1064" si="1322">_xlfn.NUMBERVALUE(RIGHT(C1064,4))</f>
        <v>2023</v>
      </c>
      <c r="G1064" t="s">
        <v>7</v>
      </c>
      <c r="H1064">
        <v>-1</v>
      </c>
      <c r="K1064" t="s">
        <v>9</v>
      </c>
      <c r="L1064" s="8">
        <f t="shared" si="1190"/>
        <v>-1</v>
      </c>
      <c r="M1064" t="s">
        <v>1174</v>
      </c>
    </row>
    <row r="1065" spans="1:13" x14ac:dyDescent="0.35">
      <c r="A1065">
        <f t="shared" si="928"/>
        <v>1061</v>
      </c>
      <c r="B1065" s="9">
        <f t="shared" ref="B1065" si="1323">B1064+H1065+I1065+J1065</f>
        <v>57.61</v>
      </c>
      <c r="C1065" s="3" t="s">
        <v>1170</v>
      </c>
      <c r="D1065">
        <f t="shared" ref="D1065" si="1324">_xlfn.NUMBERVALUE(LEFT(C1065,2))</f>
        <v>23</v>
      </c>
      <c r="E1065">
        <f t="shared" ref="E1065" si="1325">_xlfn.NUMBERVALUE(MID(C1065,4,2))</f>
        <v>9</v>
      </c>
      <c r="F1065">
        <f t="shared" ref="F1065" si="1326">_xlfn.NUMBERVALUE(RIGHT(C1065,4))</f>
        <v>2023</v>
      </c>
      <c r="G1065" t="s">
        <v>7</v>
      </c>
      <c r="H1065">
        <v>-1</v>
      </c>
      <c r="K1065" t="s">
        <v>9</v>
      </c>
      <c r="L1065" s="8">
        <f t="shared" si="1190"/>
        <v>-1</v>
      </c>
      <c r="M1065" t="s">
        <v>1175</v>
      </c>
    </row>
    <row r="1066" spans="1:13" x14ac:dyDescent="0.35">
      <c r="A1066">
        <f t="shared" si="928"/>
        <v>1062</v>
      </c>
      <c r="B1066" s="9">
        <f t="shared" ref="B1066" si="1327">B1065+H1066+I1066+J1066</f>
        <v>56.61</v>
      </c>
      <c r="C1066" s="3" t="s">
        <v>1176</v>
      </c>
      <c r="D1066">
        <f t="shared" ref="D1066" si="1328">_xlfn.NUMBERVALUE(LEFT(C1066,2))</f>
        <v>24</v>
      </c>
      <c r="E1066">
        <f t="shared" ref="E1066" si="1329">_xlfn.NUMBERVALUE(MID(C1066,4,2))</f>
        <v>9</v>
      </c>
      <c r="F1066">
        <f t="shared" ref="F1066" si="1330">_xlfn.NUMBERVALUE(RIGHT(C1066,4))</f>
        <v>2023</v>
      </c>
      <c r="G1066" t="s">
        <v>7</v>
      </c>
      <c r="H1066">
        <v>-1</v>
      </c>
      <c r="K1066" t="s">
        <v>9</v>
      </c>
      <c r="L1066" s="8">
        <f t="shared" si="1190"/>
        <v>-1</v>
      </c>
      <c r="M1066" t="s">
        <v>1177</v>
      </c>
    </row>
    <row r="1067" spans="1:13" x14ac:dyDescent="0.35">
      <c r="A1067">
        <f t="shared" si="928"/>
        <v>1063</v>
      </c>
      <c r="B1067" s="9">
        <f t="shared" ref="B1067" si="1331">B1066+H1067+I1067+J1067</f>
        <v>58.61</v>
      </c>
      <c r="C1067" s="3" t="s">
        <v>1176</v>
      </c>
      <c r="D1067">
        <f t="shared" ref="D1067" si="1332">_xlfn.NUMBERVALUE(LEFT(C1067,2))</f>
        <v>24</v>
      </c>
      <c r="E1067">
        <f t="shared" ref="E1067" si="1333">_xlfn.NUMBERVALUE(MID(C1067,4,2))</f>
        <v>9</v>
      </c>
      <c r="F1067">
        <f t="shared" ref="F1067" si="1334">_xlfn.NUMBERVALUE(RIGHT(C1067,4))</f>
        <v>2023</v>
      </c>
      <c r="G1067" t="s">
        <v>7</v>
      </c>
      <c r="H1067">
        <v>-1</v>
      </c>
      <c r="I1067">
        <v>3</v>
      </c>
      <c r="K1067" t="s">
        <v>10</v>
      </c>
      <c r="L1067" s="8">
        <f t="shared" si="1190"/>
        <v>2</v>
      </c>
      <c r="M1067" t="s">
        <v>1178</v>
      </c>
    </row>
    <row r="1068" spans="1:13" x14ac:dyDescent="0.35">
      <c r="A1068">
        <f t="shared" si="928"/>
        <v>1064</v>
      </c>
      <c r="B1068" s="9">
        <f t="shared" ref="B1068" si="1335">B1067+H1068+I1068+J1068</f>
        <v>62.61</v>
      </c>
      <c r="C1068" s="3" t="s">
        <v>1176</v>
      </c>
      <c r="D1068">
        <f t="shared" ref="D1068" si="1336">_xlfn.NUMBERVALUE(LEFT(C1068,2))</f>
        <v>24</v>
      </c>
      <c r="E1068">
        <f t="shared" ref="E1068" si="1337">_xlfn.NUMBERVALUE(MID(C1068,4,2))</f>
        <v>9</v>
      </c>
      <c r="F1068">
        <f t="shared" ref="F1068" si="1338">_xlfn.NUMBERVALUE(RIGHT(C1068,4))</f>
        <v>2023</v>
      </c>
      <c r="G1068" t="s">
        <v>7</v>
      </c>
      <c r="H1068">
        <v>-1</v>
      </c>
      <c r="I1068">
        <v>5</v>
      </c>
      <c r="K1068" t="s">
        <v>10</v>
      </c>
      <c r="L1068" s="8">
        <f t="shared" si="1190"/>
        <v>4</v>
      </c>
      <c r="M1068" t="s">
        <v>1179</v>
      </c>
    </row>
    <row r="1069" spans="1:13" x14ac:dyDescent="0.35">
      <c r="A1069">
        <f t="shared" si="928"/>
        <v>1065</v>
      </c>
      <c r="B1069" s="9">
        <f t="shared" ref="B1069" si="1339">B1068+H1069+I1069+J1069</f>
        <v>61.61</v>
      </c>
      <c r="C1069" s="3" t="s">
        <v>1176</v>
      </c>
      <c r="D1069">
        <f t="shared" ref="D1069" si="1340">_xlfn.NUMBERVALUE(LEFT(C1069,2))</f>
        <v>24</v>
      </c>
      <c r="E1069">
        <f t="shared" ref="E1069" si="1341">_xlfn.NUMBERVALUE(MID(C1069,4,2))</f>
        <v>9</v>
      </c>
      <c r="F1069">
        <f t="shared" ref="F1069" si="1342">_xlfn.NUMBERVALUE(RIGHT(C1069,4))</f>
        <v>2023</v>
      </c>
      <c r="G1069" t="s">
        <v>7</v>
      </c>
      <c r="H1069">
        <v>-1</v>
      </c>
      <c r="K1069" t="s">
        <v>9</v>
      </c>
      <c r="L1069" s="8">
        <f t="shared" si="1190"/>
        <v>-1</v>
      </c>
      <c r="M1069" t="s">
        <v>1181</v>
      </c>
    </row>
    <row r="1070" spans="1:13" x14ac:dyDescent="0.35">
      <c r="A1070">
        <f t="shared" si="928"/>
        <v>1066</v>
      </c>
      <c r="B1070" s="9">
        <f t="shared" ref="B1070" si="1343">B1069+H1070+I1070+J1070</f>
        <v>60.61</v>
      </c>
      <c r="C1070" s="3" t="s">
        <v>1176</v>
      </c>
      <c r="D1070">
        <f t="shared" ref="D1070" si="1344">_xlfn.NUMBERVALUE(LEFT(C1070,2))</f>
        <v>24</v>
      </c>
      <c r="E1070">
        <f t="shared" ref="E1070" si="1345">_xlfn.NUMBERVALUE(MID(C1070,4,2))</f>
        <v>9</v>
      </c>
      <c r="F1070">
        <f t="shared" ref="F1070" si="1346">_xlfn.NUMBERVALUE(RIGHT(C1070,4))</f>
        <v>2023</v>
      </c>
      <c r="G1070" t="s">
        <v>7</v>
      </c>
      <c r="H1070">
        <v>-1</v>
      </c>
      <c r="K1070" t="s">
        <v>9</v>
      </c>
      <c r="L1070" s="8">
        <f t="shared" si="1190"/>
        <v>-1</v>
      </c>
      <c r="M1070" t="s">
        <v>1182</v>
      </c>
    </row>
    <row r="1071" spans="1:13" x14ac:dyDescent="0.35">
      <c r="A1071">
        <f t="shared" si="928"/>
        <v>1067</v>
      </c>
      <c r="B1071" s="9">
        <f t="shared" ref="B1071" si="1347">B1070+H1071+I1071+J1071</f>
        <v>61.61</v>
      </c>
      <c r="C1071" s="3" t="s">
        <v>1176</v>
      </c>
      <c r="D1071">
        <f t="shared" ref="D1071" si="1348">_xlfn.NUMBERVALUE(LEFT(C1071,2))</f>
        <v>24</v>
      </c>
      <c r="E1071">
        <f t="shared" ref="E1071" si="1349">_xlfn.NUMBERVALUE(MID(C1071,4,2))</f>
        <v>9</v>
      </c>
      <c r="F1071">
        <f t="shared" ref="F1071" si="1350">_xlfn.NUMBERVALUE(RIGHT(C1071,4))</f>
        <v>2023</v>
      </c>
      <c r="G1071" t="s">
        <v>7</v>
      </c>
      <c r="H1071">
        <v>-1</v>
      </c>
      <c r="I1071">
        <v>2</v>
      </c>
      <c r="K1071" t="s">
        <v>10</v>
      </c>
      <c r="L1071" s="8">
        <f t="shared" si="1190"/>
        <v>1</v>
      </c>
      <c r="M1071" t="s">
        <v>1183</v>
      </c>
    </row>
    <row r="1072" spans="1:13" x14ac:dyDescent="0.35">
      <c r="A1072">
        <f t="shared" si="928"/>
        <v>1068</v>
      </c>
      <c r="B1072" s="9">
        <f t="shared" ref="B1072" si="1351">B1071+H1072+I1072+J1072</f>
        <v>62.61</v>
      </c>
      <c r="C1072" s="3" t="s">
        <v>1176</v>
      </c>
      <c r="D1072">
        <f t="shared" ref="D1072" si="1352">_xlfn.NUMBERVALUE(LEFT(C1072,2))</f>
        <v>24</v>
      </c>
      <c r="E1072">
        <f t="shared" ref="E1072" si="1353">_xlfn.NUMBERVALUE(MID(C1072,4,2))</f>
        <v>9</v>
      </c>
      <c r="F1072">
        <f t="shared" ref="F1072" si="1354">_xlfn.NUMBERVALUE(RIGHT(C1072,4))</f>
        <v>2023</v>
      </c>
      <c r="G1072" t="s">
        <v>7</v>
      </c>
      <c r="H1072">
        <v>-1</v>
      </c>
      <c r="I1072">
        <v>2</v>
      </c>
      <c r="K1072" t="s">
        <v>10</v>
      </c>
      <c r="L1072" s="8">
        <f t="shared" si="1190"/>
        <v>1</v>
      </c>
      <c r="M1072" t="s">
        <v>1184</v>
      </c>
    </row>
    <row r="1073" spans="1:13" x14ac:dyDescent="0.35">
      <c r="A1073">
        <f t="shared" si="928"/>
        <v>1069</v>
      </c>
      <c r="B1073" s="9">
        <f t="shared" ref="B1073" si="1355">B1072+H1073+I1073+J1073</f>
        <v>61.61</v>
      </c>
      <c r="C1073" s="3" t="s">
        <v>1176</v>
      </c>
      <c r="D1073">
        <f t="shared" ref="D1073" si="1356">_xlfn.NUMBERVALUE(LEFT(C1073,2))</f>
        <v>24</v>
      </c>
      <c r="E1073">
        <f t="shared" ref="E1073" si="1357">_xlfn.NUMBERVALUE(MID(C1073,4,2))</f>
        <v>9</v>
      </c>
      <c r="F1073">
        <f t="shared" ref="F1073" si="1358">_xlfn.NUMBERVALUE(RIGHT(C1073,4))</f>
        <v>2023</v>
      </c>
      <c r="G1073" t="s">
        <v>7</v>
      </c>
      <c r="H1073">
        <v>-1</v>
      </c>
      <c r="K1073" t="s">
        <v>9</v>
      </c>
      <c r="L1073" s="8">
        <f t="shared" si="1190"/>
        <v>-1</v>
      </c>
      <c r="M1073" t="s">
        <v>1185</v>
      </c>
    </row>
    <row r="1074" spans="1:13" x14ac:dyDescent="0.35">
      <c r="A1074">
        <f t="shared" si="928"/>
        <v>1070</v>
      </c>
      <c r="B1074" s="9">
        <f t="shared" ref="B1074" si="1359">B1073+H1074+I1074+J1074</f>
        <v>60.61</v>
      </c>
      <c r="C1074" s="3" t="s">
        <v>1176</v>
      </c>
      <c r="D1074">
        <f t="shared" ref="D1074" si="1360">_xlfn.NUMBERVALUE(LEFT(C1074,2))</f>
        <v>24</v>
      </c>
      <c r="E1074">
        <f t="shared" ref="E1074" si="1361">_xlfn.NUMBERVALUE(MID(C1074,4,2))</f>
        <v>9</v>
      </c>
      <c r="F1074">
        <f t="shared" ref="F1074" si="1362">_xlfn.NUMBERVALUE(RIGHT(C1074,4))</f>
        <v>2023</v>
      </c>
      <c r="G1074" t="s">
        <v>7</v>
      </c>
      <c r="H1074">
        <v>-1</v>
      </c>
      <c r="K1074" t="s">
        <v>9</v>
      </c>
      <c r="L1074" s="8">
        <f t="shared" si="1190"/>
        <v>-1</v>
      </c>
      <c r="M1074" t="s">
        <v>1186</v>
      </c>
    </row>
    <row r="1075" spans="1:13" x14ac:dyDescent="0.35">
      <c r="A1075">
        <f t="shared" si="928"/>
        <v>1071</v>
      </c>
      <c r="B1075" s="9">
        <f t="shared" ref="B1075" si="1363">B1074+H1075+I1075+J1075</f>
        <v>59.61</v>
      </c>
      <c r="C1075" s="3" t="s">
        <v>1176</v>
      </c>
      <c r="D1075">
        <f t="shared" ref="D1075" si="1364">_xlfn.NUMBERVALUE(LEFT(C1075,2))</f>
        <v>24</v>
      </c>
      <c r="E1075">
        <f t="shared" ref="E1075" si="1365">_xlfn.NUMBERVALUE(MID(C1075,4,2))</f>
        <v>9</v>
      </c>
      <c r="F1075">
        <f t="shared" ref="F1075" si="1366">_xlfn.NUMBERVALUE(RIGHT(C1075,4))</f>
        <v>2023</v>
      </c>
      <c r="G1075" t="s">
        <v>7</v>
      </c>
      <c r="H1075">
        <v>-1</v>
      </c>
      <c r="K1075" t="s">
        <v>9</v>
      </c>
      <c r="L1075" s="8">
        <f t="shared" si="1190"/>
        <v>-1</v>
      </c>
      <c r="M1075" t="s">
        <v>1187</v>
      </c>
    </row>
    <row r="1076" spans="1:13" x14ac:dyDescent="0.35">
      <c r="A1076">
        <f t="shared" si="928"/>
        <v>1072</v>
      </c>
      <c r="B1076" s="9">
        <f t="shared" ref="B1076" si="1367">B1075+H1076+I1076+J1076</f>
        <v>58.61</v>
      </c>
      <c r="C1076" s="3" t="s">
        <v>1176</v>
      </c>
      <c r="D1076">
        <f t="shared" ref="D1076" si="1368">_xlfn.NUMBERVALUE(LEFT(C1076,2))</f>
        <v>24</v>
      </c>
      <c r="E1076">
        <f t="shared" ref="E1076" si="1369">_xlfn.NUMBERVALUE(MID(C1076,4,2))</f>
        <v>9</v>
      </c>
      <c r="F1076">
        <f t="shared" ref="F1076" si="1370">_xlfn.NUMBERVALUE(RIGHT(C1076,4))</f>
        <v>2023</v>
      </c>
      <c r="G1076" t="s">
        <v>7</v>
      </c>
      <c r="H1076">
        <v>-1</v>
      </c>
      <c r="K1076" t="s">
        <v>9</v>
      </c>
      <c r="L1076" s="8">
        <f t="shared" si="1190"/>
        <v>-1</v>
      </c>
      <c r="M1076" t="s">
        <v>1188</v>
      </c>
    </row>
    <row r="1077" spans="1:13" x14ac:dyDescent="0.35">
      <c r="A1077">
        <f t="shared" si="928"/>
        <v>1073</v>
      </c>
      <c r="B1077" s="9">
        <f t="shared" ref="B1077" si="1371">B1076+H1077+I1077+J1077</f>
        <v>59.61</v>
      </c>
      <c r="C1077" s="3" t="s">
        <v>1176</v>
      </c>
      <c r="D1077">
        <f t="shared" ref="D1077" si="1372">_xlfn.NUMBERVALUE(LEFT(C1077,2))</f>
        <v>24</v>
      </c>
      <c r="E1077">
        <f t="shared" ref="E1077" si="1373">_xlfn.NUMBERVALUE(MID(C1077,4,2))</f>
        <v>9</v>
      </c>
      <c r="F1077">
        <f t="shared" ref="F1077" si="1374">_xlfn.NUMBERVALUE(RIGHT(C1077,4))</f>
        <v>2023</v>
      </c>
      <c r="G1077" t="s">
        <v>7</v>
      </c>
      <c r="H1077">
        <v>-1</v>
      </c>
      <c r="I1077">
        <v>2</v>
      </c>
      <c r="K1077" t="s">
        <v>10</v>
      </c>
      <c r="L1077" s="8">
        <f t="shared" si="1190"/>
        <v>1</v>
      </c>
      <c r="M1077" t="s">
        <v>1189</v>
      </c>
    </row>
    <row r="1078" spans="1:13" x14ac:dyDescent="0.35">
      <c r="A1078">
        <f t="shared" si="928"/>
        <v>1074</v>
      </c>
      <c r="B1078" s="9">
        <f t="shared" ref="B1078" si="1375">B1077+H1078+I1078+J1078</f>
        <v>58.61</v>
      </c>
      <c r="C1078" s="3" t="s">
        <v>1190</v>
      </c>
      <c r="D1078">
        <f t="shared" ref="D1078" si="1376">_xlfn.NUMBERVALUE(LEFT(C1078,2))</f>
        <v>25</v>
      </c>
      <c r="E1078">
        <f t="shared" ref="E1078" si="1377">_xlfn.NUMBERVALUE(MID(C1078,4,2))</f>
        <v>9</v>
      </c>
      <c r="F1078">
        <f t="shared" ref="F1078" si="1378">_xlfn.NUMBERVALUE(RIGHT(C1078,4))</f>
        <v>2023</v>
      </c>
      <c r="G1078" t="s">
        <v>7</v>
      </c>
      <c r="H1078">
        <v>-1</v>
      </c>
      <c r="K1078" t="s">
        <v>9</v>
      </c>
      <c r="L1078" s="8">
        <f t="shared" si="1190"/>
        <v>-1</v>
      </c>
      <c r="M1078" t="s">
        <v>1191</v>
      </c>
    </row>
    <row r="1079" spans="1:13" x14ac:dyDescent="0.35">
      <c r="A1079">
        <f t="shared" si="928"/>
        <v>1075</v>
      </c>
      <c r="B1079" s="9">
        <f t="shared" ref="B1079" si="1379">B1078+H1079+I1079+J1079</f>
        <v>57.61</v>
      </c>
      <c r="C1079" s="3" t="s">
        <v>1190</v>
      </c>
      <c r="D1079">
        <f t="shared" ref="D1079" si="1380">_xlfn.NUMBERVALUE(LEFT(C1079,2))</f>
        <v>25</v>
      </c>
      <c r="E1079">
        <f t="shared" ref="E1079" si="1381">_xlfn.NUMBERVALUE(MID(C1079,4,2))</f>
        <v>9</v>
      </c>
      <c r="F1079">
        <f t="shared" ref="F1079" si="1382">_xlfn.NUMBERVALUE(RIGHT(C1079,4))</f>
        <v>2023</v>
      </c>
      <c r="G1079" t="s">
        <v>7</v>
      </c>
      <c r="H1079">
        <v>-1</v>
      </c>
      <c r="K1079" t="s">
        <v>9</v>
      </c>
      <c r="L1079" s="8">
        <f t="shared" si="1190"/>
        <v>-1</v>
      </c>
      <c r="M1079" t="s">
        <v>1192</v>
      </c>
    </row>
    <row r="1080" spans="1:13" x14ac:dyDescent="0.35">
      <c r="A1080">
        <f t="shared" si="928"/>
        <v>1076</v>
      </c>
      <c r="B1080" s="9">
        <f t="shared" ref="B1080" si="1383">B1079+H1080+I1080+J1080</f>
        <v>56.61</v>
      </c>
      <c r="C1080" s="3" t="s">
        <v>1190</v>
      </c>
      <c r="D1080">
        <f t="shared" ref="D1080" si="1384">_xlfn.NUMBERVALUE(LEFT(C1080,2))</f>
        <v>25</v>
      </c>
      <c r="E1080">
        <f t="shared" ref="E1080" si="1385">_xlfn.NUMBERVALUE(MID(C1080,4,2))</f>
        <v>9</v>
      </c>
      <c r="F1080">
        <f t="shared" ref="F1080" si="1386">_xlfn.NUMBERVALUE(RIGHT(C1080,4))</f>
        <v>2023</v>
      </c>
      <c r="G1080" t="s">
        <v>7</v>
      </c>
      <c r="H1080">
        <v>-1</v>
      </c>
      <c r="K1080" t="s">
        <v>9</v>
      </c>
      <c r="L1080" s="8">
        <f t="shared" si="1190"/>
        <v>-1</v>
      </c>
      <c r="M1080" t="s">
        <v>1193</v>
      </c>
    </row>
    <row r="1081" spans="1:13" x14ac:dyDescent="0.35">
      <c r="A1081">
        <f t="shared" si="928"/>
        <v>1077</v>
      </c>
      <c r="B1081" s="9">
        <f t="shared" ref="B1081" si="1387">B1080+H1081+I1081+J1081</f>
        <v>58.61</v>
      </c>
      <c r="C1081" s="3" t="s">
        <v>1190</v>
      </c>
      <c r="D1081">
        <f t="shared" ref="D1081" si="1388">_xlfn.NUMBERVALUE(LEFT(C1081,2))</f>
        <v>25</v>
      </c>
      <c r="E1081">
        <f t="shared" ref="E1081" si="1389">_xlfn.NUMBERVALUE(MID(C1081,4,2))</f>
        <v>9</v>
      </c>
      <c r="F1081">
        <f t="shared" ref="F1081" si="1390">_xlfn.NUMBERVALUE(RIGHT(C1081,4))</f>
        <v>2023</v>
      </c>
      <c r="G1081" t="s">
        <v>7</v>
      </c>
      <c r="H1081">
        <v>-1</v>
      </c>
      <c r="I1081">
        <v>3</v>
      </c>
      <c r="K1081" t="s">
        <v>10</v>
      </c>
      <c r="L1081" s="8">
        <f t="shared" si="1190"/>
        <v>2</v>
      </c>
      <c r="M1081" t="s">
        <v>1194</v>
      </c>
    </row>
    <row r="1082" spans="1:13" x14ac:dyDescent="0.35">
      <c r="A1082">
        <f t="shared" si="928"/>
        <v>1078</v>
      </c>
      <c r="B1082" s="9">
        <f t="shared" ref="B1082" si="1391">B1081+H1082+I1082+J1082</f>
        <v>57.61</v>
      </c>
      <c r="C1082" s="3" t="s">
        <v>1190</v>
      </c>
      <c r="D1082">
        <f t="shared" ref="D1082" si="1392">_xlfn.NUMBERVALUE(LEFT(C1082,2))</f>
        <v>25</v>
      </c>
      <c r="E1082">
        <f t="shared" ref="E1082" si="1393">_xlfn.NUMBERVALUE(MID(C1082,4,2))</f>
        <v>9</v>
      </c>
      <c r="F1082">
        <f t="shared" ref="F1082" si="1394">_xlfn.NUMBERVALUE(RIGHT(C1082,4))</f>
        <v>2023</v>
      </c>
      <c r="G1082" t="s">
        <v>7</v>
      </c>
      <c r="H1082">
        <v>-1</v>
      </c>
      <c r="K1082" t="s">
        <v>9</v>
      </c>
      <c r="L1082" s="8">
        <f t="shared" si="1190"/>
        <v>-1</v>
      </c>
      <c r="M1082" t="s">
        <v>1195</v>
      </c>
    </row>
    <row r="1083" spans="1:13" x14ac:dyDescent="0.35">
      <c r="A1083">
        <f t="shared" si="928"/>
        <v>1079</v>
      </c>
      <c r="B1083" s="9">
        <f t="shared" ref="B1083" si="1395">B1082+H1083+I1083+J1083</f>
        <v>56.61</v>
      </c>
      <c r="C1083" s="3" t="s">
        <v>1190</v>
      </c>
      <c r="D1083">
        <f t="shared" ref="D1083" si="1396">_xlfn.NUMBERVALUE(LEFT(C1083,2))</f>
        <v>25</v>
      </c>
      <c r="E1083">
        <f t="shared" ref="E1083" si="1397">_xlfn.NUMBERVALUE(MID(C1083,4,2))</f>
        <v>9</v>
      </c>
      <c r="F1083">
        <f t="shared" ref="F1083" si="1398">_xlfn.NUMBERVALUE(RIGHT(C1083,4))</f>
        <v>2023</v>
      </c>
      <c r="G1083" t="s">
        <v>7</v>
      </c>
      <c r="H1083">
        <v>-1</v>
      </c>
      <c r="K1083" t="s">
        <v>9</v>
      </c>
      <c r="L1083" s="8">
        <f t="shared" si="1190"/>
        <v>-1</v>
      </c>
      <c r="M1083" t="s">
        <v>1196</v>
      </c>
    </row>
    <row r="1084" spans="1:13" x14ac:dyDescent="0.35">
      <c r="A1084">
        <f t="shared" si="928"/>
        <v>1080</v>
      </c>
      <c r="B1084" s="9">
        <f t="shared" ref="B1084" si="1399">B1083+H1084+I1084+J1084</f>
        <v>55.61</v>
      </c>
      <c r="C1084" s="3" t="s">
        <v>1190</v>
      </c>
      <c r="D1084">
        <f t="shared" ref="D1084" si="1400">_xlfn.NUMBERVALUE(LEFT(C1084,2))</f>
        <v>25</v>
      </c>
      <c r="E1084">
        <f t="shared" ref="E1084" si="1401">_xlfn.NUMBERVALUE(MID(C1084,4,2))</f>
        <v>9</v>
      </c>
      <c r="F1084">
        <f t="shared" ref="F1084" si="1402">_xlfn.NUMBERVALUE(RIGHT(C1084,4))</f>
        <v>2023</v>
      </c>
      <c r="G1084" t="s">
        <v>7</v>
      </c>
      <c r="H1084">
        <v>-1</v>
      </c>
      <c r="K1084" t="s">
        <v>9</v>
      </c>
      <c r="L1084" s="8">
        <f t="shared" si="1190"/>
        <v>-1</v>
      </c>
      <c r="M1084" t="s">
        <v>1197</v>
      </c>
    </row>
    <row r="1085" spans="1:13" x14ac:dyDescent="0.35">
      <c r="A1085">
        <f t="shared" si="928"/>
        <v>1081</v>
      </c>
      <c r="B1085" s="9">
        <f t="shared" ref="B1085" si="1403">B1084+H1085+I1085+J1085</f>
        <v>56.61</v>
      </c>
      <c r="C1085" s="3" t="s">
        <v>1198</v>
      </c>
      <c r="D1085">
        <f t="shared" ref="D1085" si="1404">_xlfn.NUMBERVALUE(LEFT(C1085,2))</f>
        <v>28</v>
      </c>
      <c r="E1085">
        <f t="shared" ref="E1085" si="1405">_xlfn.NUMBERVALUE(MID(C1085,4,2))</f>
        <v>9</v>
      </c>
      <c r="F1085">
        <f t="shared" ref="F1085" si="1406">_xlfn.NUMBERVALUE(RIGHT(C1085,4))</f>
        <v>2023</v>
      </c>
      <c r="G1085" t="s">
        <v>7</v>
      </c>
      <c r="H1085">
        <v>-1</v>
      </c>
      <c r="I1085">
        <v>2</v>
      </c>
      <c r="K1085" t="s">
        <v>10</v>
      </c>
      <c r="L1085" s="8">
        <f t="shared" si="1190"/>
        <v>1</v>
      </c>
      <c r="M1085" t="s">
        <v>1199</v>
      </c>
    </row>
    <row r="1086" spans="1:13" x14ac:dyDescent="0.35">
      <c r="A1086">
        <f t="shared" si="928"/>
        <v>1082</v>
      </c>
      <c r="B1086" s="9">
        <f t="shared" ref="B1086" si="1407">B1085+H1086+I1086+J1086</f>
        <v>57.61</v>
      </c>
      <c r="C1086" s="3" t="s">
        <v>1198</v>
      </c>
      <c r="D1086">
        <f t="shared" ref="D1086" si="1408">_xlfn.NUMBERVALUE(LEFT(C1086,2))</f>
        <v>28</v>
      </c>
      <c r="E1086">
        <f t="shared" ref="E1086" si="1409">_xlfn.NUMBERVALUE(MID(C1086,4,2))</f>
        <v>9</v>
      </c>
      <c r="F1086">
        <f t="shared" ref="F1086" si="1410">_xlfn.NUMBERVALUE(RIGHT(C1086,4))</f>
        <v>2023</v>
      </c>
      <c r="G1086" t="s">
        <v>7</v>
      </c>
      <c r="H1086">
        <v>-1</v>
      </c>
      <c r="I1086">
        <v>2</v>
      </c>
      <c r="K1086" t="s">
        <v>10</v>
      </c>
      <c r="L1086" s="8">
        <f t="shared" si="1190"/>
        <v>1</v>
      </c>
      <c r="M1086" t="s">
        <v>1200</v>
      </c>
    </row>
    <row r="1087" spans="1:13" x14ac:dyDescent="0.35">
      <c r="A1087">
        <f t="shared" si="928"/>
        <v>1083</v>
      </c>
      <c r="B1087" s="9">
        <f t="shared" ref="B1087" si="1411">B1086+H1087+I1087+J1087</f>
        <v>56.61</v>
      </c>
      <c r="C1087" s="3" t="s">
        <v>1198</v>
      </c>
      <c r="D1087">
        <f t="shared" ref="D1087" si="1412">_xlfn.NUMBERVALUE(LEFT(C1087,2))</f>
        <v>28</v>
      </c>
      <c r="E1087">
        <f t="shared" ref="E1087" si="1413">_xlfn.NUMBERVALUE(MID(C1087,4,2))</f>
        <v>9</v>
      </c>
      <c r="F1087">
        <f t="shared" ref="F1087" si="1414">_xlfn.NUMBERVALUE(RIGHT(C1087,4))</f>
        <v>2023</v>
      </c>
      <c r="G1087" t="s">
        <v>7</v>
      </c>
      <c r="H1087">
        <v>-1</v>
      </c>
      <c r="K1087" t="s">
        <v>9</v>
      </c>
      <c r="L1087" s="8">
        <f t="shared" si="1190"/>
        <v>-1</v>
      </c>
      <c r="M1087" t="s">
        <v>1201</v>
      </c>
    </row>
    <row r="1088" spans="1:13" x14ac:dyDescent="0.35">
      <c r="A1088">
        <f t="shared" si="928"/>
        <v>1084</v>
      </c>
      <c r="B1088" s="9">
        <f t="shared" ref="B1088" si="1415">B1087+H1088+I1088+J1088</f>
        <v>55.61</v>
      </c>
      <c r="C1088" s="3" t="s">
        <v>1202</v>
      </c>
      <c r="D1088">
        <f t="shared" ref="D1088" si="1416">_xlfn.NUMBERVALUE(LEFT(C1088,2))</f>
        <v>3</v>
      </c>
      <c r="E1088">
        <f t="shared" ref="E1088" si="1417">_xlfn.NUMBERVALUE(MID(C1088,4,2))</f>
        <v>10</v>
      </c>
      <c r="F1088">
        <f t="shared" ref="F1088" si="1418">_xlfn.NUMBERVALUE(RIGHT(C1088,4))</f>
        <v>2023</v>
      </c>
      <c r="G1088" t="s">
        <v>7</v>
      </c>
      <c r="H1088">
        <v>-1</v>
      </c>
      <c r="K1088" t="s">
        <v>9</v>
      </c>
      <c r="L1088" s="8">
        <f t="shared" si="1190"/>
        <v>-1</v>
      </c>
      <c r="M1088" t="s">
        <v>1203</v>
      </c>
    </row>
    <row r="1089" spans="1:13" x14ac:dyDescent="0.35">
      <c r="A1089">
        <f t="shared" si="928"/>
        <v>1085</v>
      </c>
      <c r="B1089" s="9">
        <f t="shared" ref="B1089" si="1419">B1088+H1089+I1089+J1089</f>
        <v>56.61</v>
      </c>
      <c r="C1089" s="3" t="s">
        <v>1202</v>
      </c>
      <c r="D1089">
        <f t="shared" ref="D1089" si="1420">_xlfn.NUMBERVALUE(LEFT(C1089,2))</f>
        <v>3</v>
      </c>
      <c r="E1089">
        <f t="shared" ref="E1089" si="1421">_xlfn.NUMBERVALUE(MID(C1089,4,2))</f>
        <v>10</v>
      </c>
      <c r="F1089">
        <f t="shared" ref="F1089" si="1422">_xlfn.NUMBERVALUE(RIGHT(C1089,4))</f>
        <v>2023</v>
      </c>
      <c r="G1089" t="s">
        <v>7</v>
      </c>
      <c r="H1089">
        <v>-1</v>
      </c>
      <c r="I1089">
        <v>2</v>
      </c>
      <c r="K1089" t="s">
        <v>10</v>
      </c>
      <c r="L1089" s="8">
        <f t="shared" si="1190"/>
        <v>1</v>
      </c>
      <c r="M1089" t="s">
        <v>1204</v>
      </c>
    </row>
    <row r="1090" spans="1:13" x14ac:dyDescent="0.35">
      <c r="A1090">
        <f t="shared" si="928"/>
        <v>1086</v>
      </c>
      <c r="B1090" s="9">
        <f t="shared" ref="B1090" si="1423">B1089+H1090+I1090+J1090</f>
        <v>55.61</v>
      </c>
      <c r="C1090" s="3" t="s">
        <v>1202</v>
      </c>
      <c r="D1090">
        <f t="shared" ref="D1090" si="1424">_xlfn.NUMBERVALUE(LEFT(C1090,2))</f>
        <v>3</v>
      </c>
      <c r="E1090">
        <f t="shared" ref="E1090" si="1425">_xlfn.NUMBERVALUE(MID(C1090,4,2))</f>
        <v>10</v>
      </c>
      <c r="F1090">
        <f t="shared" ref="F1090" si="1426">_xlfn.NUMBERVALUE(RIGHT(C1090,4))</f>
        <v>2023</v>
      </c>
      <c r="G1090" t="s">
        <v>7</v>
      </c>
      <c r="H1090">
        <v>-1</v>
      </c>
      <c r="K1090" t="s">
        <v>9</v>
      </c>
      <c r="L1090" s="8">
        <f t="shared" si="1190"/>
        <v>-1</v>
      </c>
      <c r="M1090" t="s">
        <v>1205</v>
      </c>
    </row>
    <row r="1091" spans="1:13" x14ac:dyDescent="0.35">
      <c r="A1091">
        <f t="shared" si="928"/>
        <v>1087</v>
      </c>
      <c r="B1091" s="9">
        <f t="shared" ref="B1091" si="1427">B1090+H1091+I1091+J1091</f>
        <v>45.61</v>
      </c>
      <c r="C1091" s="3" t="s">
        <v>1202</v>
      </c>
      <c r="D1091">
        <f t="shared" ref="D1091" si="1428">_xlfn.NUMBERVALUE(LEFT(C1091,2))</f>
        <v>3</v>
      </c>
      <c r="E1091">
        <f t="shared" ref="E1091" si="1429">_xlfn.NUMBERVALUE(MID(C1091,4,2))</f>
        <v>10</v>
      </c>
      <c r="F1091">
        <f t="shared" ref="F1091" si="1430">_xlfn.NUMBERVALUE(RIGHT(C1091,4))</f>
        <v>2023</v>
      </c>
      <c r="G1091" t="s">
        <v>7</v>
      </c>
      <c r="H1091">
        <v>-10</v>
      </c>
      <c r="K1091" t="s">
        <v>9</v>
      </c>
      <c r="L1091" s="8">
        <f t="shared" si="1190"/>
        <v>-1</v>
      </c>
      <c r="M1091" t="s">
        <v>1206</v>
      </c>
    </row>
    <row r="1092" spans="1:13" x14ac:dyDescent="0.35">
      <c r="A1092">
        <f t="shared" si="928"/>
        <v>1088</v>
      </c>
      <c r="B1092" s="9">
        <f t="shared" ref="B1092" si="1431">B1091+H1092+I1092+J1092</f>
        <v>35.61</v>
      </c>
      <c r="C1092" s="3" t="s">
        <v>1202</v>
      </c>
      <c r="D1092">
        <f t="shared" ref="D1092" si="1432">_xlfn.NUMBERVALUE(LEFT(C1092,2))</f>
        <v>3</v>
      </c>
      <c r="E1092">
        <f t="shared" ref="E1092" si="1433">_xlfn.NUMBERVALUE(MID(C1092,4,2))</f>
        <v>10</v>
      </c>
      <c r="F1092">
        <f t="shared" ref="F1092" si="1434">_xlfn.NUMBERVALUE(RIGHT(C1092,4))</f>
        <v>2023</v>
      </c>
      <c r="G1092" t="s">
        <v>7</v>
      </c>
      <c r="H1092">
        <v>-10</v>
      </c>
      <c r="K1092" t="s">
        <v>9</v>
      </c>
      <c r="L1092" s="8">
        <f t="shared" si="1190"/>
        <v>-1</v>
      </c>
      <c r="M1092" t="s">
        <v>1207</v>
      </c>
    </row>
    <row r="1093" spans="1:13" x14ac:dyDescent="0.35">
      <c r="A1093">
        <f t="shared" si="928"/>
        <v>1089</v>
      </c>
      <c r="B1093" s="9">
        <f t="shared" ref="B1093" si="1435">B1092+H1093+I1093+J1093</f>
        <v>25.61</v>
      </c>
      <c r="C1093" s="3" t="s">
        <v>1202</v>
      </c>
      <c r="D1093">
        <f t="shared" ref="D1093" si="1436">_xlfn.NUMBERVALUE(LEFT(C1093,2))</f>
        <v>3</v>
      </c>
      <c r="E1093">
        <f t="shared" ref="E1093" si="1437">_xlfn.NUMBERVALUE(MID(C1093,4,2))</f>
        <v>10</v>
      </c>
      <c r="F1093">
        <f t="shared" ref="F1093" si="1438">_xlfn.NUMBERVALUE(RIGHT(C1093,4))</f>
        <v>2023</v>
      </c>
      <c r="G1093" t="s">
        <v>7</v>
      </c>
      <c r="H1093">
        <v>-10</v>
      </c>
      <c r="K1093" t="s">
        <v>9</v>
      </c>
      <c r="L1093" s="8">
        <f t="shared" si="1190"/>
        <v>-1</v>
      </c>
      <c r="M1093" t="s">
        <v>1208</v>
      </c>
    </row>
    <row r="1094" spans="1:13" x14ac:dyDescent="0.35">
      <c r="A1094">
        <f t="shared" si="928"/>
        <v>1090</v>
      </c>
      <c r="B1094" s="9">
        <f t="shared" ref="B1094" si="1439">B1093+H1094+I1094+J1094</f>
        <v>15.61</v>
      </c>
      <c r="C1094" s="3" t="s">
        <v>1202</v>
      </c>
      <c r="D1094">
        <f t="shared" ref="D1094" si="1440">_xlfn.NUMBERVALUE(LEFT(C1094,2))</f>
        <v>3</v>
      </c>
      <c r="E1094">
        <f t="shared" ref="E1094" si="1441">_xlfn.NUMBERVALUE(MID(C1094,4,2))</f>
        <v>10</v>
      </c>
      <c r="F1094">
        <f t="shared" ref="F1094" si="1442">_xlfn.NUMBERVALUE(RIGHT(C1094,4))</f>
        <v>2023</v>
      </c>
      <c r="G1094" t="s">
        <v>7</v>
      </c>
      <c r="H1094">
        <v>-10</v>
      </c>
      <c r="K1094" t="s">
        <v>9</v>
      </c>
      <c r="L1094" s="8">
        <f t="shared" ref="L1094:L1157" si="1443">IF(H1094="",0,(SUM(I1094:J1094)/-H1094)-1)</f>
        <v>-1</v>
      </c>
      <c r="M1094" t="s">
        <v>1209</v>
      </c>
    </row>
    <row r="1095" spans="1:13" x14ac:dyDescent="0.35">
      <c r="A1095">
        <f t="shared" si="928"/>
        <v>1091</v>
      </c>
      <c r="B1095" s="9">
        <f t="shared" ref="B1095" si="1444">B1094+H1095+I1095+J1095</f>
        <v>25.61</v>
      </c>
      <c r="C1095" s="3" t="s">
        <v>1202</v>
      </c>
      <c r="D1095">
        <f t="shared" ref="D1095" si="1445">_xlfn.NUMBERVALUE(LEFT(C1095,2))</f>
        <v>3</v>
      </c>
      <c r="E1095">
        <f t="shared" ref="E1095" si="1446">_xlfn.NUMBERVALUE(MID(C1095,4,2))</f>
        <v>10</v>
      </c>
      <c r="F1095">
        <f t="shared" ref="F1095" si="1447">_xlfn.NUMBERVALUE(RIGHT(C1095,4))</f>
        <v>2023</v>
      </c>
      <c r="G1095" t="s">
        <v>7</v>
      </c>
      <c r="H1095">
        <v>-10</v>
      </c>
      <c r="I1095">
        <v>20</v>
      </c>
      <c r="K1095" t="s">
        <v>10</v>
      </c>
      <c r="L1095" s="8">
        <f t="shared" si="1443"/>
        <v>1</v>
      </c>
      <c r="M1095" t="s">
        <v>1210</v>
      </c>
    </row>
    <row r="1096" spans="1:13" x14ac:dyDescent="0.35">
      <c r="A1096">
        <f t="shared" si="928"/>
        <v>1092</v>
      </c>
      <c r="B1096" s="9">
        <f t="shared" ref="B1096" si="1448">B1095+H1096+I1096+J1096</f>
        <v>15.61</v>
      </c>
      <c r="C1096" s="3" t="s">
        <v>1202</v>
      </c>
      <c r="D1096">
        <f t="shared" ref="D1096" si="1449">_xlfn.NUMBERVALUE(LEFT(C1096,2))</f>
        <v>3</v>
      </c>
      <c r="E1096">
        <f t="shared" ref="E1096" si="1450">_xlfn.NUMBERVALUE(MID(C1096,4,2))</f>
        <v>10</v>
      </c>
      <c r="F1096">
        <f t="shared" ref="F1096" si="1451">_xlfn.NUMBERVALUE(RIGHT(C1096,4))</f>
        <v>2023</v>
      </c>
      <c r="G1096" t="s">
        <v>7</v>
      </c>
      <c r="H1096">
        <v>-10</v>
      </c>
      <c r="K1096" t="s">
        <v>9</v>
      </c>
      <c r="L1096" s="8">
        <f t="shared" si="1443"/>
        <v>-1</v>
      </c>
      <c r="M1096" t="s">
        <v>1211</v>
      </c>
    </row>
    <row r="1097" spans="1:13" x14ac:dyDescent="0.35">
      <c r="A1097">
        <f t="shared" si="928"/>
        <v>1093</v>
      </c>
      <c r="B1097" s="9">
        <f t="shared" ref="B1097:B1098" si="1452">B1096+H1097+I1097+J1097</f>
        <v>20.61</v>
      </c>
      <c r="C1097" s="3" t="s">
        <v>1202</v>
      </c>
      <c r="D1097">
        <f t="shared" ref="D1097:D1098" si="1453">_xlfn.NUMBERVALUE(LEFT(C1097,2))</f>
        <v>3</v>
      </c>
      <c r="E1097">
        <f t="shared" ref="E1097:E1098" si="1454">_xlfn.NUMBERVALUE(MID(C1097,4,2))</f>
        <v>10</v>
      </c>
      <c r="F1097">
        <f t="shared" ref="F1097:F1098" si="1455">_xlfn.NUMBERVALUE(RIGHT(C1097,4))</f>
        <v>2023</v>
      </c>
      <c r="G1097" t="s">
        <v>7</v>
      </c>
      <c r="H1097">
        <v>-5</v>
      </c>
      <c r="I1097">
        <v>10</v>
      </c>
      <c r="K1097" t="s">
        <v>10</v>
      </c>
      <c r="L1097" s="8">
        <f t="shared" si="1443"/>
        <v>1</v>
      </c>
      <c r="M1097" t="s">
        <v>1212</v>
      </c>
    </row>
    <row r="1098" spans="1:13" x14ac:dyDescent="0.35">
      <c r="A1098">
        <f t="shared" si="928"/>
        <v>1094</v>
      </c>
      <c r="B1098" s="9">
        <f t="shared" si="1452"/>
        <v>10.61</v>
      </c>
      <c r="C1098" s="3" t="s">
        <v>1202</v>
      </c>
      <c r="D1098">
        <f t="shared" si="1453"/>
        <v>3</v>
      </c>
      <c r="E1098">
        <f t="shared" si="1454"/>
        <v>10</v>
      </c>
      <c r="F1098">
        <f t="shared" si="1455"/>
        <v>2023</v>
      </c>
      <c r="G1098" t="s">
        <v>7</v>
      </c>
      <c r="H1098">
        <v>-10</v>
      </c>
      <c r="K1098" t="s">
        <v>9</v>
      </c>
      <c r="L1098" s="8">
        <f t="shared" si="1443"/>
        <v>-1</v>
      </c>
      <c r="M1098" t="s">
        <v>1213</v>
      </c>
    </row>
    <row r="1099" spans="1:13" x14ac:dyDescent="0.35">
      <c r="A1099">
        <f t="shared" si="928"/>
        <v>1095</v>
      </c>
      <c r="B1099" s="9">
        <f t="shared" ref="B1099" si="1456">B1098+H1099+I1099+J1099</f>
        <v>0.60999999999999943</v>
      </c>
      <c r="C1099" s="3" t="s">
        <v>1202</v>
      </c>
      <c r="D1099">
        <f t="shared" ref="D1099" si="1457">_xlfn.NUMBERVALUE(LEFT(C1099,2))</f>
        <v>3</v>
      </c>
      <c r="E1099">
        <f t="shared" ref="E1099" si="1458">_xlfn.NUMBERVALUE(MID(C1099,4,2))</f>
        <v>10</v>
      </c>
      <c r="F1099">
        <f t="shared" ref="F1099" si="1459">_xlfn.NUMBERVALUE(RIGHT(C1099,4))</f>
        <v>2023</v>
      </c>
      <c r="G1099" t="s">
        <v>7</v>
      </c>
      <c r="H1099">
        <v>-10</v>
      </c>
      <c r="K1099" t="s">
        <v>9</v>
      </c>
      <c r="L1099" s="8">
        <f t="shared" si="1443"/>
        <v>-1</v>
      </c>
      <c r="M1099" t="s">
        <v>1214</v>
      </c>
    </row>
    <row r="1100" spans="1:13" x14ac:dyDescent="0.35">
      <c r="A1100">
        <f t="shared" si="928"/>
        <v>1096</v>
      </c>
      <c r="B1100" s="9">
        <f t="shared" ref="B1100" si="1460">B1099+H1100+I1100+J1100</f>
        <v>28.08</v>
      </c>
      <c r="C1100" s="3" t="s">
        <v>1215</v>
      </c>
      <c r="D1100">
        <f t="shared" ref="D1100" si="1461">_xlfn.NUMBERVALUE(LEFT(C1100,2))</f>
        <v>7</v>
      </c>
      <c r="E1100">
        <f t="shared" ref="E1100" si="1462">_xlfn.NUMBERVALUE(MID(C1100,4,2))</f>
        <v>10</v>
      </c>
      <c r="F1100">
        <f t="shared" ref="F1100" si="1463">_xlfn.NUMBERVALUE(RIGHT(C1100,4))</f>
        <v>2023</v>
      </c>
      <c r="G1100" t="s">
        <v>3362</v>
      </c>
      <c r="I1100">
        <v>27.47</v>
      </c>
      <c r="L1100" s="8"/>
    </row>
    <row r="1101" spans="1:13" x14ac:dyDescent="0.35">
      <c r="A1101">
        <f t="shared" si="928"/>
        <v>1097</v>
      </c>
      <c r="B1101" s="9">
        <f t="shared" ref="B1101" si="1464">B1100+H1101+I1101+J1101</f>
        <v>27.08</v>
      </c>
      <c r="C1101" s="3" t="s">
        <v>1215</v>
      </c>
      <c r="D1101">
        <f t="shared" ref="D1101" si="1465">_xlfn.NUMBERVALUE(LEFT(C1101,2))</f>
        <v>7</v>
      </c>
      <c r="E1101">
        <f t="shared" ref="E1101" si="1466">_xlfn.NUMBERVALUE(MID(C1101,4,2))</f>
        <v>10</v>
      </c>
      <c r="F1101">
        <f t="shared" ref="F1101" si="1467">_xlfn.NUMBERVALUE(RIGHT(C1101,4))</f>
        <v>2023</v>
      </c>
      <c r="G1101" t="s">
        <v>7</v>
      </c>
      <c r="H1101">
        <v>-1</v>
      </c>
      <c r="K1101" t="s">
        <v>9</v>
      </c>
      <c r="L1101" s="8">
        <f t="shared" si="1443"/>
        <v>-1</v>
      </c>
      <c r="M1101" t="s">
        <v>1216</v>
      </c>
    </row>
    <row r="1102" spans="1:13" x14ac:dyDescent="0.35">
      <c r="A1102">
        <f t="shared" si="928"/>
        <v>1098</v>
      </c>
      <c r="B1102" s="9">
        <f t="shared" ref="B1102" si="1468">B1101+H1102+I1102+J1102</f>
        <v>28.08</v>
      </c>
      <c r="C1102" s="3" t="s">
        <v>1215</v>
      </c>
      <c r="D1102">
        <f t="shared" ref="D1102" si="1469">_xlfn.NUMBERVALUE(LEFT(C1102,2))</f>
        <v>7</v>
      </c>
      <c r="E1102">
        <f t="shared" ref="E1102" si="1470">_xlfn.NUMBERVALUE(MID(C1102,4,2))</f>
        <v>10</v>
      </c>
      <c r="F1102">
        <f t="shared" ref="F1102" si="1471">_xlfn.NUMBERVALUE(RIGHT(C1102,4))</f>
        <v>2023</v>
      </c>
      <c r="G1102" t="s">
        <v>7</v>
      </c>
      <c r="H1102">
        <v>-1</v>
      </c>
      <c r="I1102">
        <v>2</v>
      </c>
      <c r="K1102" t="s">
        <v>10</v>
      </c>
      <c r="L1102" s="8">
        <f t="shared" si="1443"/>
        <v>1</v>
      </c>
      <c r="M1102" t="s">
        <v>1217</v>
      </c>
    </row>
    <row r="1103" spans="1:13" x14ac:dyDescent="0.35">
      <c r="A1103">
        <f t="shared" si="928"/>
        <v>1099</v>
      </c>
      <c r="B1103" s="9">
        <f t="shared" ref="B1103:B1104" si="1472">B1102+H1103+I1103+J1103</f>
        <v>31.08</v>
      </c>
      <c r="C1103" s="3" t="s">
        <v>1215</v>
      </c>
      <c r="D1103">
        <f t="shared" ref="D1103:D1104" si="1473">_xlfn.NUMBERVALUE(LEFT(C1103,2))</f>
        <v>7</v>
      </c>
      <c r="E1103">
        <f t="shared" ref="E1103:E1104" si="1474">_xlfn.NUMBERVALUE(MID(C1103,4,2))</f>
        <v>10</v>
      </c>
      <c r="F1103">
        <f t="shared" ref="F1103:F1104" si="1475">_xlfn.NUMBERVALUE(RIGHT(C1103,4))</f>
        <v>2023</v>
      </c>
      <c r="G1103" t="s">
        <v>7</v>
      </c>
      <c r="I1103">
        <v>3</v>
      </c>
      <c r="K1103" t="s">
        <v>10</v>
      </c>
      <c r="L1103" s="8">
        <f t="shared" si="1443"/>
        <v>0</v>
      </c>
      <c r="M1103" t="s">
        <v>1218</v>
      </c>
    </row>
    <row r="1104" spans="1:13" x14ac:dyDescent="0.35">
      <c r="A1104">
        <f t="shared" si="928"/>
        <v>1100</v>
      </c>
      <c r="B1104" s="9">
        <f t="shared" si="1472"/>
        <v>32.08</v>
      </c>
      <c r="C1104" s="3" t="s">
        <v>1215</v>
      </c>
      <c r="D1104">
        <f t="shared" si="1473"/>
        <v>7</v>
      </c>
      <c r="E1104">
        <f t="shared" si="1474"/>
        <v>10</v>
      </c>
      <c r="F1104">
        <f t="shared" si="1475"/>
        <v>2023</v>
      </c>
      <c r="G1104" t="s">
        <v>7</v>
      </c>
      <c r="H1104">
        <v>-1</v>
      </c>
      <c r="I1104">
        <v>2</v>
      </c>
      <c r="K1104" t="s">
        <v>10</v>
      </c>
      <c r="L1104" s="8">
        <f t="shared" si="1443"/>
        <v>1</v>
      </c>
      <c r="M1104" t="s">
        <v>1219</v>
      </c>
    </row>
    <row r="1105" spans="1:13" x14ac:dyDescent="0.35">
      <c r="A1105">
        <f t="shared" si="928"/>
        <v>1101</v>
      </c>
      <c r="B1105" s="9">
        <f t="shared" ref="B1105" si="1476">B1104+H1105+I1105+J1105</f>
        <v>33.08</v>
      </c>
      <c r="C1105" s="3" t="s">
        <v>1215</v>
      </c>
      <c r="D1105">
        <f t="shared" ref="D1105" si="1477">_xlfn.NUMBERVALUE(LEFT(C1105,2))</f>
        <v>7</v>
      </c>
      <c r="E1105">
        <f t="shared" ref="E1105" si="1478">_xlfn.NUMBERVALUE(MID(C1105,4,2))</f>
        <v>10</v>
      </c>
      <c r="F1105">
        <f t="shared" ref="F1105" si="1479">_xlfn.NUMBERVALUE(RIGHT(C1105,4))</f>
        <v>2023</v>
      </c>
      <c r="G1105" t="s">
        <v>7</v>
      </c>
      <c r="H1105">
        <v>-1</v>
      </c>
      <c r="I1105">
        <v>2</v>
      </c>
      <c r="K1105" t="s">
        <v>10</v>
      </c>
      <c r="L1105" s="8">
        <f t="shared" si="1443"/>
        <v>1</v>
      </c>
      <c r="M1105" t="s">
        <v>1220</v>
      </c>
    </row>
    <row r="1106" spans="1:13" x14ac:dyDescent="0.35">
      <c r="A1106">
        <f t="shared" si="928"/>
        <v>1102</v>
      </c>
      <c r="B1106" s="9">
        <f t="shared" ref="B1106" si="1480">B1105+H1106+I1106+J1106</f>
        <v>35.08</v>
      </c>
      <c r="C1106" s="3" t="s">
        <v>1215</v>
      </c>
      <c r="D1106">
        <f t="shared" ref="D1106" si="1481">_xlfn.NUMBERVALUE(LEFT(C1106,2))</f>
        <v>7</v>
      </c>
      <c r="E1106">
        <f t="shared" ref="E1106" si="1482">_xlfn.NUMBERVALUE(MID(C1106,4,2))</f>
        <v>10</v>
      </c>
      <c r="F1106">
        <f t="shared" ref="F1106" si="1483">_xlfn.NUMBERVALUE(RIGHT(C1106,4))</f>
        <v>2023</v>
      </c>
      <c r="G1106" t="s">
        <v>7</v>
      </c>
      <c r="H1106">
        <v>-1</v>
      </c>
      <c r="I1106">
        <v>3</v>
      </c>
      <c r="K1106" t="s">
        <v>10</v>
      </c>
      <c r="L1106" s="8">
        <f t="shared" si="1443"/>
        <v>2</v>
      </c>
      <c r="M1106" t="s">
        <v>1221</v>
      </c>
    </row>
    <row r="1107" spans="1:13" x14ac:dyDescent="0.35">
      <c r="A1107">
        <f t="shared" si="928"/>
        <v>1103</v>
      </c>
      <c r="B1107" s="9">
        <f t="shared" ref="B1107" si="1484">B1106+H1107+I1107+J1107</f>
        <v>36.08</v>
      </c>
      <c r="C1107" s="3" t="s">
        <v>1215</v>
      </c>
      <c r="D1107">
        <f t="shared" ref="D1107" si="1485">_xlfn.NUMBERVALUE(LEFT(C1107,2))</f>
        <v>7</v>
      </c>
      <c r="E1107">
        <f t="shared" ref="E1107" si="1486">_xlfn.NUMBERVALUE(MID(C1107,4,2))</f>
        <v>10</v>
      </c>
      <c r="F1107">
        <f t="shared" ref="F1107" si="1487">_xlfn.NUMBERVALUE(RIGHT(C1107,4))</f>
        <v>2023</v>
      </c>
      <c r="G1107" t="s">
        <v>7</v>
      </c>
      <c r="H1107">
        <v>-1</v>
      </c>
      <c r="I1107">
        <v>2</v>
      </c>
      <c r="K1107" t="s">
        <v>10</v>
      </c>
      <c r="L1107" s="8">
        <f t="shared" si="1443"/>
        <v>1</v>
      </c>
      <c r="M1107" t="s">
        <v>1222</v>
      </c>
    </row>
    <row r="1108" spans="1:13" x14ac:dyDescent="0.35">
      <c r="A1108">
        <f t="shared" si="928"/>
        <v>1104</v>
      </c>
      <c r="B1108" s="9">
        <f t="shared" ref="B1108" si="1488">B1107+H1108+I1108+J1108</f>
        <v>35.08</v>
      </c>
      <c r="C1108" s="3" t="s">
        <v>1223</v>
      </c>
      <c r="D1108">
        <f t="shared" ref="D1108" si="1489">_xlfn.NUMBERVALUE(LEFT(C1108,2))</f>
        <v>8</v>
      </c>
      <c r="E1108">
        <f t="shared" ref="E1108" si="1490">_xlfn.NUMBERVALUE(MID(C1108,4,2))</f>
        <v>10</v>
      </c>
      <c r="F1108">
        <f t="shared" ref="F1108" si="1491">_xlfn.NUMBERVALUE(RIGHT(C1108,4))</f>
        <v>2023</v>
      </c>
      <c r="G1108" t="s">
        <v>7</v>
      </c>
      <c r="H1108">
        <v>-1</v>
      </c>
      <c r="K1108" t="s">
        <v>9</v>
      </c>
      <c r="L1108" s="8">
        <f t="shared" si="1443"/>
        <v>-1</v>
      </c>
      <c r="M1108" t="s">
        <v>1224</v>
      </c>
    </row>
    <row r="1109" spans="1:13" x14ac:dyDescent="0.35">
      <c r="A1109">
        <f t="shared" si="928"/>
        <v>1105</v>
      </c>
      <c r="B1109" s="9">
        <f t="shared" ref="B1109" si="1492">B1108+H1109+I1109+J1109</f>
        <v>36.08</v>
      </c>
      <c r="C1109" s="3" t="s">
        <v>1223</v>
      </c>
      <c r="D1109">
        <f t="shared" ref="D1109" si="1493">_xlfn.NUMBERVALUE(LEFT(C1109,2))</f>
        <v>8</v>
      </c>
      <c r="E1109">
        <f t="shared" ref="E1109" si="1494">_xlfn.NUMBERVALUE(MID(C1109,4,2))</f>
        <v>10</v>
      </c>
      <c r="F1109">
        <f t="shared" ref="F1109" si="1495">_xlfn.NUMBERVALUE(RIGHT(C1109,4))</f>
        <v>2023</v>
      </c>
      <c r="G1109" t="s">
        <v>7</v>
      </c>
      <c r="H1109">
        <v>-1</v>
      </c>
      <c r="I1109">
        <v>2</v>
      </c>
      <c r="K1109" t="s">
        <v>10</v>
      </c>
      <c r="L1109" s="8">
        <f t="shared" si="1443"/>
        <v>1</v>
      </c>
      <c r="M1109" t="s">
        <v>1225</v>
      </c>
    </row>
    <row r="1110" spans="1:13" x14ac:dyDescent="0.35">
      <c r="A1110">
        <f t="shared" si="928"/>
        <v>1106</v>
      </c>
      <c r="B1110" s="9">
        <f t="shared" ref="B1110" si="1496">B1109+H1110+I1110+J1110</f>
        <v>35.08</v>
      </c>
      <c r="C1110" s="3" t="s">
        <v>1223</v>
      </c>
      <c r="D1110">
        <f t="shared" ref="D1110" si="1497">_xlfn.NUMBERVALUE(LEFT(C1110,2))</f>
        <v>8</v>
      </c>
      <c r="E1110">
        <f t="shared" ref="E1110" si="1498">_xlfn.NUMBERVALUE(MID(C1110,4,2))</f>
        <v>10</v>
      </c>
      <c r="F1110">
        <f t="shared" ref="F1110" si="1499">_xlfn.NUMBERVALUE(RIGHT(C1110,4))</f>
        <v>2023</v>
      </c>
      <c r="G1110" t="s">
        <v>7</v>
      </c>
      <c r="H1110">
        <v>-1</v>
      </c>
      <c r="K1110" t="s">
        <v>9</v>
      </c>
      <c r="L1110" s="8">
        <f t="shared" si="1443"/>
        <v>-1</v>
      </c>
      <c r="M1110" t="s">
        <v>1226</v>
      </c>
    </row>
    <row r="1111" spans="1:13" x14ac:dyDescent="0.35">
      <c r="A1111">
        <f t="shared" si="928"/>
        <v>1107</v>
      </c>
      <c r="B1111" s="9">
        <f t="shared" ref="B1111" si="1500">B1110+H1111+I1111+J1111</f>
        <v>34.08</v>
      </c>
      <c r="C1111" s="3" t="s">
        <v>1223</v>
      </c>
      <c r="D1111">
        <f t="shared" ref="D1111" si="1501">_xlfn.NUMBERVALUE(LEFT(C1111,2))</f>
        <v>8</v>
      </c>
      <c r="E1111">
        <f t="shared" ref="E1111" si="1502">_xlfn.NUMBERVALUE(MID(C1111,4,2))</f>
        <v>10</v>
      </c>
      <c r="F1111">
        <f t="shared" ref="F1111" si="1503">_xlfn.NUMBERVALUE(RIGHT(C1111,4))</f>
        <v>2023</v>
      </c>
      <c r="G1111" t="s">
        <v>7</v>
      </c>
      <c r="H1111">
        <v>-1</v>
      </c>
      <c r="K1111" t="s">
        <v>9</v>
      </c>
      <c r="L1111" s="8">
        <f t="shared" si="1443"/>
        <v>-1</v>
      </c>
      <c r="M1111" t="s">
        <v>1227</v>
      </c>
    </row>
    <row r="1112" spans="1:13" x14ac:dyDescent="0.35">
      <c r="A1112">
        <f t="shared" si="928"/>
        <v>1108</v>
      </c>
      <c r="B1112" s="9">
        <f t="shared" ref="B1112" si="1504">B1111+H1112+I1112+J1112</f>
        <v>35.08</v>
      </c>
      <c r="C1112" s="3" t="s">
        <v>1223</v>
      </c>
      <c r="D1112">
        <f t="shared" ref="D1112" si="1505">_xlfn.NUMBERVALUE(LEFT(C1112,2))</f>
        <v>8</v>
      </c>
      <c r="E1112">
        <f t="shared" ref="E1112" si="1506">_xlfn.NUMBERVALUE(MID(C1112,4,2))</f>
        <v>10</v>
      </c>
      <c r="F1112">
        <f t="shared" ref="F1112" si="1507">_xlfn.NUMBERVALUE(RIGHT(C1112,4))</f>
        <v>2023</v>
      </c>
      <c r="G1112" t="s">
        <v>7</v>
      </c>
      <c r="H1112">
        <v>-1</v>
      </c>
      <c r="I1112">
        <v>2</v>
      </c>
      <c r="K1112" t="s">
        <v>10</v>
      </c>
      <c r="L1112" s="8">
        <f t="shared" si="1443"/>
        <v>1</v>
      </c>
      <c r="M1112" t="s">
        <v>1228</v>
      </c>
    </row>
    <row r="1113" spans="1:13" x14ac:dyDescent="0.35">
      <c r="A1113">
        <f t="shared" si="928"/>
        <v>1109</v>
      </c>
      <c r="B1113" s="9">
        <f t="shared" ref="B1113" si="1508">B1112+H1113+I1113+J1113</f>
        <v>34.08</v>
      </c>
      <c r="C1113" s="3" t="s">
        <v>1223</v>
      </c>
      <c r="D1113">
        <f t="shared" ref="D1113" si="1509">_xlfn.NUMBERVALUE(LEFT(C1113,2))</f>
        <v>8</v>
      </c>
      <c r="E1113">
        <f t="shared" ref="E1113" si="1510">_xlfn.NUMBERVALUE(MID(C1113,4,2))</f>
        <v>10</v>
      </c>
      <c r="F1113">
        <f t="shared" ref="F1113" si="1511">_xlfn.NUMBERVALUE(RIGHT(C1113,4))</f>
        <v>2023</v>
      </c>
      <c r="G1113" t="s">
        <v>7</v>
      </c>
      <c r="H1113">
        <v>-1</v>
      </c>
      <c r="K1113" t="s">
        <v>9</v>
      </c>
      <c r="L1113" s="8">
        <f t="shared" si="1443"/>
        <v>-1</v>
      </c>
      <c r="M1113" t="s">
        <v>1229</v>
      </c>
    </row>
    <row r="1114" spans="1:13" x14ac:dyDescent="0.35">
      <c r="A1114">
        <f t="shared" si="928"/>
        <v>1110</v>
      </c>
      <c r="B1114" s="9">
        <f t="shared" ref="B1114" si="1512">B1113+H1114+I1114+J1114</f>
        <v>33.08</v>
      </c>
      <c r="C1114" s="3" t="s">
        <v>1223</v>
      </c>
      <c r="D1114">
        <f t="shared" ref="D1114" si="1513">_xlfn.NUMBERVALUE(LEFT(C1114,2))</f>
        <v>8</v>
      </c>
      <c r="E1114">
        <f t="shared" ref="E1114" si="1514">_xlfn.NUMBERVALUE(MID(C1114,4,2))</f>
        <v>10</v>
      </c>
      <c r="F1114">
        <f t="shared" ref="F1114" si="1515">_xlfn.NUMBERVALUE(RIGHT(C1114,4))</f>
        <v>2023</v>
      </c>
      <c r="G1114" t="s">
        <v>7</v>
      </c>
      <c r="H1114">
        <v>-1</v>
      </c>
      <c r="K1114" t="s">
        <v>9</v>
      </c>
      <c r="L1114" s="8">
        <f t="shared" si="1443"/>
        <v>-1</v>
      </c>
      <c r="M1114" t="s">
        <v>1230</v>
      </c>
    </row>
    <row r="1115" spans="1:13" x14ac:dyDescent="0.35">
      <c r="A1115">
        <f t="shared" si="928"/>
        <v>1111</v>
      </c>
      <c r="B1115" s="9">
        <f t="shared" ref="B1115" si="1516">B1114+H1115+I1115+J1115</f>
        <v>32.08</v>
      </c>
      <c r="C1115" s="3" t="s">
        <v>1223</v>
      </c>
      <c r="D1115">
        <f t="shared" ref="D1115" si="1517">_xlfn.NUMBERVALUE(LEFT(C1115,2))</f>
        <v>8</v>
      </c>
      <c r="E1115">
        <f t="shared" ref="E1115" si="1518">_xlfn.NUMBERVALUE(MID(C1115,4,2))</f>
        <v>10</v>
      </c>
      <c r="F1115">
        <f t="shared" ref="F1115" si="1519">_xlfn.NUMBERVALUE(RIGHT(C1115,4))</f>
        <v>2023</v>
      </c>
      <c r="G1115" t="s">
        <v>7</v>
      </c>
      <c r="H1115">
        <v>-1</v>
      </c>
      <c r="K1115" t="s">
        <v>9</v>
      </c>
      <c r="L1115" s="8">
        <f t="shared" si="1443"/>
        <v>-1</v>
      </c>
      <c r="M1115" t="s">
        <v>1231</v>
      </c>
    </row>
    <row r="1116" spans="1:13" x14ac:dyDescent="0.35">
      <c r="A1116">
        <f t="shared" si="928"/>
        <v>1112</v>
      </c>
      <c r="B1116" s="9">
        <f t="shared" ref="B1116" si="1520">B1115+H1116+I1116+J1116</f>
        <v>31.08</v>
      </c>
      <c r="C1116" s="3" t="s">
        <v>1223</v>
      </c>
      <c r="D1116">
        <f t="shared" ref="D1116" si="1521">_xlfn.NUMBERVALUE(LEFT(C1116,2))</f>
        <v>8</v>
      </c>
      <c r="E1116">
        <f t="shared" ref="E1116" si="1522">_xlfn.NUMBERVALUE(MID(C1116,4,2))</f>
        <v>10</v>
      </c>
      <c r="F1116">
        <f t="shared" ref="F1116" si="1523">_xlfn.NUMBERVALUE(RIGHT(C1116,4))</f>
        <v>2023</v>
      </c>
      <c r="G1116" t="s">
        <v>7</v>
      </c>
      <c r="H1116">
        <v>-1</v>
      </c>
      <c r="K1116" t="s">
        <v>9</v>
      </c>
      <c r="L1116" s="8">
        <f t="shared" si="1443"/>
        <v>-1</v>
      </c>
      <c r="M1116" t="s">
        <v>1232</v>
      </c>
    </row>
    <row r="1117" spans="1:13" x14ac:dyDescent="0.35">
      <c r="A1117">
        <f t="shared" si="928"/>
        <v>1113</v>
      </c>
      <c r="B1117" s="9">
        <f t="shared" ref="B1117" si="1524">B1116+H1117+I1117+J1117</f>
        <v>32.08</v>
      </c>
      <c r="C1117" s="3" t="s">
        <v>1223</v>
      </c>
      <c r="D1117">
        <f t="shared" ref="D1117" si="1525">_xlfn.NUMBERVALUE(LEFT(C1117,2))</f>
        <v>8</v>
      </c>
      <c r="E1117">
        <f t="shared" ref="E1117" si="1526">_xlfn.NUMBERVALUE(MID(C1117,4,2))</f>
        <v>10</v>
      </c>
      <c r="F1117">
        <f t="shared" ref="F1117" si="1527">_xlfn.NUMBERVALUE(RIGHT(C1117,4))</f>
        <v>2023</v>
      </c>
      <c r="G1117" t="s">
        <v>7</v>
      </c>
      <c r="H1117">
        <v>-1</v>
      </c>
      <c r="I1117">
        <v>2</v>
      </c>
      <c r="K1117" t="s">
        <v>10</v>
      </c>
      <c r="L1117" s="8">
        <f t="shared" si="1443"/>
        <v>1</v>
      </c>
      <c r="M1117" t="s">
        <v>1233</v>
      </c>
    </row>
    <row r="1118" spans="1:13" x14ac:dyDescent="0.35">
      <c r="A1118">
        <f t="shared" si="928"/>
        <v>1114</v>
      </c>
      <c r="B1118" s="9">
        <f t="shared" ref="B1118" si="1528">B1117+H1118+I1118+J1118</f>
        <v>31.08</v>
      </c>
      <c r="C1118" s="3" t="s">
        <v>1223</v>
      </c>
      <c r="D1118">
        <f t="shared" ref="D1118" si="1529">_xlfn.NUMBERVALUE(LEFT(C1118,2))</f>
        <v>8</v>
      </c>
      <c r="E1118">
        <f t="shared" ref="E1118" si="1530">_xlfn.NUMBERVALUE(MID(C1118,4,2))</f>
        <v>10</v>
      </c>
      <c r="F1118">
        <f t="shared" ref="F1118" si="1531">_xlfn.NUMBERVALUE(RIGHT(C1118,4))</f>
        <v>2023</v>
      </c>
      <c r="G1118" t="s">
        <v>7</v>
      </c>
      <c r="H1118">
        <v>-1</v>
      </c>
      <c r="K1118" t="s">
        <v>9</v>
      </c>
      <c r="L1118" s="8">
        <f t="shared" si="1443"/>
        <v>-1</v>
      </c>
      <c r="M1118" t="s">
        <v>1234</v>
      </c>
    </row>
    <row r="1119" spans="1:13" x14ac:dyDescent="0.35">
      <c r="A1119">
        <f t="shared" si="928"/>
        <v>1115</v>
      </c>
      <c r="B1119" s="9">
        <f t="shared" ref="B1119" si="1532">B1118+H1119+I1119+J1119</f>
        <v>33.08</v>
      </c>
      <c r="C1119" s="3" t="s">
        <v>1223</v>
      </c>
      <c r="D1119">
        <f t="shared" ref="D1119" si="1533">_xlfn.NUMBERVALUE(LEFT(C1119,2))</f>
        <v>8</v>
      </c>
      <c r="E1119">
        <f t="shared" ref="E1119" si="1534">_xlfn.NUMBERVALUE(MID(C1119,4,2))</f>
        <v>10</v>
      </c>
      <c r="F1119">
        <f t="shared" ref="F1119" si="1535">_xlfn.NUMBERVALUE(RIGHT(C1119,4))</f>
        <v>2023</v>
      </c>
      <c r="G1119" t="s">
        <v>7</v>
      </c>
      <c r="H1119">
        <v>-1</v>
      </c>
      <c r="I1119">
        <v>3</v>
      </c>
      <c r="K1119" t="s">
        <v>10</v>
      </c>
      <c r="L1119" s="8">
        <f t="shared" si="1443"/>
        <v>2</v>
      </c>
      <c r="M1119" t="s">
        <v>1235</v>
      </c>
    </row>
    <row r="1120" spans="1:13" x14ac:dyDescent="0.35">
      <c r="A1120">
        <f t="shared" si="928"/>
        <v>1116</v>
      </c>
      <c r="B1120" s="9">
        <f t="shared" ref="B1120" si="1536">B1119+H1120+I1120+J1120</f>
        <v>34.08</v>
      </c>
      <c r="C1120" s="3" t="s">
        <v>1236</v>
      </c>
      <c r="D1120">
        <f t="shared" ref="D1120" si="1537">_xlfn.NUMBERVALUE(LEFT(C1120,2))</f>
        <v>9</v>
      </c>
      <c r="E1120">
        <f t="shared" ref="E1120" si="1538">_xlfn.NUMBERVALUE(MID(C1120,4,2))</f>
        <v>10</v>
      </c>
      <c r="F1120">
        <f t="shared" ref="F1120" si="1539">_xlfn.NUMBERVALUE(RIGHT(C1120,4))</f>
        <v>2023</v>
      </c>
      <c r="G1120" t="s">
        <v>7</v>
      </c>
      <c r="H1120">
        <v>-1</v>
      </c>
      <c r="I1120">
        <v>2</v>
      </c>
      <c r="K1120" t="s">
        <v>10</v>
      </c>
      <c r="L1120" s="8">
        <f t="shared" si="1443"/>
        <v>1</v>
      </c>
      <c r="M1120" t="s">
        <v>1237</v>
      </c>
    </row>
    <row r="1121" spans="1:13" x14ac:dyDescent="0.35">
      <c r="A1121">
        <f t="shared" si="928"/>
        <v>1117</v>
      </c>
      <c r="B1121" s="9">
        <f t="shared" ref="B1121" si="1540">B1120+H1121+I1121+J1121</f>
        <v>36.08</v>
      </c>
      <c r="C1121" s="3" t="s">
        <v>1236</v>
      </c>
      <c r="D1121">
        <f t="shared" ref="D1121" si="1541">_xlfn.NUMBERVALUE(LEFT(C1121,2))</f>
        <v>9</v>
      </c>
      <c r="E1121">
        <f t="shared" ref="E1121" si="1542">_xlfn.NUMBERVALUE(MID(C1121,4,2))</f>
        <v>10</v>
      </c>
      <c r="F1121">
        <f t="shared" ref="F1121" si="1543">_xlfn.NUMBERVALUE(RIGHT(C1121,4))</f>
        <v>2023</v>
      </c>
      <c r="G1121" t="s">
        <v>7</v>
      </c>
      <c r="H1121">
        <v>-1</v>
      </c>
      <c r="I1121">
        <v>3</v>
      </c>
      <c r="K1121" t="s">
        <v>10</v>
      </c>
      <c r="L1121" s="8">
        <f t="shared" si="1443"/>
        <v>2</v>
      </c>
      <c r="M1121" t="s">
        <v>1238</v>
      </c>
    </row>
    <row r="1122" spans="1:13" x14ac:dyDescent="0.35">
      <c r="A1122">
        <f t="shared" si="928"/>
        <v>1118</v>
      </c>
      <c r="B1122" s="9">
        <f t="shared" ref="B1122" si="1544">B1121+H1122+I1122+J1122</f>
        <v>35.08</v>
      </c>
      <c r="C1122" s="3" t="s">
        <v>1239</v>
      </c>
      <c r="D1122">
        <f t="shared" ref="D1122" si="1545">_xlfn.NUMBERVALUE(LEFT(C1122,2))</f>
        <v>10</v>
      </c>
      <c r="E1122">
        <f t="shared" ref="E1122" si="1546">_xlfn.NUMBERVALUE(MID(C1122,4,2))</f>
        <v>10</v>
      </c>
      <c r="F1122">
        <f t="shared" ref="F1122" si="1547">_xlfn.NUMBERVALUE(RIGHT(C1122,4))</f>
        <v>2023</v>
      </c>
      <c r="G1122" t="s">
        <v>7</v>
      </c>
      <c r="H1122">
        <v>-1</v>
      </c>
      <c r="K1122" t="s">
        <v>9</v>
      </c>
      <c r="L1122" s="8">
        <f t="shared" si="1443"/>
        <v>-1</v>
      </c>
      <c r="M1122" t="s">
        <v>1240</v>
      </c>
    </row>
    <row r="1123" spans="1:13" x14ac:dyDescent="0.35">
      <c r="A1123">
        <f t="shared" si="928"/>
        <v>1119</v>
      </c>
      <c r="B1123" s="9">
        <f t="shared" ref="B1123" si="1548">B1122+H1123+I1123+J1123</f>
        <v>36.08</v>
      </c>
      <c r="C1123" s="3" t="s">
        <v>1241</v>
      </c>
      <c r="D1123">
        <f t="shared" ref="D1123" si="1549">_xlfn.NUMBERVALUE(LEFT(C1123,2))</f>
        <v>11</v>
      </c>
      <c r="E1123">
        <f t="shared" ref="E1123" si="1550">_xlfn.NUMBERVALUE(MID(C1123,4,2))</f>
        <v>10</v>
      </c>
      <c r="F1123">
        <f t="shared" ref="F1123" si="1551">_xlfn.NUMBERVALUE(RIGHT(C1123,4))</f>
        <v>2023</v>
      </c>
      <c r="G1123" t="s">
        <v>7</v>
      </c>
      <c r="H1123">
        <v>-1</v>
      </c>
      <c r="I1123">
        <v>2</v>
      </c>
      <c r="K1123" t="s">
        <v>10</v>
      </c>
      <c r="L1123" s="8">
        <f t="shared" si="1443"/>
        <v>1</v>
      </c>
      <c r="M1123" t="s">
        <v>1242</v>
      </c>
    </row>
    <row r="1124" spans="1:13" x14ac:dyDescent="0.35">
      <c r="A1124">
        <f t="shared" si="928"/>
        <v>1120</v>
      </c>
      <c r="B1124" s="9">
        <f t="shared" ref="B1124" si="1552">B1123+H1124+I1124+J1124</f>
        <v>37.08</v>
      </c>
      <c r="C1124" s="3" t="s">
        <v>1245</v>
      </c>
      <c r="D1124">
        <f t="shared" ref="D1124" si="1553">_xlfn.NUMBERVALUE(LEFT(C1124,2))</f>
        <v>12</v>
      </c>
      <c r="E1124">
        <f t="shared" ref="E1124" si="1554">_xlfn.NUMBERVALUE(MID(C1124,4,2))</f>
        <v>10</v>
      </c>
      <c r="F1124">
        <f t="shared" ref="F1124" si="1555">_xlfn.NUMBERVALUE(RIGHT(C1124,4))</f>
        <v>2023</v>
      </c>
      <c r="G1124" t="s">
        <v>7</v>
      </c>
      <c r="H1124">
        <v>-1</v>
      </c>
      <c r="I1124">
        <v>2</v>
      </c>
      <c r="K1124" t="s">
        <v>10</v>
      </c>
      <c r="L1124" s="8">
        <f t="shared" si="1443"/>
        <v>1</v>
      </c>
      <c r="M1124" t="s">
        <v>1243</v>
      </c>
    </row>
    <row r="1125" spans="1:13" x14ac:dyDescent="0.35">
      <c r="A1125">
        <f t="shared" si="928"/>
        <v>1121</v>
      </c>
      <c r="B1125" s="9">
        <f t="shared" ref="B1125" si="1556">B1124+H1125+I1125+J1125</f>
        <v>38.08</v>
      </c>
      <c r="C1125" s="3" t="s">
        <v>1245</v>
      </c>
      <c r="D1125">
        <f t="shared" ref="D1125" si="1557">_xlfn.NUMBERVALUE(LEFT(C1125,2))</f>
        <v>12</v>
      </c>
      <c r="E1125">
        <f t="shared" ref="E1125" si="1558">_xlfn.NUMBERVALUE(MID(C1125,4,2))</f>
        <v>10</v>
      </c>
      <c r="F1125">
        <f t="shared" ref="F1125" si="1559">_xlfn.NUMBERVALUE(RIGHT(C1125,4))</f>
        <v>2023</v>
      </c>
      <c r="G1125" t="s">
        <v>7</v>
      </c>
      <c r="H1125">
        <v>-1</v>
      </c>
      <c r="I1125">
        <v>2</v>
      </c>
      <c r="K1125" t="s">
        <v>10</v>
      </c>
      <c r="L1125" s="8">
        <f t="shared" si="1443"/>
        <v>1</v>
      </c>
      <c r="M1125" t="s">
        <v>1244</v>
      </c>
    </row>
    <row r="1126" spans="1:13" x14ac:dyDescent="0.35">
      <c r="A1126">
        <f t="shared" si="928"/>
        <v>1122</v>
      </c>
      <c r="B1126" s="9">
        <f t="shared" ref="B1126" si="1560">B1125+H1126+I1126+J1126</f>
        <v>37.08</v>
      </c>
      <c r="C1126" s="3" t="s">
        <v>1246</v>
      </c>
      <c r="D1126">
        <f t="shared" ref="D1126" si="1561">_xlfn.NUMBERVALUE(LEFT(C1126,2))</f>
        <v>13</v>
      </c>
      <c r="E1126">
        <f t="shared" ref="E1126" si="1562">_xlfn.NUMBERVALUE(MID(C1126,4,2))</f>
        <v>10</v>
      </c>
      <c r="F1126">
        <f t="shared" ref="F1126" si="1563">_xlfn.NUMBERVALUE(RIGHT(C1126,4))</f>
        <v>2023</v>
      </c>
      <c r="G1126" t="s">
        <v>7</v>
      </c>
      <c r="H1126">
        <v>-1</v>
      </c>
      <c r="K1126" t="s">
        <v>9</v>
      </c>
      <c r="L1126" s="8">
        <f t="shared" si="1443"/>
        <v>-1</v>
      </c>
      <c r="M1126" t="s">
        <v>1247</v>
      </c>
    </row>
    <row r="1127" spans="1:13" x14ac:dyDescent="0.35">
      <c r="A1127">
        <f t="shared" si="928"/>
        <v>1123</v>
      </c>
      <c r="B1127" s="9">
        <f t="shared" ref="B1127" si="1564">B1126+H1127+I1127+J1127</f>
        <v>36.08</v>
      </c>
      <c r="C1127" s="3" t="s">
        <v>1246</v>
      </c>
      <c r="D1127">
        <f t="shared" ref="D1127" si="1565">_xlfn.NUMBERVALUE(LEFT(C1127,2))</f>
        <v>13</v>
      </c>
      <c r="E1127">
        <f t="shared" ref="E1127" si="1566">_xlfn.NUMBERVALUE(MID(C1127,4,2))</f>
        <v>10</v>
      </c>
      <c r="F1127">
        <f t="shared" ref="F1127" si="1567">_xlfn.NUMBERVALUE(RIGHT(C1127,4))</f>
        <v>2023</v>
      </c>
      <c r="G1127" t="s">
        <v>7</v>
      </c>
      <c r="H1127">
        <v>-1</v>
      </c>
      <c r="K1127" t="s">
        <v>9</v>
      </c>
      <c r="L1127" s="8">
        <f t="shared" si="1443"/>
        <v>-1</v>
      </c>
      <c r="M1127" t="s">
        <v>1248</v>
      </c>
    </row>
    <row r="1128" spans="1:13" x14ac:dyDescent="0.35">
      <c r="A1128">
        <f t="shared" si="928"/>
        <v>1124</v>
      </c>
      <c r="B1128" s="9">
        <f t="shared" ref="B1128" si="1568">B1127+H1128+I1128+J1128</f>
        <v>35.08</v>
      </c>
      <c r="C1128" s="3" t="s">
        <v>1246</v>
      </c>
      <c r="D1128">
        <f t="shared" ref="D1128" si="1569">_xlfn.NUMBERVALUE(LEFT(C1128,2))</f>
        <v>13</v>
      </c>
      <c r="E1128">
        <f t="shared" ref="E1128" si="1570">_xlfn.NUMBERVALUE(MID(C1128,4,2))</f>
        <v>10</v>
      </c>
      <c r="F1128">
        <f t="shared" ref="F1128" si="1571">_xlfn.NUMBERVALUE(RIGHT(C1128,4))</f>
        <v>2023</v>
      </c>
      <c r="G1128" t="s">
        <v>7</v>
      </c>
      <c r="H1128">
        <v>-1</v>
      </c>
      <c r="K1128" t="s">
        <v>9</v>
      </c>
      <c r="L1128" s="8">
        <f t="shared" si="1443"/>
        <v>-1</v>
      </c>
      <c r="M1128" t="s">
        <v>1249</v>
      </c>
    </row>
    <row r="1129" spans="1:13" x14ac:dyDescent="0.35">
      <c r="A1129">
        <f t="shared" si="928"/>
        <v>1125</v>
      </c>
      <c r="B1129" s="9">
        <f t="shared" ref="B1129" si="1572">B1128+H1129+I1129+J1129</f>
        <v>37.08</v>
      </c>
      <c r="C1129" s="3" t="s">
        <v>1246</v>
      </c>
      <c r="D1129">
        <f t="shared" ref="D1129" si="1573">_xlfn.NUMBERVALUE(LEFT(C1129,2))</f>
        <v>13</v>
      </c>
      <c r="E1129">
        <f t="shared" ref="E1129" si="1574">_xlfn.NUMBERVALUE(MID(C1129,4,2))</f>
        <v>10</v>
      </c>
      <c r="F1129">
        <f t="shared" ref="F1129" si="1575">_xlfn.NUMBERVALUE(RIGHT(C1129,4))</f>
        <v>2023</v>
      </c>
      <c r="G1129" t="s">
        <v>7</v>
      </c>
      <c r="H1129">
        <v>-1</v>
      </c>
      <c r="I1129">
        <v>3</v>
      </c>
      <c r="K1129" t="s">
        <v>10</v>
      </c>
      <c r="L1129" s="8">
        <f t="shared" si="1443"/>
        <v>2</v>
      </c>
      <c r="M1129" t="s">
        <v>1250</v>
      </c>
    </row>
    <row r="1130" spans="1:13" x14ac:dyDescent="0.35">
      <c r="A1130">
        <f t="shared" si="928"/>
        <v>1126</v>
      </c>
      <c r="B1130" s="9">
        <f t="shared" ref="B1130" si="1576">B1129+H1130+I1130+J1130</f>
        <v>39.08</v>
      </c>
      <c r="C1130" s="3" t="s">
        <v>1246</v>
      </c>
      <c r="D1130">
        <f t="shared" ref="D1130" si="1577">_xlfn.NUMBERVALUE(LEFT(C1130,2))</f>
        <v>13</v>
      </c>
      <c r="E1130">
        <f t="shared" ref="E1130" si="1578">_xlfn.NUMBERVALUE(MID(C1130,4,2))</f>
        <v>10</v>
      </c>
      <c r="F1130">
        <f t="shared" ref="F1130" si="1579">_xlfn.NUMBERVALUE(RIGHT(C1130,4))</f>
        <v>2023</v>
      </c>
      <c r="G1130" t="s">
        <v>7</v>
      </c>
      <c r="H1130">
        <v>-1</v>
      </c>
      <c r="I1130">
        <v>3</v>
      </c>
      <c r="K1130" t="s">
        <v>10</v>
      </c>
      <c r="L1130" s="8">
        <f t="shared" si="1443"/>
        <v>2</v>
      </c>
      <c r="M1130" t="s">
        <v>1251</v>
      </c>
    </row>
    <row r="1131" spans="1:13" x14ac:dyDescent="0.35">
      <c r="A1131">
        <f t="shared" si="928"/>
        <v>1127</v>
      </c>
      <c r="B1131" s="9">
        <f t="shared" ref="B1131" si="1580">B1130+H1131+I1131+J1131</f>
        <v>41.08</v>
      </c>
      <c r="C1131" s="3" t="s">
        <v>1246</v>
      </c>
      <c r="D1131">
        <f t="shared" ref="D1131" si="1581">_xlfn.NUMBERVALUE(LEFT(C1131,2))</f>
        <v>13</v>
      </c>
      <c r="E1131">
        <f t="shared" ref="E1131" si="1582">_xlfn.NUMBERVALUE(MID(C1131,4,2))</f>
        <v>10</v>
      </c>
      <c r="F1131">
        <f t="shared" ref="F1131" si="1583">_xlfn.NUMBERVALUE(RIGHT(C1131,4))</f>
        <v>2023</v>
      </c>
      <c r="G1131" t="s">
        <v>7</v>
      </c>
      <c r="H1131">
        <v>-1</v>
      </c>
      <c r="I1131">
        <v>3</v>
      </c>
      <c r="K1131" t="s">
        <v>10</v>
      </c>
      <c r="L1131" s="8">
        <f t="shared" si="1443"/>
        <v>2</v>
      </c>
      <c r="M1131" t="s">
        <v>1252</v>
      </c>
    </row>
    <row r="1132" spans="1:13" x14ac:dyDescent="0.35">
      <c r="A1132">
        <f t="shared" si="928"/>
        <v>1128</v>
      </c>
      <c r="B1132" s="9">
        <f t="shared" ref="B1132" si="1584">B1131+H1132+I1132+J1132</f>
        <v>40.08</v>
      </c>
      <c r="C1132" s="3" t="s">
        <v>1246</v>
      </c>
      <c r="D1132">
        <f t="shared" ref="D1132" si="1585">_xlfn.NUMBERVALUE(LEFT(C1132,2))</f>
        <v>13</v>
      </c>
      <c r="E1132">
        <f t="shared" ref="E1132" si="1586">_xlfn.NUMBERVALUE(MID(C1132,4,2))</f>
        <v>10</v>
      </c>
      <c r="F1132">
        <f t="shared" ref="F1132" si="1587">_xlfn.NUMBERVALUE(RIGHT(C1132,4))</f>
        <v>2023</v>
      </c>
      <c r="G1132" t="s">
        <v>7</v>
      </c>
      <c r="H1132">
        <v>-1</v>
      </c>
      <c r="K1132" t="s">
        <v>9</v>
      </c>
      <c r="L1132" s="8">
        <f t="shared" si="1443"/>
        <v>-1</v>
      </c>
      <c r="M1132" t="s">
        <v>1253</v>
      </c>
    </row>
    <row r="1133" spans="1:13" x14ac:dyDescent="0.35">
      <c r="A1133">
        <f t="shared" si="928"/>
        <v>1129</v>
      </c>
      <c r="B1133" s="9">
        <f t="shared" ref="B1133" si="1588">B1132+H1133+I1133+J1133</f>
        <v>39.08</v>
      </c>
      <c r="C1133" s="3" t="s">
        <v>1246</v>
      </c>
      <c r="D1133">
        <f t="shared" ref="D1133" si="1589">_xlfn.NUMBERVALUE(LEFT(C1133,2))</f>
        <v>13</v>
      </c>
      <c r="E1133">
        <f t="shared" ref="E1133" si="1590">_xlfn.NUMBERVALUE(MID(C1133,4,2))</f>
        <v>10</v>
      </c>
      <c r="F1133">
        <f t="shared" ref="F1133" si="1591">_xlfn.NUMBERVALUE(RIGHT(C1133,4))</f>
        <v>2023</v>
      </c>
      <c r="G1133" t="s">
        <v>7</v>
      </c>
      <c r="H1133">
        <v>-1</v>
      </c>
      <c r="K1133" t="s">
        <v>9</v>
      </c>
      <c r="L1133" s="8">
        <f t="shared" si="1443"/>
        <v>-1</v>
      </c>
      <c r="M1133" t="s">
        <v>1254</v>
      </c>
    </row>
    <row r="1134" spans="1:13" x14ac:dyDescent="0.35">
      <c r="A1134">
        <f t="shared" si="928"/>
        <v>1130</v>
      </c>
      <c r="B1134" s="9">
        <f t="shared" ref="B1134" si="1592">B1133+H1134+I1134+J1134</f>
        <v>41.08</v>
      </c>
      <c r="C1134" s="3" t="s">
        <v>1246</v>
      </c>
      <c r="D1134">
        <f t="shared" ref="D1134" si="1593">_xlfn.NUMBERVALUE(LEFT(C1134,2))</f>
        <v>13</v>
      </c>
      <c r="E1134">
        <f t="shared" ref="E1134" si="1594">_xlfn.NUMBERVALUE(MID(C1134,4,2))</f>
        <v>10</v>
      </c>
      <c r="F1134">
        <f t="shared" ref="F1134" si="1595">_xlfn.NUMBERVALUE(RIGHT(C1134,4))</f>
        <v>2023</v>
      </c>
      <c r="G1134" t="s">
        <v>7</v>
      </c>
      <c r="H1134">
        <v>-1</v>
      </c>
      <c r="I1134">
        <v>3</v>
      </c>
      <c r="K1134" t="s">
        <v>10</v>
      </c>
      <c r="L1134" s="8">
        <f t="shared" si="1443"/>
        <v>2</v>
      </c>
      <c r="M1134" t="s">
        <v>1255</v>
      </c>
    </row>
    <row r="1135" spans="1:13" x14ac:dyDescent="0.35">
      <c r="A1135">
        <f t="shared" si="928"/>
        <v>1131</v>
      </c>
      <c r="B1135" s="9">
        <f t="shared" ref="B1135" si="1596">B1134+H1135+I1135+J1135</f>
        <v>40.08</v>
      </c>
      <c r="C1135" s="3" t="s">
        <v>1246</v>
      </c>
      <c r="D1135">
        <f t="shared" ref="D1135" si="1597">_xlfn.NUMBERVALUE(LEFT(C1135,2))</f>
        <v>13</v>
      </c>
      <c r="E1135">
        <f t="shared" ref="E1135" si="1598">_xlfn.NUMBERVALUE(MID(C1135,4,2))</f>
        <v>10</v>
      </c>
      <c r="F1135">
        <f t="shared" ref="F1135" si="1599">_xlfn.NUMBERVALUE(RIGHT(C1135,4))</f>
        <v>2023</v>
      </c>
      <c r="G1135" t="s">
        <v>7</v>
      </c>
      <c r="H1135">
        <v>-1</v>
      </c>
      <c r="K1135" t="s">
        <v>9</v>
      </c>
      <c r="L1135" s="8">
        <f t="shared" si="1443"/>
        <v>-1</v>
      </c>
      <c r="M1135" t="s">
        <v>1256</v>
      </c>
    </row>
    <row r="1136" spans="1:13" x14ac:dyDescent="0.35">
      <c r="A1136">
        <f t="shared" si="928"/>
        <v>1132</v>
      </c>
      <c r="B1136" s="9">
        <f t="shared" ref="B1136" si="1600">B1135+H1136+I1136+J1136</f>
        <v>39.08</v>
      </c>
      <c r="C1136" s="3" t="s">
        <v>1246</v>
      </c>
      <c r="D1136">
        <f t="shared" ref="D1136" si="1601">_xlfn.NUMBERVALUE(LEFT(C1136,2))</f>
        <v>13</v>
      </c>
      <c r="E1136">
        <f t="shared" ref="E1136" si="1602">_xlfn.NUMBERVALUE(MID(C1136,4,2))</f>
        <v>10</v>
      </c>
      <c r="F1136">
        <f t="shared" ref="F1136" si="1603">_xlfn.NUMBERVALUE(RIGHT(C1136,4))</f>
        <v>2023</v>
      </c>
      <c r="G1136" t="s">
        <v>7</v>
      </c>
      <c r="H1136">
        <v>-1</v>
      </c>
      <c r="K1136" t="s">
        <v>9</v>
      </c>
      <c r="L1136" s="8">
        <f t="shared" si="1443"/>
        <v>-1</v>
      </c>
      <c r="M1136" t="s">
        <v>1257</v>
      </c>
    </row>
    <row r="1137" spans="1:13" x14ac:dyDescent="0.35">
      <c r="A1137">
        <f t="shared" si="928"/>
        <v>1133</v>
      </c>
      <c r="B1137" s="9">
        <f t="shared" ref="B1137" si="1604">B1136+H1137+I1137+J1137</f>
        <v>38.08</v>
      </c>
      <c r="C1137" s="3" t="s">
        <v>1258</v>
      </c>
      <c r="D1137">
        <f t="shared" ref="D1137" si="1605">_xlfn.NUMBERVALUE(LEFT(C1137,2))</f>
        <v>15</v>
      </c>
      <c r="E1137">
        <f t="shared" ref="E1137" si="1606">_xlfn.NUMBERVALUE(MID(C1137,4,2))</f>
        <v>10</v>
      </c>
      <c r="F1137">
        <f t="shared" ref="F1137" si="1607">_xlfn.NUMBERVALUE(RIGHT(C1137,4))</f>
        <v>2023</v>
      </c>
      <c r="G1137" t="s">
        <v>7</v>
      </c>
      <c r="H1137">
        <v>-1</v>
      </c>
      <c r="K1137" t="s">
        <v>9</v>
      </c>
      <c r="L1137" s="8">
        <f t="shared" si="1443"/>
        <v>-1</v>
      </c>
      <c r="M1137" t="s">
        <v>1259</v>
      </c>
    </row>
    <row r="1138" spans="1:13" x14ac:dyDescent="0.35">
      <c r="A1138">
        <f t="shared" si="928"/>
        <v>1134</v>
      </c>
      <c r="B1138" s="9">
        <f t="shared" ref="B1138" si="1608">B1137+H1138+I1138+J1138</f>
        <v>37.08</v>
      </c>
      <c r="C1138" s="3" t="s">
        <v>1258</v>
      </c>
      <c r="D1138">
        <f t="shared" ref="D1138" si="1609">_xlfn.NUMBERVALUE(LEFT(C1138,2))</f>
        <v>15</v>
      </c>
      <c r="E1138">
        <f t="shared" ref="E1138" si="1610">_xlfn.NUMBERVALUE(MID(C1138,4,2))</f>
        <v>10</v>
      </c>
      <c r="F1138">
        <f t="shared" ref="F1138" si="1611">_xlfn.NUMBERVALUE(RIGHT(C1138,4))</f>
        <v>2023</v>
      </c>
      <c r="G1138" t="s">
        <v>7</v>
      </c>
      <c r="H1138">
        <v>-1</v>
      </c>
      <c r="K1138" t="s">
        <v>9</v>
      </c>
      <c r="L1138" s="8">
        <f t="shared" si="1443"/>
        <v>-1</v>
      </c>
      <c r="M1138" t="s">
        <v>1260</v>
      </c>
    </row>
    <row r="1139" spans="1:13" x14ac:dyDescent="0.35">
      <c r="A1139">
        <f t="shared" si="928"/>
        <v>1135</v>
      </c>
      <c r="B1139" s="9">
        <f t="shared" ref="B1139" si="1612">B1138+H1139+I1139+J1139</f>
        <v>36.08</v>
      </c>
      <c r="C1139" s="3" t="s">
        <v>1258</v>
      </c>
      <c r="D1139">
        <f t="shared" ref="D1139" si="1613">_xlfn.NUMBERVALUE(LEFT(C1139,2))</f>
        <v>15</v>
      </c>
      <c r="E1139">
        <f t="shared" ref="E1139" si="1614">_xlfn.NUMBERVALUE(MID(C1139,4,2))</f>
        <v>10</v>
      </c>
      <c r="F1139">
        <f t="shared" ref="F1139" si="1615">_xlfn.NUMBERVALUE(RIGHT(C1139,4))</f>
        <v>2023</v>
      </c>
      <c r="G1139" t="s">
        <v>7</v>
      </c>
      <c r="H1139">
        <v>-1</v>
      </c>
      <c r="K1139" t="s">
        <v>9</v>
      </c>
      <c r="L1139" s="8">
        <f t="shared" si="1443"/>
        <v>-1</v>
      </c>
      <c r="M1139" t="s">
        <v>1261</v>
      </c>
    </row>
    <row r="1140" spans="1:13" x14ac:dyDescent="0.35">
      <c r="A1140">
        <f t="shared" si="928"/>
        <v>1136</v>
      </c>
      <c r="B1140" s="9">
        <f t="shared" ref="B1140" si="1616">B1139+H1140+I1140+J1140</f>
        <v>35.08</v>
      </c>
      <c r="C1140" s="3" t="s">
        <v>1258</v>
      </c>
      <c r="D1140">
        <f t="shared" ref="D1140" si="1617">_xlfn.NUMBERVALUE(LEFT(C1140,2))</f>
        <v>15</v>
      </c>
      <c r="E1140">
        <f t="shared" ref="E1140" si="1618">_xlfn.NUMBERVALUE(MID(C1140,4,2))</f>
        <v>10</v>
      </c>
      <c r="F1140">
        <f t="shared" ref="F1140" si="1619">_xlfn.NUMBERVALUE(RIGHT(C1140,4))</f>
        <v>2023</v>
      </c>
      <c r="G1140" t="s">
        <v>7</v>
      </c>
      <c r="H1140">
        <v>-1</v>
      </c>
      <c r="K1140" t="s">
        <v>9</v>
      </c>
      <c r="L1140" s="8">
        <f t="shared" si="1443"/>
        <v>-1</v>
      </c>
      <c r="M1140" t="s">
        <v>1262</v>
      </c>
    </row>
    <row r="1141" spans="1:13" x14ac:dyDescent="0.35">
      <c r="A1141">
        <f t="shared" si="928"/>
        <v>1137</v>
      </c>
      <c r="B1141" s="9">
        <f t="shared" ref="B1141" si="1620">B1140+H1141+I1141+J1141</f>
        <v>34.08</v>
      </c>
      <c r="C1141" s="3" t="s">
        <v>1258</v>
      </c>
      <c r="D1141">
        <f t="shared" ref="D1141" si="1621">_xlfn.NUMBERVALUE(LEFT(C1141,2))</f>
        <v>15</v>
      </c>
      <c r="E1141">
        <f t="shared" ref="E1141" si="1622">_xlfn.NUMBERVALUE(MID(C1141,4,2))</f>
        <v>10</v>
      </c>
      <c r="F1141">
        <f t="shared" ref="F1141" si="1623">_xlfn.NUMBERVALUE(RIGHT(C1141,4))</f>
        <v>2023</v>
      </c>
      <c r="G1141" t="s">
        <v>7</v>
      </c>
      <c r="H1141">
        <v>-1</v>
      </c>
      <c r="K1141" t="s">
        <v>9</v>
      </c>
      <c r="L1141" s="8">
        <f t="shared" si="1443"/>
        <v>-1</v>
      </c>
      <c r="M1141" t="s">
        <v>1263</v>
      </c>
    </row>
    <row r="1142" spans="1:13" x14ac:dyDescent="0.35">
      <c r="A1142">
        <f t="shared" si="928"/>
        <v>1138</v>
      </c>
      <c r="B1142" s="9">
        <f t="shared" ref="B1142" si="1624">B1141+H1142+I1142+J1142</f>
        <v>33.08</v>
      </c>
      <c r="C1142" s="3" t="s">
        <v>1258</v>
      </c>
      <c r="D1142">
        <f t="shared" ref="D1142" si="1625">_xlfn.NUMBERVALUE(LEFT(C1142,2))</f>
        <v>15</v>
      </c>
      <c r="E1142">
        <f t="shared" ref="E1142" si="1626">_xlfn.NUMBERVALUE(MID(C1142,4,2))</f>
        <v>10</v>
      </c>
      <c r="F1142">
        <f t="shared" ref="F1142" si="1627">_xlfn.NUMBERVALUE(RIGHT(C1142,4))</f>
        <v>2023</v>
      </c>
      <c r="G1142" t="s">
        <v>7</v>
      </c>
      <c r="H1142">
        <v>-1</v>
      </c>
      <c r="K1142" t="s">
        <v>9</v>
      </c>
      <c r="L1142" s="8">
        <f t="shared" si="1443"/>
        <v>-1</v>
      </c>
      <c r="M1142" t="s">
        <v>1264</v>
      </c>
    </row>
    <row r="1143" spans="1:13" x14ac:dyDescent="0.35">
      <c r="A1143">
        <f t="shared" si="928"/>
        <v>1139</v>
      </c>
      <c r="B1143" s="9">
        <f t="shared" ref="B1143" si="1628">B1142+H1143+I1143+J1143</f>
        <v>32.08</v>
      </c>
      <c r="C1143" s="3" t="s">
        <v>1258</v>
      </c>
      <c r="D1143">
        <f t="shared" ref="D1143" si="1629">_xlfn.NUMBERVALUE(LEFT(C1143,2))</f>
        <v>15</v>
      </c>
      <c r="E1143">
        <f t="shared" ref="E1143" si="1630">_xlfn.NUMBERVALUE(MID(C1143,4,2))</f>
        <v>10</v>
      </c>
      <c r="F1143">
        <f t="shared" ref="F1143" si="1631">_xlfn.NUMBERVALUE(RIGHT(C1143,4))</f>
        <v>2023</v>
      </c>
      <c r="G1143" t="s">
        <v>7</v>
      </c>
      <c r="H1143">
        <v>-1</v>
      </c>
      <c r="K1143" t="s">
        <v>9</v>
      </c>
      <c r="L1143" s="8">
        <f t="shared" si="1443"/>
        <v>-1</v>
      </c>
      <c r="M1143" t="s">
        <v>1265</v>
      </c>
    </row>
    <row r="1144" spans="1:13" x14ac:dyDescent="0.35">
      <c r="A1144">
        <f t="shared" si="928"/>
        <v>1140</v>
      </c>
      <c r="B1144" s="9">
        <f t="shared" ref="B1144" si="1632">B1143+H1144+I1144+J1144</f>
        <v>31.08</v>
      </c>
      <c r="C1144" s="3" t="s">
        <v>1258</v>
      </c>
      <c r="D1144">
        <f t="shared" ref="D1144" si="1633">_xlfn.NUMBERVALUE(LEFT(C1144,2))</f>
        <v>15</v>
      </c>
      <c r="E1144">
        <f t="shared" ref="E1144" si="1634">_xlfn.NUMBERVALUE(MID(C1144,4,2))</f>
        <v>10</v>
      </c>
      <c r="F1144">
        <f t="shared" ref="F1144" si="1635">_xlfn.NUMBERVALUE(RIGHT(C1144,4))</f>
        <v>2023</v>
      </c>
      <c r="G1144" t="s">
        <v>7</v>
      </c>
      <c r="H1144">
        <v>-1</v>
      </c>
      <c r="K1144" t="s">
        <v>9</v>
      </c>
      <c r="L1144" s="8">
        <f t="shared" si="1443"/>
        <v>-1</v>
      </c>
      <c r="M1144" t="s">
        <v>1266</v>
      </c>
    </row>
    <row r="1145" spans="1:13" x14ac:dyDescent="0.35">
      <c r="A1145">
        <f t="shared" si="928"/>
        <v>1141</v>
      </c>
      <c r="B1145" s="9">
        <f t="shared" ref="B1145:B1146" si="1636">B1144+H1145+I1145+J1145</f>
        <v>34.08</v>
      </c>
      <c r="C1145" s="3" t="s">
        <v>1258</v>
      </c>
      <c r="D1145">
        <f t="shared" ref="D1145:D1146" si="1637">_xlfn.NUMBERVALUE(LEFT(C1145,2))</f>
        <v>15</v>
      </c>
      <c r="E1145">
        <f t="shared" ref="E1145:E1146" si="1638">_xlfn.NUMBERVALUE(MID(C1145,4,2))</f>
        <v>10</v>
      </c>
      <c r="F1145">
        <f t="shared" ref="F1145:F1146" si="1639">_xlfn.NUMBERVALUE(RIGHT(C1145,4))</f>
        <v>2023</v>
      </c>
      <c r="G1145" t="s">
        <v>7</v>
      </c>
      <c r="I1145">
        <v>3</v>
      </c>
      <c r="K1145" t="s">
        <v>10</v>
      </c>
      <c r="L1145" s="8">
        <f t="shared" si="1443"/>
        <v>0</v>
      </c>
      <c r="M1145" t="s">
        <v>1267</v>
      </c>
    </row>
    <row r="1146" spans="1:13" x14ac:dyDescent="0.35">
      <c r="A1146">
        <f t="shared" si="928"/>
        <v>1142</v>
      </c>
      <c r="B1146" s="9">
        <f t="shared" si="1636"/>
        <v>36.08</v>
      </c>
      <c r="C1146" s="3" t="s">
        <v>1258</v>
      </c>
      <c r="D1146">
        <f t="shared" si="1637"/>
        <v>15</v>
      </c>
      <c r="E1146">
        <f t="shared" si="1638"/>
        <v>10</v>
      </c>
      <c r="F1146">
        <f t="shared" si="1639"/>
        <v>2023</v>
      </c>
      <c r="G1146" t="s">
        <v>7</v>
      </c>
      <c r="H1146">
        <v>-1</v>
      </c>
      <c r="I1146">
        <v>3</v>
      </c>
      <c r="K1146" t="s">
        <v>10</v>
      </c>
      <c r="L1146" s="8">
        <f t="shared" si="1443"/>
        <v>2</v>
      </c>
      <c r="M1146" t="s">
        <v>1268</v>
      </c>
    </row>
    <row r="1147" spans="1:13" x14ac:dyDescent="0.35">
      <c r="A1147">
        <f t="shared" si="928"/>
        <v>1143</v>
      </c>
      <c r="B1147" s="9">
        <f t="shared" ref="B1147:B1148" si="1640">B1146+H1147+I1147+J1147</f>
        <v>19.579999999999998</v>
      </c>
      <c r="C1147" s="3" t="s">
        <v>1258</v>
      </c>
      <c r="D1147">
        <f t="shared" ref="D1147:D1148" si="1641">_xlfn.NUMBERVALUE(LEFT(C1147,2))</f>
        <v>15</v>
      </c>
      <c r="E1147">
        <f t="shared" ref="E1147:E1148" si="1642">_xlfn.NUMBERVALUE(MID(C1147,4,2))</f>
        <v>10</v>
      </c>
      <c r="F1147">
        <f t="shared" ref="F1147:F1148" si="1643">_xlfn.NUMBERVALUE(RIGHT(C1147,4))</f>
        <v>2023</v>
      </c>
      <c r="G1147" t="s">
        <v>44</v>
      </c>
      <c r="H1147">
        <v>-16.5</v>
      </c>
      <c r="K1147" t="s">
        <v>9</v>
      </c>
      <c r="L1147" s="8">
        <f t="shared" si="1443"/>
        <v>-1</v>
      </c>
      <c r="M1147" t="s">
        <v>1269</v>
      </c>
    </row>
    <row r="1148" spans="1:13" x14ac:dyDescent="0.35">
      <c r="A1148">
        <f t="shared" si="928"/>
        <v>1144</v>
      </c>
      <c r="B1148" s="9">
        <f t="shared" si="1640"/>
        <v>18.579999999999998</v>
      </c>
      <c r="C1148" s="3" t="s">
        <v>1258</v>
      </c>
      <c r="D1148">
        <f t="shared" si="1641"/>
        <v>15</v>
      </c>
      <c r="E1148">
        <f t="shared" si="1642"/>
        <v>10</v>
      </c>
      <c r="F1148">
        <f t="shared" si="1643"/>
        <v>2023</v>
      </c>
      <c r="G1148" t="s">
        <v>7</v>
      </c>
      <c r="H1148">
        <v>-1</v>
      </c>
      <c r="K1148" t="s">
        <v>9</v>
      </c>
      <c r="L1148" s="8">
        <f t="shared" si="1443"/>
        <v>-1</v>
      </c>
      <c r="M1148" t="s">
        <v>1270</v>
      </c>
    </row>
    <row r="1149" spans="1:13" x14ac:dyDescent="0.35">
      <c r="A1149">
        <f t="shared" si="928"/>
        <v>1145</v>
      </c>
      <c r="B1149" s="9">
        <f t="shared" ref="B1149" si="1644">B1148+H1149+I1149+J1149</f>
        <v>17.579999999999998</v>
      </c>
      <c r="C1149" s="3" t="s">
        <v>1258</v>
      </c>
      <c r="D1149">
        <f t="shared" ref="D1149" si="1645">_xlfn.NUMBERVALUE(LEFT(C1149,2))</f>
        <v>15</v>
      </c>
      <c r="E1149">
        <f t="shared" ref="E1149" si="1646">_xlfn.NUMBERVALUE(MID(C1149,4,2))</f>
        <v>10</v>
      </c>
      <c r="F1149">
        <f t="shared" ref="F1149" si="1647">_xlfn.NUMBERVALUE(RIGHT(C1149,4))</f>
        <v>2023</v>
      </c>
      <c r="G1149" t="s">
        <v>7</v>
      </c>
      <c r="H1149">
        <v>-1</v>
      </c>
      <c r="K1149" t="s">
        <v>9</v>
      </c>
      <c r="L1149" s="8">
        <f t="shared" si="1443"/>
        <v>-1</v>
      </c>
      <c r="M1149" t="s">
        <v>1271</v>
      </c>
    </row>
    <row r="1150" spans="1:13" x14ac:dyDescent="0.35">
      <c r="A1150">
        <f t="shared" si="928"/>
        <v>1146</v>
      </c>
      <c r="B1150" s="9">
        <f t="shared" ref="B1150" si="1648">B1149+H1150+I1150+J1150</f>
        <v>16.579999999999998</v>
      </c>
      <c r="C1150" s="3" t="s">
        <v>1258</v>
      </c>
      <c r="D1150">
        <f t="shared" ref="D1150" si="1649">_xlfn.NUMBERVALUE(LEFT(C1150,2))</f>
        <v>15</v>
      </c>
      <c r="E1150">
        <f t="shared" ref="E1150" si="1650">_xlfn.NUMBERVALUE(MID(C1150,4,2))</f>
        <v>10</v>
      </c>
      <c r="F1150">
        <f t="shared" ref="F1150" si="1651">_xlfn.NUMBERVALUE(RIGHT(C1150,4))</f>
        <v>2023</v>
      </c>
      <c r="G1150" t="s">
        <v>7</v>
      </c>
      <c r="H1150">
        <v>-1</v>
      </c>
      <c r="K1150" t="s">
        <v>9</v>
      </c>
      <c r="L1150" s="8">
        <f t="shared" si="1443"/>
        <v>-1</v>
      </c>
      <c r="M1150" t="s">
        <v>1272</v>
      </c>
    </row>
    <row r="1151" spans="1:13" x14ac:dyDescent="0.35">
      <c r="A1151">
        <f t="shared" si="928"/>
        <v>1147</v>
      </c>
      <c r="B1151" s="9">
        <f t="shared" ref="B1151" si="1652">B1150+H1151+I1151+J1151</f>
        <v>15.579999999999998</v>
      </c>
      <c r="C1151" s="3" t="s">
        <v>1258</v>
      </c>
      <c r="D1151">
        <f t="shared" ref="D1151" si="1653">_xlfn.NUMBERVALUE(LEFT(C1151,2))</f>
        <v>15</v>
      </c>
      <c r="E1151">
        <f t="shared" ref="E1151" si="1654">_xlfn.NUMBERVALUE(MID(C1151,4,2))</f>
        <v>10</v>
      </c>
      <c r="F1151">
        <f t="shared" ref="F1151" si="1655">_xlfn.NUMBERVALUE(RIGHT(C1151,4))</f>
        <v>2023</v>
      </c>
      <c r="G1151" t="s">
        <v>7</v>
      </c>
      <c r="H1151">
        <v>-1</v>
      </c>
      <c r="K1151" t="s">
        <v>9</v>
      </c>
      <c r="L1151" s="8">
        <f t="shared" si="1443"/>
        <v>-1</v>
      </c>
      <c r="M1151" t="s">
        <v>1273</v>
      </c>
    </row>
    <row r="1152" spans="1:13" x14ac:dyDescent="0.35">
      <c r="A1152">
        <f t="shared" si="928"/>
        <v>1148</v>
      </c>
      <c r="B1152" s="9">
        <f t="shared" ref="B1152" si="1656">B1151+H1152+I1152+J1152</f>
        <v>14.579999999999998</v>
      </c>
      <c r="C1152" s="3" t="s">
        <v>1258</v>
      </c>
      <c r="D1152">
        <f t="shared" ref="D1152" si="1657">_xlfn.NUMBERVALUE(LEFT(C1152,2))</f>
        <v>15</v>
      </c>
      <c r="E1152">
        <f t="shared" ref="E1152" si="1658">_xlfn.NUMBERVALUE(MID(C1152,4,2))</f>
        <v>10</v>
      </c>
      <c r="F1152">
        <f t="shared" ref="F1152" si="1659">_xlfn.NUMBERVALUE(RIGHT(C1152,4))</f>
        <v>2023</v>
      </c>
      <c r="G1152" t="s">
        <v>7</v>
      </c>
      <c r="H1152">
        <v>-1</v>
      </c>
      <c r="K1152" t="s">
        <v>9</v>
      </c>
      <c r="L1152" s="8">
        <f t="shared" si="1443"/>
        <v>-1</v>
      </c>
      <c r="M1152" t="s">
        <v>1274</v>
      </c>
    </row>
    <row r="1153" spans="1:13" x14ac:dyDescent="0.35">
      <c r="A1153">
        <f t="shared" si="928"/>
        <v>1149</v>
      </c>
      <c r="B1153" s="9">
        <f t="shared" ref="B1153" si="1660">B1152+H1153+I1153+J1153</f>
        <v>13.579999999999998</v>
      </c>
      <c r="C1153" s="3" t="s">
        <v>1258</v>
      </c>
      <c r="D1153">
        <f t="shared" ref="D1153" si="1661">_xlfn.NUMBERVALUE(LEFT(C1153,2))</f>
        <v>15</v>
      </c>
      <c r="E1153">
        <f t="shared" ref="E1153" si="1662">_xlfn.NUMBERVALUE(MID(C1153,4,2))</f>
        <v>10</v>
      </c>
      <c r="F1153">
        <f t="shared" ref="F1153" si="1663">_xlfn.NUMBERVALUE(RIGHT(C1153,4))</f>
        <v>2023</v>
      </c>
      <c r="G1153" t="s">
        <v>7</v>
      </c>
      <c r="H1153">
        <v>-1</v>
      </c>
      <c r="K1153" t="s">
        <v>9</v>
      </c>
      <c r="L1153" s="8">
        <f t="shared" si="1443"/>
        <v>-1</v>
      </c>
      <c r="M1153" t="s">
        <v>1275</v>
      </c>
    </row>
    <row r="1154" spans="1:13" x14ac:dyDescent="0.35">
      <c r="A1154">
        <f t="shared" si="928"/>
        <v>1150</v>
      </c>
      <c r="B1154" s="9">
        <f t="shared" ref="B1154" si="1664">B1153+H1154+I1154+J1154</f>
        <v>12.579999999999998</v>
      </c>
      <c r="C1154" s="3" t="s">
        <v>1258</v>
      </c>
      <c r="D1154">
        <f t="shared" ref="D1154" si="1665">_xlfn.NUMBERVALUE(LEFT(C1154,2))</f>
        <v>15</v>
      </c>
      <c r="E1154">
        <f t="shared" ref="E1154" si="1666">_xlfn.NUMBERVALUE(MID(C1154,4,2))</f>
        <v>10</v>
      </c>
      <c r="F1154">
        <f t="shared" ref="F1154" si="1667">_xlfn.NUMBERVALUE(RIGHT(C1154,4))</f>
        <v>2023</v>
      </c>
      <c r="G1154" t="s">
        <v>7</v>
      </c>
      <c r="H1154">
        <v>-1</v>
      </c>
      <c r="K1154" t="s">
        <v>9</v>
      </c>
      <c r="L1154" s="8">
        <f t="shared" si="1443"/>
        <v>-1</v>
      </c>
      <c r="M1154" t="s">
        <v>1276</v>
      </c>
    </row>
    <row r="1155" spans="1:13" x14ac:dyDescent="0.35">
      <c r="A1155">
        <f t="shared" si="928"/>
        <v>1151</v>
      </c>
      <c r="B1155" s="9">
        <f t="shared" ref="B1155:B1156" si="1668">B1154+H1155+I1155+J1155</f>
        <v>32.58</v>
      </c>
      <c r="C1155" s="3" t="s">
        <v>1258</v>
      </c>
      <c r="D1155">
        <f t="shared" ref="D1155:D1156" si="1669">_xlfn.NUMBERVALUE(LEFT(C1155,2))</f>
        <v>15</v>
      </c>
      <c r="E1155">
        <f t="shared" ref="E1155:E1156" si="1670">_xlfn.NUMBERVALUE(MID(C1155,4,2))</f>
        <v>10</v>
      </c>
      <c r="F1155">
        <f t="shared" ref="F1155:F1156" si="1671">_xlfn.NUMBERVALUE(RIGHT(C1155,4))</f>
        <v>2023</v>
      </c>
      <c r="G1155" t="s">
        <v>7</v>
      </c>
      <c r="H1155">
        <v>-10</v>
      </c>
      <c r="I1155">
        <v>30</v>
      </c>
      <c r="K1155" t="s">
        <v>10</v>
      </c>
      <c r="L1155" s="8">
        <f t="shared" si="1443"/>
        <v>2</v>
      </c>
      <c r="M1155" t="s">
        <v>1277</v>
      </c>
    </row>
    <row r="1156" spans="1:13" x14ac:dyDescent="0.35">
      <c r="A1156">
        <f t="shared" si="928"/>
        <v>1152</v>
      </c>
      <c r="B1156" s="9">
        <f t="shared" si="1668"/>
        <v>31.58</v>
      </c>
      <c r="C1156" s="3" t="s">
        <v>1258</v>
      </c>
      <c r="D1156">
        <f t="shared" si="1669"/>
        <v>15</v>
      </c>
      <c r="E1156">
        <f t="shared" si="1670"/>
        <v>10</v>
      </c>
      <c r="F1156">
        <f t="shared" si="1671"/>
        <v>2023</v>
      </c>
      <c r="G1156" t="s">
        <v>7</v>
      </c>
      <c r="H1156">
        <v>-1</v>
      </c>
      <c r="K1156" t="s">
        <v>9</v>
      </c>
      <c r="L1156" s="8">
        <f t="shared" si="1443"/>
        <v>-1</v>
      </c>
      <c r="M1156" t="s">
        <v>1278</v>
      </c>
    </row>
    <row r="1157" spans="1:13" x14ac:dyDescent="0.35">
      <c r="A1157">
        <f t="shared" si="928"/>
        <v>1153</v>
      </c>
      <c r="B1157" s="9">
        <f t="shared" ref="B1157" si="1672">B1156+H1157+I1157+J1157</f>
        <v>30.58</v>
      </c>
      <c r="C1157" s="3" t="s">
        <v>1258</v>
      </c>
      <c r="D1157">
        <f t="shared" ref="D1157" si="1673">_xlfn.NUMBERVALUE(LEFT(C1157,2))</f>
        <v>15</v>
      </c>
      <c r="E1157">
        <f t="shared" ref="E1157" si="1674">_xlfn.NUMBERVALUE(MID(C1157,4,2))</f>
        <v>10</v>
      </c>
      <c r="F1157">
        <f t="shared" ref="F1157" si="1675">_xlfn.NUMBERVALUE(RIGHT(C1157,4))</f>
        <v>2023</v>
      </c>
      <c r="G1157" t="s">
        <v>7</v>
      </c>
      <c r="H1157">
        <v>-1</v>
      </c>
      <c r="K1157" t="s">
        <v>9</v>
      </c>
      <c r="L1157" s="8">
        <f t="shared" si="1443"/>
        <v>-1</v>
      </c>
      <c r="M1157" t="s">
        <v>1279</v>
      </c>
    </row>
    <row r="1158" spans="1:13" x14ac:dyDescent="0.35">
      <c r="A1158">
        <f t="shared" si="928"/>
        <v>1154</v>
      </c>
      <c r="B1158" s="9">
        <f t="shared" ref="B1158" si="1676">B1157+H1158+I1158+J1158</f>
        <v>29.58</v>
      </c>
      <c r="C1158" s="3" t="s">
        <v>1258</v>
      </c>
      <c r="D1158">
        <f t="shared" ref="D1158" si="1677">_xlfn.NUMBERVALUE(LEFT(C1158,2))</f>
        <v>15</v>
      </c>
      <c r="E1158">
        <f t="shared" ref="E1158" si="1678">_xlfn.NUMBERVALUE(MID(C1158,4,2))</f>
        <v>10</v>
      </c>
      <c r="F1158">
        <f t="shared" ref="F1158" si="1679">_xlfn.NUMBERVALUE(RIGHT(C1158,4))</f>
        <v>2023</v>
      </c>
      <c r="G1158" t="s">
        <v>7</v>
      </c>
      <c r="H1158">
        <v>-1</v>
      </c>
      <c r="K1158" t="s">
        <v>9</v>
      </c>
      <c r="L1158" s="8">
        <f t="shared" ref="L1158:L1221" si="1680">IF(H1158="",0,(SUM(I1158:J1158)/-H1158)-1)</f>
        <v>-1</v>
      </c>
      <c r="M1158" t="s">
        <v>1280</v>
      </c>
    </row>
    <row r="1159" spans="1:13" x14ac:dyDescent="0.35">
      <c r="A1159">
        <f t="shared" si="928"/>
        <v>1155</v>
      </c>
      <c r="B1159" s="9">
        <f t="shared" ref="B1159" si="1681">B1158+H1159+I1159+J1159</f>
        <v>33.58</v>
      </c>
      <c r="C1159" s="3" t="s">
        <v>1258</v>
      </c>
      <c r="D1159">
        <f t="shared" ref="D1159" si="1682">_xlfn.NUMBERVALUE(LEFT(C1159,2))</f>
        <v>15</v>
      </c>
      <c r="E1159">
        <f t="shared" ref="E1159" si="1683">_xlfn.NUMBERVALUE(MID(C1159,4,2))</f>
        <v>10</v>
      </c>
      <c r="F1159">
        <f t="shared" ref="F1159" si="1684">_xlfn.NUMBERVALUE(RIGHT(C1159,4))</f>
        <v>2023</v>
      </c>
      <c r="G1159" t="s">
        <v>7</v>
      </c>
      <c r="H1159">
        <v>-1</v>
      </c>
      <c r="I1159">
        <v>5</v>
      </c>
      <c r="K1159" t="s">
        <v>10</v>
      </c>
      <c r="L1159" s="8">
        <f t="shared" si="1680"/>
        <v>4</v>
      </c>
      <c r="M1159" t="s">
        <v>1281</v>
      </c>
    </row>
    <row r="1160" spans="1:13" x14ac:dyDescent="0.35">
      <c r="A1160">
        <f t="shared" si="928"/>
        <v>1156</v>
      </c>
      <c r="B1160" s="9">
        <f t="shared" ref="B1160" si="1685">B1159+H1160+I1160+J1160</f>
        <v>32.58</v>
      </c>
      <c r="C1160" s="3" t="s">
        <v>1282</v>
      </c>
      <c r="D1160">
        <f t="shared" ref="D1160" si="1686">_xlfn.NUMBERVALUE(LEFT(C1160,2))</f>
        <v>16</v>
      </c>
      <c r="E1160">
        <f t="shared" ref="E1160" si="1687">_xlfn.NUMBERVALUE(MID(C1160,4,2))</f>
        <v>10</v>
      </c>
      <c r="F1160">
        <f t="shared" ref="F1160" si="1688">_xlfn.NUMBERVALUE(RIGHT(C1160,4))</f>
        <v>2023</v>
      </c>
      <c r="G1160" t="s">
        <v>7</v>
      </c>
      <c r="H1160">
        <v>-1</v>
      </c>
      <c r="K1160" t="s">
        <v>9</v>
      </c>
      <c r="L1160" s="8">
        <f t="shared" si="1680"/>
        <v>-1</v>
      </c>
      <c r="M1160" t="s">
        <v>1283</v>
      </c>
    </row>
    <row r="1161" spans="1:13" x14ac:dyDescent="0.35">
      <c r="A1161">
        <f t="shared" si="928"/>
        <v>1157</v>
      </c>
      <c r="B1161" s="9">
        <f t="shared" ref="B1161" si="1689">B1160+H1161+I1161+J1161</f>
        <v>34.58</v>
      </c>
      <c r="C1161" s="3" t="s">
        <v>1282</v>
      </c>
      <c r="D1161">
        <f t="shared" ref="D1161" si="1690">_xlfn.NUMBERVALUE(LEFT(C1161,2))</f>
        <v>16</v>
      </c>
      <c r="E1161">
        <f t="shared" ref="E1161" si="1691">_xlfn.NUMBERVALUE(MID(C1161,4,2))</f>
        <v>10</v>
      </c>
      <c r="F1161">
        <f t="shared" ref="F1161" si="1692">_xlfn.NUMBERVALUE(RIGHT(C1161,4))</f>
        <v>2023</v>
      </c>
      <c r="G1161" t="s">
        <v>7</v>
      </c>
      <c r="H1161">
        <v>-1</v>
      </c>
      <c r="I1161">
        <v>3</v>
      </c>
      <c r="K1161" t="s">
        <v>10</v>
      </c>
      <c r="L1161" s="8">
        <f t="shared" si="1680"/>
        <v>2</v>
      </c>
      <c r="M1161" t="s">
        <v>1284</v>
      </c>
    </row>
    <row r="1162" spans="1:13" x14ac:dyDescent="0.35">
      <c r="A1162">
        <f t="shared" si="928"/>
        <v>1158</v>
      </c>
      <c r="B1162" s="9">
        <f t="shared" ref="B1162" si="1693">B1161+H1162+I1162+J1162</f>
        <v>33.58</v>
      </c>
      <c r="C1162" s="3" t="s">
        <v>1282</v>
      </c>
      <c r="D1162">
        <f t="shared" ref="D1162" si="1694">_xlfn.NUMBERVALUE(LEFT(C1162,2))</f>
        <v>16</v>
      </c>
      <c r="E1162">
        <f t="shared" ref="E1162" si="1695">_xlfn.NUMBERVALUE(MID(C1162,4,2))</f>
        <v>10</v>
      </c>
      <c r="F1162">
        <f t="shared" ref="F1162" si="1696">_xlfn.NUMBERVALUE(RIGHT(C1162,4))</f>
        <v>2023</v>
      </c>
      <c r="G1162" t="s">
        <v>7</v>
      </c>
      <c r="H1162">
        <v>-1</v>
      </c>
      <c r="K1162" t="s">
        <v>9</v>
      </c>
      <c r="L1162" s="8">
        <f t="shared" si="1680"/>
        <v>-1</v>
      </c>
      <c r="M1162" t="s">
        <v>1285</v>
      </c>
    </row>
    <row r="1163" spans="1:13" x14ac:dyDescent="0.35">
      <c r="A1163">
        <f t="shared" si="928"/>
        <v>1159</v>
      </c>
      <c r="B1163" s="9">
        <f t="shared" ref="B1163" si="1697">B1162+H1163+I1163+J1163</f>
        <v>34.58</v>
      </c>
      <c r="C1163" s="3" t="s">
        <v>1282</v>
      </c>
      <c r="D1163">
        <f t="shared" ref="D1163" si="1698">_xlfn.NUMBERVALUE(LEFT(C1163,2))</f>
        <v>16</v>
      </c>
      <c r="E1163">
        <f t="shared" ref="E1163" si="1699">_xlfn.NUMBERVALUE(MID(C1163,4,2))</f>
        <v>10</v>
      </c>
      <c r="F1163">
        <f t="shared" ref="F1163" si="1700">_xlfn.NUMBERVALUE(RIGHT(C1163,4))</f>
        <v>2023</v>
      </c>
      <c r="G1163" t="s">
        <v>7</v>
      </c>
      <c r="H1163">
        <v>-1</v>
      </c>
      <c r="I1163">
        <v>2</v>
      </c>
      <c r="K1163" t="s">
        <v>10</v>
      </c>
      <c r="L1163" s="8">
        <f t="shared" si="1680"/>
        <v>1</v>
      </c>
      <c r="M1163" t="s">
        <v>1286</v>
      </c>
    </row>
    <row r="1164" spans="1:13" x14ac:dyDescent="0.35">
      <c r="A1164">
        <f t="shared" si="928"/>
        <v>1160</v>
      </c>
      <c r="B1164" s="9">
        <f t="shared" ref="B1164" si="1701">B1163+H1164+I1164+J1164</f>
        <v>33.58</v>
      </c>
      <c r="C1164" s="3" t="s">
        <v>1282</v>
      </c>
      <c r="D1164">
        <f t="shared" ref="D1164" si="1702">_xlfn.NUMBERVALUE(LEFT(C1164,2))</f>
        <v>16</v>
      </c>
      <c r="E1164">
        <f t="shared" ref="E1164" si="1703">_xlfn.NUMBERVALUE(MID(C1164,4,2))</f>
        <v>10</v>
      </c>
      <c r="F1164">
        <f t="shared" ref="F1164" si="1704">_xlfn.NUMBERVALUE(RIGHT(C1164,4))</f>
        <v>2023</v>
      </c>
      <c r="G1164" t="s">
        <v>7</v>
      </c>
      <c r="H1164">
        <v>-1</v>
      </c>
      <c r="K1164" t="s">
        <v>9</v>
      </c>
      <c r="L1164" s="8">
        <f t="shared" si="1680"/>
        <v>-1</v>
      </c>
      <c r="M1164" t="s">
        <v>1287</v>
      </c>
    </row>
    <row r="1165" spans="1:13" x14ac:dyDescent="0.35">
      <c r="A1165">
        <f t="shared" si="928"/>
        <v>1161</v>
      </c>
      <c r="B1165" s="9">
        <f t="shared" ref="B1165" si="1705">B1164+H1165+I1165+J1165</f>
        <v>36.58</v>
      </c>
      <c r="C1165" s="3" t="s">
        <v>1282</v>
      </c>
      <c r="D1165">
        <f t="shared" ref="D1165" si="1706">_xlfn.NUMBERVALUE(LEFT(C1165,2))</f>
        <v>16</v>
      </c>
      <c r="E1165">
        <f t="shared" ref="E1165" si="1707">_xlfn.NUMBERVALUE(MID(C1165,4,2))</f>
        <v>10</v>
      </c>
      <c r="F1165">
        <f t="shared" ref="F1165" si="1708">_xlfn.NUMBERVALUE(RIGHT(C1165,4))</f>
        <v>2023</v>
      </c>
      <c r="G1165" t="s">
        <v>7</v>
      </c>
      <c r="H1165">
        <v>-1</v>
      </c>
      <c r="I1165">
        <v>4</v>
      </c>
      <c r="K1165" t="s">
        <v>10</v>
      </c>
      <c r="L1165" s="8">
        <f t="shared" si="1680"/>
        <v>3</v>
      </c>
      <c r="M1165" t="s">
        <v>1288</v>
      </c>
    </row>
    <row r="1166" spans="1:13" x14ac:dyDescent="0.35">
      <c r="A1166">
        <f t="shared" si="928"/>
        <v>1162</v>
      </c>
      <c r="B1166" s="9">
        <f t="shared" ref="B1166" si="1709">B1165+H1166+I1166+J1166</f>
        <v>35.58</v>
      </c>
      <c r="C1166" s="3" t="s">
        <v>1282</v>
      </c>
      <c r="D1166">
        <f t="shared" ref="D1166" si="1710">_xlfn.NUMBERVALUE(LEFT(C1166,2))</f>
        <v>16</v>
      </c>
      <c r="E1166">
        <f t="shared" ref="E1166" si="1711">_xlfn.NUMBERVALUE(MID(C1166,4,2))</f>
        <v>10</v>
      </c>
      <c r="F1166">
        <f t="shared" ref="F1166" si="1712">_xlfn.NUMBERVALUE(RIGHT(C1166,4))</f>
        <v>2023</v>
      </c>
      <c r="G1166" t="s">
        <v>7</v>
      </c>
      <c r="H1166">
        <v>-1</v>
      </c>
      <c r="K1166" t="s">
        <v>9</v>
      </c>
      <c r="L1166" s="8">
        <f t="shared" si="1680"/>
        <v>-1</v>
      </c>
      <c r="M1166" t="s">
        <v>1289</v>
      </c>
    </row>
    <row r="1167" spans="1:13" x14ac:dyDescent="0.35">
      <c r="A1167">
        <f t="shared" si="928"/>
        <v>1163</v>
      </c>
      <c r="B1167" s="9">
        <f t="shared" ref="B1167" si="1713">B1166+H1167+I1167+J1167</f>
        <v>34.58</v>
      </c>
      <c r="C1167" s="3" t="s">
        <v>1282</v>
      </c>
      <c r="D1167">
        <f t="shared" ref="D1167" si="1714">_xlfn.NUMBERVALUE(LEFT(C1167,2))</f>
        <v>16</v>
      </c>
      <c r="E1167">
        <f t="shared" ref="E1167" si="1715">_xlfn.NUMBERVALUE(MID(C1167,4,2))</f>
        <v>10</v>
      </c>
      <c r="F1167">
        <f t="shared" ref="F1167" si="1716">_xlfn.NUMBERVALUE(RIGHT(C1167,4))</f>
        <v>2023</v>
      </c>
      <c r="G1167" t="s">
        <v>7</v>
      </c>
      <c r="H1167">
        <v>-1</v>
      </c>
      <c r="K1167" t="s">
        <v>9</v>
      </c>
      <c r="L1167" s="8">
        <f t="shared" si="1680"/>
        <v>-1</v>
      </c>
      <c r="M1167" t="s">
        <v>1290</v>
      </c>
    </row>
    <row r="1168" spans="1:13" x14ac:dyDescent="0.35">
      <c r="A1168">
        <f t="shared" si="928"/>
        <v>1164</v>
      </c>
      <c r="B1168" s="9">
        <f t="shared" ref="B1168" si="1717">B1167+H1168+I1168+J1168</f>
        <v>36.58</v>
      </c>
      <c r="C1168" s="3" t="s">
        <v>1282</v>
      </c>
      <c r="D1168">
        <f t="shared" ref="D1168" si="1718">_xlfn.NUMBERVALUE(LEFT(C1168,2))</f>
        <v>16</v>
      </c>
      <c r="E1168">
        <f t="shared" ref="E1168" si="1719">_xlfn.NUMBERVALUE(MID(C1168,4,2))</f>
        <v>10</v>
      </c>
      <c r="F1168">
        <f t="shared" ref="F1168" si="1720">_xlfn.NUMBERVALUE(RIGHT(C1168,4))</f>
        <v>2023</v>
      </c>
      <c r="G1168" t="s">
        <v>7</v>
      </c>
      <c r="H1168">
        <v>-1</v>
      </c>
      <c r="I1168">
        <v>3</v>
      </c>
      <c r="K1168" t="s">
        <v>10</v>
      </c>
      <c r="L1168" s="8">
        <f t="shared" si="1680"/>
        <v>2</v>
      </c>
      <c r="M1168" t="s">
        <v>1291</v>
      </c>
    </row>
    <row r="1169" spans="1:13" x14ac:dyDescent="0.35">
      <c r="A1169">
        <f t="shared" si="928"/>
        <v>1165</v>
      </c>
      <c r="B1169" s="9">
        <f t="shared" ref="B1169" si="1721">B1168+H1169+I1169+J1169</f>
        <v>35.58</v>
      </c>
      <c r="C1169" s="3" t="s">
        <v>1282</v>
      </c>
      <c r="D1169">
        <f t="shared" ref="D1169" si="1722">_xlfn.NUMBERVALUE(LEFT(C1169,2))</f>
        <v>16</v>
      </c>
      <c r="E1169">
        <f t="shared" ref="E1169" si="1723">_xlfn.NUMBERVALUE(MID(C1169,4,2))</f>
        <v>10</v>
      </c>
      <c r="F1169">
        <f t="shared" ref="F1169" si="1724">_xlfn.NUMBERVALUE(RIGHT(C1169,4))</f>
        <v>2023</v>
      </c>
      <c r="G1169" t="s">
        <v>7</v>
      </c>
      <c r="H1169">
        <v>-1</v>
      </c>
      <c r="K1169" t="s">
        <v>9</v>
      </c>
      <c r="L1169" s="8">
        <f t="shared" si="1680"/>
        <v>-1</v>
      </c>
      <c r="M1169" t="s">
        <v>1292</v>
      </c>
    </row>
    <row r="1170" spans="1:13" x14ac:dyDescent="0.35">
      <c r="A1170">
        <f t="shared" si="928"/>
        <v>1166</v>
      </c>
      <c r="B1170" s="9">
        <f t="shared" ref="B1170" si="1725">B1169+H1170+I1170+J1170</f>
        <v>37.58</v>
      </c>
      <c r="C1170" s="3" t="s">
        <v>1282</v>
      </c>
      <c r="D1170">
        <f t="shared" ref="D1170" si="1726">_xlfn.NUMBERVALUE(LEFT(C1170,2))</f>
        <v>16</v>
      </c>
      <c r="E1170">
        <f t="shared" ref="E1170" si="1727">_xlfn.NUMBERVALUE(MID(C1170,4,2))</f>
        <v>10</v>
      </c>
      <c r="F1170">
        <f t="shared" ref="F1170" si="1728">_xlfn.NUMBERVALUE(RIGHT(C1170,4))</f>
        <v>2023</v>
      </c>
      <c r="G1170" t="s">
        <v>7</v>
      </c>
      <c r="H1170">
        <v>-1</v>
      </c>
      <c r="I1170">
        <v>3</v>
      </c>
      <c r="K1170" t="s">
        <v>10</v>
      </c>
      <c r="L1170" s="8">
        <f t="shared" si="1680"/>
        <v>2</v>
      </c>
      <c r="M1170" t="s">
        <v>1293</v>
      </c>
    </row>
    <row r="1171" spans="1:13" x14ac:dyDescent="0.35">
      <c r="A1171">
        <f t="shared" si="928"/>
        <v>1167</v>
      </c>
      <c r="B1171" s="9">
        <f t="shared" ref="B1171" si="1729">B1170+H1171+I1171+J1171</f>
        <v>36.58</v>
      </c>
      <c r="C1171" s="3" t="s">
        <v>1282</v>
      </c>
      <c r="D1171">
        <f t="shared" ref="D1171" si="1730">_xlfn.NUMBERVALUE(LEFT(C1171,2))</f>
        <v>16</v>
      </c>
      <c r="E1171">
        <f t="shared" ref="E1171" si="1731">_xlfn.NUMBERVALUE(MID(C1171,4,2))</f>
        <v>10</v>
      </c>
      <c r="F1171">
        <f t="shared" ref="F1171" si="1732">_xlfn.NUMBERVALUE(RIGHT(C1171,4))</f>
        <v>2023</v>
      </c>
      <c r="G1171" t="s">
        <v>7</v>
      </c>
      <c r="H1171">
        <v>-1</v>
      </c>
      <c r="K1171" t="s">
        <v>9</v>
      </c>
      <c r="L1171" s="8">
        <f t="shared" si="1680"/>
        <v>-1</v>
      </c>
      <c r="M1171" t="s">
        <v>1294</v>
      </c>
    </row>
    <row r="1172" spans="1:13" x14ac:dyDescent="0.35">
      <c r="A1172">
        <f t="shared" si="928"/>
        <v>1168</v>
      </c>
      <c r="B1172" s="9">
        <f t="shared" ref="B1172" si="1733">B1171+H1172+I1172+J1172</f>
        <v>35.58</v>
      </c>
      <c r="C1172" s="3" t="s">
        <v>1282</v>
      </c>
      <c r="D1172">
        <f t="shared" ref="D1172" si="1734">_xlfn.NUMBERVALUE(LEFT(C1172,2))</f>
        <v>16</v>
      </c>
      <c r="E1172">
        <f t="shared" ref="E1172" si="1735">_xlfn.NUMBERVALUE(MID(C1172,4,2))</f>
        <v>10</v>
      </c>
      <c r="F1172">
        <f t="shared" ref="F1172" si="1736">_xlfn.NUMBERVALUE(RIGHT(C1172,4))</f>
        <v>2023</v>
      </c>
      <c r="G1172" t="s">
        <v>7</v>
      </c>
      <c r="H1172">
        <v>-1</v>
      </c>
      <c r="K1172" t="s">
        <v>9</v>
      </c>
      <c r="L1172" s="8">
        <f t="shared" si="1680"/>
        <v>-1</v>
      </c>
      <c r="M1172" t="s">
        <v>1295</v>
      </c>
    </row>
    <row r="1173" spans="1:13" x14ac:dyDescent="0.35">
      <c r="A1173">
        <f t="shared" si="928"/>
        <v>1169</v>
      </c>
      <c r="B1173" s="9">
        <f t="shared" ref="B1173" si="1737">B1172+H1173+I1173+J1173</f>
        <v>36.58</v>
      </c>
      <c r="C1173" s="3" t="s">
        <v>1282</v>
      </c>
      <c r="D1173">
        <f t="shared" ref="D1173" si="1738">_xlfn.NUMBERVALUE(LEFT(C1173,2))</f>
        <v>16</v>
      </c>
      <c r="E1173">
        <f t="shared" ref="E1173" si="1739">_xlfn.NUMBERVALUE(MID(C1173,4,2))</f>
        <v>10</v>
      </c>
      <c r="F1173">
        <f t="shared" ref="F1173" si="1740">_xlfn.NUMBERVALUE(RIGHT(C1173,4))</f>
        <v>2023</v>
      </c>
      <c r="G1173" t="s">
        <v>7</v>
      </c>
      <c r="H1173">
        <v>-1</v>
      </c>
      <c r="I1173">
        <v>2</v>
      </c>
      <c r="K1173" t="s">
        <v>10</v>
      </c>
      <c r="L1173" s="8">
        <f t="shared" si="1680"/>
        <v>1</v>
      </c>
      <c r="M1173" t="s">
        <v>1296</v>
      </c>
    </row>
    <row r="1174" spans="1:13" x14ac:dyDescent="0.35">
      <c r="A1174">
        <f t="shared" si="928"/>
        <v>1170</v>
      </c>
      <c r="B1174" s="9">
        <f t="shared" ref="B1174" si="1741">B1173+H1174+I1174+J1174</f>
        <v>35.58</v>
      </c>
      <c r="C1174" s="3" t="s">
        <v>1282</v>
      </c>
      <c r="D1174">
        <f t="shared" ref="D1174" si="1742">_xlfn.NUMBERVALUE(LEFT(C1174,2))</f>
        <v>16</v>
      </c>
      <c r="E1174">
        <f t="shared" ref="E1174" si="1743">_xlfn.NUMBERVALUE(MID(C1174,4,2))</f>
        <v>10</v>
      </c>
      <c r="F1174">
        <f t="shared" ref="F1174" si="1744">_xlfn.NUMBERVALUE(RIGHT(C1174,4))</f>
        <v>2023</v>
      </c>
      <c r="G1174" t="s">
        <v>7</v>
      </c>
      <c r="H1174">
        <v>-1</v>
      </c>
      <c r="K1174" t="s">
        <v>9</v>
      </c>
      <c r="L1174" s="8">
        <f t="shared" si="1680"/>
        <v>-1</v>
      </c>
      <c r="M1174" t="s">
        <v>1297</v>
      </c>
    </row>
    <row r="1175" spans="1:13" x14ac:dyDescent="0.35">
      <c r="A1175">
        <f t="shared" si="928"/>
        <v>1171</v>
      </c>
      <c r="B1175" s="9">
        <f t="shared" ref="B1175" si="1745">B1174+H1175+I1175+J1175</f>
        <v>37.58</v>
      </c>
      <c r="C1175" s="3" t="s">
        <v>1282</v>
      </c>
      <c r="D1175">
        <f t="shared" ref="D1175" si="1746">_xlfn.NUMBERVALUE(LEFT(C1175,2))</f>
        <v>16</v>
      </c>
      <c r="E1175">
        <f t="shared" ref="E1175" si="1747">_xlfn.NUMBERVALUE(MID(C1175,4,2))</f>
        <v>10</v>
      </c>
      <c r="F1175">
        <f t="shared" ref="F1175" si="1748">_xlfn.NUMBERVALUE(RIGHT(C1175,4))</f>
        <v>2023</v>
      </c>
      <c r="G1175" t="s">
        <v>7</v>
      </c>
      <c r="H1175">
        <v>-1</v>
      </c>
      <c r="I1175">
        <v>3</v>
      </c>
      <c r="K1175" t="s">
        <v>10</v>
      </c>
      <c r="L1175" s="8">
        <f t="shared" si="1680"/>
        <v>2</v>
      </c>
      <c r="M1175" t="s">
        <v>1298</v>
      </c>
    </row>
    <row r="1176" spans="1:13" x14ac:dyDescent="0.35">
      <c r="A1176">
        <f t="shared" si="928"/>
        <v>1172</v>
      </c>
      <c r="B1176" s="9">
        <f t="shared" ref="B1176" si="1749">B1175+H1176+I1176+J1176</f>
        <v>36.58</v>
      </c>
      <c r="C1176" s="3" t="s">
        <v>1282</v>
      </c>
      <c r="D1176">
        <f t="shared" ref="D1176" si="1750">_xlfn.NUMBERVALUE(LEFT(C1176,2))</f>
        <v>16</v>
      </c>
      <c r="E1176">
        <f t="shared" ref="E1176" si="1751">_xlfn.NUMBERVALUE(MID(C1176,4,2))</f>
        <v>10</v>
      </c>
      <c r="F1176">
        <f t="shared" ref="F1176" si="1752">_xlfn.NUMBERVALUE(RIGHT(C1176,4))</f>
        <v>2023</v>
      </c>
      <c r="G1176" t="s">
        <v>7</v>
      </c>
      <c r="H1176">
        <v>-1</v>
      </c>
      <c r="K1176" t="s">
        <v>9</v>
      </c>
      <c r="L1176" s="8">
        <f t="shared" si="1680"/>
        <v>-1</v>
      </c>
      <c r="M1176" t="s">
        <v>1299</v>
      </c>
    </row>
    <row r="1177" spans="1:13" x14ac:dyDescent="0.35">
      <c r="A1177">
        <f t="shared" si="928"/>
        <v>1173</v>
      </c>
      <c r="B1177" s="9">
        <f t="shared" ref="B1177" si="1753">B1176+H1177+I1177+J1177</f>
        <v>35.58</v>
      </c>
      <c r="C1177" s="3" t="s">
        <v>1282</v>
      </c>
      <c r="D1177">
        <f t="shared" ref="D1177" si="1754">_xlfn.NUMBERVALUE(LEFT(C1177,2))</f>
        <v>16</v>
      </c>
      <c r="E1177">
        <f t="shared" ref="E1177" si="1755">_xlfn.NUMBERVALUE(MID(C1177,4,2))</f>
        <v>10</v>
      </c>
      <c r="F1177">
        <f t="shared" ref="F1177" si="1756">_xlfn.NUMBERVALUE(RIGHT(C1177,4))</f>
        <v>2023</v>
      </c>
      <c r="G1177" t="s">
        <v>7</v>
      </c>
      <c r="H1177">
        <v>-1</v>
      </c>
      <c r="K1177" t="s">
        <v>9</v>
      </c>
      <c r="L1177" s="8">
        <f t="shared" si="1680"/>
        <v>-1</v>
      </c>
      <c r="M1177" t="s">
        <v>1300</v>
      </c>
    </row>
    <row r="1178" spans="1:13" x14ac:dyDescent="0.35">
      <c r="A1178">
        <f t="shared" si="928"/>
        <v>1174</v>
      </c>
      <c r="B1178" s="9">
        <f t="shared" ref="B1178" si="1757">B1177+H1178+I1178+J1178</f>
        <v>42.58</v>
      </c>
      <c r="C1178" s="3" t="s">
        <v>1282</v>
      </c>
      <c r="D1178">
        <f t="shared" ref="D1178" si="1758">_xlfn.NUMBERVALUE(LEFT(C1178,2))</f>
        <v>16</v>
      </c>
      <c r="E1178">
        <f t="shared" ref="E1178" si="1759">_xlfn.NUMBERVALUE(MID(C1178,4,2))</f>
        <v>10</v>
      </c>
      <c r="F1178">
        <f t="shared" ref="F1178" si="1760">_xlfn.NUMBERVALUE(RIGHT(C1178,4))</f>
        <v>2023</v>
      </c>
      <c r="G1178" t="s">
        <v>7</v>
      </c>
      <c r="H1178">
        <v>-1</v>
      </c>
      <c r="I1178">
        <v>8</v>
      </c>
      <c r="K1178" t="s">
        <v>10</v>
      </c>
      <c r="L1178" s="8">
        <f t="shared" si="1680"/>
        <v>7</v>
      </c>
      <c r="M1178" t="s">
        <v>1301</v>
      </c>
    </row>
    <row r="1179" spans="1:13" x14ac:dyDescent="0.35">
      <c r="A1179">
        <f t="shared" si="928"/>
        <v>1175</v>
      </c>
      <c r="B1179" s="9">
        <f t="shared" ref="B1179" si="1761">B1178+H1179+I1179+J1179</f>
        <v>41.58</v>
      </c>
      <c r="C1179" s="3" t="s">
        <v>1302</v>
      </c>
      <c r="D1179">
        <f t="shared" ref="D1179" si="1762">_xlfn.NUMBERVALUE(LEFT(C1179,2))</f>
        <v>18</v>
      </c>
      <c r="E1179">
        <f t="shared" ref="E1179" si="1763">_xlfn.NUMBERVALUE(MID(C1179,4,2))</f>
        <v>10</v>
      </c>
      <c r="F1179">
        <f t="shared" ref="F1179" si="1764">_xlfn.NUMBERVALUE(RIGHT(C1179,4))</f>
        <v>2023</v>
      </c>
      <c r="G1179" t="s">
        <v>7</v>
      </c>
      <c r="H1179">
        <v>-1</v>
      </c>
      <c r="K1179" t="s">
        <v>9</v>
      </c>
      <c r="L1179" s="8">
        <f t="shared" si="1680"/>
        <v>-1</v>
      </c>
      <c r="M1179" t="s">
        <v>1303</v>
      </c>
    </row>
    <row r="1180" spans="1:13" x14ac:dyDescent="0.35">
      <c r="A1180">
        <f t="shared" si="928"/>
        <v>1176</v>
      </c>
      <c r="B1180" s="9">
        <f t="shared" ref="B1180" si="1765">B1179+H1180+I1180+J1180</f>
        <v>40.58</v>
      </c>
      <c r="C1180" s="3" t="s">
        <v>1302</v>
      </c>
      <c r="D1180">
        <f t="shared" ref="D1180" si="1766">_xlfn.NUMBERVALUE(LEFT(C1180,2))</f>
        <v>18</v>
      </c>
      <c r="E1180">
        <f t="shared" ref="E1180" si="1767">_xlfn.NUMBERVALUE(MID(C1180,4,2))</f>
        <v>10</v>
      </c>
      <c r="F1180">
        <f t="shared" ref="F1180" si="1768">_xlfn.NUMBERVALUE(RIGHT(C1180,4))</f>
        <v>2023</v>
      </c>
      <c r="G1180" t="s">
        <v>7</v>
      </c>
      <c r="H1180">
        <v>-1</v>
      </c>
      <c r="K1180" t="s">
        <v>9</v>
      </c>
      <c r="L1180" s="8">
        <f t="shared" si="1680"/>
        <v>-1</v>
      </c>
      <c r="M1180" t="s">
        <v>1304</v>
      </c>
    </row>
    <row r="1181" spans="1:13" x14ac:dyDescent="0.35">
      <c r="A1181">
        <f t="shared" si="928"/>
        <v>1177</v>
      </c>
      <c r="B1181" s="9">
        <f t="shared" ref="B1181" si="1769">B1180+H1181+I1181+J1181</f>
        <v>39.58</v>
      </c>
      <c r="C1181" s="3" t="s">
        <v>1302</v>
      </c>
      <c r="D1181">
        <f t="shared" ref="D1181" si="1770">_xlfn.NUMBERVALUE(LEFT(C1181,2))</f>
        <v>18</v>
      </c>
      <c r="E1181">
        <f t="shared" ref="E1181" si="1771">_xlfn.NUMBERVALUE(MID(C1181,4,2))</f>
        <v>10</v>
      </c>
      <c r="F1181">
        <f t="shared" ref="F1181" si="1772">_xlfn.NUMBERVALUE(RIGHT(C1181,4))</f>
        <v>2023</v>
      </c>
      <c r="G1181" t="s">
        <v>7</v>
      </c>
      <c r="H1181">
        <v>-1</v>
      </c>
      <c r="K1181" t="s">
        <v>9</v>
      </c>
      <c r="L1181" s="8">
        <f t="shared" si="1680"/>
        <v>-1</v>
      </c>
      <c r="M1181" t="s">
        <v>1305</v>
      </c>
    </row>
    <row r="1182" spans="1:13" x14ac:dyDescent="0.35">
      <c r="A1182">
        <f t="shared" si="928"/>
        <v>1178</v>
      </c>
      <c r="B1182" s="9">
        <f t="shared" ref="B1182" si="1773">B1181+H1182+I1182+J1182</f>
        <v>43.58</v>
      </c>
      <c r="C1182" s="3" t="s">
        <v>1302</v>
      </c>
      <c r="D1182">
        <f t="shared" ref="D1182" si="1774">_xlfn.NUMBERVALUE(LEFT(C1182,2))</f>
        <v>18</v>
      </c>
      <c r="E1182">
        <f t="shared" ref="E1182" si="1775">_xlfn.NUMBERVALUE(MID(C1182,4,2))</f>
        <v>10</v>
      </c>
      <c r="F1182">
        <f t="shared" ref="F1182" si="1776">_xlfn.NUMBERVALUE(RIGHT(C1182,4))</f>
        <v>2023</v>
      </c>
      <c r="G1182" t="s">
        <v>7</v>
      </c>
      <c r="H1182">
        <v>-1</v>
      </c>
      <c r="I1182">
        <v>5</v>
      </c>
      <c r="K1182" t="s">
        <v>10</v>
      </c>
      <c r="L1182" s="8">
        <f t="shared" si="1680"/>
        <v>4</v>
      </c>
      <c r="M1182" t="s">
        <v>1306</v>
      </c>
    </row>
    <row r="1183" spans="1:13" x14ac:dyDescent="0.35">
      <c r="A1183">
        <f t="shared" si="928"/>
        <v>1179</v>
      </c>
      <c r="B1183" s="9">
        <f t="shared" ref="B1183" si="1777">B1182+H1183+I1183+J1183</f>
        <v>46.58</v>
      </c>
      <c r="C1183" s="3" t="s">
        <v>1307</v>
      </c>
      <c r="D1183">
        <f t="shared" ref="D1183" si="1778">_xlfn.NUMBERVALUE(LEFT(C1183,2))</f>
        <v>19</v>
      </c>
      <c r="E1183">
        <f t="shared" ref="E1183" si="1779">_xlfn.NUMBERVALUE(MID(C1183,4,2))</f>
        <v>10</v>
      </c>
      <c r="F1183">
        <f t="shared" ref="F1183" si="1780">_xlfn.NUMBERVALUE(RIGHT(C1183,4))</f>
        <v>2023</v>
      </c>
      <c r="G1183" t="s">
        <v>7</v>
      </c>
      <c r="H1183">
        <v>-1</v>
      </c>
      <c r="I1183">
        <v>4</v>
      </c>
      <c r="K1183" t="s">
        <v>10</v>
      </c>
      <c r="L1183" s="8">
        <f t="shared" si="1680"/>
        <v>3</v>
      </c>
      <c r="M1183" t="s">
        <v>1308</v>
      </c>
    </row>
    <row r="1184" spans="1:13" x14ac:dyDescent="0.35">
      <c r="A1184">
        <f t="shared" si="928"/>
        <v>1180</v>
      </c>
      <c r="B1184" s="9">
        <f t="shared" ref="B1184:B1185" si="1781">B1183+H1184+I1184+J1184</f>
        <v>43.28</v>
      </c>
      <c r="C1184" s="3" t="s">
        <v>1307</v>
      </c>
      <c r="D1184">
        <f t="shared" ref="D1184:D1185" si="1782">_xlfn.NUMBERVALUE(LEFT(C1184,2))</f>
        <v>19</v>
      </c>
      <c r="E1184">
        <f t="shared" ref="E1184:E1185" si="1783">_xlfn.NUMBERVALUE(MID(C1184,4,2))</f>
        <v>10</v>
      </c>
      <c r="F1184">
        <f t="shared" ref="F1184:F1185" si="1784">_xlfn.NUMBERVALUE(RIGHT(C1184,4))</f>
        <v>2023</v>
      </c>
      <c r="G1184" t="s">
        <v>44</v>
      </c>
      <c r="H1184">
        <v>-3.3</v>
      </c>
      <c r="K1184" t="s">
        <v>9</v>
      </c>
      <c r="L1184" s="8">
        <f t="shared" si="1680"/>
        <v>-1</v>
      </c>
      <c r="M1184" t="s">
        <v>1309</v>
      </c>
    </row>
    <row r="1185" spans="1:13" x14ac:dyDescent="0.35">
      <c r="A1185">
        <f t="shared" si="928"/>
        <v>1181</v>
      </c>
      <c r="B1185" s="9">
        <f t="shared" si="1781"/>
        <v>44.28</v>
      </c>
      <c r="C1185" s="3" t="s">
        <v>1307</v>
      </c>
      <c r="D1185">
        <f t="shared" si="1782"/>
        <v>19</v>
      </c>
      <c r="E1185">
        <f t="shared" si="1783"/>
        <v>10</v>
      </c>
      <c r="F1185">
        <f t="shared" si="1784"/>
        <v>2023</v>
      </c>
      <c r="G1185" t="s">
        <v>7</v>
      </c>
      <c r="H1185">
        <v>-1</v>
      </c>
      <c r="I1185">
        <v>2</v>
      </c>
      <c r="K1185" t="s">
        <v>10</v>
      </c>
      <c r="L1185" s="8">
        <f t="shared" si="1680"/>
        <v>1</v>
      </c>
      <c r="M1185" t="s">
        <v>1310</v>
      </c>
    </row>
    <row r="1186" spans="1:13" x14ac:dyDescent="0.35">
      <c r="A1186">
        <f t="shared" si="928"/>
        <v>1182</v>
      </c>
      <c r="B1186" s="9">
        <f t="shared" ref="B1186" si="1785">B1185+H1186+I1186+J1186</f>
        <v>46.28</v>
      </c>
      <c r="C1186" s="3" t="s">
        <v>1307</v>
      </c>
      <c r="D1186">
        <f t="shared" ref="D1186" si="1786">_xlfn.NUMBERVALUE(LEFT(C1186,2))</f>
        <v>19</v>
      </c>
      <c r="E1186">
        <f t="shared" ref="E1186" si="1787">_xlfn.NUMBERVALUE(MID(C1186,4,2))</f>
        <v>10</v>
      </c>
      <c r="F1186">
        <f t="shared" ref="F1186" si="1788">_xlfn.NUMBERVALUE(RIGHT(C1186,4))</f>
        <v>2023</v>
      </c>
      <c r="G1186" t="s">
        <v>7</v>
      </c>
      <c r="H1186">
        <v>-1</v>
      </c>
      <c r="I1186">
        <v>3</v>
      </c>
      <c r="K1186" t="s">
        <v>10</v>
      </c>
      <c r="L1186" s="8">
        <f t="shared" si="1680"/>
        <v>2</v>
      </c>
      <c r="M1186" t="s">
        <v>1311</v>
      </c>
    </row>
    <row r="1187" spans="1:13" x14ac:dyDescent="0.35">
      <c r="A1187">
        <f t="shared" si="928"/>
        <v>1183</v>
      </c>
      <c r="B1187" s="9">
        <f t="shared" ref="B1187" si="1789">B1186+H1187+I1187+J1187</f>
        <v>48.28</v>
      </c>
      <c r="C1187" s="3" t="s">
        <v>1313</v>
      </c>
      <c r="D1187">
        <f t="shared" ref="D1187" si="1790">_xlfn.NUMBERVALUE(LEFT(C1187,2))</f>
        <v>21</v>
      </c>
      <c r="E1187">
        <f t="shared" ref="E1187" si="1791">_xlfn.NUMBERVALUE(MID(C1187,4,2))</f>
        <v>10</v>
      </c>
      <c r="F1187">
        <f t="shared" ref="F1187" si="1792">_xlfn.NUMBERVALUE(RIGHT(C1187,4))</f>
        <v>2023</v>
      </c>
      <c r="G1187" t="s">
        <v>7</v>
      </c>
      <c r="H1187">
        <v>-1</v>
      </c>
      <c r="I1187">
        <v>3</v>
      </c>
      <c r="K1187" t="s">
        <v>10</v>
      </c>
      <c r="L1187" s="8">
        <f t="shared" si="1680"/>
        <v>2</v>
      </c>
      <c r="M1187" t="s">
        <v>1312</v>
      </c>
    </row>
    <row r="1188" spans="1:13" x14ac:dyDescent="0.35">
      <c r="A1188">
        <f t="shared" si="928"/>
        <v>1184</v>
      </c>
      <c r="B1188" s="9">
        <f t="shared" ref="B1188" si="1793">B1187+H1188+I1188+J1188</f>
        <v>47.28</v>
      </c>
      <c r="C1188" s="3" t="s">
        <v>1313</v>
      </c>
      <c r="D1188">
        <f t="shared" ref="D1188" si="1794">_xlfn.NUMBERVALUE(LEFT(C1188,2))</f>
        <v>21</v>
      </c>
      <c r="E1188">
        <f t="shared" ref="E1188" si="1795">_xlfn.NUMBERVALUE(MID(C1188,4,2))</f>
        <v>10</v>
      </c>
      <c r="F1188">
        <f t="shared" ref="F1188" si="1796">_xlfn.NUMBERVALUE(RIGHT(C1188,4))</f>
        <v>2023</v>
      </c>
      <c r="G1188" t="s">
        <v>7</v>
      </c>
      <c r="H1188">
        <v>-1</v>
      </c>
      <c r="K1188" t="s">
        <v>9</v>
      </c>
      <c r="L1188" s="8">
        <f t="shared" si="1680"/>
        <v>-1</v>
      </c>
      <c r="M1188" t="s">
        <v>1314</v>
      </c>
    </row>
    <row r="1189" spans="1:13" x14ac:dyDescent="0.35">
      <c r="A1189">
        <f t="shared" si="928"/>
        <v>1185</v>
      </c>
      <c r="B1189" s="9">
        <f t="shared" ref="B1189" si="1797">B1188+H1189+I1189+J1189</f>
        <v>46.28</v>
      </c>
      <c r="C1189" s="3" t="s">
        <v>1313</v>
      </c>
      <c r="D1189">
        <f t="shared" ref="D1189" si="1798">_xlfn.NUMBERVALUE(LEFT(C1189,2))</f>
        <v>21</v>
      </c>
      <c r="E1189">
        <f t="shared" ref="E1189" si="1799">_xlfn.NUMBERVALUE(MID(C1189,4,2))</f>
        <v>10</v>
      </c>
      <c r="F1189">
        <f t="shared" ref="F1189" si="1800">_xlfn.NUMBERVALUE(RIGHT(C1189,4))</f>
        <v>2023</v>
      </c>
      <c r="G1189" t="s">
        <v>7</v>
      </c>
      <c r="H1189">
        <v>-1</v>
      </c>
      <c r="K1189" t="s">
        <v>9</v>
      </c>
      <c r="L1189" s="8">
        <f t="shared" si="1680"/>
        <v>-1</v>
      </c>
      <c r="M1189" t="s">
        <v>1315</v>
      </c>
    </row>
    <row r="1190" spans="1:13" x14ac:dyDescent="0.35">
      <c r="A1190">
        <f t="shared" si="928"/>
        <v>1186</v>
      </c>
      <c r="B1190" s="9">
        <f t="shared" ref="B1190:B1191" si="1801">B1189+H1190+I1190+J1190</f>
        <v>47.28</v>
      </c>
      <c r="C1190" s="3" t="s">
        <v>1313</v>
      </c>
      <c r="D1190">
        <f t="shared" ref="D1190:D1192" si="1802">_xlfn.NUMBERVALUE(LEFT(C1190,2))</f>
        <v>21</v>
      </c>
      <c r="E1190">
        <f t="shared" ref="E1190:E1191" si="1803">_xlfn.NUMBERVALUE(MID(C1190,4,2))</f>
        <v>10</v>
      </c>
      <c r="F1190">
        <f t="shared" ref="F1190:F1191" si="1804">_xlfn.NUMBERVALUE(RIGHT(C1190,4))</f>
        <v>2023</v>
      </c>
      <c r="G1190" t="s">
        <v>7</v>
      </c>
      <c r="H1190">
        <v>-1</v>
      </c>
      <c r="I1190">
        <v>2</v>
      </c>
      <c r="K1190" t="s">
        <v>10</v>
      </c>
      <c r="L1190" s="8">
        <f t="shared" si="1680"/>
        <v>1</v>
      </c>
      <c r="M1190" t="s">
        <v>1316</v>
      </c>
    </row>
    <row r="1191" spans="1:13" x14ac:dyDescent="0.35">
      <c r="A1191">
        <f t="shared" si="928"/>
        <v>1187</v>
      </c>
      <c r="B1191" s="9">
        <f t="shared" si="1801"/>
        <v>44.730000000000004</v>
      </c>
      <c r="C1191" s="3" t="s">
        <v>1317</v>
      </c>
      <c r="D1191">
        <f t="shared" si="1802"/>
        <v>23</v>
      </c>
      <c r="E1191">
        <f t="shared" si="1803"/>
        <v>10</v>
      </c>
      <c r="F1191">
        <f t="shared" si="1804"/>
        <v>2023</v>
      </c>
      <c r="G1191" t="s">
        <v>44</v>
      </c>
      <c r="H1191">
        <v>-3.3</v>
      </c>
      <c r="J1191">
        <v>0.75</v>
      </c>
      <c r="K1191" t="s">
        <v>9</v>
      </c>
      <c r="L1191" s="8">
        <f t="shared" si="1680"/>
        <v>-0.77272727272727271</v>
      </c>
      <c r="M1191" t="s">
        <v>1318</v>
      </c>
    </row>
    <row r="1192" spans="1:13" x14ac:dyDescent="0.35">
      <c r="A1192">
        <f t="shared" si="928"/>
        <v>1188</v>
      </c>
      <c r="B1192" s="9">
        <f t="shared" ref="B1192" si="1805">B1191+H1192+I1192+J1192</f>
        <v>43.730000000000004</v>
      </c>
      <c r="C1192" s="3" t="s">
        <v>1317</v>
      </c>
      <c r="D1192">
        <f t="shared" si="1802"/>
        <v>23</v>
      </c>
      <c r="E1192">
        <f t="shared" ref="E1192" si="1806">_xlfn.NUMBERVALUE(MID(C1192,4,2))</f>
        <v>10</v>
      </c>
      <c r="F1192">
        <f t="shared" ref="F1192" si="1807">_xlfn.NUMBERVALUE(RIGHT(C1192,4))</f>
        <v>2023</v>
      </c>
      <c r="G1192" t="s">
        <v>7</v>
      </c>
      <c r="H1192">
        <v>-1</v>
      </c>
      <c r="K1192" t="s">
        <v>9</v>
      </c>
      <c r="L1192" s="8">
        <f t="shared" si="1680"/>
        <v>-1</v>
      </c>
      <c r="M1192" t="s">
        <v>1319</v>
      </c>
    </row>
    <row r="1193" spans="1:13" x14ac:dyDescent="0.35">
      <c r="A1193">
        <f t="shared" si="928"/>
        <v>1189</v>
      </c>
      <c r="B1193" s="9">
        <f t="shared" ref="B1193" si="1808">B1192+H1193+I1193+J1193</f>
        <v>42.730000000000004</v>
      </c>
      <c r="C1193" s="3" t="s">
        <v>1317</v>
      </c>
      <c r="D1193">
        <f t="shared" ref="D1193" si="1809">_xlfn.NUMBERVALUE(LEFT(C1193,2))</f>
        <v>23</v>
      </c>
      <c r="E1193">
        <f t="shared" ref="E1193" si="1810">_xlfn.NUMBERVALUE(MID(C1193,4,2))</f>
        <v>10</v>
      </c>
      <c r="F1193">
        <f t="shared" ref="F1193" si="1811">_xlfn.NUMBERVALUE(RIGHT(C1193,4))</f>
        <v>2023</v>
      </c>
      <c r="G1193" t="s">
        <v>7</v>
      </c>
      <c r="H1193">
        <v>-1</v>
      </c>
      <c r="K1193" t="s">
        <v>9</v>
      </c>
      <c r="L1193" s="8">
        <f t="shared" si="1680"/>
        <v>-1</v>
      </c>
      <c r="M1193" t="s">
        <v>1320</v>
      </c>
    </row>
    <row r="1194" spans="1:13" x14ac:dyDescent="0.35">
      <c r="A1194">
        <f t="shared" si="928"/>
        <v>1190</v>
      </c>
      <c r="B1194" s="9">
        <f t="shared" ref="B1194" si="1812">B1193+H1194+I1194+J1194</f>
        <v>44.730000000000004</v>
      </c>
      <c r="C1194" s="3" t="s">
        <v>1317</v>
      </c>
      <c r="D1194">
        <f t="shared" ref="D1194" si="1813">_xlfn.NUMBERVALUE(LEFT(C1194,2))</f>
        <v>23</v>
      </c>
      <c r="E1194">
        <f t="shared" ref="E1194" si="1814">_xlfn.NUMBERVALUE(MID(C1194,4,2))</f>
        <v>10</v>
      </c>
      <c r="F1194">
        <f t="shared" ref="F1194" si="1815">_xlfn.NUMBERVALUE(RIGHT(C1194,4))</f>
        <v>2023</v>
      </c>
      <c r="G1194" t="s">
        <v>7</v>
      </c>
      <c r="H1194">
        <v>-1</v>
      </c>
      <c r="I1194">
        <v>3</v>
      </c>
      <c r="K1194" t="s">
        <v>10</v>
      </c>
      <c r="L1194" s="8">
        <f t="shared" si="1680"/>
        <v>2</v>
      </c>
      <c r="M1194" t="s">
        <v>1321</v>
      </c>
    </row>
    <row r="1195" spans="1:13" x14ac:dyDescent="0.35">
      <c r="A1195">
        <f t="shared" si="928"/>
        <v>1191</v>
      </c>
      <c r="B1195" s="9">
        <f t="shared" ref="B1195" si="1816">B1194+H1195+I1195+J1195</f>
        <v>45.730000000000004</v>
      </c>
      <c r="C1195" s="3" t="s">
        <v>1317</v>
      </c>
      <c r="D1195">
        <f t="shared" ref="D1195" si="1817">_xlfn.NUMBERVALUE(LEFT(C1195,2))</f>
        <v>23</v>
      </c>
      <c r="E1195">
        <f t="shared" ref="E1195" si="1818">_xlfn.NUMBERVALUE(MID(C1195,4,2))</f>
        <v>10</v>
      </c>
      <c r="F1195">
        <f t="shared" ref="F1195" si="1819">_xlfn.NUMBERVALUE(RIGHT(C1195,4))</f>
        <v>2023</v>
      </c>
      <c r="G1195" t="s">
        <v>7</v>
      </c>
      <c r="H1195">
        <v>-1</v>
      </c>
      <c r="I1195">
        <v>2</v>
      </c>
      <c r="K1195" t="s">
        <v>10</v>
      </c>
      <c r="L1195" s="8">
        <f t="shared" si="1680"/>
        <v>1</v>
      </c>
      <c r="M1195" t="s">
        <v>1322</v>
      </c>
    </row>
    <row r="1196" spans="1:13" x14ac:dyDescent="0.35">
      <c r="A1196">
        <f t="shared" si="928"/>
        <v>1192</v>
      </c>
      <c r="B1196" s="9">
        <f t="shared" ref="B1196" si="1820">B1195+H1196+I1196+J1196</f>
        <v>46.730000000000004</v>
      </c>
      <c r="C1196" s="3" t="s">
        <v>1317</v>
      </c>
      <c r="D1196">
        <f t="shared" ref="D1196" si="1821">_xlfn.NUMBERVALUE(LEFT(C1196,2))</f>
        <v>23</v>
      </c>
      <c r="E1196">
        <f t="shared" ref="E1196" si="1822">_xlfn.NUMBERVALUE(MID(C1196,4,2))</f>
        <v>10</v>
      </c>
      <c r="F1196">
        <f t="shared" ref="F1196" si="1823">_xlfn.NUMBERVALUE(RIGHT(C1196,4))</f>
        <v>2023</v>
      </c>
      <c r="G1196" t="s">
        <v>7</v>
      </c>
      <c r="H1196">
        <v>-1</v>
      </c>
      <c r="I1196">
        <v>2</v>
      </c>
      <c r="K1196" t="s">
        <v>10</v>
      </c>
      <c r="L1196" s="8">
        <f t="shared" si="1680"/>
        <v>1</v>
      </c>
      <c r="M1196" t="s">
        <v>1323</v>
      </c>
    </row>
    <row r="1197" spans="1:13" x14ac:dyDescent="0.35">
      <c r="A1197">
        <f t="shared" si="928"/>
        <v>1193</v>
      </c>
      <c r="B1197" s="9">
        <f t="shared" ref="B1197:B1198" si="1824">B1196+H1197+I1197+J1197</f>
        <v>48.730000000000004</v>
      </c>
      <c r="C1197" s="3" t="s">
        <v>1317</v>
      </c>
      <c r="D1197">
        <f t="shared" ref="D1197:D1198" si="1825">_xlfn.NUMBERVALUE(LEFT(C1197,2))</f>
        <v>23</v>
      </c>
      <c r="E1197">
        <f t="shared" ref="E1197:E1198" si="1826">_xlfn.NUMBERVALUE(MID(C1197,4,2))</f>
        <v>10</v>
      </c>
      <c r="F1197">
        <f t="shared" ref="F1197:F1198" si="1827">_xlfn.NUMBERVALUE(RIGHT(C1197,4))</f>
        <v>2023</v>
      </c>
      <c r="G1197" t="s">
        <v>7</v>
      </c>
      <c r="I1197">
        <v>2</v>
      </c>
      <c r="K1197" t="s">
        <v>10</v>
      </c>
      <c r="L1197" s="8">
        <f t="shared" si="1680"/>
        <v>0</v>
      </c>
      <c r="M1197" t="s">
        <v>1324</v>
      </c>
    </row>
    <row r="1198" spans="1:13" x14ac:dyDescent="0.35">
      <c r="A1198">
        <f t="shared" si="928"/>
        <v>1194</v>
      </c>
      <c r="B1198" s="9">
        <f t="shared" si="1824"/>
        <v>51.730000000000004</v>
      </c>
      <c r="C1198" s="3" t="s">
        <v>1325</v>
      </c>
      <c r="D1198">
        <f t="shared" si="1825"/>
        <v>24</v>
      </c>
      <c r="E1198">
        <f t="shared" si="1826"/>
        <v>10</v>
      </c>
      <c r="F1198">
        <f t="shared" si="1827"/>
        <v>2023</v>
      </c>
      <c r="G1198" t="s">
        <v>7</v>
      </c>
      <c r="H1198">
        <v>-1</v>
      </c>
      <c r="I1198">
        <v>4</v>
      </c>
      <c r="K1198" t="s">
        <v>10</v>
      </c>
      <c r="L1198" s="8">
        <f t="shared" si="1680"/>
        <v>3</v>
      </c>
      <c r="M1198" t="s">
        <v>1326</v>
      </c>
    </row>
    <row r="1199" spans="1:13" x14ac:dyDescent="0.35">
      <c r="A1199">
        <f t="shared" si="928"/>
        <v>1195</v>
      </c>
      <c r="B1199" s="9">
        <f t="shared" ref="B1199" si="1828">B1198+H1199+I1199+J1199</f>
        <v>52.730000000000004</v>
      </c>
      <c r="C1199" s="3" t="s">
        <v>1325</v>
      </c>
      <c r="D1199">
        <f t="shared" ref="D1199" si="1829">_xlfn.NUMBERVALUE(LEFT(C1199,2))</f>
        <v>24</v>
      </c>
      <c r="E1199">
        <f t="shared" ref="E1199" si="1830">_xlfn.NUMBERVALUE(MID(C1199,4,2))</f>
        <v>10</v>
      </c>
      <c r="F1199">
        <f t="shared" ref="F1199" si="1831">_xlfn.NUMBERVALUE(RIGHT(C1199,4))</f>
        <v>2023</v>
      </c>
      <c r="G1199" t="s">
        <v>7</v>
      </c>
      <c r="H1199">
        <v>-1</v>
      </c>
      <c r="I1199">
        <v>2</v>
      </c>
      <c r="K1199" t="s">
        <v>10</v>
      </c>
      <c r="L1199" s="8">
        <f t="shared" si="1680"/>
        <v>1</v>
      </c>
      <c r="M1199" t="s">
        <v>1327</v>
      </c>
    </row>
    <row r="1200" spans="1:13" x14ac:dyDescent="0.35">
      <c r="A1200">
        <f t="shared" si="928"/>
        <v>1196</v>
      </c>
      <c r="B1200" s="9">
        <f t="shared" ref="B1200" si="1832">B1199+H1200+I1200+J1200</f>
        <v>54.730000000000004</v>
      </c>
      <c r="C1200" s="3" t="s">
        <v>1331</v>
      </c>
      <c r="D1200">
        <f t="shared" ref="D1200" si="1833">_xlfn.NUMBERVALUE(LEFT(C1200,2))</f>
        <v>25</v>
      </c>
      <c r="E1200">
        <f t="shared" ref="E1200" si="1834">_xlfn.NUMBERVALUE(MID(C1200,4,2))</f>
        <v>10</v>
      </c>
      <c r="F1200">
        <f t="shared" ref="F1200" si="1835">_xlfn.NUMBERVALUE(RIGHT(C1200,4))</f>
        <v>2023</v>
      </c>
      <c r="G1200" t="s">
        <v>7</v>
      </c>
      <c r="H1200">
        <v>-1</v>
      </c>
      <c r="I1200">
        <v>3</v>
      </c>
      <c r="K1200" t="s">
        <v>10</v>
      </c>
      <c r="L1200" s="8">
        <f t="shared" si="1680"/>
        <v>2</v>
      </c>
      <c r="M1200" t="s">
        <v>1328</v>
      </c>
    </row>
    <row r="1201" spans="1:13" x14ac:dyDescent="0.35">
      <c r="A1201">
        <f t="shared" si="928"/>
        <v>1197</v>
      </c>
      <c r="B1201" s="9">
        <f t="shared" ref="B1201" si="1836">B1200+H1201+I1201+J1201</f>
        <v>53.730000000000004</v>
      </c>
      <c r="C1201" s="3" t="s">
        <v>1331</v>
      </c>
      <c r="D1201">
        <f t="shared" ref="D1201" si="1837">_xlfn.NUMBERVALUE(LEFT(C1201,2))</f>
        <v>25</v>
      </c>
      <c r="E1201">
        <f t="shared" ref="E1201" si="1838">_xlfn.NUMBERVALUE(MID(C1201,4,2))</f>
        <v>10</v>
      </c>
      <c r="F1201">
        <f t="shared" ref="F1201" si="1839">_xlfn.NUMBERVALUE(RIGHT(C1201,4))</f>
        <v>2023</v>
      </c>
      <c r="G1201" t="s">
        <v>7</v>
      </c>
      <c r="H1201">
        <v>-1</v>
      </c>
      <c r="K1201" t="s">
        <v>9</v>
      </c>
      <c r="L1201" s="8">
        <f t="shared" si="1680"/>
        <v>-1</v>
      </c>
      <c r="M1201" t="s">
        <v>1329</v>
      </c>
    </row>
    <row r="1202" spans="1:13" x14ac:dyDescent="0.35">
      <c r="A1202">
        <f t="shared" si="928"/>
        <v>1198</v>
      </c>
      <c r="B1202" s="9">
        <f t="shared" ref="B1202" si="1840">B1201+H1202+I1202+J1202</f>
        <v>55.730000000000004</v>
      </c>
      <c r="C1202" s="3" t="s">
        <v>1331</v>
      </c>
      <c r="D1202">
        <f t="shared" ref="D1202" si="1841">_xlfn.NUMBERVALUE(LEFT(C1202,2))</f>
        <v>25</v>
      </c>
      <c r="E1202">
        <f t="shared" ref="E1202" si="1842">_xlfn.NUMBERVALUE(MID(C1202,4,2))</f>
        <v>10</v>
      </c>
      <c r="F1202">
        <f t="shared" ref="F1202" si="1843">_xlfn.NUMBERVALUE(RIGHT(C1202,4))</f>
        <v>2023</v>
      </c>
      <c r="G1202" t="s">
        <v>7</v>
      </c>
      <c r="H1202">
        <v>-1</v>
      </c>
      <c r="I1202">
        <v>3</v>
      </c>
      <c r="K1202" t="s">
        <v>10</v>
      </c>
      <c r="L1202" s="8">
        <f t="shared" si="1680"/>
        <v>2</v>
      </c>
      <c r="M1202" t="s">
        <v>1330</v>
      </c>
    </row>
    <row r="1203" spans="1:13" x14ac:dyDescent="0.35">
      <c r="A1203">
        <f t="shared" si="928"/>
        <v>1199</v>
      </c>
      <c r="B1203" s="9">
        <f t="shared" ref="B1203" si="1844">B1202+H1203+I1203+J1203</f>
        <v>54.730000000000004</v>
      </c>
      <c r="C1203" s="3" t="s">
        <v>1331</v>
      </c>
      <c r="D1203">
        <f t="shared" ref="D1203" si="1845">_xlfn.NUMBERVALUE(LEFT(C1203,2))</f>
        <v>25</v>
      </c>
      <c r="E1203">
        <f t="shared" ref="E1203" si="1846">_xlfn.NUMBERVALUE(MID(C1203,4,2))</f>
        <v>10</v>
      </c>
      <c r="F1203">
        <f t="shared" ref="F1203" si="1847">_xlfn.NUMBERVALUE(RIGHT(C1203,4))</f>
        <v>2023</v>
      </c>
      <c r="G1203" t="s">
        <v>7</v>
      </c>
      <c r="H1203">
        <v>-1</v>
      </c>
      <c r="K1203" t="s">
        <v>9</v>
      </c>
      <c r="L1203" s="8">
        <f t="shared" si="1680"/>
        <v>-1</v>
      </c>
      <c r="M1203" t="s">
        <v>1332</v>
      </c>
    </row>
    <row r="1204" spans="1:13" x14ac:dyDescent="0.35">
      <c r="A1204">
        <f t="shared" si="928"/>
        <v>1200</v>
      </c>
      <c r="B1204" s="9">
        <f t="shared" ref="B1204" si="1848">B1203+H1204+I1204+J1204</f>
        <v>55.730000000000004</v>
      </c>
      <c r="C1204" s="3" t="s">
        <v>1331</v>
      </c>
      <c r="D1204">
        <f t="shared" ref="D1204" si="1849">_xlfn.NUMBERVALUE(LEFT(C1204,2))</f>
        <v>25</v>
      </c>
      <c r="E1204">
        <f t="shared" ref="E1204" si="1850">_xlfn.NUMBERVALUE(MID(C1204,4,2))</f>
        <v>10</v>
      </c>
      <c r="F1204">
        <f t="shared" ref="F1204" si="1851">_xlfn.NUMBERVALUE(RIGHT(C1204,4))</f>
        <v>2023</v>
      </c>
      <c r="G1204" t="s">
        <v>7</v>
      </c>
      <c r="H1204">
        <v>-1</v>
      </c>
      <c r="I1204">
        <v>2</v>
      </c>
      <c r="K1204" t="s">
        <v>10</v>
      </c>
      <c r="L1204" s="8">
        <f t="shared" si="1680"/>
        <v>1</v>
      </c>
      <c r="M1204" t="s">
        <v>1333</v>
      </c>
    </row>
    <row r="1205" spans="1:13" x14ac:dyDescent="0.35">
      <c r="A1205">
        <f t="shared" si="928"/>
        <v>1201</v>
      </c>
      <c r="B1205" s="9">
        <f t="shared" ref="B1205" si="1852">B1204+H1205+I1205+J1205</f>
        <v>54.730000000000004</v>
      </c>
      <c r="C1205" s="3" t="s">
        <v>1335</v>
      </c>
      <c r="D1205">
        <f t="shared" ref="D1205" si="1853">_xlfn.NUMBERVALUE(LEFT(C1205,2))</f>
        <v>26</v>
      </c>
      <c r="E1205">
        <f t="shared" ref="E1205" si="1854">_xlfn.NUMBERVALUE(MID(C1205,4,2))</f>
        <v>10</v>
      </c>
      <c r="F1205">
        <f t="shared" ref="F1205" si="1855">_xlfn.NUMBERVALUE(RIGHT(C1205,4))</f>
        <v>2023</v>
      </c>
      <c r="G1205" t="s">
        <v>7</v>
      </c>
      <c r="H1205">
        <v>-1</v>
      </c>
      <c r="K1205" t="s">
        <v>9</v>
      </c>
      <c r="L1205" s="8">
        <f t="shared" si="1680"/>
        <v>-1</v>
      </c>
      <c r="M1205" t="s">
        <v>1334</v>
      </c>
    </row>
    <row r="1206" spans="1:13" x14ac:dyDescent="0.35">
      <c r="A1206">
        <f t="shared" si="928"/>
        <v>1202</v>
      </c>
      <c r="B1206" s="9">
        <f t="shared" ref="B1206" si="1856">B1205+H1206+I1206+J1206</f>
        <v>53.730000000000004</v>
      </c>
      <c r="C1206" s="3" t="s">
        <v>1335</v>
      </c>
      <c r="D1206">
        <f t="shared" ref="D1206" si="1857">_xlfn.NUMBERVALUE(LEFT(C1206,2))</f>
        <v>26</v>
      </c>
      <c r="E1206">
        <f t="shared" ref="E1206" si="1858">_xlfn.NUMBERVALUE(MID(C1206,4,2))</f>
        <v>10</v>
      </c>
      <c r="F1206">
        <f t="shared" ref="F1206" si="1859">_xlfn.NUMBERVALUE(RIGHT(C1206,4))</f>
        <v>2023</v>
      </c>
      <c r="G1206" t="s">
        <v>7</v>
      </c>
      <c r="H1206">
        <v>-1</v>
      </c>
      <c r="K1206" t="s">
        <v>9</v>
      </c>
      <c r="L1206" s="8">
        <f t="shared" si="1680"/>
        <v>-1</v>
      </c>
      <c r="M1206" t="s">
        <v>1336</v>
      </c>
    </row>
    <row r="1207" spans="1:13" x14ac:dyDescent="0.35">
      <c r="A1207">
        <f t="shared" si="928"/>
        <v>1203</v>
      </c>
      <c r="B1207" s="9">
        <f t="shared" ref="B1207" si="1860">B1206+H1207+I1207+J1207</f>
        <v>55.730000000000004</v>
      </c>
      <c r="C1207" s="3" t="s">
        <v>1335</v>
      </c>
      <c r="D1207">
        <f t="shared" ref="D1207" si="1861">_xlfn.NUMBERVALUE(LEFT(C1207,2))</f>
        <v>26</v>
      </c>
      <c r="E1207">
        <f t="shared" ref="E1207" si="1862">_xlfn.NUMBERVALUE(MID(C1207,4,2))</f>
        <v>10</v>
      </c>
      <c r="F1207">
        <f t="shared" ref="F1207" si="1863">_xlfn.NUMBERVALUE(RIGHT(C1207,4))</f>
        <v>2023</v>
      </c>
      <c r="G1207" t="s">
        <v>7</v>
      </c>
      <c r="H1207">
        <v>-1</v>
      </c>
      <c r="I1207">
        <v>3</v>
      </c>
      <c r="K1207" t="s">
        <v>10</v>
      </c>
      <c r="L1207" s="8">
        <f t="shared" si="1680"/>
        <v>2</v>
      </c>
      <c r="M1207" t="s">
        <v>1337</v>
      </c>
    </row>
    <row r="1208" spans="1:13" x14ac:dyDescent="0.35">
      <c r="A1208">
        <f t="shared" si="928"/>
        <v>1204</v>
      </c>
      <c r="B1208" s="9">
        <f t="shared" ref="B1208" si="1864">B1207+H1208+I1208+J1208</f>
        <v>54.730000000000004</v>
      </c>
      <c r="C1208" s="3" t="s">
        <v>1335</v>
      </c>
      <c r="D1208">
        <f t="shared" ref="D1208" si="1865">_xlfn.NUMBERVALUE(LEFT(C1208,2))</f>
        <v>26</v>
      </c>
      <c r="E1208">
        <f t="shared" ref="E1208" si="1866">_xlfn.NUMBERVALUE(MID(C1208,4,2))</f>
        <v>10</v>
      </c>
      <c r="F1208">
        <f t="shared" ref="F1208" si="1867">_xlfn.NUMBERVALUE(RIGHT(C1208,4))</f>
        <v>2023</v>
      </c>
      <c r="G1208" t="s">
        <v>7</v>
      </c>
      <c r="H1208">
        <v>-1</v>
      </c>
      <c r="K1208" t="s">
        <v>9</v>
      </c>
      <c r="L1208" s="8">
        <f t="shared" si="1680"/>
        <v>-1</v>
      </c>
      <c r="M1208" t="s">
        <v>1339</v>
      </c>
    </row>
    <row r="1209" spans="1:13" x14ac:dyDescent="0.35">
      <c r="A1209">
        <f t="shared" si="928"/>
        <v>1205</v>
      </c>
      <c r="B1209" s="9">
        <f t="shared" ref="B1209" si="1868">B1208+H1209+I1209+J1209</f>
        <v>53.730000000000004</v>
      </c>
      <c r="C1209" s="3" t="s">
        <v>1335</v>
      </c>
      <c r="D1209">
        <f t="shared" ref="D1209" si="1869">_xlfn.NUMBERVALUE(LEFT(C1209,2))</f>
        <v>26</v>
      </c>
      <c r="E1209">
        <f t="shared" ref="E1209" si="1870">_xlfn.NUMBERVALUE(MID(C1209,4,2))</f>
        <v>10</v>
      </c>
      <c r="F1209">
        <f t="shared" ref="F1209" si="1871">_xlfn.NUMBERVALUE(RIGHT(C1209,4))</f>
        <v>2023</v>
      </c>
      <c r="G1209" t="s">
        <v>7</v>
      </c>
      <c r="H1209">
        <v>-1</v>
      </c>
      <c r="K1209" t="s">
        <v>9</v>
      </c>
      <c r="L1209" s="8">
        <f t="shared" si="1680"/>
        <v>-1</v>
      </c>
      <c r="M1209" t="s">
        <v>1340</v>
      </c>
    </row>
    <row r="1210" spans="1:13" x14ac:dyDescent="0.35">
      <c r="A1210">
        <f t="shared" si="928"/>
        <v>1206</v>
      </c>
      <c r="B1210" s="9">
        <f t="shared" ref="B1210" si="1872">B1209+H1210+I1210+J1210</f>
        <v>48.730000000000004</v>
      </c>
      <c r="C1210" s="3" t="s">
        <v>1335</v>
      </c>
      <c r="D1210">
        <f t="shared" ref="D1210" si="1873">_xlfn.NUMBERVALUE(LEFT(C1210,2))</f>
        <v>26</v>
      </c>
      <c r="E1210">
        <f t="shared" ref="E1210" si="1874">_xlfn.NUMBERVALUE(MID(C1210,4,2))</f>
        <v>10</v>
      </c>
      <c r="F1210">
        <f t="shared" ref="F1210" si="1875">_xlfn.NUMBERVALUE(RIGHT(C1210,4))</f>
        <v>2023</v>
      </c>
      <c r="G1210" t="s">
        <v>7</v>
      </c>
      <c r="H1210">
        <v>-5</v>
      </c>
      <c r="K1210" t="s">
        <v>9</v>
      </c>
      <c r="L1210" s="8">
        <f t="shared" si="1680"/>
        <v>-1</v>
      </c>
      <c r="M1210" t="s">
        <v>1341</v>
      </c>
    </row>
    <row r="1211" spans="1:13" x14ac:dyDescent="0.35">
      <c r="A1211">
        <f t="shared" si="928"/>
        <v>1207</v>
      </c>
      <c r="B1211" s="9">
        <f t="shared" ref="B1211" si="1876">B1210+H1211+I1211+J1211</f>
        <v>43.730000000000004</v>
      </c>
      <c r="C1211" s="3" t="s">
        <v>1335</v>
      </c>
      <c r="D1211">
        <f t="shared" ref="D1211" si="1877">_xlfn.NUMBERVALUE(LEFT(C1211,2))</f>
        <v>26</v>
      </c>
      <c r="E1211">
        <f t="shared" ref="E1211" si="1878">_xlfn.NUMBERVALUE(MID(C1211,4,2))</f>
        <v>10</v>
      </c>
      <c r="F1211">
        <f t="shared" ref="F1211" si="1879">_xlfn.NUMBERVALUE(RIGHT(C1211,4))</f>
        <v>2023</v>
      </c>
      <c r="G1211" t="s">
        <v>7</v>
      </c>
      <c r="H1211">
        <v>-5</v>
      </c>
      <c r="K1211" t="s">
        <v>9</v>
      </c>
      <c r="L1211" s="8">
        <f t="shared" si="1680"/>
        <v>-1</v>
      </c>
      <c r="M1211" t="s">
        <v>1342</v>
      </c>
    </row>
    <row r="1212" spans="1:13" x14ac:dyDescent="0.35">
      <c r="A1212">
        <f t="shared" si="928"/>
        <v>1208</v>
      </c>
      <c r="B1212" s="9">
        <f t="shared" ref="B1212" si="1880">B1211+H1212+I1212+J1212</f>
        <v>48.730000000000004</v>
      </c>
      <c r="C1212" s="3" t="s">
        <v>1335</v>
      </c>
      <c r="D1212">
        <f t="shared" ref="D1212" si="1881">_xlfn.NUMBERVALUE(LEFT(C1212,2))</f>
        <v>26</v>
      </c>
      <c r="E1212">
        <f t="shared" ref="E1212" si="1882">_xlfn.NUMBERVALUE(MID(C1212,4,2))</f>
        <v>10</v>
      </c>
      <c r="F1212">
        <f t="shared" ref="F1212" si="1883">_xlfn.NUMBERVALUE(RIGHT(C1212,4))</f>
        <v>2023</v>
      </c>
      <c r="G1212" t="s">
        <v>7</v>
      </c>
      <c r="H1212">
        <v>-5</v>
      </c>
      <c r="I1212">
        <v>10</v>
      </c>
      <c r="K1212" t="s">
        <v>10</v>
      </c>
      <c r="L1212" s="8">
        <f t="shared" si="1680"/>
        <v>1</v>
      </c>
      <c r="M1212" t="s">
        <v>1343</v>
      </c>
    </row>
    <row r="1213" spans="1:13" x14ac:dyDescent="0.35">
      <c r="A1213">
        <f t="shared" si="928"/>
        <v>1209</v>
      </c>
      <c r="B1213" s="9">
        <f t="shared" ref="B1213" si="1884">B1212+H1213+I1213+J1213</f>
        <v>43.730000000000004</v>
      </c>
      <c r="C1213" s="3" t="s">
        <v>1335</v>
      </c>
      <c r="D1213">
        <f t="shared" ref="D1213" si="1885">_xlfn.NUMBERVALUE(LEFT(C1213,2))</f>
        <v>26</v>
      </c>
      <c r="E1213">
        <f t="shared" ref="E1213" si="1886">_xlfn.NUMBERVALUE(MID(C1213,4,2))</f>
        <v>10</v>
      </c>
      <c r="F1213">
        <f t="shared" ref="F1213" si="1887">_xlfn.NUMBERVALUE(RIGHT(C1213,4))</f>
        <v>2023</v>
      </c>
      <c r="G1213" t="s">
        <v>7</v>
      </c>
      <c r="H1213">
        <v>-5</v>
      </c>
      <c r="K1213" t="s">
        <v>9</v>
      </c>
      <c r="L1213" s="8">
        <f t="shared" si="1680"/>
        <v>-1</v>
      </c>
      <c r="M1213" t="s">
        <v>1344</v>
      </c>
    </row>
    <row r="1214" spans="1:13" x14ac:dyDescent="0.35">
      <c r="A1214">
        <f t="shared" si="928"/>
        <v>1210</v>
      </c>
      <c r="B1214" s="9">
        <f t="shared" ref="B1214" si="1888">B1213+H1214+I1214+J1214</f>
        <v>38.730000000000004</v>
      </c>
      <c r="C1214" s="3" t="s">
        <v>1335</v>
      </c>
      <c r="D1214">
        <f t="shared" ref="D1214" si="1889">_xlfn.NUMBERVALUE(LEFT(C1214,2))</f>
        <v>26</v>
      </c>
      <c r="E1214">
        <f t="shared" ref="E1214" si="1890">_xlfn.NUMBERVALUE(MID(C1214,4,2))</f>
        <v>10</v>
      </c>
      <c r="F1214">
        <f t="shared" ref="F1214" si="1891">_xlfn.NUMBERVALUE(RIGHT(C1214,4))</f>
        <v>2023</v>
      </c>
      <c r="G1214" t="s">
        <v>7</v>
      </c>
      <c r="H1214">
        <v>-5</v>
      </c>
      <c r="K1214" t="s">
        <v>9</v>
      </c>
      <c r="L1214" s="8">
        <f t="shared" si="1680"/>
        <v>-1</v>
      </c>
      <c r="M1214" t="s">
        <v>1345</v>
      </c>
    </row>
    <row r="1215" spans="1:13" x14ac:dyDescent="0.35">
      <c r="A1215">
        <f t="shared" si="928"/>
        <v>1211</v>
      </c>
      <c r="B1215" s="9">
        <f t="shared" ref="B1215" si="1892">B1214+H1215+I1215+J1215</f>
        <v>33.730000000000004</v>
      </c>
      <c r="C1215" s="3" t="s">
        <v>1335</v>
      </c>
      <c r="D1215">
        <f t="shared" ref="D1215" si="1893">_xlfn.NUMBERVALUE(LEFT(C1215,2))</f>
        <v>26</v>
      </c>
      <c r="E1215">
        <f t="shared" ref="E1215" si="1894">_xlfn.NUMBERVALUE(MID(C1215,4,2))</f>
        <v>10</v>
      </c>
      <c r="F1215">
        <f t="shared" ref="F1215" si="1895">_xlfn.NUMBERVALUE(RIGHT(C1215,4))</f>
        <v>2023</v>
      </c>
      <c r="G1215" t="s">
        <v>7</v>
      </c>
      <c r="H1215">
        <v>-5</v>
      </c>
      <c r="K1215" t="s">
        <v>9</v>
      </c>
      <c r="L1215" s="8">
        <f t="shared" si="1680"/>
        <v>-1</v>
      </c>
      <c r="M1215" t="s">
        <v>1346</v>
      </c>
    </row>
    <row r="1216" spans="1:13" x14ac:dyDescent="0.35">
      <c r="A1216">
        <f t="shared" si="928"/>
        <v>1212</v>
      </c>
      <c r="B1216" s="9">
        <f t="shared" ref="B1216" si="1896">B1215+H1216+I1216+J1216</f>
        <v>28.730000000000004</v>
      </c>
      <c r="C1216" s="3" t="s">
        <v>1335</v>
      </c>
      <c r="D1216">
        <f t="shared" ref="D1216" si="1897">_xlfn.NUMBERVALUE(LEFT(C1216,2))</f>
        <v>26</v>
      </c>
      <c r="E1216">
        <f t="shared" ref="E1216" si="1898">_xlfn.NUMBERVALUE(MID(C1216,4,2))</f>
        <v>10</v>
      </c>
      <c r="F1216">
        <f t="shared" ref="F1216" si="1899">_xlfn.NUMBERVALUE(RIGHT(C1216,4))</f>
        <v>2023</v>
      </c>
      <c r="G1216" t="s">
        <v>7</v>
      </c>
      <c r="H1216">
        <v>-5</v>
      </c>
      <c r="K1216" t="s">
        <v>9</v>
      </c>
      <c r="L1216" s="8">
        <f t="shared" si="1680"/>
        <v>-1</v>
      </c>
      <c r="M1216" t="s">
        <v>1347</v>
      </c>
    </row>
    <row r="1217" spans="1:13" x14ac:dyDescent="0.35">
      <c r="A1217">
        <f t="shared" si="928"/>
        <v>1213</v>
      </c>
      <c r="B1217" s="9">
        <f t="shared" ref="B1217" si="1900">B1216+H1217+I1217+J1217</f>
        <v>23.230000000000004</v>
      </c>
      <c r="C1217" s="3" t="s">
        <v>1335</v>
      </c>
      <c r="D1217">
        <f t="shared" ref="D1217" si="1901">_xlfn.NUMBERVALUE(LEFT(C1217,2))</f>
        <v>26</v>
      </c>
      <c r="E1217">
        <f t="shared" ref="E1217" si="1902">_xlfn.NUMBERVALUE(MID(C1217,4,2))</f>
        <v>10</v>
      </c>
      <c r="F1217">
        <f t="shared" ref="F1217" si="1903">_xlfn.NUMBERVALUE(RIGHT(C1217,4))</f>
        <v>2023</v>
      </c>
      <c r="G1217" t="s">
        <v>44</v>
      </c>
      <c r="H1217">
        <v>-5.5</v>
      </c>
      <c r="K1217" t="s">
        <v>9</v>
      </c>
      <c r="L1217" s="8">
        <f t="shared" si="1680"/>
        <v>-1</v>
      </c>
      <c r="M1217" t="s">
        <v>1348</v>
      </c>
    </row>
    <row r="1218" spans="1:13" x14ac:dyDescent="0.35">
      <c r="A1218">
        <f t="shared" si="928"/>
        <v>1214</v>
      </c>
      <c r="B1218" s="9">
        <f t="shared" ref="B1218:B1219" si="1904">B1217+H1218+I1218+J1218</f>
        <v>18.830000000000005</v>
      </c>
      <c r="C1218" s="3" t="s">
        <v>1335</v>
      </c>
      <c r="D1218">
        <f t="shared" ref="D1218:D1219" si="1905">_xlfn.NUMBERVALUE(LEFT(C1218,2))</f>
        <v>26</v>
      </c>
      <c r="E1218">
        <f t="shared" ref="E1218:E1219" si="1906">_xlfn.NUMBERVALUE(MID(C1218,4,2))</f>
        <v>10</v>
      </c>
      <c r="F1218">
        <f t="shared" ref="F1218:F1219" si="1907">_xlfn.NUMBERVALUE(RIGHT(C1218,4))</f>
        <v>2023</v>
      </c>
      <c r="G1218" t="s">
        <v>44</v>
      </c>
      <c r="H1218">
        <v>-4.4000000000000004</v>
      </c>
      <c r="K1218" t="s">
        <v>9</v>
      </c>
      <c r="L1218" s="8">
        <f t="shared" si="1680"/>
        <v>-1</v>
      </c>
      <c r="M1218" t="s">
        <v>1349</v>
      </c>
    </row>
    <row r="1219" spans="1:13" x14ac:dyDescent="0.35">
      <c r="A1219">
        <f t="shared" ref="A1219:A1473" si="1908">A1218+1</f>
        <v>1215</v>
      </c>
      <c r="B1219" s="9">
        <f t="shared" si="1904"/>
        <v>19.830000000000005</v>
      </c>
      <c r="C1219" s="3" t="s">
        <v>1335</v>
      </c>
      <c r="D1219">
        <f t="shared" si="1905"/>
        <v>26</v>
      </c>
      <c r="E1219">
        <f t="shared" si="1906"/>
        <v>10</v>
      </c>
      <c r="F1219">
        <f t="shared" si="1907"/>
        <v>2023</v>
      </c>
      <c r="G1219" t="s">
        <v>7</v>
      </c>
      <c r="H1219">
        <v>-1</v>
      </c>
      <c r="I1219">
        <v>2</v>
      </c>
      <c r="K1219" t="s">
        <v>10</v>
      </c>
      <c r="L1219" s="8">
        <f t="shared" si="1680"/>
        <v>1</v>
      </c>
      <c r="M1219" t="s">
        <v>1350</v>
      </c>
    </row>
    <row r="1220" spans="1:13" x14ac:dyDescent="0.35">
      <c r="A1220">
        <f t="shared" si="1908"/>
        <v>1216</v>
      </c>
      <c r="B1220" s="9">
        <f t="shared" ref="B1220:B1221" si="1909">B1219+H1220+I1220+J1220</f>
        <v>9.8300000000000054</v>
      </c>
      <c r="C1220" s="3" t="s">
        <v>1335</v>
      </c>
      <c r="D1220">
        <f t="shared" ref="D1220:D1221" si="1910">_xlfn.NUMBERVALUE(LEFT(C1220,2))</f>
        <v>26</v>
      </c>
      <c r="E1220">
        <f t="shared" ref="E1220:E1221" si="1911">_xlfn.NUMBERVALUE(MID(C1220,4,2))</f>
        <v>10</v>
      </c>
      <c r="F1220">
        <f t="shared" ref="F1220:F1221" si="1912">_xlfn.NUMBERVALUE(RIGHT(C1220,4))</f>
        <v>2023</v>
      </c>
      <c r="G1220" t="s">
        <v>7</v>
      </c>
      <c r="H1220">
        <v>-10</v>
      </c>
      <c r="K1220" t="s">
        <v>9</v>
      </c>
      <c r="L1220" s="8">
        <f t="shared" si="1680"/>
        <v>-1</v>
      </c>
      <c r="M1220" t="s">
        <v>1351</v>
      </c>
    </row>
    <row r="1221" spans="1:13" x14ac:dyDescent="0.35">
      <c r="A1221">
        <f t="shared" si="1908"/>
        <v>1217</v>
      </c>
      <c r="B1221" s="9">
        <f t="shared" si="1909"/>
        <v>10.830000000000005</v>
      </c>
      <c r="C1221" s="3" t="s">
        <v>1335</v>
      </c>
      <c r="D1221">
        <f t="shared" si="1910"/>
        <v>26</v>
      </c>
      <c r="E1221">
        <f t="shared" si="1911"/>
        <v>10</v>
      </c>
      <c r="F1221">
        <f t="shared" si="1912"/>
        <v>2023</v>
      </c>
      <c r="G1221" t="s">
        <v>7</v>
      </c>
      <c r="H1221">
        <v>-1</v>
      </c>
      <c r="I1221">
        <v>2</v>
      </c>
      <c r="K1221" t="s">
        <v>10</v>
      </c>
      <c r="L1221" s="8">
        <f t="shared" si="1680"/>
        <v>1</v>
      </c>
      <c r="M1221" t="s">
        <v>1352</v>
      </c>
    </row>
    <row r="1222" spans="1:13" x14ac:dyDescent="0.35">
      <c r="A1222">
        <f t="shared" si="1908"/>
        <v>1218</v>
      </c>
      <c r="B1222" s="9">
        <f t="shared" ref="B1222" si="1913">B1221+H1222+I1222+J1222</f>
        <v>0.8300000000000054</v>
      </c>
      <c r="C1222" s="3" t="s">
        <v>1335</v>
      </c>
      <c r="D1222">
        <f t="shared" ref="D1222" si="1914">_xlfn.NUMBERVALUE(LEFT(C1222,2))</f>
        <v>26</v>
      </c>
      <c r="E1222">
        <f t="shared" ref="E1222" si="1915">_xlfn.NUMBERVALUE(MID(C1222,4,2))</f>
        <v>10</v>
      </c>
      <c r="F1222">
        <f t="shared" ref="F1222" si="1916">_xlfn.NUMBERVALUE(RIGHT(C1222,4))</f>
        <v>2023</v>
      </c>
      <c r="G1222" t="s">
        <v>7</v>
      </c>
      <c r="H1222">
        <v>-10</v>
      </c>
      <c r="K1222" t="s">
        <v>9</v>
      </c>
      <c r="L1222" s="8">
        <f t="shared" ref="L1222:L1285" si="1917">IF(H1222="",0,(SUM(I1222:J1222)/-H1222)-1)</f>
        <v>-1</v>
      </c>
      <c r="M1222" t="s">
        <v>1353</v>
      </c>
    </row>
    <row r="1223" spans="1:13" x14ac:dyDescent="0.35">
      <c r="A1223">
        <f t="shared" si="1908"/>
        <v>1219</v>
      </c>
      <c r="B1223" s="9">
        <f t="shared" ref="B1223:B1224" si="1918">B1222+H1223+I1223+J1223</f>
        <v>56.420000000000009</v>
      </c>
      <c r="C1223" s="3" t="s">
        <v>1354</v>
      </c>
      <c r="D1223">
        <f t="shared" ref="D1223:D1224" si="1919">_xlfn.NUMBERVALUE(LEFT(C1223,2))</f>
        <v>27</v>
      </c>
      <c r="E1223">
        <f t="shared" ref="E1223:E1224" si="1920">_xlfn.NUMBERVALUE(MID(C1223,4,2))</f>
        <v>10</v>
      </c>
      <c r="F1223">
        <f t="shared" ref="F1223:F1224" si="1921">_xlfn.NUMBERVALUE(RIGHT(C1223,4))</f>
        <v>2023</v>
      </c>
      <c r="G1223" t="s">
        <v>3362</v>
      </c>
      <c r="I1223">
        <v>55.59</v>
      </c>
      <c r="L1223" s="8"/>
    </row>
    <row r="1224" spans="1:13" x14ac:dyDescent="0.35">
      <c r="A1224">
        <f t="shared" si="1908"/>
        <v>1220</v>
      </c>
      <c r="B1224" s="9">
        <f t="shared" si="1918"/>
        <v>55.420000000000009</v>
      </c>
      <c r="C1224" s="3" t="s">
        <v>1354</v>
      </c>
      <c r="D1224">
        <f t="shared" si="1919"/>
        <v>27</v>
      </c>
      <c r="E1224">
        <f t="shared" si="1920"/>
        <v>10</v>
      </c>
      <c r="F1224">
        <f t="shared" si="1921"/>
        <v>2023</v>
      </c>
      <c r="G1224" t="s">
        <v>7</v>
      </c>
      <c r="H1224">
        <v>-1</v>
      </c>
      <c r="K1224" t="s">
        <v>9</v>
      </c>
      <c r="L1224" s="8">
        <f t="shared" si="1917"/>
        <v>-1</v>
      </c>
      <c r="M1224" t="s">
        <v>1355</v>
      </c>
    </row>
    <row r="1225" spans="1:13" x14ac:dyDescent="0.35">
      <c r="A1225">
        <f t="shared" si="1908"/>
        <v>1221</v>
      </c>
      <c r="B1225" s="9">
        <f t="shared" ref="B1225" si="1922">B1224+H1225+I1225+J1225</f>
        <v>54.420000000000009</v>
      </c>
      <c r="C1225" s="3" t="s">
        <v>1354</v>
      </c>
      <c r="D1225">
        <f t="shared" ref="D1225" si="1923">_xlfn.NUMBERVALUE(LEFT(C1225,2))</f>
        <v>27</v>
      </c>
      <c r="E1225">
        <f t="shared" ref="E1225" si="1924">_xlfn.NUMBERVALUE(MID(C1225,4,2))</f>
        <v>10</v>
      </c>
      <c r="F1225">
        <f t="shared" ref="F1225" si="1925">_xlfn.NUMBERVALUE(RIGHT(C1225,4))</f>
        <v>2023</v>
      </c>
      <c r="G1225" t="s">
        <v>7</v>
      </c>
      <c r="H1225">
        <v>-1</v>
      </c>
      <c r="K1225" t="s">
        <v>9</v>
      </c>
      <c r="L1225" s="8">
        <f t="shared" si="1917"/>
        <v>-1</v>
      </c>
      <c r="M1225" t="s">
        <v>1356</v>
      </c>
    </row>
    <row r="1226" spans="1:13" x14ac:dyDescent="0.35">
      <c r="A1226">
        <f t="shared" si="1908"/>
        <v>1222</v>
      </c>
      <c r="B1226" s="9">
        <f t="shared" ref="B1226" si="1926">B1225+H1226+I1226+J1226</f>
        <v>57.420000000000009</v>
      </c>
      <c r="C1226" s="3" t="s">
        <v>1354</v>
      </c>
      <c r="D1226">
        <f t="shared" ref="D1226" si="1927">_xlfn.NUMBERVALUE(LEFT(C1226,2))</f>
        <v>27</v>
      </c>
      <c r="E1226">
        <f t="shared" ref="E1226" si="1928">_xlfn.NUMBERVALUE(MID(C1226,4,2))</f>
        <v>10</v>
      </c>
      <c r="F1226">
        <f t="shared" ref="F1226" si="1929">_xlfn.NUMBERVALUE(RIGHT(C1226,4))</f>
        <v>2023</v>
      </c>
      <c r="G1226" t="s">
        <v>7</v>
      </c>
      <c r="H1226">
        <v>-1</v>
      </c>
      <c r="I1226">
        <v>4</v>
      </c>
      <c r="K1226" t="s">
        <v>10</v>
      </c>
      <c r="L1226" s="8">
        <f t="shared" si="1917"/>
        <v>3</v>
      </c>
      <c r="M1226" t="s">
        <v>1357</v>
      </c>
    </row>
    <row r="1227" spans="1:13" x14ac:dyDescent="0.35">
      <c r="A1227">
        <f t="shared" si="1908"/>
        <v>1223</v>
      </c>
      <c r="B1227" s="9">
        <f t="shared" ref="B1227" si="1930">B1226+H1227+I1227+J1227</f>
        <v>56.420000000000009</v>
      </c>
      <c r="C1227" s="3" t="s">
        <v>1354</v>
      </c>
      <c r="D1227">
        <f t="shared" ref="D1227" si="1931">_xlfn.NUMBERVALUE(LEFT(C1227,2))</f>
        <v>27</v>
      </c>
      <c r="E1227">
        <f t="shared" ref="E1227" si="1932">_xlfn.NUMBERVALUE(MID(C1227,4,2))</f>
        <v>10</v>
      </c>
      <c r="F1227">
        <f t="shared" ref="F1227" si="1933">_xlfn.NUMBERVALUE(RIGHT(C1227,4))</f>
        <v>2023</v>
      </c>
      <c r="G1227" t="s">
        <v>7</v>
      </c>
      <c r="H1227">
        <v>-1</v>
      </c>
      <c r="K1227" t="s">
        <v>9</v>
      </c>
      <c r="L1227" s="8">
        <f t="shared" si="1917"/>
        <v>-1</v>
      </c>
      <c r="M1227" t="s">
        <v>1358</v>
      </c>
    </row>
    <row r="1228" spans="1:13" x14ac:dyDescent="0.35">
      <c r="A1228">
        <f t="shared" si="1908"/>
        <v>1224</v>
      </c>
      <c r="B1228" s="9">
        <f t="shared" ref="B1228" si="1934">B1227+H1228+I1228+J1228</f>
        <v>55.420000000000009</v>
      </c>
      <c r="C1228" s="3" t="s">
        <v>1354</v>
      </c>
      <c r="D1228">
        <f t="shared" ref="D1228" si="1935">_xlfn.NUMBERVALUE(LEFT(C1228,2))</f>
        <v>27</v>
      </c>
      <c r="E1228">
        <f t="shared" ref="E1228" si="1936">_xlfn.NUMBERVALUE(MID(C1228,4,2))</f>
        <v>10</v>
      </c>
      <c r="F1228">
        <f t="shared" ref="F1228" si="1937">_xlfn.NUMBERVALUE(RIGHT(C1228,4))</f>
        <v>2023</v>
      </c>
      <c r="G1228" t="s">
        <v>7</v>
      </c>
      <c r="H1228">
        <v>-1</v>
      </c>
      <c r="K1228" t="s">
        <v>9</v>
      </c>
      <c r="L1228" s="8">
        <f t="shared" si="1917"/>
        <v>-1</v>
      </c>
      <c r="M1228" t="s">
        <v>1359</v>
      </c>
    </row>
    <row r="1229" spans="1:13" x14ac:dyDescent="0.35">
      <c r="A1229">
        <f t="shared" si="1908"/>
        <v>1225</v>
      </c>
      <c r="B1229" s="9">
        <f t="shared" ref="B1229" si="1938">B1228+H1229+I1229+J1229</f>
        <v>57.420000000000009</v>
      </c>
      <c r="C1229" s="3" t="s">
        <v>1354</v>
      </c>
      <c r="D1229">
        <f t="shared" ref="D1229" si="1939">_xlfn.NUMBERVALUE(LEFT(C1229,2))</f>
        <v>27</v>
      </c>
      <c r="E1229">
        <f t="shared" ref="E1229" si="1940">_xlfn.NUMBERVALUE(MID(C1229,4,2))</f>
        <v>10</v>
      </c>
      <c r="F1229">
        <f t="shared" ref="F1229" si="1941">_xlfn.NUMBERVALUE(RIGHT(C1229,4))</f>
        <v>2023</v>
      </c>
      <c r="G1229" t="s">
        <v>7</v>
      </c>
      <c r="H1229">
        <v>-1</v>
      </c>
      <c r="I1229">
        <v>3</v>
      </c>
      <c r="K1229" t="s">
        <v>10</v>
      </c>
      <c r="L1229" s="8">
        <f t="shared" si="1917"/>
        <v>2</v>
      </c>
      <c r="M1229" t="s">
        <v>1360</v>
      </c>
    </row>
    <row r="1230" spans="1:13" x14ac:dyDescent="0.35">
      <c r="A1230">
        <f t="shared" si="1908"/>
        <v>1226</v>
      </c>
      <c r="B1230" s="9">
        <f t="shared" ref="B1230" si="1942">B1229+H1230+I1230+J1230</f>
        <v>56.420000000000009</v>
      </c>
      <c r="C1230" s="3" t="s">
        <v>1354</v>
      </c>
      <c r="D1230">
        <f t="shared" ref="D1230" si="1943">_xlfn.NUMBERVALUE(LEFT(C1230,2))</f>
        <v>27</v>
      </c>
      <c r="E1230">
        <f t="shared" ref="E1230" si="1944">_xlfn.NUMBERVALUE(MID(C1230,4,2))</f>
        <v>10</v>
      </c>
      <c r="F1230">
        <f t="shared" ref="F1230" si="1945">_xlfn.NUMBERVALUE(RIGHT(C1230,4))</f>
        <v>2023</v>
      </c>
      <c r="G1230" t="s">
        <v>7</v>
      </c>
      <c r="H1230">
        <v>-1</v>
      </c>
      <c r="K1230" t="s">
        <v>9</v>
      </c>
      <c r="L1230" s="8">
        <f t="shared" si="1917"/>
        <v>-1</v>
      </c>
      <c r="M1230" t="s">
        <v>1361</v>
      </c>
    </row>
    <row r="1231" spans="1:13" x14ac:dyDescent="0.35">
      <c r="A1231">
        <f t="shared" si="1908"/>
        <v>1227</v>
      </c>
      <c r="B1231" s="9">
        <f t="shared" ref="B1231" si="1946">B1230+H1231+I1231+J1231</f>
        <v>55.420000000000009</v>
      </c>
      <c r="C1231" s="3" t="s">
        <v>1354</v>
      </c>
      <c r="D1231">
        <f t="shared" ref="D1231" si="1947">_xlfn.NUMBERVALUE(LEFT(C1231,2))</f>
        <v>27</v>
      </c>
      <c r="E1231">
        <f t="shared" ref="E1231" si="1948">_xlfn.NUMBERVALUE(MID(C1231,4,2))</f>
        <v>10</v>
      </c>
      <c r="F1231">
        <f t="shared" ref="F1231" si="1949">_xlfn.NUMBERVALUE(RIGHT(C1231,4))</f>
        <v>2023</v>
      </c>
      <c r="G1231" t="s">
        <v>7</v>
      </c>
      <c r="H1231">
        <v>-1</v>
      </c>
      <c r="K1231" t="s">
        <v>9</v>
      </c>
      <c r="L1231" s="8">
        <f t="shared" si="1917"/>
        <v>-1</v>
      </c>
      <c r="M1231" t="s">
        <v>1362</v>
      </c>
    </row>
    <row r="1232" spans="1:13" x14ac:dyDescent="0.35">
      <c r="A1232">
        <f t="shared" si="1908"/>
        <v>1228</v>
      </c>
      <c r="B1232" s="9">
        <f t="shared" ref="B1232" si="1950">B1231+H1232+I1232+J1232</f>
        <v>57.420000000000009</v>
      </c>
      <c r="C1232" s="3" t="s">
        <v>1354</v>
      </c>
      <c r="D1232">
        <f t="shared" ref="D1232" si="1951">_xlfn.NUMBERVALUE(LEFT(C1232,2))</f>
        <v>27</v>
      </c>
      <c r="E1232">
        <f t="shared" ref="E1232" si="1952">_xlfn.NUMBERVALUE(MID(C1232,4,2))</f>
        <v>10</v>
      </c>
      <c r="F1232">
        <f t="shared" ref="F1232" si="1953">_xlfn.NUMBERVALUE(RIGHT(C1232,4))</f>
        <v>2023</v>
      </c>
      <c r="G1232" t="s">
        <v>7</v>
      </c>
      <c r="H1232">
        <v>-1</v>
      </c>
      <c r="I1232">
        <v>3</v>
      </c>
      <c r="K1232" t="s">
        <v>10</v>
      </c>
      <c r="L1232" s="8">
        <f t="shared" si="1917"/>
        <v>2</v>
      </c>
      <c r="M1232" t="s">
        <v>1363</v>
      </c>
    </row>
    <row r="1233" spans="1:13" x14ac:dyDescent="0.35">
      <c r="A1233">
        <f t="shared" si="1908"/>
        <v>1229</v>
      </c>
      <c r="B1233" s="9">
        <f t="shared" ref="B1233" si="1954">B1232+H1233+I1233+J1233</f>
        <v>56.420000000000009</v>
      </c>
      <c r="C1233" s="3" t="s">
        <v>1354</v>
      </c>
      <c r="D1233">
        <f t="shared" ref="D1233" si="1955">_xlfn.NUMBERVALUE(LEFT(C1233,2))</f>
        <v>27</v>
      </c>
      <c r="E1233">
        <f t="shared" ref="E1233" si="1956">_xlfn.NUMBERVALUE(MID(C1233,4,2))</f>
        <v>10</v>
      </c>
      <c r="F1233">
        <f t="shared" ref="F1233" si="1957">_xlfn.NUMBERVALUE(RIGHT(C1233,4))</f>
        <v>2023</v>
      </c>
      <c r="G1233" t="s">
        <v>7</v>
      </c>
      <c r="H1233">
        <v>-1</v>
      </c>
      <c r="K1233" t="s">
        <v>9</v>
      </c>
      <c r="L1233" s="8">
        <f t="shared" si="1917"/>
        <v>-1</v>
      </c>
      <c r="M1233" t="s">
        <v>1364</v>
      </c>
    </row>
    <row r="1234" spans="1:13" x14ac:dyDescent="0.35">
      <c r="A1234">
        <f t="shared" si="1908"/>
        <v>1230</v>
      </c>
      <c r="B1234" s="9">
        <f t="shared" ref="B1234" si="1958">B1233+H1234+I1234+J1234</f>
        <v>58.420000000000009</v>
      </c>
      <c r="C1234" s="3" t="s">
        <v>1354</v>
      </c>
      <c r="D1234">
        <f t="shared" ref="D1234" si="1959">_xlfn.NUMBERVALUE(LEFT(C1234,2))</f>
        <v>27</v>
      </c>
      <c r="E1234">
        <f t="shared" ref="E1234" si="1960">_xlfn.NUMBERVALUE(MID(C1234,4,2))</f>
        <v>10</v>
      </c>
      <c r="F1234">
        <f t="shared" ref="F1234" si="1961">_xlfn.NUMBERVALUE(RIGHT(C1234,4))</f>
        <v>2023</v>
      </c>
      <c r="G1234" t="s">
        <v>7</v>
      </c>
      <c r="H1234">
        <v>-1</v>
      </c>
      <c r="I1234">
        <v>3</v>
      </c>
      <c r="K1234" t="s">
        <v>10</v>
      </c>
      <c r="L1234" s="8">
        <f t="shared" si="1917"/>
        <v>2</v>
      </c>
      <c r="M1234" t="s">
        <v>1365</v>
      </c>
    </row>
    <row r="1235" spans="1:13" x14ac:dyDescent="0.35">
      <c r="A1235">
        <f t="shared" si="1908"/>
        <v>1231</v>
      </c>
      <c r="B1235" s="9">
        <f t="shared" ref="B1235" si="1962">B1234+H1235+I1235+J1235</f>
        <v>60.420000000000009</v>
      </c>
      <c r="C1235" s="3" t="s">
        <v>1354</v>
      </c>
      <c r="D1235">
        <f t="shared" ref="D1235" si="1963">_xlfn.NUMBERVALUE(LEFT(C1235,2))</f>
        <v>27</v>
      </c>
      <c r="E1235">
        <f t="shared" ref="E1235" si="1964">_xlfn.NUMBERVALUE(MID(C1235,4,2))</f>
        <v>10</v>
      </c>
      <c r="F1235">
        <f t="shared" ref="F1235" si="1965">_xlfn.NUMBERVALUE(RIGHT(C1235,4))</f>
        <v>2023</v>
      </c>
      <c r="G1235" t="s">
        <v>7</v>
      </c>
      <c r="H1235">
        <v>-1</v>
      </c>
      <c r="I1235">
        <v>3</v>
      </c>
      <c r="K1235" t="s">
        <v>10</v>
      </c>
      <c r="L1235" s="8">
        <f t="shared" si="1917"/>
        <v>2</v>
      </c>
      <c r="M1235" t="s">
        <v>1366</v>
      </c>
    </row>
    <row r="1236" spans="1:13" x14ac:dyDescent="0.35">
      <c r="A1236">
        <f t="shared" si="1908"/>
        <v>1232</v>
      </c>
      <c r="B1236" s="9">
        <f t="shared" ref="B1236" si="1966">B1235+H1236+I1236+J1236</f>
        <v>58.420000000000009</v>
      </c>
      <c r="C1236" s="3" t="s">
        <v>1354</v>
      </c>
      <c r="D1236">
        <f t="shared" ref="D1236" si="1967">_xlfn.NUMBERVALUE(LEFT(C1236,2))</f>
        <v>27</v>
      </c>
      <c r="E1236">
        <f t="shared" ref="E1236" si="1968">_xlfn.NUMBERVALUE(MID(C1236,4,2))</f>
        <v>10</v>
      </c>
      <c r="F1236">
        <f t="shared" ref="F1236" si="1969">_xlfn.NUMBERVALUE(RIGHT(C1236,4))</f>
        <v>2023</v>
      </c>
      <c r="G1236" t="s">
        <v>7</v>
      </c>
      <c r="H1236">
        <v>-2</v>
      </c>
      <c r="K1236" t="s">
        <v>9</v>
      </c>
      <c r="L1236" s="8">
        <f t="shared" si="1917"/>
        <v>-1</v>
      </c>
      <c r="M1236" t="s">
        <v>1367</v>
      </c>
    </row>
    <row r="1237" spans="1:13" x14ac:dyDescent="0.35">
      <c r="A1237">
        <f t="shared" si="1908"/>
        <v>1233</v>
      </c>
      <c r="B1237" s="9">
        <f t="shared" ref="B1237" si="1970">B1236+H1237+I1237+J1237</f>
        <v>60.420000000000009</v>
      </c>
      <c r="C1237" s="3" t="s">
        <v>1354</v>
      </c>
      <c r="D1237">
        <f t="shared" ref="D1237" si="1971">_xlfn.NUMBERVALUE(LEFT(C1237,2))</f>
        <v>27</v>
      </c>
      <c r="E1237">
        <f t="shared" ref="E1237" si="1972">_xlfn.NUMBERVALUE(MID(C1237,4,2))</f>
        <v>10</v>
      </c>
      <c r="F1237">
        <f t="shared" ref="F1237" si="1973">_xlfn.NUMBERVALUE(RIGHT(C1237,4))</f>
        <v>2023</v>
      </c>
      <c r="G1237" t="s">
        <v>7</v>
      </c>
      <c r="H1237">
        <v>-2</v>
      </c>
      <c r="I1237">
        <v>4</v>
      </c>
      <c r="K1237" t="s">
        <v>10</v>
      </c>
      <c r="L1237" s="8">
        <f t="shared" si="1917"/>
        <v>1</v>
      </c>
      <c r="M1237" t="s">
        <v>1368</v>
      </c>
    </row>
    <row r="1238" spans="1:13" x14ac:dyDescent="0.35">
      <c r="A1238">
        <f t="shared" si="1908"/>
        <v>1234</v>
      </c>
      <c r="B1238" s="9">
        <f t="shared" ref="B1238" si="1974">B1237+H1238+I1238+J1238</f>
        <v>62.420000000000009</v>
      </c>
      <c r="C1238" s="3" t="s">
        <v>1370</v>
      </c>
      <c r="D1238">
        <f t="shared" ref="D1238" si="1975">_xlfn.NUMBERVALUE(LEFT(C1238,2))</f>
        <v>28</v>
      </c>
      <c r="E1238">
        <f t="shared" ref="E1238" si="1976">_xlfn.NUMBERVALUE(MID(C1238,4,2))</f>
        <v>10</v>
      </c>
      <c r="F1238">
        <f t="shared" ref="F1238" si="1977">_xlfn.NUMBERVALUE(RIGHT(C1238,4))</f>
        <v>2023</v>
      </c>
      <c r="G1238" t="s">
        <v>7</v>
      </c>
      <c r="H1238">
        <v>-2</v>
      </c>
      <c r="I1238">
        <v>4</v>
      </c>
      <c r="K1238" t="s">
        <v>10</v>
      </c>
      <c r="L1238" s="8">
        <f t="shared" si="1917"/>
        <v>1</v>
      </c>
      <c r="M1238" t="s">
        <v>1369</v>
      </c>
    </row>
    <row r="1239" spans="1:13" x14ac:dyDescent="0.35">
      <c r="A1239">
        <f t="shared" si="1908"/>
        <v>1235</v>
      </c>
      <c r="B1239" s="9">
        <f t="shared" ref="B1239" si="1978">B1238+H1239+I1239+J1239</f>
        <v>64.420000000000016</v>
      </c>
      <c r="C1239" s="3" t="s">
        <v>1370</v>
      </c>
      <c r="D1239">
        <f t="shared" ref="D1239" si="1979">_xlfn.NUMBERVALUE(LEFT(C1239,2))</f>
        <v>28</v>
      </c>
      <c r="E1239">
        <f t="shared" ref="E1239" si="1980">_xlfn.NUMBERVALUE(MID(C1239,4,2))</f>
        <v>10</v>
      </c>
      <c r="F1239">
        <f t="shared" ref="F1239" si="1981">_xlfn.NUMBERVALUE(RIGHT(C1239,4))</f>
        <v>2023</v>
      </c>
      <c r="G1239" t="s">
        <v>7</v>
      </c>
      <c r="H1239">
        <v>-2</v>
      </c>
      <c r="I1239">
        <v>4</v>
      </c>
      <c r="K1239" t="s">
        <v>10</v>
      </c>
      <c r="L1239" s="8">
        <f t="shared" si="1917"/>
        <v>1</v>
      </c>
      <c r="M1239" t="s">
        <v>1371</v>
      </c>
    </row>
    <row r="1240" spans="1:13" x14ac:dyDescent="0.35">
      <c r="A1240">
        <f t="shared" si="1908"/>
        <v>1236</v>
      </c>
      <c r="B1240" s="9">
        <f t="shared" ref="B1240:B1241" si="1982">B1239+H1240+I1240+J1240</f>
        <v>58.920000000000016</v>
      </c>
      <c r="C1240" s="3" t="s">
        <v>1370</v>
      </c>
      <c r="D1240">
        <f t="shared" ref="D1240:D1241" si="1983">_xlfn.NUMBERVALUE(LEFT(C1240,2))</f>
        <v>28</v>
      </c>
      <c r="E1240">
        <f t="shared" ref="E1240:E1241" si="1984">_xlfn.NUMBERVALUE(MID(C1240,4,2))</f>
        <v>10</v>
      </c>
      <c r="F1240">
        <f t="shared" ref="F1240:F1241" si="1985">_xlfn.NUMBERVALUE(RIGHT(C1240,4))</f>
        <v>2023</v>
      </c>
      <c r="G1240" t="s">
        <v>44</v>
      </c>
      <c r="H1240">
        <v>-5.5</v>
      </c>
      <c r="K1240" t="s">
        <v>9</v>
      </c>
      <c r="L1240" s="8">
        <f t="shared" si="1917"/>
        <v>-1</v>
      </c>
      <c r="M1240" t="s">
        <v>1372</v>
      </c>
    </row>
    <row r="1241" spans="1:13" x14ac:dyDescent="0.35">
      <c r="A1241">
        <f t="shared" si="1908"/>
        <v>1237</v>
      </c>
      <c r="B1241" s="9">
        <f t="shared" si="1982"/>
        <v>56.920000000000016</v>
      </c>
      <c r="C1241" s="3" t="s">
        <v>1370</v>
      </c>
      <c r="D1241">
        <f t="shared" si="1983"/>
        <v>28</v>
      </c>
      <c r="E1241">
        <f t="shared" si="1984"/>
        <v>10</v>
      </c>
      <c r="F1241">
        <f t="shared" si="1985"/>
        <v>2023</v>
      </c>
      <c r="G1241" t="s">
        <v>7</v>
      </c>
      <c r="H1241">
        <v>-2</v>
      </c>
      <c r="K1241" t="s">
        <v>9</v>
      </c>
      <c r="L1241" s="8">
        <f t="shared" si="1917"/>
        <v>-1</v>
      </c>
      <c r="M1241" t="s">
        <v>1373</v>
      </c>
    </row>
    <row r="1242" spans="1:13" x14ac:dyDescent="0.35">
      <c r="A1242">
        <f t="shared" si="1908"/>
        <v>1238</v>
      </c>
      <c r="B1242" s="9">
        <f t="shared" ref="B1242" si="1986">B1241+H1242+I1242+J1242</f>
        <v>54.920000000000016</v>
      </c>
      <c r="C1242" s="3" t="s">
        <v>1370</v>
      </c>
      <c r="D1242">
        <f t="shared" ref="D1242" si="1987">_xlfn.NUMBERVALUE(LEFT(C1242,2))</f>
        <v>28</v>
      </c>
      <c r="E1242">
        <f t="shared" ref="E1242" si="1988">_xlfn.NUMBERVALUE(MID(C1242,4,2))</f>
        <v>10</v>
      </c>
      <c r="F1242">
        <f t="shared" ref="F1242" si="1989">_xlfn.NUMBERVALUE(RIGHT(C1242,4))</f>
        <v>2023</v>
      </c>
      <c r="G1242" t="s">
        <v>7</v>
      </c>
      <c r="H1242">
        <v>-2</v>
      </c>
      <c r="K1242" t="s">
        <v>9</v>
      </c>
      <c r="L1242" s="8">
        <f t="shared" si="1917"/>
        <v>-1</v>
      </c>
      <c r="M1242" t="s">
        <v>1374</v>
      </c>
    </row>
    <row r="1243" spans="1:13" x14ac:dyDescent="0.35">
      <c r="A1243">
        <f t="shared" si="1908"/>
        <v>1239</v>
      </c>
      <c r="B1243" s="9">
        <f t="shared" ref="B1243" si="1990">B1242+H1243+I1243+J1243</f>
        <v>58.920000000000016</v>
      </c>
      <c r="C1243" s="3" t="s">
        <v>1370</v>
      </c>
      <c r="D1243">
        <f t="shared" ref="D1243" si="1991">_xlfn.NUMBERVALUE(LEFT(C1243,2))</f>
        <v>28</v>
      </c>
      <c r="E1243">
        <f t="shared" ref="E1243" si="1992">_xlfn.NUMBERVALUE(MID(C1243,4,2))</f>
        <v>10</v>
      </c>
      <c r="F1243">
        <f t="shared" ref="F1243" si="1993">_xlfn.NUMBERVALUE(RIGHT(C1243,4))</f>
        <v>2023</v>
      </c>
      <c r="G1243" t="s">
        <v>7</v>
      </c>
      <c r="H1243">
        <v>-2</v>
      </c>
      <c r="I1243">
        <v>6</v>
      </c>
      <c r="K1243" t="s">
        <v>10</v>
      </c>
      <c r="L1243" s="8">
        <f t="shared" si="1917"/>
        <v>2</v>
      </c>
      <c r="M1243" t="s">
        <v>1375</v>
      </c>
    </row>
    <row r="1244" spans="1:13" x14ac:dyDescent="0.35">
      <c r="A1244">
        <f t="shared" si="1908"/>
        <v>1240</v>
      </c>
      <c r="B1244" s="9">
        <f t="shared" ref="B1244" si="1994">B1243+H1244+I1244+J1244</f>
        <v>56.920000000000016</v>
      </c>
      <c r="C1244" s="3" t="s">
        <v>1370</v>
      </c>
      <c r="D1244">
        <f t="shared" ref="D1244" si="1995">_xlfn.NUMBERVALUE(LEFT(C1244,2))</f>
        <v>28</v>
      </c>
      <c r="E1244">
        <f t="shared" ref="E1244" si="1996">_xlfn.NUMBERVALUE(MID(C1244,4,2))</f>
        <v>10</v>
      </c>
      <c r="F1244">
        <f t="shared" ref="F1244" si="1997">_xlfn.NUMBERVALUE(RIGHT(C1244,4))</f>
        <v>2023</v>
      </c>
      <c r="G1244" t="s">
        <v>7</v>
      </c>
      <c r="H1244">
        <v>-2</v>
      </c>
      <c r="K1244" t="s">
        <v>9</v>
      </c>
      <c r="L1244" s="8">
        <f t="shared" si="1917"/>
        <v>-1</v>
      </c>
      <c r="M1244" t="s">
        <v>1376</v>
      </c>
    </row>
    <row r="1245" spans="1:13" x14ac:dyDescent="0.35">
      <c r="A1245">
        <f t="shared" si="1908"/>
        <v>1241</v>
      </c>
      <c r="B1245" s="9">
        <f t="shared" ref="B1245" si="1998">B1244+H1245+I1245+J1245</f>
        <v>54.920000000000016</v>
      </c>
      <c r="C1245" s="3" t="s">
        <v>1370</v>
      </c>
      <c r="D1245">
        <f t="shared" ref="D1245" si="1999">_xlfn.NUMBERVALUE(LEFT(C1245,2))</f>
        <v>28</v>
      </c>
      <c r="E1245">
        <f t="shared" ref="E1245" si="2000">_xlfn.NUMBERVALUE(MID(C1245,4,2))</f>
        <v>10</v>
      </c>
      <c r="F1245">
        <f t="shared" ref="F1245" si="2001">_xlfn.NUMBERVALUE(RIGHT(C1245,4))</f>
        <v>2023</v>
      </c>
      <c r="G1245" t="s">
        <v>7</v>
      </c>
      <c r="H1245">
        <v>-2</v>
      </c>
      <c r="K1245" t="s">
        <v>9</v>
      </c>
      <c r="L1245" s="8">
        <f t="shared" si="1917"/>
        <v>-1</v>
      </c>
      <c r="M1245" t="s">
        <v>1377</v>
      </c>
    </row>
    <row r="1246" spans="1:13" x14ac:dyDescent="0.35">
      <c r="A1246">
        <f t="shared" si="1908"/>
        <v>1242</v>
      </c>
      <c r="B1246" s="9">
        <f t="shared" ref="B1246" si="2002">B1245+H1246+I1246+J1246</f>
        <v>52.920000000000016</v>
      </c>
      <c r="C1246" s="3" t="s">
        <v>1370</v>
      </c>
      <c r="D1246">
        <f t="shared" ref="D1246" si="2003">_xlfn.NUMBERVALUE(LEFT(C1246,2))</f>
        <v>28</v>
      </c>
      <c r="E1246">
        <f t="shared" ref="E1246" si="2004">_xlfn.NUMBERVALUE(MID(C1246,4,2))</f>
        <v>10</v>
      </c>
      <c r="F1246">
        <f t="shared" ref="F1246" si="2005">_xlfn.NUMBERVALUE(RIGHT(C1246,4))</f>
        <v>2023</v>
      </c>
      <c r="G1246" t="s">
        <v>7</v>
      </c>
      <c r="H1246">
        <v>-2</v>
      </c>
      <c r="K1246" t="s">
        <v>9</v>
      </c>
      <c r="L1246" s="8">
        <f t="shared" si="1917"/>
        <v>-1</v>
      </c>
      <c r="M1246" t="s">
        <v>1378</v>
      </c>
    </row>
    <row r="1247" spans="1:13" x14ac:dyDescent="0.35">
      <c r="A1247">
        <f t="shared" si="1908"/>
        <v>1243</v>
      </c>
      <c r="B1247" s="9">
        <f t="shared" ref="B1247" si="2006">B1246+H1247+I1247+J1247</f>
        <v>50.920000000000016</v>
      </c>
      <c r="C1247" s="3" t="s">
        <v>1370</v>
      </c>
      <c r="D1247">
        <f t="shared" ref="D1247" si="2007">_xlfn.NUMBERVALUE(LEFT(C1247,2))</f>
        <v>28</v>
      </c>
      <c r="E1247">
        <f t="shared" ref="E1247" si="2008">_xlfn.NUMBERVALUE(MID(C1247,4,2))</f>
        <v>10</v>
      </c>
      <c r="F1247">
        <f t="shared" ref="F1247" si="2009">_xlfn.NUMBERVALUE(RIGHT(C1247,4))</f>
        <v>2023</v>
      </c>
      <c r="G1247" t="s">
        <v>7</v>
      </c>
      <c r="H1247">
        <v>-2</v>
      </c>
      <c r="K1247" t="s">
        <v>9</v>
      </c>
      <c r="L1247" s="8">
        <f t="shared" si="1917"/>
        <v>-1</v>
      </c>
      <c r="M1247" t="s">
        <v>1379</v>
      </c>
    </row>
    <row r="1248" spans="1:13" x14ac:dyDescent="0.35">
      <c r="A1248">
        <f t="shared" si="1908"/>
        <v>1244</v>
      </c>
      <c r="B1248" s="9">
        <f t="shared" ref="B1248" si="2010">B1247+H1248+I1248+J1248</f>
        <v>54.920000000000016</v>
      </c>
      <c r="C1248" s="3" t="s">
        <v>1381</v>
      </c>
      <c r="D1248">
        <f t="shared" ref="D1248" si="2011">_xlfn.NUMBERVALUE(LEFT(C1248,2))</f>
        <v>30</v>
      </c>
      <c r="E1248">
        <f t="shared" ref="E1248" si="2012">_xlfn.NUMBERVALUE(MID(C1248,4,2))</f>
        <v>10</v>
      </c>
      <c r="F1248">
        <f t="shared" ref="F1248" si="2013">_xlfn.NUMBERVALUE(RIGHT(C1248,4))</f>
        <v>2023</v>
      </c>
      <c r="G1248" t="s">
        <v>7</v>
      </c>
      <c r="H1248">
        <v>-2</v>
      </c>
      <c r="I1248">
        <v>6</v>
      </c>
      <c r="K1248" t="s">
        <v>10</v>
      </c>
      <c r="L1248" s="8">
        <f t="shared" si="1917"/>
        <v>2</v>
      </c>
      <c r="M1248" t="s">
        <v>1380</v>
      </c>
    </row>
    <row r="1249" spans="1:13" x14ac:dyDescent="0.35">
      <c r="A1249">
        <f t="shared" si="1908"/>
        <v>1245</v>
      </c>
      <c r="B1249" s="9">
        <f t="shared" ref="B1249" si="2014">B1248+H1249+I1249+J1249</f>
        <v>52.920000000000016</v>
      </c>
      <c r="C1249" s="3" t="s">
        <v>1381</v>
      </c>
      <c r="D1249">
        <f t="shared" ref="D1249" si="2015">_xlfn.NUMBERVALUE(LEFT(C1249,2))</f>
        <v>30</v>
      </c>
      <c r="E1249">
        <f t="shared" ref="E1249" si="2016">_xlfn.NUMBERVALUE(MID(C1249,4,2))</f>
        <v>10</v>
      </c>
      <c r="F1249">
        <f t="shared" ref="F1249" si="2017">_xlfn.NUMBERVALUE(RIGHT(C1249,4))</f>
        <v>2023</v>
      </c>
      <c r="G1249" t="s">
        <v>7</v>
      </c>
      <c r="H1249">
        <v>-2</v>
      </c>
      <c r="K1249" t="s">
        <v>9</v>
      </c>
      <c r="L1249" s="8">
        <f t="shared" si="1917"/>
        <v>-1</v>
      </c>
      <c r="M1249" t="s">
        <v>1382</v>
      </c>
    </row>
    <row r="1250" spans="1:13" x14ac:dyDescent="0.35">
      <c r="A1250">
        <f t="shared" si="1908"/>
        <v>1246</v>
      </c>
      <c r="B1250" s="9">
        <f t="shared" ref="B1250" si="2018">B1249+H1250+I1250+J1250</f>
        <v>56.920000000000016</v>
      </c>
      <c r="C1250" s="3" t="s">
        <v>1381</v>
      </c>
      <c r="D1250">
        <f t="shared" ref="D1250" si="2019">_xlfn.NUMBERVALUE(LEFT(C1250,2))</f>
        <v>30</v>
      </c>
      <c r="E1250">
        <f t="shared" ref="E1250" si="2020">_xlfn.NUMBERVALUE(MID(C1250,4,2))</f>
        <v>10</v>
      </c>
      <c r="F1250">
        <f t="shared" ref="F1250" si="2021">_xlfn.NUMBERVALUE(RIGHT(C1250,4))</f>
        <v>2023</v>
      </c>
      <c r="G1250" t="s">
        <v>7</v>
      </c>
      <c r="H1250">
        <v>-2</v>
      </c>
      <c r="I1250">
        <v>6</v>
      </c>
      <c r="K1250" t="s">
        <v>10</v>
      </c>
      <c r="L1250" s="8">
        <f t="shared" si="1917"/>
        <v>2</v>
      </c>
      <c r="M1250" t="s">
        <v>1383</v>
      </c>
    </row>
    <row r="1251" spans="1:13" x14ac:dyDescent="0.35">
      <c r="A1251">
        <f t="shared" si="1908"/>
        <v>1247</v>
      </c>
      <c r="B1251" s="9">
        <f t="shared" ref="B1251" si="2022">B1250+H1251+I1251+J1251</f>
        <v>62.920000000000016</v>
      </c>
      <c r="C1251" s="3" t="s">
        <v>1381</v>
      </c>
      <c r="D1251">
        <f t="shared" ref="D1251" si="2023">_xlfn.NUMBERVALUE(LEFT(C1251,2))</f>
        <v>30</v>
      </c>
      <c r="E1251">
        <f t="shared" ref="E1251" si="2024">_xlfn.NUMBERVALUE(MID(C1251,4,2))</f>
        <v>10</v>
      </c>
      <c r="F1251">
        <f t="shared" ref="F1251" si="2025">_xlfn.NUMBERVALUE(RIGHT(C1251,4))</f>
        <v>2023</v>
      </c>
      <c r="G1251" t="s">
        <v>7</v>
      </c>
      <c r="H1251">
        <v>-2</v>
      </c>
      <c r="I1251">
        <v>8</v>
      </c>
      <c r="K1251" t="s">
        <v>10</v>
      </c>
      <c r="L1251" s="8">
        <f t="shared" si="1917"/>
        <v>3</v>
      </c>
      <c r="M1251" t="s">
        <v>1384</v>
      </c>
    </row>
    <row r="1252" spans="1:13" x14ac:dyDescent="0.35">
      <c r="A1252">
        <f t="shared" si="1908"/>
        <v>1248</v>
      </c>
      <c r="B1252" s="9">
        <f t="shared" ref="B1252" si="2026">B1251+H1252+I1252+J1252</f>
        <v>64.920000000000016</v>
      </c>
      <c r="C1252" s="3" t="s">
        <v>1381</v>
      </c>
      <c r="D1252">
        <f t="shared" ref="D1252" si="2027">_xlfn.NUMBERVALUE(LEFT(C1252,2))</f>
        <v>30</v>
      </c>
      <c r="E1252">
        <f t="shared" ref="E1252" si="2028">_xlfn.NUMBERVALUE(MID(C1252,4,2))</f>
        <v>10</v>
      </c>
      <c r="F1252">
        <f t="shared" ref="F1252" si="2029">_xlfn.NUMBERVALUE(RIGHT(C1252,4))</f>
        <v>2023</v>
      </c>
      <c r="G1252" t="s">
        <v>7</v>
      </c>
      <c r="H1252">
        <v>-2</v>
      </c>
      <c r="I1252">
        <v>4</v>
      </c>
      <c r="K1252" t="s">
        <v>10</v>
      </c>
      <c r="L1252" s="8">
        <f t="shared" si="1917"/>
        <v>1</v>
      </c>
      <c r="M1252" t="s">
        <v>1385</v>
      </c>
    </row>
    <row r="1253" spans="1:13" x14ac:dyDescent="0.35">
      <c r="A1253">
        <f t="shared" si="1908"/>
        <v>1249</v>
      </c>
      <c r="B1253" s="9">
        <f t="shared" ref="B1253" si="2030">B1252+H1253+I1253+J1253</f>
        <v>66.920000000000016</v>
      </c>
      <c r="C1253" s="3" t="s">
        <v>1386</v>
      </c>
      <c r="D1253">
        <f t="shared" ref="D1253" si="2031">_xlfn.NUMBERVALUE(LEFT(C1253,2))</f>
        <v>1</v>
      </c>
      <c r="E1253">
        <f t="shared" ref="E1253" si="2032">_xlfn.NUMBERVALUE(MID(C1253,4,2))</f>
        <v>11</v>
      </c>
      <c r="F1253">
        <f t="shared" ref="F1253" si="2033">_xlfn.NUMBERVALUE(RIGHT(C1253,4))</f>
        <v>2023</v>
      </c>
      <c r="G1253" t="s">
        <v>7</v>
      </c>
      <c r="H1253">
        <v>-2</v>
      </c>
      <c r="I1253">
        <v>4</v>
      </c>
      <c r="K1253" t="s">
        <v>10</v>
      </c>
      <c r="L1253" s="8">
        <f t="shared" si="1917"/>
        <v>1</v>
      </c>
      <c r="M1253" t="s">
        <v>1387</v>
      </c>
    </row>
    <row r="1254" spans="1:13" x14ac:dyDescent="0.35">
      <c r="A1254">
        <f t="shared" si="1908"/>
        <v>1250</v>
      </c>
      <c r="B1254" s="9">
        <f t="shared" ref="B1254" si="2034">B1253+H1254+I1254+J1254</f>
        <v>64.920000000000016</v>
      </c>
      <c r="C1254" s="3" t="s">
        <v>1386</v>
      </c>
      <c r="D1254">
        <f t="shared" ref="D1254" si="2035">_xlfn.NUMBERVALUE(LEFT(C1254,2))</f>
        <v>1</v>
      </c>
      <c r="E1254">
        <f t="shared" ref="E1254" si="2036">_xlfn.NUMBERVALUE(MID(C1254,4,2))</f>
        <v>11</v>
      </c>
      <c r="F1254">
        <f t="shared" ref="F1254" si="2037">_xlfn.NUMBERVALUE(RIGHT(C1254,4))</f>
        <v>2023</v>
      </c>
      <c r="G1254" t="s">
        <v>7</v>
      </c>
      <c r="H1254">
        <v>-2</v>
      </c>
      <c r="K1254" t="s">
        <v>9</v>
      </c>
      <c r="L1254" s="8">
        <f t="shared" si="1917"/>
        <v>-1</v>
      </c>
      <c r="M1254" t="s">
        <v>1388</v>
      </c>
    </row>
    <row r="1255" spans="1:13" x14ac:dyDescent="0.35">
      <c r="A1255">
        <f t="shared" si="1908"/>
        <v>1251</v>
      </c>
      <c r="B1255" s="9">
        <f t="shared" ref="B1255" si="2038">B1254+H1255+I1255+J1255</f>
        <v>65.930000000000021</v>
      </c>
      <c r="C1255" s="3" t="s">
        <v>1386</v>
      </c>
      <c r="D1255">
        <f t="shared" ref="D1255" si="2039">_xlfn.NUMBERVALUE(LEFT(C1255,2))</f>
        <v>1</v>
      </c>
      <c r="E1255">
        <f t="shared" ref="E1255" si="2040">_xlfn.NUMBERVALUE(MID(C1255,4,2))</f>
        <v>11</v>
      </c>
      <c r="F1255">
        <f t="shared" ref="F1255" si="2041">_xlfn.NUMBERVALUE(RIGHT(C1255,4))</f>
        <v>2023</v>
      </c>
      <c r="G1255" t="s">
        <v>1389</v>
      </c>
      <c r="H1255">
        <v>-1.92</v>
      </c>
      <c r="I1255">
        <v>2.93</v>
      </c>
      <c r="K1255" t="s">
        <v>10</v>
      </c>
      <c r="L1255" s="8">
        <f t="shared" si="1917"/>
        <v>0.52604166666666674</v>
      </c>
      <c r="M1255" t="s">
        <v>1390</v>
      </c>
    </row>
    <row r="1256" spans="1:13" x14ac:dyDescent="0.35">
      <c r="A1256">
        <f t="shared" si="1908"/>
        <v>1252</v>
      </c>
      <c r="B1256" s="9">
        <f t="shared" ref="B1256:B1257" si="2042">B1255+H1256+I1256+J1256</f>
        <v>64.000000000000014</v>
      </c>
      <c r="C1256" s="3" t="s">
        <v>1386</v>
      </c>
      <c r="D1256">
        <f t="shared" ref="D1256:D1257" si="2043">_xlfn.NUMBERVALUE(LEFT(C1256,2))</f>
        <v>1</v>
      </c>
      <c r="E1256">
        <f t="shared" ref="E1256:E1257" si="2044">_xlfn.NUMBERVALUE(MID(C1256,4,2))</f>
        <v>11</v>
      </c>
      <c r="F1256">
        <f t="shared" ref="F1256:F1257" si="2045">_xlfn.NUMBERVALUE(RIGHT(C1256,4))</f>
        <v>2023</v>
      </c>
      <c r="G1256" t="s">
        <v>1389</v>
      </c>
      <c r="H1256">
        <v>-1.93</v>
      </c>
      <c r="K1256" t="s">
        <v>9</v>
      </c>
      <c r="L1256" s="8">
        <f t="shared" si="1917"/>
        <v>-1</v>
      </c>
      <c r="M1256" t="s">
        <v>1391</v>
      </c>
    </row>
    <row r="1257" spans="1:13" x14ac:dyDescent="0.35">
      <c r="A1257">
        <f t="shared" si="1908"/>
        <v>1253</v>
      </c>
      <c r="B1257" s="9">
        <f t="shared" si="2042"/>
        <v>68.000000000000014</v>
      </c>
      <c r="C1257" s="3" t="s">
        <v>1386</v>
      </c>
      <c r="D1257">
        <f t="shared" si="2043"/>
        <v>1</v>
      </c>
      <c r="E1257">
        <f t="shared" si="2044"/>
        <v>11</v>
      </c>
      <c r="F1257">
        <f t="shared" si="2045"/>
        <v>2023</v>
      </c>
      <c r="G1257" t="s">
        <v>7</v>
      </c>
      <c r="H1257">
        <v>-2</v>
      </c>
      <c r="I1257">
        <v>6</v>
      </c>
      <c r="K1257" t="s">
        <v>10</v>
      </c>
      <c r="L1257" s="8">
        <f t="shared" si="1917"/>
        <v>2</v>
      </c>
      <c r="M1257" t="s">
        <v>1392</v>
      </c>
    </row>
    <row r="1258" spans="1:13" x14ac:dyDescent="0.35">
      <c r="A1258">
        <f t="shared" si="1908"/>
        <v>1254</v>
      </c>
      <c r="B1258" s="9">
        <f t="shared" ref="B1258" si="2046">B1257+H1258+I1258+J1258</f>
        <v>66.000000000000014</v>
      </c>
      <c r="C1258" s="3" t="s">
        <v>1386</v>
      </c>
      <c r="D1258">
        <f t="shared" ref="D1258" si="2047">_xlfn.NUMBERVALUE(LEFT(C1258,2))</f>
        <v>1</v>
      </c>
      <c r="E1258">
        <f t="shared" ref="E1258" si="2048">_xlfn.NUMBERVALUE(MID(C1258,4,2))</f>
        <v>11</v>
      </c>
      <c r="F1258">
        <f t="shared" ref="F1258" si="2049">_xlfn.NUMBERVALUE(RIGHT(C1258,4))</f>
        <v>2023</v>
      </c>
      <c r="G1258" t="s">
        <v>7</v>
      </c>
      <c r="H1258">
        <v>-2</v>
      </c>
      <c r="K1258" t="s">
        <v>9</v>
      </c>
      <c r="L1258" s="8">
        <f t="shared" si="1917"/>
        <v>-1</v>
      </c>
      <c r="M1258" t="s">
        <v>1393</v>
      </c>
    </row>
    <row r="1259" spans="1:13" x14ac:dyDescent="0.35">
      <c r="A1259">
        <f t="shared" si="1908"/>
        <v>1255</v>
      </c>
      <c r="B1259" s="9">
        <f t="shared" ref="B1259" si="2050">B1258+H1259+I1259+J1259</f>
        <v>64.000000000000014</v>
      </c>
      <c r="C1259" s="3" t="s">
        <v>1394</v>
      </c>
      <c r="D1259">
        <f t="shared" ref="D1259" si="2051">_xlfn.NUMBERVALUE(LEFT(C1259,2))</f>
        <v>2</v>
      </c>
      <c r="E1259">
        <f t="shared" ref="E1259" si="2052">_xlfn.NUMBERVALUE(MID(C1259,4,2))</f>
        <v>11</v>
      </c>
      <c r="F1259">
        <f t="shared" ref="F1259" si="2053">_xlfn.NUMBERVALUE(RIGHT(C1259,4))</f>
        <v>2023</v>
      </c>
      <c r="G1259" t="s">
        <v>7</v>
      </c>
      <c r="H1259">
        <v>-2</v>
      </c>
      <c r="K1259" t="s">
        <v>9</v>
      </c>
      <c r="L1259" s="8">
        <f t="shared" si="1917"/>
        <v>-1</v>
      </c>
      <c r="M1259" t="s">
        <v>1395</v>
      </c>
    </row>
    <row r="1260" spans="1:13" x14ac:dyDescent="0.35">
      <c r="A1260">
        <f t="shared" si="1908"/>
        <v>1256</v>
      </c>
      <c r="B1260" s="9">
        <f t="shared" ref="B1260" si="2054">B1259+H1260+I1260+J1260</f>
        <v>62.000000000000014</v>
      </c>
      <c r="C1260" s="3" t="s">
        <v>1394</v>
      </c>
      <c r="D1260">
        <f t="shared" ref="D1260" si="2055">_xlfn.NUMBERVALUE(LEFT(C1260,2))</f>
        <v>2</v>
      </c>
      <c r="E1260">
        <f t="shared" ref="E1260" si="2056">_xlfn.NUMBERVALUE(MID(C1260,4,2))</f>
        <v>11</v>
      </c>
      <c r="F1260">
        <f t="shared" ref="F1260" si="2057">_xlfn.NUMBERVALUE(RIGHT(C1260,4))</f>
        <v>2023</v>
      </c>
      <c r="G1260" t="s">
        <v>7</v>
      </c>
      <c r="H1260">
        <v>-2</v>
      </c>
      <c r="K1260" t="s">
        <v>9</v>
      </c>
      <c r="L1260" s="8">
        <f t="shared" si="1917"/>
        <v>-1</v>
      </c>
      <c r="M1260" t="s">
        <v>1396</v>
      </c>
    </row>
    <row r="1261" spans="1:13" x14ac:dyDescent="0.35">
      <c r="A1261">
        <f t="shared" si="1908"/>
        <v>1257</v>
      </c>
      <c r="B1261" s="9">
        <f t="shared" ref="B1261" si="2058">B1260+H1261+I1261+J1261</f>
        <v>60.000000000000014</v>
      </c>
      <c r="C1261" s="3" t="s">
        <v>1394</v>
      </c>
      <c r="D1261">
        <f t="shared" ref="D1261" si="2059">_xlfn.NUMBERVALUE(LEFT(C1261,2))</f>
        <v>2</v>
      </c>
      <c r="E1261">
        <f t="shared" ref="E1261" si="2060">_xlfn.NUMBERVALUE(MID(C1261,4,2))</f>
        <v>11</v>
      </c>
      <c r="F1261">
        <f t="shared" ref="F1261" si="2061">_xlfn.NUMBERVALUE(RIGHT(C1261,4))</f>
        <v>2023</v>
      </c>
      <c r="G1261" t="s">
        <v>7</v>
      </c>
      <c r="H1261">
        <v>-2</v>
      </c>
      <c r="K1261" t="s">
        <v>9</v>
      </c>
      <c r="L1261" s="8">
        <f t="shared" si="1917"/>
        <v>-1</v>
      </c>
      <c r="M1261" t="s">
        <v>1397</v>
      </c>
    </row>
    <row r="1262" spans="1:13" x14ac:dyDescent="0.35">
      <c r="A1262">
        <f t="shared" si="1908"/>
        <v>1258</v>
      </c>
      <c r="B1262" s="9">
        <f t="shared" ref="B1262" si="2062">B1261+H1262+I1262+J1262</f>
        <v>58.000000000000014</v>
      </c>
      <c r="C1262" s="3" t="s">
        <v>1394</v>
      </c>
      <c r="D1262">
        <f t="shared" ref="D1262" si="2063">_xlfn.NUMBERVALUE(LEFT(C1262,2))</f>
        <v>2</v>
      </c>
      <c r="E1262">
        <f t="shared" ref="E1262" si="2064">_xlfn.NUMBERVALUE(MID(C1262,4,2))</f>
        <v>11</v>
      </c>
      <c r="F1262">
        <f t="shared" ref="F1262" si="2065">_xlfn.NUMBERVALUE(RIGHT(C1262,4))</f>
        <v>2023</v>
      </c>
      <c r="G1262" t="s">
        <v>7</v>
      </c>
      <c r="H1262">
        <v>-2</v>
      </c>
      <c r="K1262" t="s">
        <v>9</v>
      </c>
      <c r="L1262" s="8">
        <f t="shared" si="1917"/>
        <v>-1</v>
      </c>
      <c r="M1262" t="s">
        <v>1398</v>
      </c>
    </row>
    <row r="1263" spans="1:13" x14ac:dyDescent="0.35">
      <c r="A1263">
        <f t="shared" si="1908"/>
        <v>1259</v>
      </c>
      <c r="B1263" s="9">
        <f t="shared" ref="B1263:B1264" si="2066">B1262+H1263+I1263+J1263</f>
        <v>66.000000000000014</v>
      </c>
      <c r="C1263" s="3" t="s">
        <v>1394</v>
      </c>
      <c r="D1263">
        <f t="shared" ref="D1263:D1264" si="2067">_xlfn.NUMBERVALUE(LEFT(C1263,2))</f>
        <v>2</v>
      </c>
      <c r="E1263">
        <f t="shared" ref="E1263:E1264" si="2068">_xlfn.NUMBERVALUE(MID(C1263,4,2))</f>
        <v>11</v>
      </c>
      <c r="F1263">
        <f t="shared" ref="F1263:F1264" si="2069">_xlfn.NUMBERVALUE(RIGHT(C1263,4))</f>
        <v>2023</v>
      </c>
      <c r="G1263" t="s">
        <v>7</v>
      </c>
      <c r="I1263">
        <v>8</v>
      </c>
      <c r="K1263" t="s">
        <v>10</v>
      </c>
      <c r="L1263" s="8">
        <f t="shared" si="1917"/>
        <v>0</v>
      </c>
      <c r="M1263" t="s">
        <v>1399</v>
      </c>
    </row>
    <row r="1264" spans="1:13" x14ac:dyDescent="0.35">
      <c r="A1264">
        <f t="shared" si="1908"/>
        <v>1260</v>
      </c>
      <c r="B1264" s="9">
        <f t="shared" si="2066"/>
        <v>64.000000000000014</v>
      </c>
      <c r="C1264" s="3" t="s">
        <v>1394</v>
      </c>
      <c r="D1264">
        <f t="shared" si="2067"/>
        <v>2</v>
      </c>
      <c r="E1264">
        <f t="shared" si="2068"/>
        <v>11</v>
      </c>
      <c r="F1264">
        <f t="shared" si="2069"/>
        <v>2023</v>
      </c>
      <c r="G1264" t="s">
        <v>7</v>
      </c>
      <c r="H1264">
        <v>-2</v>
      </c>
      <c r="K1264" t="s">
        <v>9</v>
      </c>
      <c r="L1264" s="8">
        <f t="shared" si="1917"/>
        <v>-1</v>
      </c>
      <c r="M1264" t="s">
        <v>1400</v>
      </c>
    </row>
    <row r="1265" spans="1:13" x14ac:dyDescent="0.35">
      <c r="A1265">
        <f t="shared" si="1908"/>
        <v>1261</v>
      </c>
      <c r="B1265" s="9">
        <f t="shared" ref="B1265" si="2070">B1264+H1265+I1265+J1265</f>
        <v>66.000000000000014</v>
      </c>
      <c r="C1265" s="3" t="s">
        <v>1394</v>
      </c>
      <c r="D1265">
        <f t="shared" ref="D1265" si="2071">_xlfn.NUMBERVALUE(LEFT(C1265,2))</f>
        <v>2</v>
      </c>
      <c r="E1265">
        <f t="shared" ref="E1265" si="2072">_xlfn.NUMBERVALUE(MID(C1265,4,2))</f>
        <v>11</v>
      </c>
      <c r="F1265">
        <f t="shared" ref="F1265" si="2073">_xlfn.NUMBERVALUE(RIGHT(C1265,4))</f>
        <v>2023</v>
      </c>
      <c r="G1265" t="s">
        <v>7</v>
      </c>
      <c r="H1265">
        <v>-2</v>
      </c>
      <c r="I1265">
        <v>4</v>
      </c>
      <c r="K1265" t="s">
        <v>10</v>
      </c>
      <c r="L1265" s="8">
        <f t="shared" si="1917"/>
        <v>1</v>
      </c>
      <c r="M1265" t="s">
        <v>1401</v>
      </c>
    </row>
    <row r="1266" spans="1:13" x14ac:dyDescent="0.35">
      <c r="A1266">
        <f t="shared" si="1908"/>
        <v>1262</v>
      </c>
      <c r="B1266" s="9">
        <f t="shared" ref="B1266" si="2074">B1265+H1266+I1266+J1266</f>
        <v>68.000000000000014</v>
      </c>
      <c r="C1266" s="3" t="s">
        <v>1394</v>
      </c>
      <c r="D1266">
        <f t="shared" ref="D1266" si="2075">_xlfn.NUMBERVALUE(LEFT(C1266,2))</f>
        <v>2</v>
      </c>
      <c r="E1266">
        <f t="shared" ref="E1266" si="2076">_xlfn.NUMBERVALUE(MID(C1266,4,2))</f>
        <v>11</v>
      </c>
      <c r="F1266">
        <f t="shared" ref="F1266" si="2077">_xlfn.NUMBERVALUE(RIGHT(C1266,4))</f>
        <v>2023</v>
      </c>
      <c r="G1266" t="s">
        <v>7</v>
      </c>
      <c r="H1266">
        <v>-2</v>
      </c>
      <c r="I1266">
        <v>4</v>
      </c>
      <c r="K1266" t="s">
        <v>10</v>
      </c>
      <c r="L1266" s="8">
        <f t="shared" si="1917"/>
        <v>1</v>
      </c>
      <c r="M1266" t="s">
        <v>1402</v>
      </c>
    </row>
    <row r="1267" spans="1:13" x14ac:dyDescent="0.35">
      <c r="A1267">
        <f t="shared" si="1908"/>
        <v>1263</v>
      </c>
      <c r="B1267" s="9">
        <f t="shared" ref="B1267" si="2078">B1266+H1267+I1267+J1267</f>
        <v>70.000000000000014</v>
      </c>
      <c r="C1267" s="3" t="s">
        <v>1394</v>
      </c>
      <c r="D1267">
        <f t="shared" ref="D1267" si="2079">_xlfn.NUMBERVALUE(LEFT(C1267,2))</f>
        <v>2</v>
      </c>
      <c r="E1267">
        <f t="shared" ref="E1267" si="2080">_xlfn.NUMBERVALUE(MID(C1267,4,2))</f>
        <v>11</v>
      </c>
      <c r="F1267">
        <f t="shared" ref="F1267" si="2081">_xlfn.NUMBERVALUE(RIGHT(C1267,4))</f>
        <v>2023</v>
      </c>
      <c r="G1267" t="s">
        <v>7</v>
      </c>
      <c r="H1267">
        <v>-2</v>
      </c>
      <c r="I1267">
        <v>4</v>
      </c>
      <c r="K1267" t="s">
        <v>10</v>
      </c>
      <c r="L1267" s="8">
        <f t="shared" si="1917"/>
        <v>1</v>
      </c>
      <c r="M1267" t="s">
        <v>1403</v>
      </c>
    </row>
    <row r="1268" spans="1:13" x14ac:dyDescent="0.35">
      <c r="A1268">
        <f t="shared" si="1908"/>
        <v>1264</v>
      </c>
      <c r="B1268" s="9">
        <f t="shared" ref="B1268" si="2082">B1267+H1268+I1268+J1268</f>
        <v>68.000000000000014</v>
      </c>
      <c r="C1268" s="3" t="s">
        <v>1394</v>
      </c>
      <c r="D1268">
        <f t="shared" ref="D1268" si="2083">_xlfn.NUMBERVALUE(LEFT(C1268,2))</f>
        <v>2</v>
      </c>
      <c r="E1268">
        <f t="shared" ref="E1268" si="2084">_xlfn.NUMBERVALUE(MID(C1268,4,2))</f>
        <v>11</v>
      </c>
      <c r="F1268">
        <f t="shared" ref="F1268" si="2085">_xlfn.NUMBERVALUE(RIGHT(C1268,4))</f>
        <v>2023</v>
      </c>
      <c r="G1268" t="s">
        <v>7</v>
      </c>
      <c r="H1268">
        <v>-2</v>
      </c>
      <c r="K1268" t="s">
        <v>9</v>
      </c>
      <c r="L1268" s="8">
        <f t="shared" si="1917"/>
        <v>-1</v>
      </c>
      <c r="M1268" t="s">
        <v>1404</v>
      </c>
    </row>
    <row r="1269" spans="1:13" x14ac:dyDescent="0.35">
      <c r="A1269">
        <f t="shared" si="1908"/>
        <v>1265</v>
      </c>
      <c r="B1269" s="9">
        <f t="shared" ref="B1269" si="2086">B1268+H1269+I1269+J1269</f>
        <v>66.000000000000014</v>
      </c>
      <c r="C1269" s="3" t="s">
        <v>1394</v>
      </c>
      <c r="D1269">
        <f t="shared" ref="D1269" si="2087">_xlfn.NUMBERVALUE(LEFT(C1269,2))</f>
        <v>2</v>
      </c>
      <c r="E1269">
        <f t="shared" ref="E1269" si="2088">_xlfn.NUMBERVALUE(MID(C1269,4,2))</f>
        <v>11</v>
      </c>
      <c r="F1269">
        <f t="shared" ref="F1269" si="2089">_xlfn.NUMBERVALUE(RIGHT(C1269,4))</f>
        <v>2023</v>
      </c>
      <c r="G1269" t="s">
        <v>7</v>
      </c>
      <c r="H1269">
        <v>-2</v>
      </c>
      <c r="K1269" t="s">
        <v>9</v>
      </c>
      <c r="L1269" s="8">
        <f t="shared" si="1917"/>
        <v>-1</v>
      </c>
      <c r="M1269" t="s">
        <v>1405</v>
      </c>
    </row>
    <row r="1270" spans="1:13" x14ac:dyDescent="0.35">
      <c r="A1270">
        <f t="shared" si="1908"/>
        <v>1266</v>
      </c>
      <c r="B1270" s="9">
        <f t="shared" ref="B1270" si="2090">B1269+H1270+I1270+J1270</f>
        <v>64.000000000000014</v>
      </c>
      <c r="C1270" s="3" t="s">
        <v>1394</v>
      </c>
      <c r="D1270">
        <f t="shared" ref="D1270" si="2091">_xlfn.NUMBERVALUE(LEFT(C1270,2))</f>
        <v>2</v>
      </c>
      <c r="E1270">
        <f t="shared" ref="E1270" si="2092">_xlfn.NUMBERVALUE(MID(C1270,4,2))</f>
        <v>11</v>
      </c>
      <c r="F1270">
        <f t="shared" ref="F1270" si="2093">_xlfn.NUMBERVALUE(RIGHT(C1270,4))</f>
        <v>2023</v>
      </c>
      <c r="G1270" t="s">
        <v>7</v>
      </c>
      <c r="H1270">
        <v>-2</v>
      </c>
      <c r="K1270" t="s">
        <v>9</v>
      </c>
      <c r="L1270" s="8">
        <f t="shared" si="1917"/>
        <v>-1</v>
      </c>
      <c r="M1270" t="s">
        <v>1406</v>
      </c>
    </row>
    <row r="1271" spans="1:13" x14ac:dyDescent="0.35">
      <c r="A1271">
        <f t="shared" si="1908"/>
        <v>1267</v>
      </c>
      <c r="B1271" s="9">
        <f t="shared" ref="B1271" si="2094">B1270+H1271+I1271+J1271</f>
        <v>62.000000000000014</v>
      </c>
      <c r="C1271" s="3" t="s">
        <v>1394</v>
      </c>
      <c r="D1271">
        <f t="shared" ref="D1271" si="2095">_xlfn.NUMBERVALUE(LEFT(C1271,2))</f>
        <v>2</v>
      </c>
      <c r="E1271">
        <f t="shared" ref="E1271" si="2096">_xlfn.NUMBERVALUE(MID(C1271,4,2))</f>
        <v>11</v>
      </c>
      <c r="F1271">
        <f t="shared" ref="F1271" si="2097">_xlfn.NUMBERVALUE(RIGHT(C1271,4))</f>
        <v>2023</v>
      </c>
      <c r="G1271" t="s">
        <v>7</v>
      </c>
      <c r="H1271">
        <v>-2</v>
      </c>
      <c r="K1271" t="s">
        <v>9</v>
      </c>
      <c r="L1271" s="8">
        <f t="shared" si="1917"/>
        <v>-1</v>
      </c>
      <c r="M1271" t="s">
        <v>1407</v>
      </c>
    </row>
    <row r="1272" spans="1:13" x14ac:dyDescent="0.35">
      <c r="A1272">
        <f t="shared" si="1908"/>
        <v>1268</v>
      </c>
      <c r="B1272" s="9">
        <f t="shared" ref="B1272" si="2098">B1271+H1272+I1272+J1272</f>
        <v>60.000000000000014</v>
      </c>
      <c r="C1272" s="3" t="s">
        <v>1394</v>
      </c>
      <c r="D1272">
        <f t="shared" ref="D1272" si="2099">_xlfn.NUMBERVALUE(LEFT(C1272,2))</f>
        <v>2</v>
      </c>
      <c r="E1272">
        <f t="shared" ref="E1272" si="2100">_xlfn.NUMBERVALUE(MID(C1272,4,2))</f>
        <v>11</v>
      </c>
      <c r="F1272">
        <f t="shared" ref="F1272" si="2101">_xlfn.NUMBERVALUE(RIGHT(C1272,4))</f>
        <v>2023</v>
      </c>
      <c r="G1272" t="s">
        <v>7</v>
      </c>
      <c r="H1272">
        <v>-2</v>
      </c>
      <c r="K1272" t="s">
        <v>9</v>
      </c>
      <c r="L1272" s="8">
        <f t="shared" si="1917"/>
        <v>-1</v>
      </c>
      <c r="M1272" t="s">
        <v>1408</v>
      </c>
    </row>
    <row r="1273" spans="1:13" x14ac:dyDescent="0.35">
      <c r="A1273">
        <f t="shared" si="1908"/>
        <v>1269</v>
      </c>
      <c r="B1273" s="9">
        <f t="shared" ref="B1273" si="2102">B1272+H1273+I1273+J1273</f>
        <v>58.000000000000014</v>
      </c>
      <c r="C1273" s="3" t="s">
        <v>1394</v>
      </c>
      <c r="D1273">
        <f t="shared" ref="D1273" si="2103">_xlfn.NUMBERVALUE(LEFT(C1273,2))</f>
        <v>2</v>
      </c>
      <c r="E1273">
        <f t="shared" ref="E1273" si="2104">_xlfn.NUMBERVALUE(MID(C1273,4,2))</f>
        <v>11</v>
      </c>
      <c r="F1273">
        <f t="shared" ref="F1273" si="2105">_xlfn.NUMBERVALUE(RIGHT(C1273,4))</f>
        <v>2023</v>
      </c>
      <c r="G1273" t="s">
        <v>7</v>
      </c>
      <c r="H1273">
        <v>-2</v>
      </c>
      <c r="K1273" t="s">
        <v>9</v>
      </c>
      <c r="L1273" s="8">
        <f t="shared" si="1917"/>
        <v>-1</v>
      </c>
      <c r="M1273" t="s">
        <v>1409</v>
      </c>
    </row>
    <row r="1274" spans="1:13" x14ac:dyDescent="0.35">
      <c r="A1274">
        <f t="shared" si="1908"/>
        <v>1270</v>
      </c>
      <c r="B1274" s="9">
        <f t="shared" ref="B1274" si="2106">B1273+H1274+I1274+J1274</f>
        <v>60.000000000000014</v>
      </c>
      <c r="C1274" s="3" t="s">
        <v>1394</v>
      </c>
      <c r="D1274">
        <f t="shared" ref="D1274" si="2107">_xlfn.NUMBERVALUE(LEFT(C1274,2))</f>
        <v>2</v>
      </c>
      <c r="E1274">
        <f t="shared" ref="E1274" si="2108">_xlfn.NUMBERVALUE(MID(C1274,4,2))</f>
        <v>11</v>
      </c>
      <c r="F1274">
        <f t="shared" ref="F1274" si="2109">_xlfn.NUMBERVALUE(RIGHT(C1274,4))</f>
        <v>2023</v>
      </c>
      <c r="G1274" t="s">
        <v>7</v>
      </c>
      <c r="H1274">
        <v>-2</v>
      </c>
      <c r="I1274">
        <v>4</v>
      </c>
      <c r="K1274" t="s">
        <v>10</v>
      </c>
      <c r="L1274" s="8">
        <f t="shared" si="1917"/>
        <v>1</v>
      </c>
      <c r="M1274" t="s">
        <v>1410</v>
      </c>
    </row>
    <row r="1275" spans="1:13" x14ac:dyDescent="0.35">
      <c r="A1275">
        <f t="shared" si="1908"/>
        <v>1271</v>
      </c>
      <c r="B1275" s="9">
        <f t="shared" ref="B1275" si="2110">B1274+H1275+I1275+J1275</f>
        <v>58.000000000000014</v>
      </c>
      <c r="C1275" s="3" t="s">
        <v>1394</v>
      </c>
      <c r="D1275">
        <f t="shared" ref="D1275" si="2111">_xlfn.NUMBERVALUE(LEFT(C1275,2))</f>
        <v>2</v>
      </c>
      <c r="E1275">
        <f t="shared" ref="E1275" si="2112">_xlfn.NUMBERVALUE(MID(C1275,4,2))</f>
        <v>11</v>
      </c>
      <c r="F1275">
        <f t="shared" ref="F1275" si="2113">_xlfn.NUMBERVALUE(RIGHT(C1275,4))</f>
        <v>2023</v>
      </c>
      <c r="G1275" t="s">
        <v>7</v>
      </c>
      <c r="H1275">
        <v>-2</v>
      </c>
      <c r="K1275" t="s">
        <v>9</v>
      </c>
      <c r="L1275" s="8">
        <f t="shared" si="1917"/>
        <v>-1</v>
      </c>
      <c r="M1275" t="s">
        <v>1411</v>
      </c>
    </row>
    <row r="1276" spans="1:13" x14ac:dyDescent="0.35">
      <c r="A1276">
        <f t="shared" si="1908"/>
        <v>1272</v>
      </c>
      <c r="B1276" s="9">
        <f t="shared" ref="B1276" si="2114">B1275+H1276+I1276+J1276</f>
        <v>60.000000000000014</v>
      </c>
      <c r="C1276" s="3" t="s">
        <v>1394</v>
      </c>
      <c r="D1276">
        <f t="shared" ref="D1276" si="2115">_xlfn.NUMBERVALUE(LEFT(C1276,2))</f>
        <v>2</v>
      </c>
      <c r="E1276">
        <f t="shared" ref="E1276" si="2116">_xlfn.NUMBERVALUE(MID(C1276,4,2))</f>
        <v>11</v>
      </c>
      <c r="F1276">
        <f t="shared" ref="F1276" si="2117">_xlfn.NUMBERVALUE(RIGHT(C1276,4))</f>
        <v>2023</v>
      </c>
      <c r="G1276" t="s">
        <v>7</v>
      </c>
      <c r="H1276">
        <v>-2</v>
      </c>
      <c r="I1276">
        <v>4</v>
      </c>
      <c r="K1276" t="s">
        <v>10</v>
      </c>
      <c r="L1276" s="8">
        <f t="shared" si="1917"/>
        <v>1</v>
      </c>
      <c r="M1276" t="s">
        <v>1412</v>
      </c>
    </row>
    <row r="1277" spans="1:13" x14ac:dyDescent="0.35">
      <c r="A1277">
        <f t="shared" si="1908"/>
        <v>1273</v>
      </c>
      <c r="B1277" s="9">
        <f t="shared" ref="B1277" si="2118">B1276+H1277+I1277+J1277</f>
        <v>62.000000000000014</v>
      </c>
      <c r="C1277" s="3" t="s">
        <v>1394</v>
      </c>
      <c r="D1277">
        <f t="shared" ref="D1277" si="2119">_xlfn.NUMBERVALUE(LEFT(C1277,2))</f>
        <v>2</v>
      </c>
      <c r="E1277">
        <f t="shared" ref="E1277" si="2120">_xlfn.NUMBERVALUE(MID(C1277,4,2))</f>
        <v>11</v>
      </c>
      <c r="F1277">
        <f t="shared" ref="F1277" si="2121">_xlfn.NUMBERVALUE(RIGHT(C1277,4))</f>
        <v>2023</v>
      </c>
      <c r="G1277" t="s">
        <v>7</v>
      </c>
      <c r="H1277">
        <v>-2</v>
      </c>
      <c r="I1277">
        <v>4</v>
      </c>
      <c r="K1277" t="s">
        <v>10</v>
      </c>
      <c r="L1277" s="8">
        <f t="shared" si="1917"/>
        <v>1</v>
      </c>
      <c r="M1277" t="s">
        <v>1413</v>
      </c>
    </row>
    <row r="1278" spans="1:13" x14ac:dyDescent="0.35">
      <c r="A1278">
        <f t="shared" si="1908"/>
        <v>1274</v>
      </c>
      <c r="B1278" s="9">
        <f t="shared" ref="B1278" si="2122">B1277+H1278+I1278+J1278</f>
        <v>60.000000000000014</v>
      </c>
      <c r="C1278" s="3" t="s">
        <v>1394</v>
      </c>
      <c r="D1278">
        <f t="shared" ref="D1278" si="2123">_xlfn.NUMBERVALUE(LEFT(C1278,2))</f>
        <v>2</v>
      </c>
      <c r="E1278">
        <f t="shared" ref="E1278" si="2124">_xlfn.NUMBERVALUE(MID(C1278,4,2))</f>
        <v>11</v>
      </c>
      <c r="F1278">
        <f t="shared" ref="F1278" si="2125">_xlfn.NUMBERVALUE(RIGHT(C1278,4))</f>
        <v>2023</v>
      </c>
      <c r="G1278" t="s">
        <v>7</v>
      </c>
      <c r="H1278">
        <v>-2</v>
      </c>
      <c r="K1278" t="s">
        <v>9</v>
      </c>
      <c r="L1278" s="8">
        <f t="shared" si="1917"/>
        <v>-1</v>
      </c>
      <c r="M1278" t="s">
        <v>1414</v>
      </c>
    </row>
    <row r="1279" spans="1:13" x14ac:dyDescent="0.35">
      <c r="A1279">
        <f t="shared" si="1908"/>
        <v>1275</v>
      </c>
      <c r="B1279" s="9">
        <f t="shared" ref="B1279" si="2126">B1278+H1279+I1279+J1279</f>
        <v>62.000000000000014</v>
      </c>
      <c r="C1279" s="3" t="s">
        <v>1394</v>
      </c>
      <c r="D1279">
        <f t="shared" ref="D1279" si="2127">_xlfn.NUMBERVALUE(LEFT(C1279,2))</f>
        <v>2</v>
      </c>
      <c r="E1279">
        <f t="shared" ref="E1279" si="2128">_xlfn.NUMBERVALUE(MID(C1279,4,2))</f>
        <v>11</v>
      </c>
      <c r="F1279">
        <f t="shared" ref="F1279" si="2129">_xlfn.NUMBERVALUE(RIGHT(C1279,4))</f>
        <v>2023</v>
      </c>
      <c r="G1279" t="s">
        <v>7</v>
      </c>
      <c r="H1279">
        <v>-2</v>
      </c>
      <c r="I1279">
        <v>4</v>
      </c>
      <c r="K1279" t="s">
        <v>10</v>
      </c>
      <c r="L1279" s="8">
        <f t="shared" si="1917"/>
        <v>1</v>
      </c>
      <c r="M1279" t="s">
        <v>1415</v>
      </c>
    </row>
    <row r="1280" spans="1:13" x14ac:dyDescent="0.35">
      <c r="A1280">
        <f t="shared" si="1908"/>
        <v>1276</v>
      </c>
      <c r="B1280" s="9">
        <f t="shared" ref="B1280" si="2130">B1279+H1280+I1280+J1280</f>
        <v>64.000000000000014</v>
      </c>
      <c r="C1280" s="3" t="s">
        <v>1394</v>
      </c>
      <c r="D1280">
        <f t="shared" ref="D1280" si="2131">_xlfn.NUMBERVALUE(LEFT(C1280,2))</f>
        <v>2</v>
      </c>
      <c r="E1280">
        <f t="shared" ref="E1280" si="2132">_xlfn.NUMBERVALUE(MID(C1280,4,2))</f>
        <v>11</v>
      </c>
      <c r="F1280">
        <f t="shared" ref="F1280" si="2133">_xlfn.NUMBERVALUE(RIGHT(C1280,4))</f>
        <v>2023</v>
      </c>
      <c r="G1280" t="s">
        <v>7</v>
      </c>
      <c r="H1280">
        <v>-2</v>
      </c>
      <c r="I1280">
        <v>4</v>
      </c>
      <c r="K1280" t="s">
        <v>10</v>
      </c>
      <c r="L1280" s="8">
        <f t="shared" si="1917"/>
        <v>1</v>
      </c>
      <c r="M1280" t="s">
        <v>1416</v>
      </c>
    </row>
    <row r="1281" spans="1:19" x14ac:dyDescent="0.35">
      <c r="A1281">
        <f t="shared" si="1908"/>
        <v>1277</v>
      </c>
      <c r="B1281" s="9">
        <f t="shared" ref="B1281" si="2134">B1280+H1281+I1281+J1281</f>
        <v>62.000000000000014</v>
      </c>
      <c r="C1281" s="3" t="s">
        <v>1394</v>
      </c>
      <c r="D1281">
        <f t="shared" ref="D1281" si="2135">_xlfn.NUMBERVALUE(LEFT(C1281,2))</f>
        <v>2</v>
      </c>
      <c r="E1281">
        <f t="shared" ref="E1281" si="2136">_xlfn.NUMBERVALUE(MID(C1281,4,2))</f>
        <v>11</v>
      </c>
      <c r="F1281">
        <f t="shared" ref="F1281" si="2137">_xlfn.NUMBERVALUE(RIGHT(C1281,4))</f>
        <v>2023</v>
      </c>
      <c r="G1281" t="s">
        <v>7</v>
      </c>
      <c r="H1281">
        <v>-2</v>
      </c>
      <c r="K1281" t="s">
        <v>9</v>
      </c>
      <c r="L1281" s="8">
        <f t="shared" si="1917"/>
        <v>-1</v>
      </c>
      <c r="M1281" t="s">
        <v>1417</v>
      </c>
    </row>
    <row r="1282" spans="1:19" x14ac:dyDescent="0.35">
      <c r="A1282">
        <f t="shared" si="1908"/>
        <v>1278</v>
      </c>
      <c r="B1282" s="9">
        <f t="shared" ref="B1282" si="2138">B1281+H1282+I1282+J1282</f>
        <v>60.000000000000014</v>
      </c>
      <c r="C1282" s="3" t="s">
        <v>1394</v>
      </c>
      <c r="D1282">
        <f t="shared" ref="D1282" si="2139">_xlfn.NUMBERVALUE(LEFT(C1282,2))</f>
        <v>2</v>
      </c>
      <c r="E1282">
        <f t="shared" ref="E1282" si="2140">_xlfn.NUMBERVALUE(MID(C1282,4,2))</f>
        <v>11</v>
      </c>
      <c r="F1282">
        <f t="shared" ref="F1282" si="2141">_xlfn.NUMBERVALUE(RIGHT(C1282,4))</f>
        <v>2023</v>
      </c>
      <c r="G1282" t="s">
        <v>7</v>
      </c>
      <c r="H1282">
        <v>-2</v>
      </c>
      <c r="K1282" t="s">
        <v>9</v>
      </c>
      <c r="L1282" s="8">
        <f t="shared" si="1917"/>
        <v>-1</v>
      </c>
      <c r="M1282" t="s">
        <v>1418</v>
      </c>
    </row>
    <row r="1283" spans="1:19" x14ac:dyDescent="0.35">
      <c r="A1283">
        <f t="shared" si="1908"/>
        <v>1279</v>
      </c>
      <c r="B1283" s="9">
        <f t="shared" ref="B1283" si="2142">B1282+H1283+I1283+J1283</f>
        <v>58.000000000000014</v>
      </c>
      <c r="C1283" s="3" t="s">
        <v>1394</v>
      </c>
      <c r="D1283">
        <f t="shared" ref="D1283" si="2143">_xlfn.NUMBERVALUE(LEFT(C1283,2))</f>
        <v>2</v>
      </c>
      <c r="E1283">
        <f t="shared" ref="E1283" si="2144">_xlfn.NUMBERVALUE(MID(C1283,4,2))</f>
        <v>11</v>
      </c>
      <c r="F1283">
        <f t="shared" ref="F1283" si="2145">_xlfn.NUMBERVALUE(RIGHT(C1283,4))</f>
        <v>2023</v>
      </c>
      <c r="G1283" t="s">
        <v>7</v>
      </c>
      <c r="H1283">
        <v>-2</v>
      </c>
      <c r="K1283" t="s">
        <v>9</v>
      </c>
      <c r="L1283" s="8">
        <f t="shared" si="1917"/>
        <v>-1</v>
      </c>
      <c r="M1283" t="s">
        <v>1419</v>
      </c>
    </row>
    <row r="1284" spans="1:19" x14ac:dyDescent="0.35">
      <c r="A1284">
        <f t="shared" si="1908"/>
        <v>1280</v>
      </c>
      <c r="B1284" s="9">
        <f t="shared" ref="B1284" si="2146">B1283+H1284+I1284+J1284</f>
        <v>56.000000000000014</v>
      </c>
      <c r="C1284" s="3" t="s">
        <v>1394</v>
      </c>
      <c r="D1284">
        <f t="shared" ref="D1284" si="2147">_xlfn.NUMBERVALUE(LEFT(C1284,2))</f>
        <v>2</v>
      </c>
      <c r="E1284">
        <f t="shared" ref="E1284" si="2148">_xlfn.NUMBERVALUE(MID(C1284,4,2))</f>
        <v>11</v>
      </c>
      <c r="F1284">
        <f t="shared" ref="F1284" si="2149">_xlfn.NUMBERVALUE(RIGHT(C1284,4))</f>
        <v>2023</v>
      </c>
      <c r="G1284" t="s">
        <v>7</v>
      </c>
      <c r="H1284">
        <v>-2</v>
      </c>
      <c r="K1284" t="s">
        <v>9</v>
      </c>
      <c r="L1284" s="8">
        <f t="shared" si="1917"/>
        <v>-1</v>
      </c>
      <c r="M1284" t="s">
        <v>1420</v>
      </c>
    </row>
    <row r="1285" spans="1:19" x14ac:dyDescent="0.35">
      <c r="A1285">
        <f t="shared" si="1908"/>
        <v>1281</v>
      </c>
      <c r="B1285" s="9">
        <f t="shared" ref="B1285" si="2150">B1284+H1285+I1285+J1285</f>
        <v>58.000000000000014</v>
      </c>
      <c r="C1285" s="3" t="s">
        <v>1421</v>
      </c>
      <c r="D1285">
        <f t="shared" ref="D1285" si="2151">_xlfn.NUMBERVALUE(LEFT(C1285,2))</f>
        <v>3</v>
      </c>
      <c r="E1285">
        <f t="shared" ref="E1285" si="2152">_xlfn.NUMBERVALUE(MID(C1285,4,2))</f>
        <v>11</v>
      </c>
      <c r="F1285">
        <f t="shared" ref="F1285" si="2153">_xlfn.NUMBERVALUE(RIGHT(C1285,4))</f>
        <v>2023</v>
      </c>
      <c r="G1285" t="s">
        <v>7</v>
      </c>
      <c r="H1285">
        <v>-2</v>
      </c>
      <c r="I1285">
        <v>4</v>
      </c>
      <c r="K1285" t="s">
        <v>10</v>
      </c>
      <c r="L1285" s="8">
        <f t="shared" si="1917"/>
        <v>1</v>
      </c>
      <c r="M1285" t="s">
        <v>1422</v>
      </c>
    </row>
    <row r="1286" spans="1:19" x14ac:dyDescent="0.35">
      <c r="A1286">
        <f t="shared" si="1908"/>
        <v>1282</v>
      </c>
      <c r="B1286" s="9">
        <f t="shared" ref="B1286" si="2154">B1285+H1286+I1286+J1286</f>
        <v>62.000000000000014</v>
      </c>
      <c r="C1286" s="3" t="s">
        <v>1421</v>
      </c>
      <c r="D1286">
        <f t="shared" ref="D1286" si="2155">_xlfn.NUMBERVALUE(LEFT(C1286,2))</f>
        <v>3</v>
      </c>
      <c r="E1286">
        <f t="shared" ref="E1286" si="2156">_xlfn.NUMBERVALUE(MID(C1286,4,2))</f>
        <v>11</v>
      </c>
      <c r="F1286">
        <f t="shared" ref="F1286" si="2157">_xlfn.NUMBERVALUE(RIGHT(C1286,4))</f>
        <v>2023</v>
      </c>
      <c r="G1286" t="s">
        <v>7</v>
      </c>
      <c r="H1286">
        <v>-2</v>
      </c>
      <c r="I1286">
        <v>6</v>
      </c>
      <c r="K1286" t="s">
        <v>10</v>
      </c>
      <c r="L1286" s="8">
        <f t="shared" ref="L1286:L1349" si="2158">IF(H1286="",0,(SUM(I1286:J1286)/-H1286)-1)</f>
        <v>2</v>
      </c>
      <c r="M1286" t="s">
        <v>1423</v>
      </c>
    </row>
    <row r="1287" spans="1:19" x14ac:dyDescent="0.35">
      <c r="A1287">
        <f t="shared" si="1908"/>
        <v>1283</v>
      </c>
      <c r="B1287" s="9">
        <f t="shared" ref="B1287" si="2159">B1286+H1287+I1287+J1287</f>
        <v>60.000000000000014</v>
      </c>
      <c r="C1287" s="3" t="s">
        <v>1424</v>
      </c>
      <c r="D1287">
        <f t="shared" ref="D1287" si="2160">_xlfn.NUMBERVALUE(LEFT(C1287,2))</f>
        <v>4</v>
      </c>
      <c r="E1287">
        <f t="shared" ref="E1287" si="2161">_xlfn.NUMBERVALUE(MID(C1287,4,2))</f>
        <v>11</v>
      </c>
      <c r="F1287">
        <f t="shared" ref="F1287" si="2162">_xlfn.NUMBERVALUE(RIGHT(C1287,4))</f>
        <v>2023</v>
      </c>
      <c r="G1287" t="s">
        <v>7</v>
      </c>
      <c r="H1287">
        <v>-2</v>
      </c>
      <c r="K1287" t="s">
        <v>9</v>
      </c>
      <c r="L1287" s="8">
        <f t="shared" si="2158"/>
        <v>-1</v>
      </c>
      <c r="M1287" t="s">
        <v>1425</v>
      </c>
    </row>
    <row r="1288" spans="1:19" x14ac:dyDescent="0.35">
      <c r="A1288">
        <f t="shared" si="1908"/>
        <v>1284</v>
      </c>
      <c r="B1288" s="9">
        <f t="shared" ref="B1288" si="2163">B1287+H1288+I1288+J1288</f>
        <v>64.000000000000014</v>
      </c>
      <c r="C1288" s="3" t="s">
        <v>1424</v>
      </c>
      <c r="D1288">
        <f t="shared" ref="D1288" si="2164">_xlfn.NUMBERVALUE(LEFT(C1288,2))</f>
        <v>4</v>
      </c>
      <c r="E1288">
        <f t="shared" ref="E1288" si="2165">_xlfn.NUMBERVALUE(MID(C1288,4,2))</f>
        <v>11</v>
      </c>
      <c r="F1288">
        <f t="shared" ref="F1288" si="2166">_xlfn.NUMBERVALUE(RIGHT(C1288,4))</f>
        <v>2023</v>
      </c>
      <c r="G1288" t="s">
        <v>7</v>
      </c>
      <c r="H1288">
        <v>-2</v>
      </c>
      <c r="I1288">
        <v>6</v>
      </c>
      <c r="K1288" t="s">
        <v>10</v>
      </c>
      <c r="L1288" s="8">
        <f t="shared" si="2158"/>
        <v>2</v>
      </c>
      <c r="M1288" t="s">
        <v>1426</v>
      </c>
    </row>
    <row r="1289" spans="1:19" x14ac:dyDescent="0.35">
      <c r="A1289">
        <f t="shared" si="1908"/>
        <v>1285</v>
      </c>
      <c r="B1289" s="9">
        <f t="shared" ref="B1289" si="2167">B1288+H1289+I1289+J1289</f>
        <v>62.000000000000014</v>
      </c>
      <c r="C1289" s="3" t="s">
        <v>1424</v>
      </c>
      <c r="D1289">
        <f t="shared" ref="D1289" si="2168">_xlfn.NUMBERVALUE(LEFT(C1289,2))</f>
        <v>4</v>
      </c>
      <c r="E1289">
        <f t="shared" ref="E1289" si="2169">_xlfn.NUMBERVALUE(MID(C1289,4,2))</f>
        <v>11</v>
      </c>
      <c r="F1289">
        <f t="shared" ref="F1289" si="2170">_xlfn.NUMBERVALUE(RIGHT(C1289,4))</f>
        <v>2023</v>
      </c>
      <c r="G1289" t="s">
        <v>7</v>
      </c>
      <c r="H1289">
        <v>-2</v>
      </c>
      <c r="K1289" t="s">
        <v>9</v>
      </c>
      <c r="L1289" s="8">
        <f t="shared" si="2158"/>
        <v>-1</v>
      </c>
      <c r="M1289" t="s">
        <v>1427</v>
      </c>
    </row>
    <row r="1290" spans="1:19" x14ac:dyDescent="0.35">
      <c r="A1290">
        <f t="shared" si="1908"/>
        <v>1286</v>
      </c>
      <c r="B1290" s="9">
        <f t="shared" ref="B1290" si="2171">B1289+H1290+I1290+J1290</f>
        <v>64.000000000000014</v>
      </c>
      <c r="C1290" s="3" t="s">
        <v>1424</v>
      </c>
      <c r="D1290">
        <f t="shared" ref="D1290" si="2172">_xlfn.NUMBERVALUE(LEFT(C1290,2))</f>
        <v>4</v>
      </c>
      <c r="E1290">
        <f t="shared" ref="E1290" si="2173">_xlfn.NUMBERVALUE(MID(C1290,4,2))</f>
        <v>11</v>
      </c>
      <c r="F1290">
        <f t="shared" ref="F1290" si="2174">_xlfn.NUMBERVALUE(RIGHT(C1290,4))</f>
        <v>2023</v>
      </c>
      <c r="G1290" t="s">
        <v>7</v>
      </c>
      <c r="H1290">
        <v>-2</v>
      </c>
      <c r="I1290">
        <v>4</v>
      </c>
      <c r="K1290" t="s">
        <v>10</v>
      </c>
      <c r="L1290" s="8">
        <f t="shared" si="2158"/>
        <v>1</v>
      </c>
      <c r="M1290" t="s">
        <v>1428</v>
      </c>
    </row>
    <row r="1291" spans="1:19" x14ac:dyDescent="0.35">
      <c r="A1291">
        <f t="shared" si="1908"/>
        <v>1287</v>
      </c>
      <c r="B1291" s="9">
        <f t="shared" ref="B1291" si="2175">B1290+H1291+I1291+J1291</f>
        <v>62.000000000000014</v>
      </c>
      <c r="C1291" s="3" t="s">
        <v>1429</v>
      </c>
      <c r="D1291">
        <f t="shared" ref="D1291" si="2176">_xlfn.NUMBERVALUE(LEFT(C1291,2))</f>
        <v>5</v>
      </c>
      <c r="E1291">
        <f t="shared" ref="E1291" si="2177">_xlfn.NUMBERVALUE(MID(C1291,4,2))</f>
        <v>11</v>
      </c>
      <c r="F1291">
        <f t="shared" ref="F1291" si="2178">_xlfn.NUMBERVALUE(RIGHT(C1291,4))</f>
        <v>2023</v>
      </c>
      <c r="G1291" t="s">
        <v>7</v>
      </c>
      <c r="H1291">
        <v>-2</v>
      </c>
      <c r="K1291" t="s">
        <v>9</v>
      </c>
      <c r="L1291" s="8">
        <f t="shared" si="2158"/>
        <v>-1</v>
      </c>
      <c r="M1291" t="s">
        <v>1430</v>
      </c>
    </row>
    <row r="1292" spans="1:19" x14ac:dyDescent="0.35">
      <c r="A1292">
        <f t="shared" si="1908"/>
        <v>1288</v>
      </c>
      <c r="B1292" s="9">
        <f t="shared" ref="B1292" si="2179">B1291+H1292+I1292+J1292</f>
        <v>64.000000000000014</v>
      </c>
      <c r="C1292" s="3" t="s">
        <v>1429</v>
      </c>
      <c r="D1292">
        <f t="shared" ref="D1292" si="2180">_xlfn.NUMBERVALUE(LEFT(C1292,2))</f>
        <v>5</v>
      </c>
      <c r="E1292">
        <f t="shared" ref="E1292" si="2181">_xlfn.NUMBERVALUE(MID(C1292,4,2))</f>
        <v>11</v>
      </c>
      <c r="F1292">
        <f t="shared" ref="F1292" si="2182">_xlfn.NUMBERVALUE(RIGHT(C1292,4))</f>
        <v>2023</v>
      </c>
      <c r="G1292" t="s">
        <v>7</v>
      </c>
      <c r="H1292">
        <v>-2</v>
      </c>
      <c r="I1292">
        <v>4</v>
      </c>
      <c r="K1292" t="s">
        <v>10</v>
      </c>
      <c r="L1292" s="8">
        <f t="shared" si="2158"/>
        <v>1</v>
      </c>
      <c r="M1292" t="s">
        <v>1431</v>
      </c>
      <c r="S1292" s="2"/>
    </row>
    <row r="1293" spans="1:19" x14ac:dyDescent="0.35">
      <c r="A1293">
        <f t="shared" si="1908"/>
        <v>1289</v>
      </c>
      <c r="B1293" s="9">
        <f t="shared" ref="B1293" si="2183">B1292+H1293+I1293+J1293</f>
        <v>70.000000000000014</v>
      </c>
      <c r="C1293" s="3" t="s">
        <v>1429</v>
      </c>
      <c r="D1293">
        <f t="shared" ref="D1293" si="2184">_xlfn.NUMBERVALUE(LEFT(C1293,2))</f>
        <v>5</v>
      </c>
      <c r="E1293">
        <f t="shared" ref="E1293" si="2185">_xlfn.NUMBERVALUE(MID(C1293,4,2))</f>
        <v>11</v>
      </c>
      <c r="F1293">
        <f t="shared" ref="F1293" si="2186">_xlfn.NUMBERVALUE(RIGHT(C1293,4))</f>
        <v>2023</v>
      </c>
      <c r="G1293" t="s">
        <v>7</v>
      </c>
      <c r="H1293">
        <v>-2</v>
      </c>
      <c r="I1293">
        <v>8</v>
      </c>
      <c r="K1293" t="s">
        <v>10</v>
      </c>
      <c r="L1293" s="8">
        <f t="shared" si="2158"/>
        <v>3</v>
      </c>
      <c r="M1293" t="s">
        <v>1432</v>
      </c>
    </row>
    <row r="1294" spans="1:19" x14ac:dyDescent="0.35">
      <c r="A1294">
        <f t="shared" si="1908"/>
        <v>1290</v>
      </c>
      <c r="B1294" s="9">
        <f t="shared" ref="B1294" si="2187">B1293+H1294+I1294+J1294</f>
        <v>74.000000000000014</v>
      </c>
      <c r="C1294" s="3" t="s">
        <v>1429</v>
      </c>
      <c r="D1294">
        <f t="shared" ref="D1294" si="2188">_xlfn.NUMBERVALUE(LEFT(C1294,2))</f>
        <v>5</v>
      </c>
      <c r="E1294">
        <f t="shared" ref="E1294" si="2189">_xlfn.NUMBERVALUE(MID(C1294,4,2))</f>
        <v>11</v>
      </c>
      <c r="F1294">
        <f t="shared" ref="F1294" si="2190">_xlfn.NUMBERVALUE(RIGHT(C1294,4))</f>
        <v>2023</v>
      </c>
      <c r="G1294" t="s">
        <v>7</v>
      </c>
      <c r="H1294">
        <v>-2</v>
      </c>
      <c r="I1294">
        <v>6</v>
      </c>
      <c r="K1294" t="s">
        <v>10</v>
      </c>
      <c r="L1294" s="8">
        <f t="shared" si="2158"/>
        <v>2</v>
      </c>
      <c r="M1294" t="s">
        <v>1433</v>
      </c>
    </row>
    <row r="1295" spans="1:19" x14ac:dyDescent="0.35">
      <c r="A1295">
        <f t="shared" si="1908"/>
        <v>1291</v>
      </c>
      <c r="B1295" s="9">
        <f t="shared" ref="B1295" si="2191">B1294+H1295+I1295+J1295</f>
        <v>78.000000000000014</v>
      </c>
      <c r="C1295" s="3" t="s">
        <v>1429</v>
      </c>
      <c r="D1295">
        <f t="shared" ref="D1295" si="2192">_xlfn.NUMBERVALUE(LEFT(C1295,2))</f>
        <v>5</v>
      </c>
      <c r="E1295">
        <f t="shared" ref="E1295" si="2193">_xlfn.NUMBERVALUE(MID(C1295,4,2))</f>
        <v>11</v>
      </c>
      <c r="F1295">
        <f t="shared" ref="F1295" si="2194">_xlfn.NUMBERVALUE(RIGHT(C1295,4))</f>
        <v>2023</v>
      </c>
      <c r="G1295" t="s">
        <v>7</v>
      </c>
      <c r="H1295">
        <v>-2</v>
      </c>
      <c r="I1295">
        <v>6</v>
      </c>
      <c r="K1295" t="s">
        <v>10</v>
      </c>
      <c r="L1295" s="8">
        <f t="shared" si="2158"/>
        <v>2</v>
      </c>
      <c r="M1295" t="s">
        <v>1434</v>
      </c>
    </row>
    <row r="1296" spans="1:19" x14ac:dyDescent="0.35">
      <c r="A1296">
        <f t="shared" si="1908"/>
        <v>1292</v>
      </c>
      <c r="B1296" s="9">
        <f t="shared" ref="B1296" si="2195">B1295+H1296+I1296+J1296</f>
        <v>76.000000000000014</v>
      </c>
      <c r="C1296" s="3" t="s">
        <v>1429</v>
      </c>
      <c r="D1296">
        <f t="shared" ref="D1296" si="2196">_xlfn.NUMBERVALUE(LEFT(C1296,2))</f>
        <v>5</v>
      </c>
      <c r="E1296">
        <f t="shared" ref="E1296" si="2197">_xlfn.NUMBERVALUE(MID(C1296,4,2))</f>
        <v>11</v>
      </c>
      <c r="F1296">
        <f t="shared" ref="F1296" si="2198">_xlfn.NUMBERVALUE(RIGHT(C1296,4))</f>
        <v>2023</v>
      </c>
      <c r="G1296" t="s">
        <v>7</v>
      </c>
      <c r="H1296">
        <v>-2</v>
      </c>
      <c r="K1296" t="s">
        <v>9</v>
      </c>
      <c r="L1296" s="8">
        <f t="shared" si="2158"/>
        <v>-1</v>
      </c>
      <c r="M1296" t="s">
        <v>1435</v>
      </c>
    </row>
    <row r="1297" spans="1:20" x14ac:dyDescent="0.35">
      <c r="A1297">
        <f t="shared" si="1908"/>
        <v>1293</v>
      </c>
      <c r="B1297" s="9">
        <f t="shared" ref="B1297" si="2199">B1296+H1297+I1297+J1297</f>
        <v>74.000000000000014</v>
      </c>
      <c r="C1297" s="3" t="s">
        <v>1429</v>
      </c>
      <c r="D1297">
        <f t="shared" ref="D1297" si="2200">_xlfn.NUMBERVALUE(LEFT(C1297,2))</f>
        <v>5</v>
      </c>
      <c r="E1297">
        <f t="shared" ref="E1297" si="2201">_xlfn.NUMBERVALUE(MID(C1297,4,2))</f>
        <v>11</v>
      </c>
      <c r="F1297">
        <f t="shared" ref="F1297" si="2202">_xlfn.NUMBERVALUE(RIGHT(C1297,4))</f>
        <v>2023</v>
      </c>
      <c r="G1297" t="s">
        <v>7</v>
      </c>
      <c r="H1297">
        <v>-2</v>
      </c>
      <c r="K1297" t="s">
        <v>9</v>
      </c>
      <c r="L1297" s="8">
        <f t="shared" si="2158"/>
        <v>-1</v>
      </c>
      <c r="M1297" t="s">
        <v>1436</v>
      </c>
    </row>
    <row r="1298" spans="1:20" x14ac:dyDescent="0.35">
      <c r="A1298">
        <f t="shared" si="1908"/>
        <v>1294</v>
      </c>
      <c r="B1298" s="9">
        <f t="shared" ref="B1298" si="2203">B1297+H1298+I1298+J1298</f>
        <v>80.000000000000014</v>
      </c>
      <c r="C1298" s="3" t="s">
        <v>1429</v>
      </c>
      <c r="D1298">
        <f t="shared" ref="D1298" si="2204">_xlfn.NUMBERVALUE(LEFT(C1298,2))</f>
        <v>5</v>
      </c>
      <c r="E1298">
        <f t="shared" ref="E1298" si="2205">_xlfn.NUMBERVALUE(MID(C1298,4,2))</f>
        <v>11</v>
      </c>
      <c r="F1298">
        <f t="shared" ref="F1298" si="2206">_xlfn.NUMBERVALUE(RIGHT(C1298,4))</f>
        <v>2023</v>
      </c>
      <c r="G1298" t="s">
        <v>7</v>
      </c>
      <c r="H1298">
        <v>-2</v>
      </c>
      <c r="I1298">
        <v>8</v>
      </c>
      <c r="K1298" t="s">
        <v>10</v>
      </c>
      <c r="L1298" s="8">
        <f t="shared" si="2158"/>
        <v>3</v>
      </c>
      <c r="M1298" t="s">
        <v>1437</v>
      </c>
    </row>
    <row r="1299" spans="1:20" x14ac:dyDescent="0.35">
      <c r="A1299">
        <f t="shared" si="1908"/>
        <v>1295</v>
      </c>
      <c r="B1299" s="9">
        <f t="shared" ref="B1299" si="2207">B1298+H1299+I1299+J1299</f>
        <v>82.000000000000014</v>
      </c>
      <c r="C1299" s="3" t="s">
        <v>1429</v>
      </c>
      <c r="D1299">
        <f t="shared" ref="D1299" si="2208">_xlfn.NUMBERVALUE(LEFT(C1299,2))</f>
        <v>5</v>
      </c>
      <c r="E1299">
        <f t="shared" ref="E1299" si="2209">_xlfn.NUMBERVALUE(MID(C1299,4,2))</f>
        <v>11</v>
      </c>
      <c r="F1299">
        <f t="shared" ref="F1299" si="2210">_xlfn.NUMBERVALUE(RIGHT(C1299,4))</f>
        <v>2023</v>
      </c>
      <c r="G1299" t="s">
        <v>7</v>
      </c>
      <c r="H1299">
        <v>-2</v>
      </c>
      <c r="I1299">
        <v>4</v>
      </c>
      <c r="K1299" t="s">
        <v>10</v>
      </c>
      <c r="L1299" s="8">
        <f t="shared" si="2158"/>
        <v>1</v>
      </c>
      <c r="M1299" t="s">
        <v>1438</v>
      </c>
    </row>
    <row r="1300" spans="1:20" x14ac:dyDescent="0.35">
      <c r="A1300">
        <f t="shared" si="1908"/>
        <v>1296</v>
      </c>
      <c r="B1300" s="9">
        <f t="shared" ref="B1300" si="2211">B1299+H1300+I1300+J1300</f>
        <v>80.000000000000014</v>
      </c>
      <c r="C1300" s="3" t="s">
        <v>1429</v>
      </c>
      <c r="D1300">
        <f t="shared" ref="D1300" si="2212">_xlfn.NUMBERVALUE(LEFT(C1300,2))</f>
        <v>5</v>
      </c>
      <c r="E1300">
        <f t="shared" ref="E1300" si="2213">_xlfn.NUMBERVALUE(MID(C1300,4,2))</f>
        <v>11</v>
      </c>
      <c r="F1300">
        <f t="shared" ref="F1300" si="2214">_xlfn.NUMBERVALUE(RIGHT(C1300,4))</f>
        <v>2023</v>
      </c>
      <c r="G1300" t="s">
        <v>7</v>
      </c>
      <c r="H1300">
        <v>-2</v>
      </c>
      <c r="K1300" t="s">
        <v>9</v>
      </c>
      <c r="L1300" s="8">
        <f t="shared" si="2158"/>
        <v>-1</v>
      </c>
      <c r="M1300" t="s">
        <v>1439</v>
      </c>
      <c r="T1300" s="2"/>
    </row>
    <row r="1301" spans="1:20" x14ac:dyDescent="0.35">
      <c r="A1301">
        <f t="shared" si="1908"/>
        <v>1297</v>
      </c>
      <c r="B1301" s="9">
        <f t="shared" ref="B1301" si="2215">B1300+H1301+I1301+J1301</f>
        <v>78.000000000000014</v>
      </c>
      <c r="C1301" s="3" t="s">
        <v>1429</v>
      </c>
      <c r="D1301">
        <f t="shared" ref="D1301" si="2216">_xlfn.NUMBERVALUE(LEFT(C1301,2))</f>
        <v>5</v>
      </c>
      <c r="E1301">
        <f t="shared" ref="E1301" si="2217">_xlfn.NUMBERVALUE(MID(C1301,4,2))</f>
        <v>11</v>
      </c>
      <c r="F1301">
        <f t="shared" ref="F1301" si="2218">_xlfn.NUMBERVALUE(RIGHT(C1301,4))</f>
        <v>2023</v>
      </c>
      <c r="G1301" t="s">
        <v>7</v>
      </c>
      <c r="H1301">
        <v>-2</v>
      </c>
      <c r="K1301" t="s">
        <v>9</v>
      </c>
      <c r="L1301" s="8">
        <f t="shared" si="2158"/>
        <v>-1</v>
      </c>
      <c r="M1301" t="s">
        <v>1440</v>
      </c>
    </row>
    <row r="1302" spans="1:20" x14ac:dyDescent="0.35">
      <c r="A1302">
        <f t="shared" si="1908"/>
        <v>1298</v>
      </c>
      <c r="B1302" s="9">
        <f t="shared" ref="B1302" si="2219">B1301+H1302+I1302+J1302</f>
        <v>82.000000000000014</v>
      </c>
      <c r="C1302" s="3" t="s">
        <v>1429</v>
      </c>
      <c r="D1302">
        <f t="shared" ref="D1302" si="2220">_xlfn.NUMBERVALUE(LEFT(C1302,2))</f>
        <v>5</v>
      </c>
      <c r="E1302">
        <f t="shared" ref="E1302" si="2221">_xlfn.NUMBERVALUE(MID(C1302,4,2))</f>
        <v>11</v>
      </c>
      <c r="F1302">
        <f t="shared" ref="F1302" si="2222">_xlfn.NUMBERVALUE(RIGHT(C1302,4))</f>
        <v>2023</v>
      </c>
      <c r="G1302" t="s">
        <v>7</v>
      </c>
      <c r="H1302">
        <v>-2</v>
      </c>
      <c r="I1302">
        <v>6</v>
      </c>
      <c r="K1302" t="s">
        <v>10</v>
      </c>
      <c r="L1302" s="8">
        <f t="shared" si="2158"/>
        <v>2</v>
      </c>
      <c r="M1302" t="s">
        <v>1441</v>
      </c>
    </row>
    <row r="1303" spans="1:20" x14ac:dyDescent="0.35">
      <c r="A1303">
        <f t="shared" si="1908"/>
        <v>1299</v>
      </c>
      <c r="B1303" s="9">
        <f t="shared" ref="B1303" si="2223">B1302+H1303+I1303+J1303</f>
        <v>84.000000000000014</v>
      </c>
      <c r="C1303" s="3" t="s">
        <v>1429</v>
      </c>
      <c r="D1303">
        <f t="shared" ref="D1303" si="2224">_xlfn.NUMBERVALUE(LEFT(C1303,2))</f>
        <v>5</v>
      </c>
      <c r="E1303">
        <f t="shared" ref="E1303" si="2225">_xlfn.NUMBERVALUE(MID(C1303,4,2))</f>
        <v>11</v>
      </c>
      <c r="F1303">
        <f t="shared" ref="F1303" si="2226">_xlfn.NUMBERVALUE(RIGHT(C1303,4))</f>
        <v>2023</v>
      </c>
      <c r="G1303" t="s">
        <v>7</v>
      </c>
      <c r="H1303">
        <v>-2</v>
      </c>
      <c r="I1303">
        <v>4</v>
      </c>
      <c r="K1303" t="s">
        <v>10</v>
      </c>
      <c r="L1303" s="8">
        <f t="shared" si="2158"/>
        <v>1</v>
      </c>
      <c r="M1303" t="s">
        <v>1442</v>
      </c>
    </row>
    <row r="1304" spans="1:20" x14ac:dyDescent="0.35">
      <c r="A1304">
        <f t="shared" si="1908"/>
        <v>1300</v>
      </c>
      <c r="B1304" s="9">
        <f t="shared" ref="B1304" si="2227">B1303+H1304+I1304+J1304</f>
        <v>98.000000000000014</v>
      </c>
      <c r="C1304" s="3" t="s">
        <v>1429</v>
      </c>
      <c r="D1304">
        <f t="shared" ref="D1304" si="2228">_xlfn.NUMBERVALUE(LEFT(C1304,2))</f>
        <v>5</v>
      </c>
      <c r="E1304">
        <f t="shared" ref="E1304" si="2229">_xlfn.NUMBERVALUE(MID(C1304,4,2))</f>
        <v>11</v>
      </c>
      <c r="F1304">
        <f t="shared" ref="F1304" si="2230">_xlfn.NUMBERVALUE(RIGHT(C1304,4))</f>
        <v>2023</v>
      </c>
      <c r="G1304" t="s">
        <v>7</v>
      </c>
      <c r="H1304">
        <v>-2</v>
      </c>
      <c r="I1304">
        <v>16</v>
      </c>
      <c r="K1304" t="s">
        <v>10</v>
      </c>
      <c r="L1304" s="8">
        <f t="shared" si="2158"/>
        <v>7</v>
      </c>
      <c r="M1304" t="s">
        <v>1443</v>
      </c>
    </row>
    <row r="1305" spans="1:20" x14ac:dyDescent="0.35">
      <c r="A1305">
        <f t="shared" si="1908"/>
        <v>1301</v>
      </c>
      <c r="B1305" s="9">
        <f t="shared" ref="B1305" si="2231">B1304+H1305+I1305+J1305</f>
        <v>96.000000000000014</v>
      </c>
      <c r="C1305" s="3" t="s">
        <v>1444</v>
      </c>
      <c r="D1305">
        <f t="shared" ref="D1305" si="2232">_xlfn.NUMBERVALUE(LEFT(C1305,2))</f>
        <v>6</v>
      </c>
      <c r="E1305">
        <f t="shared" ref="E1305" si="2233">_xlfn.NUMBERVALUE(MID(C1305,4,2))</f>
        <v>11</v>
      </c>
      <c r="F1305">
        <f t="shared" ref="F1305" si="2234">_xlfn.NUMBERVALUE(RIGHT(C1305,4))</f>
        <v>2023</v>
      </c>
      <c r="G1305" t="s">
        <v>7</v>
      </c>
      <c r="H1305">
        <v>-2</v>
      </c>
      <c r="K1305" t="s">
        <v>9</v>
      </c>
      <c r="L1305" s="8">
        <f t="shared" si="2158"/>
        <v>-1</v>
      </c>
      <c r="M1305" t="s">
        <v>1445</v>
      </c>
    </row>
    <row r="1306" spans="1:20" x14ac:dyDescent="0.35">
      <c r="A1306">
        <f t="shared" si="1908"/>
        <v>1302</v>
      </c>
      <c r="B1306" s="9">
        <f t="shared" ref="B1306" si="2235">B1305+H1306+I1306+J1306</f>
        <v>94.000000000000014</v>
      </c>
      <c r="C1306" s="3" t="s">
        <v>1444</v>
      </c>
      <c r="D1306">
        <f t="shared" ref="D1306" si="2236">_xlfn.NUMBERVALUE(LEFT(C1306,2))</f>
        <v>6</v>
      </c>
      <c r="E1306">
        <f t="shared" ref="E1306" si="2237">_xlfn.NUMBERVALUE(MID(C1306,4,2))</f>
        <v>11</v>
      </c>
      <c r="F1306">
        <f t="shared" ref="F1306" si="2238">_xlfn.NUMBERVALUE(RIGHT(C1306,4))</f>
        <v>2023</v>
      </c>
      <c r="G1306" t="s">
        <v>7</v>
      </c>
      <c r="H1306">
        <v>-2</v>
      </c>
      <c r="K1306" t="s">
        <v>9</v>
      </c>
      <c r="L1306" s="8">
        <f t="shared" si="2158"/>
        <v>-1</v>
      </c>
      <c r="M1306" t="s">
        <v>1446</v>
      </c>
    </row>
    <row r="1307" spans="1:20" x14ac:dyDescent="0.35">
      <c r="A1307">
        <f t="shared" si="1908"/>
        <v>1303</v>
      </c>
      <c r="B1307" s="9">
        <f t="shared" ref="B1307" si="2239">B1306+H1307+I1307+J1307</f>
        <v>92.000000000000014</v>
      </c>
      <c r="C1307" s="3" t="s">
        <v>1444</v>
      </c>
      <c r="D1307">
        <f t="shared" ref="D1307" si="2240">_xlfn.NUMBERVALUE(LEFT(C1307,2))</f>
        <v>6</v>
      </c>
      <c r="E1307">
        <f t="shared" ref="E1307" si="2241">_xlfn.NUMBERVALUE(MID(C1307,4,2))</f>
        <v>11</v>
      </c>
      <c r="F1307">
        <f t="shared" ref="F1307" si="2242">_xlfn.NUMBERVALUE(RIGHT(C1307,4))</f>
        <v>2023</v>
      </c>
      <c r="G1307" t="s">
        <v>7</v>
      </c>
      <c r="H1307">
        <v>-2</v>
      </c>
      <c r="K1307" t="s">
        <v>9</v>
      </c>
      <c r="L1307" s="8">
        <f t="shared" si="2158"/>
        <v>-1</v>
      </c>
      <c r="M1307" t="s">
        <v>1447</v>
      </c>
    </row>
    <row r="1308" spans="1:20" x14ac:dyDescent="0.35">
      <c r="A1308">
        <f t="shared" si="1908"/>
        <v>1304</v>
      </c>
      <c r="B1308" s="9">
        <f t="shared" ref="B1308" si="2243">B1307+H1308+I1308+J1308</f>
        <v>96.000000000000014</v>
      </c>
      <c r="C1308" s="3" t="s">
        <v>1444</v>
      </c>
      <c r="D1308">
        <f t="shared" ref="D1308" si="2244">_xlfn.NUMBERVALUE(LEFT(C1308,2))</f>
        <v>6</v>
      </c>
      <c r="E1308">
        <f t="shared" ref="E1308" si="2245">_xlfn.NUMBERVALUE(MID(C1308,4,2))</f>
        <v>11</v>
      </c>
      <c r="F1308">
        <f t="shared" ref="F1308" si="2246">_xlfn.NUMBERVALUE(RIGHT(C1308,4))</f>
        <v>2023</v>
      </c>
      <c r="G1308" t="s">
        <v>7</v>
      </c>
      <c r="H1308">
        <v>-2</v>
      </c>
      <c r="I1308">
        <v>6</v>
      </c>
      <c r="K1308" t="s">
        <v>10</v>
      </c>
      <c r="L1308" s="8">
        <f t="shared" si="2158"/>
        <v>2</v>
      </c>
      <c r="M1308" t="s">
        <v>1448</v>
      </c>
    </row>
    <row r="1309" spans="1:20" x14ac:dyDescent="0.35">
      <c r="A1309">
        <f t="shared" si="1908"/>
        <v>1305</v>
      </c>
      <c r="B1309" s="9">
        <f t="shared" ref="B1309" si="2247">B1308+H1309+I1309+J1309</f>
        <v>94.000000000000014</v>
      </c>
      <c r="C1309" s="3" t="s">
        <v>1444</v>
      </c>
      <c r="D1309">
        <f t="shared" ref="D1309" si="2248">_xlfn.NUMBERVALUE(LEFT(C1309,2))</f>
        <v>6</v>
      </c>
      <c r="E1309">
        <f t="shared" ref="E1309" si="2249">_xlfn.NUMBERVALUE(MID(C1309,4,2))</f>
        <v>11</v>
      </c>
      <c r="F1309">
        <f t="shared" ref="F1309" si="2250">_xlfn.NUMBERVALUE(RIGHT(C1309,4))</f>
        <v>2023</v>
      </c>
      <c r="G1309" t="s">
        <v>7</v>
      </c>
      <c r="H1309">
        <v>-2</v>
      </c>
      <c r="K1309" t="s">
        <v>9</v>
      </c>
      <c r="L1309" s="8">
        <f t="shared" si="2158"/>
        <v>-1</v>
      </c>
      <c r="M1309" t="s">
        <v>1449</v>
      </c>
    </row>
    <row r="1310" spans="1:20" x14ac:dyDescent="0.35">
      <c r="A1310">
        <f t="shared" si="1908"/>
        <v>1306</v>
      </c>
      <c r="B1310" s="9">
        <f t="shared" ref="B1310" si="2251">B1309+H1310+I1310+J1310</f>
        <v>102.00000000000001</v>
      </c>
      <c r="C1310" s="3" t="s">
        <v>1444</v>
      </c>
      <c r="D1310">
        <f t="shared" ref="D1310" si="2252">_xlfn.NUMBERVALUE(LEFT(C1310,2))</f>
        <v>6</v>
      </c>
      <c r="E1310">
        <f t="shared" ref="E1310" si="2253">_xlfn.NUMBERVALUE(MID(C1310,4,2))</f>
        <v>11</v>
      </c>
      <c r="F1310">
        <f t="shared" ref="F1310" si="2254">_xlfn.NUMBERVALUE(RIGHT(C1310,4))</f>
        <v>2023</v>
      </c>
      <c r="G1310" t="s">
        <v>7</v>
      </c>
      <c r="H1310">
        <v>-2</v>
      </c>
      <c r="I1310">
        <v>10</v>
      </c>
      <c r="K1310" t="s">
        <v>10</v>
      </c>
      <c r="L1310" s="8">
        <f t="shared" si="2158"/>
        <v>4</v>
      </c>
      <c r="M1310" t="s">
        <v>1450</v>
      </c>
    </row>
    <row r="1311" spans="1:20" x14ac:dyDescent="0.35">
      <c r="A1311">
        <f t="shared" si="1908"/>
        <v>1307</v>
      </c>
      <c r="B1311" s="9">
        <f t="shared" ref="B1311" si="2255">B1310+H1311+I1311+J1311</f>
        <v>100.00000000000001</v>
      </c>
      <c r="C1311" s="3" t="s">
        <v>1444</v>
      </c>
      <c r="D1311">
        <f t="shared" ref="D1311" si="2256">_xlfn.NUMBERVALUE(LEFT(C1311,2))</f>
        <v>6</v>
      </c>
      <c r="E1311">
        <f t="shared" ref="E1311" si="2257">_xlfn.NUMBERVALUE(MID(C1311,4,2))</f>
        <v>11</v>
      </c>
      <c r="F1311">
        <f t="shared" ref="F1311" si="2258">_xlfn.NUMBERVALUE(RIGHT(C1311,4))</f>
        <v>2023</v>
      </c>
      <c r="G1311" t="s">
        <v>7</v>
      </c>
      <c r="H1311">
        <v>-2</v>
      </c>
      <c r="K1311" t="s">
        <v>9</v>
      </c>
      <c r="L1311" s="8">
        <f t="shared" si="2158"/>
        <v>-1</v>
      </c>
      <c r="M1311" t="s">
        <v>1451</v>
      </c>
    </row>
    <row r="1312" spans="1:20" x14ac:dyDescent="0.35">
      <c r="A1312">
        <f t="shared" si="1908"/>
        <v>1308</v>
      </c>
      <c r="B1312" s="9">
        <f t="shared" ref="B1312" si="2259">B1311+H1312+I1312+J1312</f>
        <v>104.00000000000001</v>
      </c>
      <c r="C1312" s="3" t="s">
        <v>1444</v>
      </c>
      <c r="D1312">
        <f t="shared" ref="D1312" si="2260">_xlfn.NUMBERVALUE(LEFT(C1312,2))</f>
        <v>6</v>
      </c>
      <c r="E1312">
        <f t="shared" ref="E1312" si="2261">_xlfn.NUMBERVALUE(MID(C1312,4,2))</f>
        <v>11</v>
      </c>
      <c r="F1312">
        <f t="shared" ref="F1312" si="2262">_xlfn.NUMBERVALUE(RIGHT(C1312,4))</f>
        <v>2023</v>
      </c>
      <c r="G1312" t="s">
        <v>7</v>
      </c>
      <c r="H1312">
        <v>-2</v>
      </c>
      <c r="I1312">
        <v>6</v>
      </c>
      <c r="K1312" t="s">
        <v>10</v>
      </c>
      <c r="L1312" s="8">
        <f t="shared" si="2158"/>
        <v>2</v>
      </c>
      <c r="M1312" t="s">
        <v>1452</v>
      </c>
    </row>
    <row r="1313" spans="1:13" x14ac:dyDescent="0.35">
      <c r="A1313">
        <f t="shared" si="1908"/>
        <v>1309</v>
      </c>
      <c r="B1313" s="9">
        <f t="shared" ref="B1313" si="2263">B1312+H1313+I1313+J1313</f>
        <v>102.00000000000001</v>
      </c>
      <c r="C1313" s="3" t="s">
        <v>1444</v>
      </c>
      <c r="D1313">
        <f t="shared" ref="D1313" si="2264">_xlfn.NUMBERVALUE(LEFT(C1313,2))</f>
        <v>6</v>
      </c>
      <c r="E1313">
        <f t="shared" ref="E1313" si="2265">_xlfn.NUMBERVALUE(MID(C1313,4,2))</f>
        <v>11</v>
      </c>
      <c r="F1313">
        <f t="shared" ref="F1313" si="2266">_xlfn.NUMBERVALUE(RIGHT(C1313,4))</f>
        <v>2023</v>
      </c>
      <c r="G1313" t="s">
        <v>7</v>
      </c>
      <c r="H1313">
        <v>-2</v>
      </c>
      <c r="K1313" t="s">
        <v>9</v>
      </c>
      <c r="L1313" s="8">
        <f t="shared" si="2158"/>
        <v>-1</v>
      </c>
      <c r="M1313" t="s">
        <v>1453</v>
      </c>
    </row>
    <row r="1314" spans="1:13" x14ac:dyDescent="0.35">
      <c r="A1314">
        <f t="shared" si="1908"/>
        <v>1310</v>
      </c>
      <c r="B1314" s="9">
        <f t="shared" ref="B1314" si="2267">B1313+H1314+I1314+J1314</f>
        <v>106.00000000000001</v>
      </c>
      <c r="C1314" s="3" t="s">
        <v>1444</v>
      </c>
      <c r="D1314">
        <f t="shared" ref="D1314" si="2268">_xlfn.NUMBERVALUE(LEFT(C1314,2))</f>
        <v>6</v>
      </c>
      <c r="E1314">
        <f t="shared" ref="E1314" si="2269">_xlfn.NUMBERVALUE(MID(C1314,4,2))</f>
        <v>11</v>
      </c>
      <c r="F1314">
        <f t="shared" ref="F1314" si="2270">_xlfn.NUMBERVALUE(RIGHT(C1314,4))</f>
        <v>2023</v>
      </c>
      <c r="G1314" t="s">
        <v>7</v>
      </c>
      <c r="H1314">
        <v>-2</v>
      </c>
      <c r="I1314">
        <v>6</v>
      </c>
      <c r="K1314" t="s">
        <v>10</v>
      </c>
      <c r="L1314" s="8">
        <f t="shared" si="2158"/>
        <v>2</v>
      </c>
      <c r="M1314" t="s">
        <v>1454</v>
      </c>
    </row>
    <row r="1315" spans="1:13" x14ac:dyDescent="0.35">
      <c r="A1315">
        <f t="shared" si="1908"/>
        <v>1311</v>
      </c>
      <c r="B1315" s="9">
        <f t="shared" ref="B1315" si="2271">B1314+H1315+I1315+J1315</f>
        <v>104.00000000000001</v>
      </c>
      <c r="C1315" s="3" t="s">
        <v>1444</v>
      </c>
      <c r="D1315">
        <f t="shared" ref="D1315" si="2272">_xlfn.NUMBERVALUE(LEFT(C1315,2))</f>
        <v>6</v>
      </c>
      <c r="E1315">
        <f t="shared" ref="E1315" si="2273">_xlfn.NUMBERVALUE(MID(C1315,4,2))</f>
        <v>11</v>
      </c>
      <c r="F1315">
        <f t="shared" ref="F1315" si="2274">_xlfn.NUMBERVALUE(RIGHT(C1315,4))</f>
        <v>2023</v>
      </c>
      <c r="G1315" t="s">
        <v>7</v>
      </c>
      <c r="H1315">
        <v>-2</v>
      </c>
      <c r="K1315" t="s">
        <v>9</v>
      </c>
      <c r="L1315" s="8">
        <f t="shared" si="2158"/>
        <v>-1</v>
      </c>
      <c r="M1315" t="s">
        <v>1455</v>
      </c>
    </row>
    <row r="1316" spans="1:13" x14ac:dyDescent="0.35">
      <c r="A1316">
        <f t="shared" si="1908"/>
        <v>1312</v>
      </c>
      <c r="B1316" s="9">
        <f t="shared" ref="B1316" si="2275">B1315+H1316+I1316+J1316</f>
        <v>108.00000000000001</v>
      </c>
      <c r="C1316" s="3" t="s">
        <v>1444</v>
      </c>
      <c r="D1316">
        <f t="shared" ref="D1316" si="2276">_xlfn.NUMBERVALUE(LEFT(C1316,2))</f>
        <v>6</v>
      </c>
      <c r="E1316">
        <f t="shared" ref="E1316" si="2277">_xlfn.NUMBERVALUE(MID(C1316,4,2))</f>
        <v>11</v>
      </c>
      <c r="F1316">
        <f t="shared" ref="F1316" si="2278">_xlfn.NUMBERVALUE(RIGHT(C1316,4))</f>
        <v>2023</v>
      </c>
      <c r="G1316" t="s">
        <v>7</v>
      </c>
      <c r="H1316">
        <v>-2</v>
      </c>
      <c r="I1316">
        <v>6</v>
      </c>
      <c r="K1316" t="s">
        <v>10</v>
      </c>
      <c r="L1316" s="8">
        <f t="shared" si="2158"/>
        <v>2</v>
      </c>
      <c r="M1316" t="s">
        <v>1456</v>
      </c>
    </row>
    <row r="1317" spans="1:13" x14ac:dyDescent="0.35">
      <c r="A1317">
        <f t="shared" si="1908"/>
        <v>1313</v>
      </c>
      <c r="B1317" s="9">
        <f t="shared" ref="B1317" si="2279">B1316+H1317+I1317+J1317</f>
        <v>106.00000000000001</v>
      </c>
      <c r="C1317" s="3" t="s">
        <v>1444</v>
      </c>
      <c r="D1317">
        <f t="shared" ref="D1317" si="2280">_xlfn.NUMBERVALUE(LEFT(C1317,2))</f>
        <v>6</v>
      </c>
      <c r="E1317">
        <f t="shared" ref="E1317" si="2281">_xlfn.NUMBERVALUE(MID(C1317,4,2))</f>
        <v>11</v>
      </c>
      <c r="F1317">
        <f t="shared" ref="F1317" si="2282">_xlfn.NUMBERVALUE(RIGHT(C1317,4))</f>
        <v>2023</v>
      </c>
      <c r="G1317" t="s">
        <v>7</v>
      </c>
      <c r="H1317">
        <v>-2</v>
      </c>
      <c r="K1317" t="s">
        <v>9</v>
      </c>
      <c r="L1317" s="8">
        <f t="shared" si="2158"/>
        <v>-1</v>
      </c>
      <c r="M1317" t="s">
        <v>1457</v>
      </c>
    </row>
    <row r="1318" spans="1:13" x14ac:dyDescent="0.35">
      <c r="A1318">
        <f t="shared" si="1908"/>
        <v>1314</v>
      </c>
      <c r="B1318" s="9">
        <f t="shared" ref="B1318" si="2283">B1317+H1318+I1318+J1318</f>
        <v>104.00000000000001</v>
      </c>
      <c r="C1318" s="3" t="s">
        <v>1444</v>
      </c>
      <c r="D1318">
        <f t="shared" ref="D1318" si="2284">_xlfn.NUMBERVALUE(LEFT(C1318,2))</f>
        <v>6</v>
      </c>
      <c r="E1318">
        <f t="shared" ref="E1318" si="2285">_xlfn.NUMBERVALUE(MID(C1318,4,2))</f>
        <v>11</v>
      </c>
      <c r="F1318">
        <f t="shared" ref="F1318" si="2286">_xlfn.NUMBERVALUE(RIGHT(C1318,4))</f>
        <v>2023</v>
      </c>
      <c r="G1318" t="s">
        <v>7</v>
      </c>
      <c r="H1318">
        <v>-2</v>
      </c>
      <c r="K1318" t="s">
        <v>9</v>
      </c>
      <c r="L1318" s="8">
        <f t="shared" si="2158"/>
        <v>-1</v>
      </c>
      <c r="M1318" t="s">
        <v>1458</v>
      </c>
    </row>
    <row r="1319" spans="1:13" x14ac:dyDescent="0.35">
      <c r="A1319">
        <f t="shared" si="1908"/>
        <v>1315</v>
      </c>
      <c r="B1319" s="9">
        <f t="shared" ref="B1319" si="2287">B1318+H1319+I1319+J1319</f>
        <v>106.00000000000001</v>
      </c>
      <c r="C1319" s="3" t="s">
        <v>1444</v>
      </c>
      <c r="D1319">
        <f t="shared" ref="D1319" si="2288">_xlfn.NUMBERVALUE(LEFT(C1319,2))</f>
        <v>6</v>
      </c>
      <c r="E1319">
        <f t="shared" ref="E1319" si="2289">_xlfn.NUMBERVALUE(MID(C1319,4,2))</f>
        <v>11</v>
      </c>
      <c r="F1319">
        <f t="shared" ref="F1319" si="2290">_xlfn.NUMBERVALUE(RIGHT(C1319,4))</f>
        <v>2023</v>
      </c>
      <c r="G1319" t="s">
        <v>7</v>
      </c>
      <c r="H1319">
        <v>-2</v>
      </c>
      <c r="I1319">
        <v>4</v>
      </c>
      <c r="K1319" t="s">
        <v>10</v>
      </c>
      <c r="L1319" s="8">
        <f t="shared" si="2158"/>
        <v>1</v>
      </c>
      <c r="M1319" t="s">
        <v>1459</v>
      </c>
    </row>
    <row r="1320" spans="1:13" x14ac:dyDescent="0.35">
      <c r="A1320">
        <f t="shared" si="1908"/>
        <v>1316</v>
      </c>
      <c r="B1320" s="9">
        <f t="shared" ref="B1320" si="2291">B1319+H1320+I1320+J1320</f>
        <v>108.00000000000001</v>
      </c>
      <c r="C1320" s="3" t="s">
        <v>1444</v>
      </c>
      <c r="D1320">
        <f t="shared" ref="D1320" si="2292">_xlfn.NUMBERVALUE(LEFT(C1320,2))</f>
        <v>6</v>
      </c>
      <c r="E1320">
        <f t="shared" ref="E1320" si="2293">_xlfn.NUMBERVALUE(MID(C1320,4,2))</f>
        <v>11</v>
      </c>
      <c r="F1320">
        <f t="shared" ref="F1320" si="2294">_xlfn.NUMBERVALUE(RIGHT(C1320,4))</f>
        <v>2023</v>
      </c>
      <c r="G1320" t="s">
        <v>7</v>
      </c>
      <c r="H1320">
        <v>-2</v>
      </c>
      <c r="I1320">
        <v>4</v>
      </c>
      <c r="K1320" t="s">
        <v>10</v>
      </c>
      <c r="L1320" s="8">
        <f t="shared" si="2158"/>
        <v>1</v>
      </c>
      <c r="M1320" t="s">
        <v>1460</v>
      </c>
    </row>
    <row r="1321" spans="1:13" x14ac:dyDescent="0.35">
      <c r="A1321">
        <f t="shared" si="1908"/>
        <v>1317</v>
      </c>
      <c r="B1321" s="9">
        <f t="shared" ref="B1321" si="2295">B1320+H1321+I1321+J1321</f>
        <v>106.00000000000001</v>
      </c>
      <c r="C1321" s="3" t="s">
        <v>1444</v>
      </c>
      <c r="D1321">
        <f t="shared" ref="D1321" si="2296">_xlfn.NUMBERVALUE(LEFT(C1321,2))</f>
        <v>6</v>
      </c>
      <c r="E1321">
        <f t="shared" ref="E1321" si="2297">_xlfn.NUMBERVALUE(MID(C1321,4,2))</f>
        <v>11</v>
      </c>
      <c r="F1321">
        <f t="shared" ref="F1321" si="2298">_xlfn.NUMBERVALUE(RIGHT(C1321,4))</f>
        <v>2023</v>
      </c>
      <c r="G1321" t="s">
        <v>7</v>
      </c>
      <c r="H1321">
        <v>-2</v>
      </c>
      <c r="K1321" t="s">
        <v>9</v>
      </c>
      <c r="L1321" s="8">
        <f t="shared" si="2158"/>
        <v>-1</v>
      </c>
      <c r="M1321" t="s">
        <v>1461</v>
      </c>
    </row>
    <row r="1322" spans="1:13" x14ac:dyDescent="0.35">
      <c r="A1322">
        <f t="shared" si="1908"/>
        <v>1318</v>
      </c>
      <c r="B1322" s="9">
        <f t="shared" ref="B1322" si="2299">B1321+H1322+I1322+J1322</f>
        <v>104.00000000000001</v>
      </c>
      <c r="C1322" s="3" t="s">
        <v>1444</v>
      </c>
      <c r="D1322">
        <f t="shared" ref="D1322" si="2300">_xlfn.NUMBERVALUE(LEFT(C1322,2))</f>
        <v>6</v>
      </c>
      <c r="E1322">
        <f t="shared" ref="E1322" si="2301">_xlfn.NUMBERVALUE(MID(C1322,4,2))</f>
        <v>11</v>
      </c>
      <c r="F1322">
        <f t="shared" ref="F1322" si="2302">_xlfn.NUMBERVALUE(RIGHT(C1322,4))</f>
        <v>2023</v>
      </c>
      <c r="G1322" t="s">
        <v>7</v>
      </c>
      <c r="H1322">
        <v>-2</v>
      </c>
      <c r="K1322" t="s">
        <v>9</v>
      </c>
      <c r="L1322" s="8">
        <f t="shared" si="2158"/>
        <v>-1</v>
      </c>
      <c r="M1322" t="s">
        <v>1462</v>
      </c>
    </row>
    <row r="1323" spans="1:13" x14ac:dyDescent="0.35">
      <c r="A1323">
        <f t="shared" si="1908"/>
        <v>1319</v>
      </c>
      <c r="B1323" s="9">
        <f t="shared" ref="B1323" si="2303">B1322+H1323+I1323+J1323</f>
        <v>106.00000000000001</v>
      </c>
      <c r="C1323" s="3" t="s">
        <v>1444</v>
      </c>
      <c r="D1323">
        <f t="shared" ref="D1323" si="2304">_xlfn.NUMBERVALUE(LEFT(C1323,2))</f>
        <v>6</v>
      </c>
      <c r="E1323">
        <f t="shared" ref="E1323" si="2305">_xlfn.NUMBERVALUE(MID(C1323,4,2))</f>
        <v>11</v>
      </c>
      <c r="F1323">
        <f t="shared" ref="F1323" si="2306">_xlfn.NUMBERVALUE(RIGHT(C1323,4))</f>
        <v>2023</v>
      </c>
      <c r="G1323" t="s">
        <v>7</v>
      </c>
      <c r="H1323">
        <v>-2</v>
      </c>
      <c r="I1323">
        <v>4</v>
      </c>
      <c r="K1323" t="s">
        <v>10</v>
      </c>
      <c r="L1323" s="8">
        <f t="shared" si="2158"/>
        <v>1</v>
      </c>
      <c r="M1323" t="s">
        <v>1463</v>
      </c>
    </row>
    <row r="1324" spans="1:13" x14ac:dyDescent="0.35">
      <c r="A1324">
        <f t="shared" si="1908"/>
        <v>1320</v>
      </c>
      <c r="B1324" s="9">
        <f t="shared" ref="B1324" si="2307">B1323+H1324+I1324+J1324</f>
        <v>104.00000000000001</v>
      </c>
      <c r="C1324" s="3" t="s">
        <v>1444</v>
      </c>
      <c r="D1324">
        <f t="shared" ref="D1324" si="2308">_xlfn.NUMBERVALUE(LEFT(C1324,2))</f>
        <v>6</v>
      </c>
      <c r="E1324">
        <f t="shared" ref="E1324" si="2309">_xlfn.NUMBERVALUE(MID(C1324,4,2))</f>
        <v>11</v>
      </c>
      <c r="F1324">
        <f t="shared" ref="F1324" si="2310">_xlfn.NUMBERVALUE(RIGHT(C1324,4))</f>
        <v>2023</v>
      </c>
      <c r="G1324" t="s">
        <v>7</v>
      </c>
      <c r="H1324">
        <v>-2</v>
      </c>
      <c r="K1324" t="s">
        <v>9</v>
      </c>
      <c r="L1324" s="8">
        <f t="shared" si="2158"/>
        <v>-1</v>
      </c>
      <c r="M1324" t="s">
        <v>1464</v>
      </c>
    </row>
    <row r="1325" spans="1:13" x14ac:dyDescent="0.35">
      <c r="A1325">
        <f t="shared" si="1908"/>
        <v>1321</v>
      </c>
      <c r="B1325" s="9">
        <f t="shared" ref="B1325" si="2311">B1324+H1325+I1325+J1325</f>
        <v>102.00000000000001</v>
      </c>
      <c r="C1325" s="3" t="s">
        <v>1465</v>
      </c>
      <c r="D1325">
        <f t="shared" ref="D1325" si="2312">_xlfn.NUMBERVALUE(LEFT(C1325,2))</f>
        <v>7</v>
      </c>
      <c r="E1325">
        <f t="shared" ref="E1325" si="2313">_xlfn.NUMBERVALUE(MID(C1325,4,2))</f>
        <v>11</v>
      </c>
      <c r="F1325">
        <f t="shared" ref="F1325" si="2314">_xlfn.NUMBERVALUE(RIGHT(C1325,4))</f>
        <v>2023</v>
      </c>
      <c r="G1325" t="s">
        <v>7</v>
      </c>
      <c r="H1325">
        <v>-2</v>
      </c>
      <c r="K1325" t="s">
        <v>9</v>
      </c>
      <c r="L1325" s="8">
        <f t="shared" si="2158"/>
        <v>-1</v>
      </c>
      <c r="M1325" t="s">
        <v>1466</v>
      </c>
    </row>
    <row r="1326" spans="1:13" x14ac:dyDescent="0.35">
      <c r="A1326">
        <f t="shared" si="1908"/>
        <v>1322</v>
      </c>
      <c r="B1326" s="9">
        <f t="shared" ref="B1326" si="2315">B1325+H1326+I1326+J1326</f>
        <v>100.00000000000001</v>
      </c>
      <c r="C1326" s="3" t="s">
        <v>1465</v>
      </c>
      <c r="D1326">
        <f t="shared" ref="D1326" si="2316">_xlfn.NUMBERVALUE(LEFT(C1326,2))</f>
        <v>7</v>
      </c>
      <c r="E1326">
        <f t="shared" ref="E1326" si="2317">_xlfn.NUMBERVALUE(MID(C1326,4,2))</f>
        <v>11</v>
      </c>
      <c r="F1326">
        <f t="shared" ref="F1326" si="2318">_xlfn.NUMBERVALUE(RIGHT(C1326,4))</f>
        <v>2023</v>
      </c>
      <c r="G1326" t="s">
        <v>7</v>
      </c>
      <c r="H1326">
        <v>-2</v>
      </c>
      <c r="K1326" t="s">
        <v>9</v>
      </c>
      <c r="L1326" s="8">
        <f t="shared" si="2158"/>
        <v>-1</v>
      </c>
      <c r="M1326" t="s">
        <v>1467</v>
      </c>
    </row>
    <row r="1327" spans="1:13" x14ac:dyDescent="0.35">
      <c r="A1327">
        <f t="shared" si="1908"/>
        <v>1323</v>
      </c>
      <c r="B1327" s="9">
        <f t="shared" ref="B1327" si="2319">B1326+H1327+I1327+J1327</f>
        <v>98.000000000000014</v>
      </c>
      <c r="C1327" s="3" t="s">
        <v>1465</v>
      </c>
      <c r="D1327">
        <f t="shared" ref="D1327" si="2320">_xlfn.NUMBERVALUE(LEFT(C1327,2))</f>
        <v>7</v>
      </c>
      <c r="E1327">
        <f t="shared" ref="E1327" si="2321">_xlfn.NUMBERVALUE(MID(C1327,4,2))</f>
        <v>11</v>
      </c>
      <c r="F1327">
        <f t="shared" ref="F1327" si="2322">_xlfn.NUMBERVALUE(RIGHT(C1327,4))</f>
        <v>2023</v>
      </c>
      <c r="G1327" t="s">
        <v>7</v>
      </c>
      <c r="H1327">
        <v>-2</v>
      </c>
      <c r="K1327" t="s">
        <v>9</v>
      </c>
      <c r="L1327" s="8">
        <f t="shared" si="2158"/>
        <v>-1</v>
      </c>
      <c r="M1327" t="s">
        <v>1468</v>
      </c>
    </row>
    <row r="1328" spans="1:13" x14ac:dyDescent="0.35">
      <c r="A1328">
        <f t="shared" si="1908"/>
        <v>1324</v>
      </c>
      <c r="B1328" s="9">
        <f t="shared" ref="B1328" si="2323">B1327+H1328+I1328+J1328</f>
        <v>88.000000000000014</v>
      </c>
      <c r="C1328" s="3" t="s">
        <v>1465</v>
      </c>
      <c r="D1328">
        <f t="shared" ref="D1328" si="2324">_xlfn.NUMBERVALUE(LEFT(C1328,2))</f>
        <v>7</v>
      </c>
      <c r="E1328">
        <f t="shared" ref="E1328" si="2325">_xlfn.NUMBERVALUE(MID(C1328,4,2))</f>
        <v>11</v>
      </c>
      <c r="F1328">
        <f t="shared" ref="F1328" si="2326">_xlfn.NUMBERVALUE(RIGHT(C1328,4))</f>
        <v>2023</v>
      </c>
      <c r="G1328" t="s">
        <v>7</v>
      </c>
      <c r="H1328">
        <v>-10</v>
      </c>
      <c r="K1328" t="s">
        <v>9</v>
      </c>
      <c r="L1328" s="8">
        <f t="shared" si="2158"/>
        <v>-1</v>
      </c>
      <c r="M1328" t="s">
        <v>1469</v>
      </c>
    </row>
    <row r="1329" spans="1:13" x14ac:dyDescent="0.35">
      <c r="A1329">
        <f t="shared" si="1908"/>
        <v>1325</v>
      </c>
      <c r="B1329" s="9">
        <f t="shared" ref="B1329" si="2327">B1328+H1329+I1329+J1329</f>
        <v>78.000000000000014</v>
      </c>
      <c r="C1329" s="3" t="s">
        <v>1465</v>
      </c>
      <c r="D1329">
        <f t="shared" ref="D1329" si="2328">_xlfn.NUMBERVALUE(LEFT(C1329,2))</f>
        <v>7</v>
      </c>
      <c r="E1329">
        <f t="shared" ref="E1329" si="2329">_xlfn.NUMBERVALUE(MID(C1329,4,2))</f>
        <v>11</v>
      </c>
      <c r="F1329">
        <f t="shared" ref="F1329" si="2330">_xlfn.NUMBERVALUE(RIGHT(C1329,4))</f>
        <v>2023</v>
      </c>
      <c r="G1329" t="s">
        <v>7</v>
      </c>
      <c r="H1329">
        <v>-10</v>
      </c>
      <c r="K1329" t="s">
        <v>9</v>
      </c>
      <c r="L1329" s="8">
        <f t="shared" si="2158"/>
        <v>-1</v>
      </c>
      <c r="M1329" t="s">
        <v>1470</v>
      </c>
    </row>
    <row r="1330" spans="1:13" x14ac:dyDescent="0.35">
      <c r="A1330">
        <f t="shared" si="1908"/>
        <v>1326</v>
      </c>
      <c r="B1330" s="9">
        <f t="shared" ref="B1330" si="2331">B1329+H1330+I1330+J1330</f>
        <v>88.000000000000014</v>
      </c>
      <c r="C1330" s="3" t="s">
        <v>1465</v>
      </c>
      <c r="D1330">
        <f t="shared" ref="D1330" si="2332">_xlfn.NUMBERVALUE(LEFT(C1330,2))</f>
        <v>7</v>
      </c>
      <c r="E1330">
        <f t="shared" ref="E1330" si="2333">_xlfn.NUMBERVALUE(MID(C1330,4,2))</f>
        <v>11</v>
      </c>
      <c r="F1330">
        <f t="shared" ref="F1330" si="2334">_xlfn.NUMBERVALUE(RIGHT(C1330,4))</f>
        <v>2023</v>
      </c>
      <c r="G1330" t="s">
        <v>7</v>
      </c>
      <c r="H1330">
        <v>-10</v>
      </c>
      <c r="I1330">
        <v>20</v>
      </c>
      <c r="K1330" t="s">
        <v>10</v>
      </c>
      <c r="L1330" s="8">
        <f t="shared" si="2158"/>
        <v>1</v>
      </c>
      <c r="M1330" t="s">
        <v>1471</v>
      </c>
    </row>
    <row r="1331" spans="1:13" x14ac:dyDescent="0.35">
      <c r="A1331">
        <f t="shared" si="1908"/>
        <v>1327</v>
      </c>
      <c r="B1331" s="9">
        <f t="shared" ref="B1331" si="2335">B1330+H1331+I1331+J1331</f>
        <v>78.000000000000014</v>
      </c>
      <c r="C1331" s="3" t="s">
        <v>1465</v>
      </c>
      <c r="D1331">
        <f t="shared" ref="D1331" si="2336">_xlfn.NUMBERVALUE(LEFT(C1331,2))</f>
        <v>7</v>
      </c>
      <c r="E1331">
        <f t="shared" ref="E1331" si="2337">_xlfn.NUMBERVALUE(MID(C1331,4,2))</f>
        <v>11</v>
      </c>
      <c r="F1331">
        <f t="shared" ref="F1331" si="2338">_xlfn.NUMBERVALUE(RIGHT(C1331,4))</f>
        <v>2023</v>
      </c>
      <c r="G1331" t="s">
        <v>7</v>
      </c>
      <c r="H1331">
        <v>-10</v>
      </c>
      <c r="K1331" t="s">
        <v>9</v>
      </c>
      <c r="L1331" s="8">
        <f t="shared" si="2158"/>
        <v>-1</v>
      </c>
      <c r="M1331" t="s">
        <v>1472</v>
      </c>
    </row>
    <row r="1332" spans="1:13" x14ac:dyDescent="0.35">
      <c r="A1332">
        <f t="shared" si="1908"/>
        <v>1328</v>
      </c>
      <c r="B1332" s="9">
        <f t="shared" ref="B1332" si="2339">B1331+H1332+I1332+J1332</f>
        <v>68.000000000000014</v>
      </c>
      <c r="C1332" s="3" t="s">
        <v>1465</v>
      </c>
      <c r="D1332">
        <f t="shared" ref="D1332" si="2340">_xlfn.NUMBERVALUE(LEFT(C1332,2))</f>
        <v>7</v>
      </c>
      <c r="E1332">
        <f t="shared" ref="E1332" si="2341">_xlfn.NUMBERVALUE(MID(C1332,4,2))</f>
        <v>11</v>
      </c>
      <c r="F1332">
        <f t="shared" ref="F1332" si="2342">_xlfn.NUMBERVALUE(RIGHT(C1332,4))</f>
        <v>2023</v>
      </c>
      <c r="G1332" t="s">
        <v>7</v>
      </c>
      <c r="H1332">
        <v>-10</v>
      </c>
      <c r="K1332" t="s">
        <v>9</v>
      </c>
      <c r="L1332" s="8">
        <f t="shared" si="2158"/>
        <v>-1</v>
      </c>
      <c r="M1332" t="s">
        <v>1473</v>
      </c>
    </row>
    <row r="1333" spans="1:13" x14ac:dyDescent="0.35">
      <c r="A1333">
        <f t="shared" si="1908"/>
        <v>1329</v>
      </c>
      <c r="B1333" s="9">
        <f t="shared" ref="B1333" si="2343">B1332+H1333+I1333+J1333</f>
        <v>98.000000000000014</v>
      </c>
      <c r="C1333" s="3" t="s">
        <v>1465</v>
      </c>
      <c r="D1333">
        <f t="shared" ref="D1333" si="2344">_xlfn.NUMBERVALUE(LEFT(C1333,2))</f>
        <v>7</v>
      </c>
      <c r="E1333">
        <f t="shared" ref="E1333" si="2345">_xlfn.NUMBERVALUE(MID(C1333,4,2))</f>
        <v>11</v>
      </c>
      <c r="F1333">
        <f t="shared" ref="F1333" si="2346">_xlfn.NUMBERVALUE(RIGHT(C1333,4))</f>
        <v>2023</v>
      </c>
      <c r="G1333" t="s">
        <v>7</v>
      </c>
      <c r="H1333">
        <v>-10</v>
      </c>
      <c r="I1333">
        <v>40</v>
      </c>
      <c r="K1333" t="s">
        <v>10</v>
      </c>
      <c r="L1333" s="8">
        <f t="shared" si="2158"/>
        <v>3</v>
      </c>
      <c r="M1333" t="s">
        <v>1474</v>
      </c>
    </row>
    <row r="1334" spans="1:13" x14ac:dyDescent="0.35">
      <c r="A1334">
        <f t="shared" si="1908"/>
        <v>1330</v>
      </c>
      <c r="B1334" s="9">
        <f t="shared" ref="B1334" si="2347">B1333+H1334+I1334+J1334</f>
        <v>88.000000000000014</v>
      </c>
      <c r="C1334" s="3" t="s">
        <v>1465</v>
      </c>
      <c r="D1334">
        <f t="shared" ref="D1334" si="2348">_xlfn.NUMBERVALUE(LEFT(C1334,2))</f>
        <v>7</v>
      </c>
      <c r="E1334">
        <f t="shared" ref="E1334" si="2349">_xlfn.NUMBERVALUE(MID(C1334,4,2))</f>
        <v>11</v>
      </c>
      <c r="F1334">
        <f t="shared" ref="F1334" si="2350">_xlfn.NUMBERVALUE(RIGHT(C1334,4))</f>
        <v>2023</v>
      </c>
      <c r="G1334" t="s">
        <v>7</v>
      </c>
      <c r="H1334">
        <v>-10</v>
      </c>
      <c r="K1334" t="s">
        <v>9</v>
      </c>
      <c r="L1334" s="8">
        <f t="shared" si="2158"/>
        <v>-1</v>
      </c>
      <c r="M1334" t="s">
        <v>1475</v>
      </c>
    </row>
    <row r="1335" spans="1:13" x14ac:dyDescent="0.35">
      <c r="A1335">
        <f t="shared" si="1908"/>
        <v>1331</v>
      </c>
      <c r="B1335" s="9">
        <f t="shared" ref="B1335" si="2351">B1334+H1335+I1335+J1335</f>
        <v>78.000000000000014</v>
      </c>
      <c r="C1335" s="3" t="s">
        <v>1465</v>
      </c>
      <c r="D1335">
        <f t="shared" ref="D1335" si="2352">_xlfn.NUMBERVALUE(LEFT(C1335,2))</f>
        <v>7</v>
      </c>
      <c r="E1335">
        <f t="shared" ref="E1335" si="2353">_xlfn.NUMBERVALUE(MID(C1335,4,2))</f>
        <v>11</v>
      </c>
      <c r="F1335">
        <f t="shared" ref="F1335" si="2354">_xlfn.NUMBERVALUE(RIGHT(C1335,4))</f>
        <v>2023</v>
      </c>
      <c r="G1335" t="s">
        <v>7</v>
      </c>
      <c r="H1335">
        <v>-10</v>
      </c>
      <c r="K1335" t="s">
        <v>9</v>
      </c>
      <c r="L1335" s="8">
        <f t="shared" si="2158"/>
        <v>-1</v>
      </c>
      <c r="M1335" t="s">
        <v>1476</v>
      </c>
    </row>
    <row r="1336" spans="1:13" x14ac:dyDescent="0.35">
      <c r="A1336">
        <f t="shared" si="1908"/>
        <v>1332</v>
      </c>
      <c r="B1336" s="9">
        <f t="shared" ref="B1336" si="2355">B1335+H1336+I1336+J1336</f>
        <v>83.000000000000014</v>
      </c>
      <c r="C1336" s="3" t="s">
        <v>1465</v>
      </c>
      <c r="D1336">
        <f t="shared" ref="D1336" si="2356">_xlfn.NUMBERVALUE(LEFT(C1336,2))</f>
        <v>7</v>
      </c>
      <c r="E1336">
        <f t="shared" ref="E1336" si="2357">_xlfn.NUMBERVALUE(MID(C1336,4,2))</f>
        <v>11</v>
      </c>
      <c r="F1336">
        <f t="shared" ref="F1336" si="2358">_xlfn.NUMBERVALUE(RIGHT(C1336,4))</f>
        <v>2023</v>
      </c>
      <c r="G1336" t="s">
        <v>7</v>
      </c>
      <c r="H1336">
        <v>-5</v>
      </c>
      <c r="I1336">
        <v>10</v>
      </c>
      <c r="K1336" t="s">
        <v>10</v>
      </c>
      <c r="L1336" s="8">
        <f t="shared" si="2158"/>
        <v>1</v>
      </c>
      <c r="M1336" t="s">
        <v>1477</v>
      </c>
    </row>
    <row r="1337" spans="1:13" x14ac:dyDescent="0.35">
      <c r="A1337">
        <f t="shared" si="1908"/>
        <v>1333</v>
      </c>
      <c r="B1337" s="9">
        <f t="shared" ref="B1337" si="2359">B1336+H1337+I1337+J1337</f>
        <v>78.000000000000014</v>
      </c>
      <c r="C1337" s="3" t="s">
        <v>1465</v>
      </c>
      <c r="D1337">
        <f t="shared" ref="D1337" si="2360">_xlfn.NUMBERVALUE(LEFT(C1337,2))</f>
        <v>7</v>
      </c>
      <c r="E1337">
        <f t="shared" ref="E1337" si="2361">_xlfn.NUMBERVALUE(MID(C1337,4,2))</f>
        <v>11</v>
      </c>
      <c r="F1337">
        <f t="shared" ref="F1337" si="2362">_xlfn.NUMBERVALUE(RIGHT(C1337,4))</f>
        <v>2023</v>
      </c>
      <c r="G1337" t="s">
        <v>7</v>
      </c>
      <c r="H1337">
        <v>-5</v>
      </c>
      <c r="K1337" t="s">
        <v>9</v>
      </c>
      <c r="L1337" s="8">
        <f t="shared" si="2158"/>
        <v>-1</v>
      </c>
      <c r="M1337" t="s">
        <v>1478</v>
      </c>
    </row>
    <row r="1338" spans="1:13" x14ac:dyDescent="0.35">
      <c r="A1338">
        <f t="shared" si="1908"/>
        <v>1334</v>
      </c>
      <c r="B1338" s="9">
        <f t="shared" ref="B1338" si="2363">B1337+H1338+I1338+J1338</f>
        <v>73.000000000000014</v>
      </c>
      <c r="C1338" s="3" t="s">
        <v>1465</v>
      </c>
      <c r="D1338">
        <f t="shared" ref="D1338" si="2364">_xlfn.NUMBERVALUE(LEFT(C1338,2))</f>
        <v>7</v>
      </c>
      <c r="E1338">
        <f t="shared" ref="E1338" si="2365">_xlfn.NUMBERVALUE(MID(C1338,4,2))</f>
        <v>11</v>
      </c>
      <c r="F1338">
        <f t="shared" ref="F1338" si="2366">_xlfn.NUMBERVALUE(RIGHT(C1338,4))</f>
        <v>2023</v>
      </c>
      <c r="G1338" t="s">
        <v>7</v>
      </c>
      <c r="H1338">
        <v>-5</v>
      </c>
      <c r="K1338" t="s">
        <v>9</v>
      </c>
      <c r="L1338" s="8">
        <f t="shared" si="2158"/>
        <v>-1</v>
      </c>
      <c r="M1338" t="s">
        <v>1479</v>
      </c>
    </row>
    <row r="1339" spans="1:13" x14ac:dyDescent="0.35">
      <c r="A1339">
        <f t="shared" si="1908"/>
        <v>1335</v>
      </c>
      <c r="B1339" s="9">
        <f t="shared" ref="B1339" si="2367">B1338+H1339+I1339+J1339</f>
        <v>68.000000000000014</v>
      </c>
      <c r="C1339" s="3" t="s">
        <v>1465</v>
      </c>
      <c r="D1339">
        <f t="shared" ref="D1339" si="2368">_xlfn.NUMBERVALUE(LEFT(C1339,2))</f>
        <v>7</v>
      </c>
      <c r="E1339">
        <f t="shared" ref="E1339" si="2369">_xlfn.NUMBERVALUE(MID(C1339,4,2))</f>
        <v>11</v>
      </c>
      <c r="F1339">
        <f t="shared" ref="F1339" si="2370">_xlfn.NUMBERVALUE(RIGHT(C1339,4))</f>
        <v>2023</v>
      </c>
      <c r="G1339" t="s">
        <v>7</v>
      </c>
      <c r="H1339">
        <v>-5</v>
      </c>
      <c r="K1339" t="s">
        <v>9</v>
      </c>
      <c r="L1339" s="8">
        <f t="shared" si="2158"/>
        <v>-1</v>
      </c>
      <c r="M1339" t="s">
        <v>1480</v>
      </c>
    </row>
    <row r="1340" spans="1:13" x14ac:dyDescent="0.35">
      <c r="A1340">
        <f t="shared" si="1908"/>
        <v>1336</v>
      </c>
      <c r="B1340" s="9">
        <f t="shared" ref="B1340" si="2371">B1339+H1340+I1340+J1340</f>
        <v>78.000000000000014</v>
      </c>
      <c r="C1340" s="3" t="s">
        <v>1465</v>
      </c>
      <c r="D1340">
        <f t="shared" ref="D1340" si="2372">_xlfn.NUMBERVALUE(LEFT(C1340,2))</f>
        <v>7</v>
      </c>
      <c r="E1340">
        <f t="shared" ref="E1340" si="2373">_xlfn.NUMBERVALUE(MID(C1340,4,2))</f>
        <v>11</v>
      </c>
      <c r="F1340">
        <f t="shared" ref="F1340" si="2374">_xlfn.NUMBERVALUE(RIGHT(C1340,4))</f>
        <v>2023</v>
      </c>
      <c r="G1340" t="s">
        <v>7</v>
      </c>
      <c r="H1340">
        <v>-5</v>
      </c>
      <c r="I1340">
        <v>15</v>
      </c>
      <c r="K1340" t="s">
        <v>10</v>
      </c>
      <c r="L1340" s="8">
        <f t="shared" si="2158"/>
        <v>2</v>
      </c>
      <c r="M1340" t="s">
        <v>1481</v>
      </c>
    </row>
    <row r="1341" spans="1:13" x14ac:dyDescent="0.35">
      <c r="A1341">
        <f t="shared" si="1908"/>
        <v>1337</v>
      </c>
      <c r="B1341" s="9">
        <f t="shared" ref="B1341" si="2375">B1340+H1341+I1341+J1341</f>
        <v>83.000000000000014</v>
      </c>
      <c r="C1341" s="3" t="s">
        <v>1465</v>
      </c>
      <c r="D1341">
        <f t="shared" ref="D1341" si="2376">_xlfn.NUMBERVALUE(LEFT(C1341,2))</f>
        <v>7</v>
      </c>
      <c r="E1341">
        <f t="shared" ref="E1341" si="2377">_xlfn.NUMBERVALUE(MID(C1341,4,2))</f>
        <v>11</v>
      </c>
      <c r="F1341">
        <f t="shared" ref="F1341" si="2378">_xlfn.NUMBERVALUE(RIGHT(C1341,4))</f>
        <v>2023</v>
      </c>
      <c r="G1341" t="s">
        <v>7</v>
      </c>
      <c r="H1341">
        <v>-5</v>
      </c>
      <c r="I1341">
        <v>10</v>
      </c>
      <c r="K1341" t="s">
        <v>10</v>
      </c>
      <c r="L1341" s="8">
        <f t="shared" si="2158"/>
        <v>1</v>
      </c>
      <c r="M1341" t="s">
        <v>1482</v>
      </c>
    </row>
    <row r="1342" spans="1:13" x14ac:dyDescent="0.35">
      <c r="A1342">
        <f t="shared" si="1908"/>
        <v>1338</v>
      </c>
      <c r="B1342" s="9">
        <f t="shared" ref="B1342" si="2379">B1341+H1342+I1342+J1342</f>
        <v>78.000000000000014</v>
      </c>
      <c r="C1342" s="3" t="s">
        <v>1465</v>
      </c>
      <c r="D1342">
        <f t="shared" ref="D1342" si="2380">_xlfn.NUMBERVALUE(LEFT(C1342,2))</f>
        <v>7</v>
      </c>
      <c r="E1342">
        <f t="shared" ref="E1342" si="2381">_xlfn.NUMBERVALUE(MID(C1342,4,2))</f>
        <v>11</v>
      </c>
      <c r="F1342">
        <f t="shared" ref="F1342" si="2382">_xlfn.NUMBERVALUE(RIGHT(C1342,4))</f>
        <v>2023</v>
      </c>
      <c r="G1342" t="s">
        <v>7</v>
      </c>
      <c r="H1342">
        <v>-5</v>
      </c>
      <c r="K1342" t="s">
        <v>9</v>
      </c>
      <c r="L1342" s="8">
        <f t="shared" si="2158"/>
        <v>-1</v>
      </c>
      <c r="M1342" t="s">
        <v>1483</v>
      </c>
    </row>
    <row r="1343" spans="1:13" x14ac:dyDescent="0.35">
      <c r="A1343">
        <f t="shared" si="1908"/>
        <v>1339</v>
      </c>
      <c r="B1343" s="9">
        <f t="shared" ref="B1343" si="2383">B1342+H1343+I1343+J1343</f>
        <v>73.000000000000014</v>
      </c>
      <c r="C1343" s="3" t="s">
        <v>1465</v>
      </c>
      <c r="D1343">
        <f t="shared" ref="D1343" si="2384">_xlfn.NUMBERVALUE(LEFT(C1343,2))</f>
        <v>7</v>
      </c>
      <c r="E1343">
        <f t="shared" ref="E1343" si="2385">_xlfn.NUMBERVALUE(MID(C1343,4,2))</f>
        <v>11</v>
      </c>
      <c r="F1343">
        <f t="shared" ref="F1343" si="2386">_xlfn.NUMBERVALUE(RIGHT(C1343,4))</f>
        <v>2023</v>
      </c>
      <c r="G1343" t="s">
        <v>7</v>
      </c>
      <c r="H1343">
        <v>-5</v>
      </c>
      <c r="K1343" t="s">
        <v>9</v>
      </c>
      <c r="L1343" s="8">
        <f t="shared" si="2158"/>
        <v>-1</v>
      </c>
      <c r="M1343" t="s">
        <v>1484</v>
      </c>
    </row>
    <row r="1344" spans="1:13" x14ac:dyDescent="0.35">
      <c r="A1344">
        <f t="shared" si="1908"/>
        <v>1340</v>
      </c>
      <c r="B1344" s="9">
        <f t="shared" ref="B1344" si="2387">B1343+H1344+I1344+J1344</f>
        <v>68.000000000000014</v>
      </c>
      <c r="C1344" s="3" t="s">
        <v>1465</v>
      </c>
      <c r="D1344">
        <f t="shared" ref="D1344" si="2388">_xlfn.NUMBERVALUE(LEFT(C1344,2))</f>
        <v>7</v>
      </c>
      <c r="E1344">
        <f t="shared" ref="E1344" si="2389">_xlfn.NUMBERVALUE(MID(C1344,4,2))</f>
        <v>11</v>
      </c>
      <c r="F1344">
        <f t="shared" ref="F1344" si="2390">_xlfn.NUMBERVALUE(RIGHT(C1344,4))</f>
        <v>2023</v>
      </c>
      <c r="G1344" t="s">
        <v>7</v>
      </c>
      <c r="H1344">
        <v>-5</v>
      </c>
      <c r="K1344" t="s">
        <v>9</v>
      </c>
      <c r="L1344" s="8">
        <f t="shared" si="2158"/>
        <v>-1</v>
      </c>
      <c r="M1344" t="s">
        <v>1485</v>
      </c>
    </row>
    <row r="1345" spans="1:13" x14ac:dyDescent="0.35">
      <c r="A1345">
        <f t="shared" si="1908"/>
        <v>1341</v>
      </c>
      <c r="B1345" s="9">
        <f t="shared" ref="B1345" si="2391">B1344+H1345+I1345+J1345</f>
        <v>63.000000000000014</v>
      </c>
      <c r="C1345" s="3" t="s">
        <v>1465</v>
      </c>
      <c r="D1345">
        <f t="shared" ref="D1345" si="2392">_xlfn.NUMBERVALUE(LEFT(C1345,2))</f>
        <v>7</v>
      </c>
      <c r="E1345">
        <f t="shared" ref="E1345" si="2393">_xlfn.NUMBERVALUE(MID(C1345,4,2))</f>
        <v>11</v>
      </c>
      <c r="F1345">
        <f t="shared" ref="F1345" si="2394">_xlfn.NUMBERVALUE(RIGHT(C1345,4))</f>
        <v>2023</v>
      </c>
      <c r="G1345" t="s">
        <v>7</v>
      </c>
      <c r="H1345">
        <v>-5</v>
      </c>
      <c r="K1345" t="s">
        <v>9</v>
      </c>
      <c r="L1345" s="8">
        <f t="shared" si="2158"/>
        <v>-1</v>
      </c>
      <c r="M1345" t="s">
        <v>1486</v>
      </c>
    </row>
    <row r="1346" spans="1:13" x14ac:dyDescent="0.35">
      <c r="A1346">
        <f t="shared" si="1908"/>
        <v>1342</v>
      </c>
      <c r="B1346" s="9">
        <f t="shared" ref="B1346" si="2395">B1345+H1346+I1346+J1346</f>
        <v>73.000000000000014</v>
      </c>
      <c r="C1346" s="3" t="s">
        <v>1465</v>
      </c>
      <c r="D1346">
        <f t="shared" ref="D1346" si="2396">_xlfn.NUMBERVALUE(LEFT(C1346,2))</f>
        <v>7</v>
      </c>
      <c r="E1346">
        <f t="shared" ref="E1346" si="2397">_xlfn.NUMBERVALUE(MID(C1346,4,2))</f>
        <v>11</v>
      </c>
      <c r="F1346">
        <f t="shared" ref="F1346" si="2398">_xlfn.NUMBERVALUE(RIGHT(C1346,4))</f>
        <v>2023</v>
      </c>
      <c r="G1346" t="s">
        <v>7</v>
      </c>
      <c r="H1346">
        <v>-5</v>
      </c>
      <c r="I1346">
        <v>15</v>
      </c>
      <c r="K1346" t="s">
        <v>10</v>
      </c>
      <c r="L1346" s="8">
        <f t="shared" si="2158"/>
        <v>2</v>
      </c>
      <c r="M1346" t="s">
        <v>1487</v>
      </c>
    </row>
    <row r="1347" spans="1:13" x14ac:dyDescent="0.35">
      <c r="A1347">
        <f t="shared" si="1908"/>
        <v>1343</v>
      </c>
      <c r="B1347" s="9">
        <f t="shared" ref="B1347" si="2399">B1346+H1347+I1347+J1347</f>
        <v>78.000000000000014</v>
      </c>
      <c r="C1347" s="3" t="s">
        <v>1465</v>
      </c>
      <c r="D1347">
        <f t="shared" ref="D1347" si="2400">_xlfn.NUMBERVALUE(LEFT(C1347,2))</f>
        <v>7</v>
      </c>
      <c r="E1347">
        <f t="shared" ref="E1347" si="2401">_xlfn.NUMBERVALUE(MID(C1347,4,2))</f>
        <v>11</v>
      </c>
      <c r="F1347">
        <f t="shared" ref="F1347" si="2402">_xlfn.NUMBERVALUE(RIGHT(C1347,4))</f>
        <v>2023</v>
      </c>
      <c r="G1347" t="s">
        <v>7</v>
      </c>
      <c r="H1347">
        <v>-5</v>
      </c>
      <c r="I1347">
        <v>10</v>
      </c>
      <c r="K1347" t="s">
        <v>10</v>
      </c>
      <c r="L1347" s="8">
        <f t="shared" si="2158"/>
        <v>1</v>
      </c>
      <c r="M1347" t="s">
        <v>1488</v>
      </c>
    </row>
    <row r="1348" spans="1:13" x14ac:dyDescent="0.35">
      <c r="A1348">
        <f t="shared" si="1908"/>
        <v>1344</v>
      </c>
      <c r="B1348" s="9">
        <f t="shared" ref="B1348" si="2403">B1347+H1348+I1348+J1348</f>
        <v>73.000000000000014</v>
      </c>
      <c r="C1348" s="3" t="s">
        <v>1465</v>
      </c>
      <c r="D1348">
        <f t="shared" ref="D1348" si="2404">_xlfn.NUMBERVALUE(LEFT(C1348,2))</f>
        <v>7</v>
      </c>
      <c r="E1348">
        <f t="shared" ref="E1348" si="2405">_xlfn.NUMBERVALUE(MID(C1348,4,2))</f>
        <v>11</v>
      </c>
      <c r="F1348">
        <f t="shared" ref="F1348" si="2406">_xlfn.NUMBERVALUE(RIGHT(C1348,4))</f>
        <v>2023</v>
      </c>
      <c r="G1348" t="s">
        <v>7</v>
      </c>
      <c r="H1348">
        <v>-5</v>
      </c>
      <c r="K1348" t="s">
        <v>9</v>
      </c>
      <c r="L1348" s="8">
        <f t="shared" si="2158"/>
        <v>-1</v>
      </c>
      <c r="M1348" t="s">
        <v>1489</v>
      </c>
    </row>
    <row r="1349" spans="1:13" x14ac:dyDescent="0.35">
      <c r="A1349">
        <f t="shared" si="1908"/>
        <v>1345</v>
      </c>
      <c r="B1349" s="9">
        <f t="shared" ref="B1349" si="2407">B1348+H1349+I1349+J1349</f>
        <v>68.000000000000014</v>
      </c>
      <c r="C1349" s="3" t="s">
        <v>1465</v>
      </c>
      <c r="D1349">
        <f t="shared" ref="D1349" si="2408">_xlfn.NUMBERVALUE(LEFT(C1349,2))</f>
        <v>7</v>
      </c>
      <c r="E1349">
        <f t="shared" ref="E1349" si="2409">_xlfn.NUMBERVALUE(MID(C1349,4,2))</f>
        <v>11</v>
      </c>
      <c r="F1349">
        <f t="shared" ref="F1349" si="2410">_xlfn.NUMBERVALUE(RIGHT(C1349,4))</f>
        <v>2023</v>
      </c>
      <c r="G1349" t="s">
        <v>7</v>
      </c>
      <c r="H1349">
        <v>-5</v>
      </c>
      <c r="K1349" t="s">
        <v>9</v>
      </c>
      <c r="L1349" s="8">
        <f t="shared" si="2158"/>
        <v>-1</v>
      </c>
      <c r="M1349" t="s">
        <v>1490</v>
      </c>
    </row>
    <row r="1350" spans="1:13" x14ac:dyDescent="0.35">
      <c r="A1350">
        <f t="shared" si="1908"/>
        <v>1346</v>
      </c>
      <c r="B1350" s="9">
        <f t="shared" ref="B1350" si="2411">B1349+H1350+I1350+J1350</f>
        <v>63.000000000000014</v>
      </c>
      <c r="C1350" s="3" t="s">
        <v>1465</v>
      </c>
      <c r="D1350">
        <f t="shared" ref="D1350" si="2412">_xlfn.NUMBERVALUE(LEFT(C1350,2))</f>
        <v>7</v>
      </c>
      <c r="E1350">
        <f t="shared" ref="E1350" si="2413">_xlfn.NUMBERVALUE(MID(C1350,4,2))</f>
        <v>11</v>
      </c>
      <c r="F1350">
        <f t="shared" ref="F1350" si="2414">_xlfn.NUMBERVALUE(RIGHT(C1350,4))</f>
        <v>2023</v>
      </c>
      <c r="G1350" t="s">
        <v>7</v>
      </c>
      <c r="H1350">
        <v>-5</v>
      </c>
      <c r="K1350" t="s">
        <v>9</v>
      </c>
      <c r="L1350" s="8">
        <f t="shared" ref="L1350:L1413" si="2415">IF(H1350="",0,(SUM(I1350:J1350)/-H1350)-1)</f>
        <v>-1</v>
      </c>
      <c r="M1350" t="s">
        <v>1491</v>
      </c>
    </row>
    <row r="1351" spans="1:13" x14ac:dyDescent="0.35">
      <c r="A1351">
        <f t="shared" si="1908"/>
        <v>1347</v>
      </c>
      <c r="B1351" s="9">
        <f t="shared" ref="B1351" si="2416">B1350+H1351+I1351+J1351</f>
        <v>58.000000000000014</v>
      </c>
      <c r="C1351" s="3" t="s">
        <v>1465</v>
      </c>
      <c r="D1351">
        <f t="shared" ref="D1351" si="2417">_xlfn.NUMBERVALUE(LEFT(C1351,2))</f>
        <v>7</v>
      </c>
      <c r="E1351">
        <f t="shared" ref="E1351" si="2418">_xlfn.NUMBERVALUE(MID(C1351,4,2))</f>
        <v>11</v>
      </c>
      <c r="F1351">
        <f t="shared" ref="F1351" si="2419">_xlfn.NUMBERVALUE(RIGHT(C1351,4))</f>
        <v>2023</v>
      </c>
      <c r="G1351" t="s">
        <v>7</v>
      </c>
      <c r="H1351">
        <v>-5</v>
      </c>
      <c r="K1351" t="s">
        <v>9</v>
      </c>
      <c r="L1351" s="8">
        <f t="shared" si="2415"/>
        <v>-1</v>
      </c>
      <c r="M1351" t="s">
        <v>1492</v>
      </c>
    </row>
    <row r="1352" spans="1:13" x14ac:dyDescent="0.35">
      <c r="A1352">
        <f t="shared" si="1908"/>
        <v>1348</v>
      </c>
      <c r="B1352" s="9">
        <f t="shared" ref="B1352" si="2420">B1351+H1352+I1352+J1352</f>
        <v>62.000000000000014</v>
      </c>
      <c r="C1352" s="3" t="s">
        <v>1465</v>
      </c>
      <c r="D1352">
        <f t="shared" ref="D1352" si="2421">_xlfn.NUMBERVALUE(LEFT(C1352,2))</f>
        <v>7</v>
      </c>
      <c r="E1352">
        <f t="shared" ref="E1352" si="2422">_xlfn.NUMBERVALUE(MID(C1352,4,2))</f>
        <v>11</v>
      </c>
      <c r="F1352">
        <f t="shared" ref="F1352" si="2423">_xlfn.NUMBERVALUE(RIGHT(C1352,4))</f>
        <v>2023</v>
      </c>
      <c r="G1352" t="s">
        <v>7</v>
      </c>
      <c r="H1352">
        <v>-2</v>
      </c>
      <c r="I1352">
        <v>6</v>
      </c>
      <c r="K1352" t="s">
        <v>10</v>
      </c>
      <c r="L1352" s="8">
        <f t="shared" si="2415"/>
        <v>2</v>
      </c>
      <c r="M1352" t="s">
        <v>1493</v>
      </c>
    </row>
    <row r="1353" spans="1:13" x14ac:dyDescent="0.35">
      <c r="A1353">
        <f t="shared" si="1908"/>
        <v>1349</v>
      </c>
      <c r="B1353" s="9">
        <f t="shared" ref="B1353" si="2424">B1352+H1353+I1353+J1353</f>
        <v>60.000000000000014</v>
      </c>
      <c r="C1353" s="3" t="s">
        <v>1465</v>
      </c>
      <c r="D1353">
        <f t="shared" ref="D1353" si="2425">_xlfn.NUMBERVALUE(LEFT(C1353,2))</f>
        <v>7</v>
      </c>
      <c r="E1353">
        <f t="shared" ref="E1353" si="2426">_xlfn.NUMBERVALUE(MID(C1353,4,2))</f>
        <v>11</v>
      </c>
      <c r="F1353">
        <f t="shared" ref="F1353" si="2427">_xlfn.NUMBERVALUE(RIGHT(C1353,4))</f>
        <v>2023</v>
      </c>
      <c r="G1353" t="s">
        <v>7</v>
      </c>
      <c r="H1353">
        <v>-2</v>
      </c>
      <c r="K1353" t="s">
        <v>9</v>
      </c>
      <c r="L1353" s="8">
        <f t="shared" si="2415"/>
        <v>-1</v>
      </c>
      <c r="M1353" t="s">
        <v>1494</v>
      </c>
    </row>
    <row r="1354" spans="1:13" x14ac:dyDescent="0.35">
      <c r="A1354">
        <f t="shared" si="1908"/>
        <v>1350</v>
      </c>
      <c r="B1354" s="9">
        <f t="shared" ref="B1354" si="2428">B1353+H1354+I1354+J1354</f>
        <v>58.000000000000014</v>
      </c>
      <c r="C1354" s="3" t="s">
        <v>1465</v>
      </c>
      <c r="D1354">
        <f t="shared" ref="D1354" si="2429">_xlfn.NUMBERVALUE(LEFT(C1354,2))</f>
        <v>7</v>
      </c>
      <c r="E1354">
        <f t="shared" ref="E1354" si="2430">_xlfn.NUMBERVALUE(MID(C1354,4,2))</f>
        <v>11</v>
      </c>
      <c r="F1354">
        <f t="shared" ref="F1354" si="2431">_xlfn.NUMBERVALUE(RIGHT(C1354,4))</f>
        <v>2023</v>
      </c>
      <c r="G1354" t="s">
        <v>7</v>
      </c>
      <c r="H1354">
        <v>-2</v>
      </c>
      <c r="K1354" t="s">
        <v>9</v>
      </c>
      <c r="L1354" s="8">
        <f t="shared" si="2415"/>
        <v>-1</v>
      </c>
      <c r="M1354" t="s">
        <v>1495</v>
      </c>
    </row>
    <row r="1355" spans="1:13" x14ac:dyDescent="0.35">
      <c r="A1355">
        <f t="shared" si="1908"/>
        <v>1351</v>
      </c>
      <c r="B1355" s="9">
        <f t="shared" ref="B1355" si="2432">B1354+H1355+I1355+J1355</f>
        <v>56.000000000000014</v>
      </c>
      <c r="C1355" s="3" t="s">
        <v>1465</v>
      </c>
      <c r="D1355">
        <f t="shared" ref="D1355" si="2433">_xlfn.NUMBERVALUE(LEFT(C1355,2))</f>
        <v>7</v>
      </c>
      <c r="E1355">
        <f t="shared" ref="E1355" si="2434">_xlfn.NUMBERVALUE(MID(C1355,4,2))</f>
        <v>11</v>
      </c>
      <c r="F1355">
        <f t="shared" ref="F1355" si="2435">_xlfn.NUMBERVALUE(RIGHT(C1355,4))</f>
        <v>2023</v>
      </c>
      <c r="G1355" t="s">
        <v>7</v>
      </c>
      <c r="H1355">
        <v>-2</v>
      </c>
      <c r="K1355" t="s">
        <v>9</v>
      </c>
      <c r="L1355" s="8">
        <f t="shared" si="2415"/>
        <v>-1</v>
      </c>
      <c r="M1355" t="s">
        <v>1496</v>
      </c>
    </row>
    <row r="1356" spans="1:13" x14ac:dyDescent="0.35">
      <c r="A1356">
        <f t="shared" si="1908"/>
        <v>1352</v>
      </c>
      <c r="B1356" s="9">
        <f t="shared" ref="B1356" si="2436">B1355+H1356+I1356+J1356</f>
        <v>58.000000000000014</v>
      </c>
      <c r="C1356" s="3" t="s">
        <v>1465</v>
      </c>
      <c r="D1356">
        <f t="shared" ref="D1356" si="2437">_xlfn.NUMBERVALUE(LEFT(C1356,2))</f>
        <v>7</v>
      </c>
      <c r="E1356">
        <f t="shared" ref="E1356" si="2438">_xlfn.NUMBERVALUE(MID(C1356,4,2))</f>
        <v>11</v>
      </c>
      <c r="F1356">
        <f t="shared" ref="F1356" si="2439">_xlfn.NUMBERVALUE(RIGHT(C1356,4))</f>
        <v>2023</v>
      </c>
      <c r="G1356" t="s">
        <v>7</v>
      </c>
      <c r="H1356">
        <v>-2</v>
      </c>
      <c r="I1356">
        <v>4</v>
      </c>
      <c r="K1356" t="s">
        <v>10</v>
      </c>
      <c r="L1356" s="8">
        <f t="shared" si="2415"/>
        <v>1</v>
      </c>
      <c r="M1356" t="s">
        <v>1497</v>
      </c>
    </row>
    <row r="1357" spans="1:13" x14ac:dyDescent="0.35">
      <c r="A1357">
        <f t="shared" si="1908"/>
        <v>1353</v>
      </c>
      <c r="B1357" s="9">
        <f t="shared" ref="B1357" si="2440">B1356+H1357+I1357+J1357</f>
        <v>56.000000000000014</v>
      </c>
      <c r="C1357" s="3" t="s">
        <v>1465</v>
      </c>
      <c r="D1357">
        <f t="shared" ref="D1357" si="2441">_xlfn.NUMBERVALUE(LEFT(C1357,2))</f>
        <v>7</v>
      </c>
      <c r="E1357">
        <f t="shared" ref="E1357" si="2442">_xlfn.NUMBERVALUE(MID(C1357,4,2))</f>
        <v>11</v>
      </c>
      <c r="F1357">
        <f t="shared" ref="F1357" si="2443">_xlfn.NUMBERVALUE(RIGHT(C1357,4))</f>
        <v>2023</v>
      </c>
      <c r="G1357" t="s">
        <v>7</v>
      </c>
      <c r="H1357">
        <v>-2</v>
      </c>
      <c r="K1357" t="s">
        <v>9</v>
      </c>
      <c r="L1357" s="8">
        <f t="shared" si="2415"/>
        <v>-1</v>
      </c>
      <c r="M1357" t="s">
        <v>1498</v>
      </c>
    </row>
    <row r="1358" spans="1:13" x14ac:dyDescent="0.35">
      <c r="A1358">
        <f t="shared" si="1908"/>
        <v>1354</v>
      </c>
      <c r="B1358" s="9">
        <f t="shared" ref="B1358" si="2444">B1357+H1358+I1358+J1358</f>
        <v>54.000000000000014</v>
      </c>
      <c r="C1358" s="3" t="s">
        <v>1465</v>
      </c>
      <c r="D1358">
        <f t="shared" ref="D1358" si="2445">_xlfn.NUMBERVALUE(LEFT(C1358,2))</f>
        <v>7</v>
      </c>
      <c r="E1358">
        <f t="shared" ref="E1358" si="2446">_xlfn.NUMBERVALUE(MID(C1358,4,2))</f>
        <v>11</v>
      </c>
      <c r="F1358">
        <f t="shared" ref="F1358" si="2447">_xlfn.NUMBERVALUE(RIGHT(C1358,4))</f>
        <v>2023</v>
      </c>
      <c r="G1358" t="s">
        <v>7</v>
      </c>
      <c r="H1358">
        <v>-2</v>
      </c>
      <c r="K1358" t="s">
        <v>9</v>
      </c>
      <c r="L1358" s="8">
        <f t="shared" si="2415"/>
        <v>-1</v>
      </c>
      <c r="M1358" t="s">
        <v>1499</v>
      </c>
    </row>
    <row r="1359" spans="1:13" x14ac:dyDescent="0.35">
      <c r="A1359">
        <f t="shared" si="1908"/>
        <v>1355</v>
      </c>
      <c r="B1359" s="9">
        <f t="shared" ref="B1359" si="2448">B1358+H1359+I1359+J1359</f>
        <v>52.000000000000014</v>
      </c>
      <c r="C1359" s="3" t="s">
        <v>1465</v>
      </c>
      <c r="D1359">
        <f t="shared" ref="D1359" si="2449">_xlfn.NUMBERVALUE(LEFT(C1359,2))</f>
        <v>7</v>
      </c>
      <c r="E1359">
        <f t="shared" ref="E1359" si="2450">_xlfn.NUMBERVALUE(MID(C1359,4,2))</f>
        <v>11</v>
      </c>
      <c r="F1359">
        <f t="shared" ref="F1359" si="2451">_xlfn.NUMBERVALUE(RIGHT(C1359,4))</f>
        <v>2023</v>
      </c>
      <c r="G1359" t="s">
        <v>7</v>
      </c>
      <c r="H1359">
        <v>-2</v>
      </c>
      <c r="K1359" t="s">
        <v>9</v>
      </c>
      <c r="L1359" s="8">
        <f t="shared" si="2415"/>
        <v>-1</v>
      </c>
      <c r="M1359" t="s">
        <v>1500</v>
      </c>
    </row>
    <row r="1360" spans="1:13" x14ac:dyDescent="0.35">
      <c r="A1360">
        <f t="shared" si="1908"/>
        <v>1356</v>
      </c>
      <c r="B1360" s="9">
        <f t="shared" ref="B1360" si="2452">B1359+H1360+I1360+J1360</f>
        <v>50.000000000000014</v>
      </c>
      <c r="C1360" s="3" t="s">
        <v>1465</v>
      </c>
      <c r="D1360">
        <f t="shared" ref="D1360" si="2453">_xlfn.NUMBERVALUE(LEFT(C1360,2))</f>
        <v>7</v>
      </c>
      <c r="E1360">
        <f t="shared" ref="E1360" si="2454">_xlfn.NUMBERVALUE(MID(C1360,4,2))</f>
        <v>11</v>
      </c>
      <c r="F1360">
        <f t="shared" ref="F1360" si="2455">_xlfn.NUMBERVALUE(RIGHT(C1360,4))</f>
        <v>2023</v>
      </c>
      <c r="G1360" t="s">
        <v>7</v>
      </c>
      <c r="H1360">
        <v>-2</v>
      </c>
      <c r="K1360" t="s">
        <v>9</v>
      </c>
      <c r="L1360" s="8">
        <f t="shared" si="2415"/>
        <v>-1</v>
      </c>
      <c r="M1360" t="s">
        <v>1501</v>
      </c>
    </row>
    <row r="1361" spans="1:13" x14ac:dyDescent="0.35">
      <c r="A1361">
        <f t="shared" si="1908"/>
        <v>1357</v>
      </c>
      <c r="B1361" s="9">
        <f t="shared" ref="B1361" si="2456">B1360+H1361+I1361+J1361</f>
        <v>48.000000000000014</v>
      </c>
      <c r="C1361" s="3" t="s">
        <v>1465</v>
      </c>
      <c r="D1361">
        <f t="shared" ref="D1361" si="2457">_xlfn.NUMBERVALUE(LEFT(C1361,2))</f>
        <v>7</v>
      </c>
      <c r="E1361">
        <f t="shared" ref="E1361" si="2458">_xlfn.NUMBERVALUE(MID(C1361,4,2))</f>
        <v>11</v>
      </c>
      <c r="F1361">
        <f t="shared" ref="F1361" si="2459">_xlfn.NUMBERVALUE(RIGHT(C1361,4))</f>
        <v>2023</v>
      </c>
      <c r="G1361" t="s">
        <v>7</v>
      </c>
      <c r="H1361">
        <v>-2</v>
      </c>
      <c r="K1361" t="s">
        <v>9</v>
      </c>
      <c r="L1361" s="8">
        <f t="shared" si="2415"/>
        <v>-1</v>
      </c>
      <c r="M1361" t="s">
        <v>1502</v>
      </c>
    </row>
    <row r="1362" spans="1:13" x14ac:dyDescent="0.35">
      <c r="A1362">
        <f t="shared" si="1908"/>
        <v>1358</v>
      </c>
      <c r="B1362" s="9">
        <f t="shared" ref="B1362" si="2460">B1361+H1362+I1362+J1362</f>
        <v>46.000000000000014</v>
      </c>
      <c r="C1362" s="3" t="s">
        <v>1465</v>
      </c>
      <c r="D1362">
        <f t="shared" ref="D1362" si="2461">_xlfn.NUMBERVALUE(LEFT(C1362,2))</f>
        <v>7</v>
      </c>
      <c r="E1362">
        <f t="shared" ref="E1362" si="2462">_xlfn.NUMBERVALUE(MID(C1362,4,2))</f>
        <v>11</v>
      </c>
      <c r="F1362">
        <f t="shared" ref="F1362" si="2463">_xlfn.NUMBERVALUE(RIGHT(C1362,4))</f>
        <v>2023</v>
      </c>
      <c r="G1362" t="s">
        <v>7</v>
      </c>
      <c r="H1362">
        <v>-2</v>
      </c>
      <c r="K1362" t="s">
        <v>9</v>
      </c>
      <c r="L1362" s="8">
        <f t="shared" si="2415"/>
        <v>-1</v>
      </c>
      <c r="M1362" t="s">
        <v>1503</v>
      </c>
    </row>
    <row r="1363" spans="1:13" x14ac:dyDescent="0.35">
      <c r="A1363">
        <f t="shared" si="1908"/>
        <v>1359</v>
      </c>
      <c r="B1363" s="9">
        <f t="shared" ref="B1363" si="2464">B1362+H1363+I1363+J1363</f>
        <v>50.000000000000014</v>
      </c>
      <c r="C1363" s="3" t="s">
        <v>1465</v>
      </c>
      <c r="D1363">
        <f t="shared" ref="D1363" si="2465">_xlfn.NUMBERVALUE(LEFT(C1363,2))</f>
        <v>7</v>
      </c>
      <c r="E1363">
        <f t="shared" ref="E1363" si="2466">_xlfn.NUMBERVALUE(MID(C1363,4,2))</f>
        <v>11</v>
      </c>
      <c r="F1363">
        <f t="shared" ref="F1363" si="2467">_xlfn.NUMBERVALUE(RIGHT(C1363,4))</f>
        <v>2023</v>
      </c>
      <c r="G1363" t="s">
        <v>7</v>
      </c>
      <c r="H1363">
        <v>-2</v>
      </c>
      <c r="I1363">
        <v>6</v>
      </c>
      <c r="K1363" t="s">
        <v>10</v>
      </c>
      <c r="L1363" s="8">
        <f t="shared" si="2415"/>
        <v>2</v>
      </c>
      <c r="M1363" t="s">
        <v>1504</v>
      </c>
    </row>
    <row r="1364" spans="1:13" x14ac:dyDescent="0.35">
      <c r="A1364">
        <f t="shared" si="1908"/>
        <v>1360</v>
      </c>
      <c r="B1364" s="9">
        <f t="shared" ref="B1364" si="2468">B1363+H1364+I1364+J1364</f>
        <v>48.000000000000014</v>
      </c>
      <c r="C1364" s="3" t="s">
        <v>1505</v>
      </c>
      <c r="D1364">
        <f t="shared" ref="D1364" si="2469">_xlfn.NUMBERVALUE(LEFT(C1364,2))</f>
        <v>8</v>
      </c>
      <c r="E1364">
        <f t="shared" ref="E1364" si="2470">_xlfn.NUMBERVALUE(MID(C1364,4,2))</f>
        <v>11</v>
      </c>
      <c r="F1364">
        <f t="shared" ref="F1364" si="2471">_xlfn.NUMBERVALUE(RIGHT(C1364,4))</f>
        <v>2023</v>
      </c>
      <c r="G1364" t="s">
        <v>7</v>
      </c>
      <c r="H1364">
        <v>-2</v>
      </c>
      <c r="K1364" t="s">
        <v>9</v>
      </c>
      <c r="L1364" s="8">
        <f t="shared" si="2415"/>
        <v>-1</v>
      </c>
      <c r="M1364" t="s">
        <v>1506</v>
      </c>
    </row>
    <row r="1365" spans="1:13" x14ac:dyDescent="0.35">
      <c r="A1365">
        <f t="shared" si="1908"/>
        <v>1361</v>
      </c>
      <c r="B1365" s="9">
        <f t="shared" ref="B1365" si="2472">B1364+H1365+I1365+J1365</f>
        <v>50.000000000000014</v>
      </c>
      <c r="C1365" s="3" t="s">
        <v>1505</v>
      </c>
      <c r="D1365">
        <f t="shared" ref="D1365" si="2473">_xlfn.NUMBERVALUE(LEFT(C1365,2))</f>
        <v>8</v>
      </c>
      <c r="E1365">
        <f t="shared" ref="E1365" si="2474">_xlfn.NUMBERVALUE(MID(C1365,4,2))</f>
        <v>11</v>
      </c>
      <c r="F1365">
        <f t="shared" ref="F1365" si="2475">_xlfn.NUMBERVALUE(RIGHT(C1365,4))</f>
        <v>2023</v>
      </c>
      <c r="G1365" t="s">
        <v>7</v>
      </c>
      <c r="H1365">
        <v>-2</v>
      </c>
      <c r="I1365">
        <v>4</v>
      </c>
      <c r="K1365" t="s">
        <v>10</v>
      </c>
      <c r="L1365" s="8">
        <f t="shared" si="2415"/>
        <v>1</v>
      </c>
      <c r="M1365" t="s">
        <v>1507</v>
      </c>
    </row>
    <row r="1366" spans="1:13" x14ac:dyDescent="0.35">
      <c r="A1366">
        <f t="shared" si="1908"/>
        <v>1362</v>
      </c>
      <c r="B1366" s="9">
        <f t="shared" ref="B1366" si="2476">B1365+H1366+I1366+J1366</f>
        <v>54.000000000000014</v>
      </c>
      <c r="C1366" s="3" t="s">
        <v>1505</v>
      </c>
      <c r="D1366">
        <f t="shared" ref="D1366" si="2477">_xlfn.NUMBERVALUE(LEFT(C1366,2))</f>
        <v>8</v>
      </c>
      <c r="E1366">
        <f t="shared" ref="E1366" si="2478">_xlfn.NUMBERVALUE(MID(C1366,4,2))</f>
        <v>11</v>
      </c>
      <c r="F1366">
        <f t="shared" ref="F1366" si="2479">_xlfn.NUMBERVALUE(RIGHT(C1366,4))</f>
        <v>2023</v>
      </c>
      <c r="G1366" t="s">
        <v>7</v>
      </c>
      <c r="H1366">
        <v>-2</v>
      </c>
      <c r="I1366">
        <v>6</v>
      </c>
      <c r="K1366" t="s">
        <v>10</v>
      </c>
      <c r="L1366" s="8">
        <f t="shared" si="2415"/>
        <v>2</v>
      </c>
      <c r="M1366" t="s">
        <v>1508</v>
      </c>
    </row>
    <row r="1367" spans="1:13" x14ac:dyDescent="0.35">
      <c r="A1367">
        <f t="shared" si="1908"/>
        <v>1363</v>
      </c>
      <c r="B1367" s="9">
        <f t="shared" ref="B1367" si="2480">B1366+H1367+I1367+J1367</f>
        <v>52.000000000000014</v>
      </c>
      <c r="C1367" s="3" t="s">
        <v>1509</v>
      </c>
      <c r="D1367">
        <f t="shared" ref="D1367" si="2481">_xlfn.NUMBERVALUE(LEFT(C1367,2))</f>
        <v>9</v>
      </c>
      <c r="E1367">
        <f t="shared" ref="E1367" si="2482">_xlfn.NUMBERVALUE(MID(C1367,4,2))</f>
        <v>11</v>
      </c>
      <c r="F1367">
        <f t="shared" ref="F1367" si="2483">_xlfn.NUMBERVALUE(RIGHT(C1367,4))</f>
        <v>2023</v>
      </c>
      <c r="G1367" t="s">
        <v>7</v>
      </c>
      <c r="H1367">
        <v>-2</v>
      </c>
      <c r="K1367" t="s">
        <v>9</v>
      </c>
      <c r="L1367" s="8">
        <f t="shared" si="2415"/>
        <v>-1</v>
      </c>
      <c r="M1367" t="s">
        <v>1510</v>
      </c>
    </row>
    <row r="1368" spans="1:13" x14ac:dyDescent="0.35">
      <c r="A1368">
        <f t="shared" si="1908"/>
        <v>1364</v>
      </c>
      <c r="B1368" s="9">
        <f t="shared" ref="B1368" si="2484">B1367+H1368+I1368+J1368</f>
        <v>50.000000000000014</v>
      </c>
      <c r="C1368" s="3" t="s">
        <v>1509</v>
      </c>
      <c r="D1368">
        <f t="shared" ref="D1368" si="2485">_xlfn.NUMBERVALUE(LEFT(C1368,2))</f>
        <v>9</v>
      </c>
      <c r="E1368">
        <f t="shared" ref="E1368" si="2486">_xlfn.NUMBERVALUE(MID(C1368,4,2))</f>
        <v>11</v>
      </c>
      <c r="F1368">
        <f t="shared" ref="F1368" si="2487">_xlfn.NUMBERVALUE(RIGHT(C1368,4))</f>
        <v>2023</v>
      </c>
      <c r="G1368" t="s">
        <v>7</v>
      </c>
      <c r="H1368">
        <v>-2</v>
      </c>
      <c r="K1368" t="s">
        <v>9</v>
      </c>
      <c r="L1368" s="8">
        <f t="shared" si="2415"/>
        <v>-1</v>
      </c>
      <c r="M1368" t="s">
        <v>1511</v>
      </c>
    </row>
    <row r="1369" spans="1:13" x14ac:dyDescent="0.35">
      <c r="A1369">
        <f t="shared" si="1908"/>
        <v>1365</v>
      </c>
      <c r="B1369" s="9">
        <f t="shared" ref="B1369" si="2488">B1368+H1369+I1369+J1369</f>
        <v>48.000000000000014</v>
      </c>
      <c r="C1369" s="3" t="s">
        <v>1509</v>
      </c>
      <c r="D1369">
        <f t="shared" ref="D1369" si="2489">_xlfn.NUMBERVALUE(LEFT(C1369,2))</f>
        <v>9</v>
      </c>
      <c r="E1369">
        <f t="shared" ref="E1369" si="2490">_xlfn.NUMBERVALUE(MID(C1369,4,2))</f>
        <v>11</v>
      </c>
      <c r="F1369">
        <f t="shared" ref="F1369" si="2491">_xlfn.NUMBERVALUE(RIGHT(C1369,4))</f>
        <v>2023</v>
      </c>
      <c r="G1369" t="s">
        <v>7</v>
      </c>
      <c r="H1369">
        <v>-2</v>
      </c>
      <c r="K1369" t="s">
        <v>9</v>
      </c>
      <c r="L1369" s="8">
        <f t="shared" si="2415"/>
        <v>-1</v>
      </c>
      <c r="M1369" t="s">
        <v>1512</v>
      </c>
    </row>
    <row r="1370" spans="1:13" x14ac:dyDescent="0.35">
      <c r="A1370">
        <f t="shared" si="1908"/>
        <v>1366</v>
      </c>
      <c r="B1370" s="9">
        <f t="shared" ref="B1370" si="2492">B1369+H1370+I1370+J1370</f>
        <v>54.000000000000014</v>
      </c>
      <c r="C1370" s="3" t="s">
        <v>1509</v>
      </c>
      <c r="D1370">
        <f t="shared" ref="D1370" si="2493">_xlfn.NUMBERVALUE(LEFT(C1370,2))</f>
        <v>9</v>
      </c>
      <c r="E1370">
        <f t="shared" ref="E1370" si="2494">_xlfn.NUMBERVALUE(MID(C1370,4,2))</f>
        <v>11</v>
      </c>
      <c r="F1370">
        <f t="shared" ref="F1370" si="2495">_xlfn.NUMBERVALUE(RIGHT(C1370,4))</f>
        <v>2023</v>
      </c>
      <c r="G1370" t="s">
        <v>7</v>
      </c>
      <c r="H1370">
        <v>-2</v>
      </c>
      <c r="I1370">
        <v>8</v>
      </c>
      <c r="K1370" t="s">
        <v>10</v>
      </c>
      <c r="L1370" s="8">
        <f t="shared" si="2415"/>
        <v>3</v>
      </c>
      <c r="M1370" t="s">
        <v>1513</v>
      </c>
    </row>
    <row r="1371" spans="1:13" x14ac:dyDescent="0.35">
      <c r="A1371">
        <f t="shared" si="1908"/>
        <v>1367</v>
      </c>
      <c r="B1371" s="9">
        <f t="shared" ref="B1371:B1372" si="2496">B1370+H1371+I1371+J1371</f>
        <v>50.700000000000017</v>
      </c>
      <c r="C1371" s="3" t="s">
        <v>1509</v>
      </c>
      <c r="D1371">
        <f t="shared" ref="D1371:D1372" si="2497">_xlfn.NUMBERVALUE(LEFT(C1371,2))</f>
        <v>9</v>
      </c>
      <c r="E1371">
        <f t="shared" ref="E1371:E1372" si="2498">_xlfn.NUMBERVALUE(MID(C1371,4,2))</f>
        <v>11</v>
      </c>
      <c r="F1371">
        <f t="shared" ref="F1371:F1372" si="2499">_xlfn.NUMBERVALUE(RIGHT(C1371,4))</f>
        <v>2023</v>
      </c>
      <c r="G1371" t="s">
        <v>44</v>
      </c>
      <c r="H1371">
        <v>-3.3</v>
      </c>
      <c r="K1371" t="s">
        <v>9</v>
      </c>
      <c r="L1371" s="8">
        <f t="shared" si="2415"/>
        <v>-1</v>
      </c>
      <c r="M1371" t="s">
        <v>1515</v>
      </c>
    </row>
    <row r="1372" spans="1:13" x14ac:dyDescent="0.35">
      <c r="A1372">
        <f t="shared" si="1908"/>
        <v>1368</v>
      </c>
      <c r="B1372" s="9">
        <f t="shared" si="2496"/>
        <v>48.700000000000017</v>
      </c>
      <c r="C1372" s="3" t="s">
        <v>1509</v>
      </c>
      <c r="D1372">
        <f t="shared" si="2497"/>
        <v>9</v>
      </c>
      <c r="E1372">
        <f t="shared" si="2498"/>
        <v>11</v>
      </c>
      <c r="F1372">
        <f t="shared" si="2499"/>
        <v>2023</v>
      </c>
      <c r="G1372" t="s">
        <v>7</v>
      </c>
      <c r="H1372">
        <v>-2</v>
      </c>
      <c r="K1372" t="s">
        <v>9</v>
      </c>
      <c r="L1372" s="8">
        <f t="shared" si="2415"/>
        <v>-1</v>
      </c>
      <c r="M1372" t="s">
        <v>1514</v>
      </c>
    </row>
    <row r="1373" spans="1:13" x14ac:dyDescent="0.35">
      <c r="A1373">
        <f t="shared" si="1908"/>
        <v>1369</v>
      </c>
      <c r="B1373" s="9">
        <f t="shared" ref="B1373" si="2500">B1372+H1373+I1373+J1373</f>
        <v>46.700000000000017</v>
      </c>
      <c r="C1373" s="3" t="s">
        <v>1509</v>
      </c>
      <c r="D1373">
        <f t="shared" ref="D1373" si="2501">_xlfn.NUMBERVALUE(LEFT(C1373,2))</f>
        <v>9</v>
      </c>
      <c r="E1373">
        <f t="shared" ref="E1373" si="2502">_xlfn.NUMBERVALUE(MID(C1373,4,2))</f>
        <v>11</v>
      </c>
      <c r="F1373">
        <f t="shared" ref="F1373" si="2503">_xlfn.NUMBERVALUE(RIGHT(C1373,4))</f>
        <v>2023</v>
      </c>
      <c r="G1373" t="s">
        <v>7</v>
      </c>
      <c r="H1373">
        <v>-2</v>
      </c>
      <c r="K1373" t="s">
        <v>9</v>
      </c>
      <c r="L1373" s="8">
        <f t="shared" si="2415"/>
        <v>-1</v>
      </c>
      <c r="M1373" t="s">
        <v>1516</v>
      </c>
    </row>
    <row r="1374" spans="1:13" x14ac:dyDescent="0.35">
      <c r="A1374">
        <f t="shared" si="1908"/>
        <v>1370</v>
      </c>
      <c r="B1374" s="9">
        <f t="shared" ref="B1374:B1375" si="2504">B1373+H1374+I1374+J1374</f>
        <v>46.650000000000013</v>
      </c>
      <c r="C1374" s="3" t="s">
        <v>1509</v>
      </c>
      <c r="D1374">
        <f t="shared" ref="D1374:D1375" si="2505">_xlfn.NUMBERVALUE(LEFT(C1374,2))</f>
        <v>9</v>
      </c>
      <c r="E1374">
        <f t="shared" ref="E1374:E1375" si="2506">_xlfn.NUMBERVALUE(MID(C1374,4,2))</f>
        <v>11</v>
      </c>
      <c r="F1374">
        <f t="shared" ref="F1374:F1375" si="2507">_xlfn.NUMBERVALUE(RIGHT(C1374,4))</f>
        <v>2023</v>
      </c>
      <c r="G1374" t="s">
        <v>1389</v>
      </c>
      <c r="H1374">
        <v>-1.7</v>
      </c>
      <c r="I1374">
        <v>1.65</v>
      </c>
      <c r="K1374" t="s">
        <v>9</v>
      </c>
      <c r="L1374" s="8">
        <f t="shared" si="2415"/>
        <v>-2.9411764705882359E-2</v>
      </c>
      <c r="M1374" t="s">
        <v>1517</v>
      </c>
    </row>
    <row r="1375" spans="1:13" x14ac:dyDescent="0.35">
      <c r="A1375">
        <f t="shared" si="1908"/>
        <v>1371</v>
      </c>
      <c r="B1375" s="9">
        <f t="shared" si="2504"/>
        <v>44.650000000000013</v>
      </c>
      <c r="C1375" s="3" t="s">
        <v>1509</v>
      </c>
      <c r="D1375">
        <f t="shared" si="2505"/>
        <v>9</v>
      </c>
      <c r="E1375">
        <f t="shared" si="2506"/>
        <v>11</v>
      </c>
      <c r="F1375">
        <f t="shared" si="2507"/>
        <v>2023</v>
      </c>
      <c r="G1375" t="s">
        <v>7</v>
      </c>
      <c r="H1375">
        <v>-2</v>
      </c>
      <c r="K1375" t="s">
        <v>9</v>
      </c>
      <c r="L1375" s="8">
        <f t="shared" si="2415"/>
        <v>-1</v>
      </c>
      <c r="M1375" t="s">
        <v>1518</v>
      </c>
    </row>
    <row r="1376" spans="1:13" x14ac:dyDescent="0.35">
      <c r="A1376">
        <f t="shared" si="1908"/>
        <v>1372</v>
      </c>
      <c r="B1376" s="9">
        <f t="shared" ref="B1376" si="2508">B1375+H1376+I1376+J1376</f>
        <v>42.650000000000013</v>
      </c>
      <c r="C1376" s="3" t="s">
        <v>1509</v>
      </c>
      <c r="D1376">
        <f t="shared" ref="D1376" si="2509">_xlfn.NUMBERVALUE(LEFT(C1376,2))</f>
        <v>9</v>
      </c>
      <c r="E1376">
        <f t="shared" ref="E1376" si="2510">_xlfn.NUMBERVALUE(MID(C1376,4,2))</f>
        <v>11</v>
      </c>
      <c r="F1376">
        <f t="shared" ref="F1376" si="2511">_xlfn.NUMBERVALUE(RIGHT(C1376,4))</f>
        <v>2023</v>
      </c>
      <c r="G1376" t="s">
        <v>7</v>
      </c>
      <c r="H1376">
        <v>-2</v>
      </c>
      <c r="K1376" t="s">
        <v>9</v>
      </c>
      <c r="L1376" s="8">
        <f t="shared" si="2415"/>
        <v>-1</v>
      </c>
      <c r="M1376" t="s">
        <v>1519</v>
      </c>
    </row>
    <row r="1377" spans="1:13" x14ac:dyDescent="0.35">
      <c r="A1377">
        <f t="shared" si="1908"/>
        <v>1373</v>
      </c>
      <c r="B1377" s="9">
        <f t="shared" ref="B1377" si="2512">B1376+H1377+I1377+J1377</f>
        <v>40.650000000000013</v>
      </c>
      <c r="C1377" s="3" t="s">
        <v>1509</v>
      </c>
      <c r="D1377">
        <f t="shared" ref="D1377" si="2513">_xlfn.NUMBERVALUE(LEFT(C1377,2))</f>
        <v>9</v>
      </c>
      <c r="E1377">
        <f t="shared" ref="E1377" si="2514">_xlfn.NUMBERVALUE(MID(C1377,4,2))</f>
        <v>11</v>
      </c>
      <c r="F1377">
        <f t="shared" ref="F1377" si="2515">_xlfn.NUMBERVALUE(RIGHT(C1377,4))</f>
        <v>2023</v>
      </c>
      <c r="G1377" t="s">
        <v>7</v>
      </c>
      <c r="H1377">
        <v>-2</v>
      </c>
      <c r="K1377" t="s">
        <v>9</v>
      </c>
      <c r="L1377" s="8">
        <f t="shared" si="2415"/>
        <v>-1</v>
      </c>
      <c r="M1377" t="s">
        <v>1520</v>
      </c>
    </row>
    <row r="1378" spans="1:13" x14ac:dyDescent="0.35">
      <c r="A1378">
        <f t="shared" si="1908"/>
        <v>1374</v>
      </c>
      <c r="B1378" s="9">
        <f t="shared" ref="B1378" si="2516">B1377+H1378+I1378+J1378</f>
        <v>38.650000000000013</v>
      </c>
      <c r="C1378" s="3" t="s">
        <v>1509</v>
      </c>
      <c r="D1378">
        <f t="shared" ref="D1378" si="2517">_xlfn.NUMBERVALUE(LEFT(C1378,2))</f>
        <v>9</v>
      </c>
      <c r="E1378">
        <f t="shared" ref="E1378" si="2518">_xlfn.NUMBERVALUE(MID(C1378,4,2))</f>
        <v>11</v>
      </c>
      <c r="F1378">
        <f t="shared" ref="F1378" si="2519">_xlfn.NUMBERVALUE(RIGHT(C1378,4))</f>
        <v>2023</v>
      </c>
      <c r="G1378" t="s">
        <v>7</v>
      </c>
      <c r="H1378">
        <v>-2</v>
      </c>
      <c r="K1378" t="s">
        <v>9</v>
      </c>
      <c r="L1378" s="8">
        <f t="shared" si="2415"/>
        <v>-1</v>
      </c>
      <c r="M1378" t="s">
        <v>1521</v>
      </c>
    </row>
    <row r="1379" spans="1:13" x14ac:dyDescent="0.35">
      <c r="A1379">
        <f t="shared" si="1908"/>
        <v>1375</v>
      </c>
      <c r="B1379" s="9">
        <f t="shared" ref="B1379" si="2520">B1378+H1379+I1379+J1379</f>
        <v>40.650000000000013</v>
      </c>
      <c r="C1379" s="3" t="s">
        <v>1509</v>
      </c>
      <c r="D1379">
        <f t="shared" ref="D1379" si="2521">_xlfn.NUMBERVALUE(LEFT(C1379,2))</f>
        <v>9</v>
      </c>
      <c r="E1379">
        <f t="shared" ref="E1379" si="2522">_xlfn.NUMBERVALUE(MID(C1379,4,2))</f>
        <v>11</v>
      </c>
      <c r="F1379">
        <f t="shared" ref="F1379" si="2523">_xlfn.NUMBERVALUE(RIGHT(C1379,4))</f>
        <v>2023</v>
      </c>
      <c r="G1379" t="s">
        <v>7</v>
      </c>
      <c r="H1379">
        <v>-2</v>
      </c>
      <c r="I1379">
        <v>4</v>
      </c>
      <c r="K1379" t="s">
        <v>10</v>
      </c>
      <c r="L1379" s="8">
        <f t="shared" si="2415"/>
        <v>1</v>
      </c>
      <c r="M1379" t="s">
        <v>1522</v>
      </c>
    </row>
    <row r="1380" spans="1:13" x14ac:dyDescent="0.35">
      <c r="A1380">
        <f t="shared" si="1908"/>
        <v>1376</v>
      </c>
      <c r="B1380" s="9">
        <f t="shared" ref="B1380" si="2524">B1379+H1380+I1380+J1380</f>
        <v>38.650000000000013</v>
      </c>
      <c r="C1380" s="3" t="s">
        <v>1509</v>
      </c>
      <c r="D1380">
        <f t="shared" ref="D1380" si="2525">_xlfn.NUMBERVALUE(LEFT(C1380,2))</f>
        <v>9</v>
      </c>
      <c r="E1380">
        <f t="shared" ref="E1380" si="2526">_xlfn.NUMBERVALUE(MID(C1380,4,2))</f>
        <v>11</v>
      </c>
      <c r="F1380">
        <f t="shared" ref="F1380" si="2527">_xlfn.NUMBERVALUE(RIGHT(C1380,4))</f>
        <v>2023</v>
      </c>
      <c r="G1380" t="s">
        <v>7</v>
      </c>
      <c r="H1380">
        <v>-2</v>
      </c>
      <c r="K1380" t="s">
        <v>9</v>
      </c>
      <c r="L1380" s="8">
        <f t="shared" si="2415"/>
        <v>-1</v>
      </c>
      <c r="M1380" t="s">
        <v>1523</v>
      </c>
    </row>
    <row r="1381" spans="1:13" x14ac:dyDescent="0.35">
      <c r="A1381">
        <f t="shared" si="1908"/>
        <v>1377</v>
      </c>
      <c r="B1381" s="9">
        <f t="shared" ref="B1381" si="2528">B1380+H1381+I1381+J1381</f>
        <v>42.650000000000013</v>
      </c>
      <c r="C1381" s="3" t="s">
        <v>1509</v>
      </c>
      <c r="D1381">
        <f t="shared" ref="D1381" si="2529">_xlfn.NUMBERVALUE(LEFT(C1381,2))</f>
        <v>9</v>
      </c>
      <c r="E1381">
        <f t="shared" ref="E1381" si="2530">_xlfn.NUMBERVALUE(MID(C1381,4,2))</f>
        <v>11</v>
      </c>
      <c r="F1381">
        <f t="shared" ref="F1381" si="2531">_xlfn.NUMBERVALUE(RIGHT(C1381,4))</f>
        <v>2023</v>
      </c>
      <c r="G1381" t="s">
        <v>7</v>
      </c>
      <c r="H1381">
        <v>-2</v>
      </c>
      <c r="I1381">
        <v>6</v>
      </c>
      <c r="K1381" t="s">
        <v>10</v>
      </c>
      <c r="L1381" s="8">
        <f t="shared" si="2415"/>
        <v>2</v>
      </c>
      <c r="M1381" t="s">
        <v>1524</v>
      </c>
    </row>
    <row r="1382" spans="1:13" x14ac:dyDescent="0.35">
      <c r="A1382">
        <f t="shared" si="1908"/>
        <v>1378</v>
      </c>
      <c r="B1382" s="9">
        <f t="shared" ref="B1382" si="2532">B1381+H1382+I1382+J1382</f>
        <v>40.650000000000013</v>
      </c>
      <c r="C1382" s="3" t="s">
        <v>1509</v>
      </c>
      <c r="D1382">
        <f t="shared" ref="D1382" si="2533">_xlfn.NUMBERVALUE(LEFT(C1382,2))</f>
        <v>9</v>
      </c>
      <c r="E1382">
        <f t="shared" ref="E1382" si="2534">_xlfn.NUMBERVALUE(MID(C1382,4,2))</f>
        <v>11</v>
      </c>
      <c r="F1382">
        <f t="shared" ref="F1382" si="2535">_xlfn.NUMBERVALUE(RIGHT(C1382,4))</f>
        <v>2023</v>
      </c>
      <c r="G1382" t="s">
        <v>7</v>
      </c>
      <c r="H1382">
        <v>-2</v>
      </c>
      <c r="K1382" t="s">
        <v>9</v>
      </c>
      <c r="L1382" s="8">
        <f t="shared" si="2415"/>
        <v>-1</v>
      </c>
      <c r="M1382" t="s">
        <v>1525</v>
      </c>
    </row>
    <row r="1383" spans="1:13" x14ac:dyDescent="0.35">
      <c r="A1383">
        <f t="shared" si="1908"/>
        <v>1379</v>
      </c>
      <c r="B1383" s="9">
        <f t="shared" ref="B1383" si="2536">B1382+H1383+I1383+J1383</f>
        <v>44.650000000000013</v>
      </c>
      <c r="C1383" s="3" t="s">
        <v>1509</v>
      </c>
      <c r="D1383">
        <f t="shared" ref="D1383" si="2537">_xlfn.NUMBERVALUE(LEFT(C1383,2))</f>
        <v>9</v>
      </c>
      <c r="E1383">
        <f t="shared" ref="E1383" si="2538">_xlfn.NUMBERVALUE(MID(C1383,4,2))</f>
        <v>11</v>
      </c>
      <c r="F1383">
        <f t="shared" ref="F1383" si="2539">_xlfn.NUMBERVALUE(RIGHT(C1383,4))</f>
        <v>2023</v>
      </c>
      <c r="G1383" t="s">
        <v>7</v>
      </c>
      <c r="H1383">
        <v>-2</v>
      </c>
      <c r="I1383">
        <v>6</v>
      </c>
      <c r="K1383" t="s">
        <v>10</v>
      </c>
      <c r="L1383" s="8">
        <f t="shared" si="2415"/>
        <v>2</v>
      </c>
      <c r="M1383" t="s">
        <v>1526</v>
      </c>
    </row>
    <row r="1384" spans="1:13" x14ac:dyDescent="0.35">
      <c r="A1384">
        <f t="shared" si="1908"/>
        <v>1380</v>
      </c>
      <c r="B1384" s="9">
        <f t="shared" ref="B1384" si="2540">B1383+H1384+I1384+J1384</f>
        <v>42.650000000000013</v>
      </c>
      <c r="C1384" s="3" t="s">
        <v>1509</v>
      </c>
      <c r="D1384">
        <f t="shared" ref="D1384" si="2541">_xlfn.NUMBERVALUE(LEFT(C1384,2))</f>
        <v>9</v>
      </c>
      <c r="E1384">
        <f t="shared" ref="E1384" si="2542">_xlfn.NUMBERVALUE(MID(C1384,4,2))</f>
        <v>11</v>
      </c>
      <c r="F1384">
        <f t="shared" ref="F1384" si="2543">_xlfn.NUMBERVALUE(RIGHT(C1384,4))</f>
        <v>2023</v>
      </c>
      <c r="G1384" t="s">
        <v>7</v>
      </c>
      <c r="H1384">
        <v>-2</v>
      </c>
      <c r="K1384" t="s">
        <v>9</v>
      </c>
      <c r="L1384" s="8">
        <f t="shared" si="2415"/>
        <v>-1</v>
      </c>
      <c r="M1384" t="s">
        <v>1527</v>
      </c>
    </row>
    <row r="1385" spans="1:13" x14ac:dyDescent="0.35">
      <c r="A1385">
        <f t="shared" si="1908"/>
        <v>1381</v>
      </c>
      <c r="B1385" s="9">
        <f t="shared" ref="B1385" si="2544">B1384+H1385+I1385+J1385</f>
        <v>40.650000000000013</v>
      </c>
      <c r="C1385" s="3" t="s">
        <v>1509</v>
      </c>
      <c r="D1385">
        <f t="shared" ref="D1385" si="2545">_xlfn.NUMBERVALUE(LEFT(C1385,2))</f>
        <v>9</v>
      </c>
      <c r="E1385">
        <f t="shared" ref="E1385" si="2546">_xlfn.NUMBERVALUE(MID(C1385,4,2))</f>
        <v>11</v>
      </c>
      <c r="F1385">
        <f t="shared" ref="F1385" si="2547">_xlfn.NUMBERVALUE(RIGHT(C1385,4))</f>
        <v>2023</v>
      </c>
      <c r="G1385" t="s">
        <v>7</v>
      </c>
      <c r="H1385">
        <v>-2</v>
      </c>
      <c r="K1385" t="s">
        <v>9</v>
      </c>
      <c r="L1385" s="8">
        <f t="shared" si="2415"/>
        <v>-1</v>
      </c>
      <c r="M1385" t="s">
        <v>1528</v>
      </c>
    </row>
    <row r="1386" spans="1:13" x14ac:dyDescent="0.35">
      <c r="A1386">
        <f t="shared" si="1908"/>
        <v>1382</v>
      </c>
      <c r="B1386" s="9">
        <f t="shared" ref="B1386" si="2548">B1385+H1386+I1386+J1386</f>
        <v>48.650000000000013</v>
      </c>
      <c r="C1386" s="3" t="s">
        <v>1529</v>
      </c>
      <c r="D1386">
        <f t="shared" ref="D1386" si="2549">_xlfn.NUMBERVALUE(LEFT(C1386,2))</f>
        <v>10</v>
      </c>
      <c r="E1386">
        <f t="shared" ref="E1386" si="2550">_xlfn.NUMBERVALUE(MID(C1386,4,2))</f>
        <v>11</v>
      </c>
      <c r="F1386">
        <f t="shared" ref="F1386" si="2551">_xlfn.NUMBERVALUE(RIGHT(C1386,4))</f>
        <v>2023</v>
      </c>
      <c r="G1386" t="s">
        <v>7</v>
      </c>
      <c r="H1386">
        <v>-2</v>
      </c>
      <c r="I1386">
        <v>10</v>
      </c>
      <c r="K1386" t="s">
        <v>10</v>
      </c>
      <c r="L1386" s="8">
        <f t="shared" si="2415"/>
        <v>4</v>
      </c>
      <c r="M1386" t="s">
        <v>1530</v>
      </c>
    </row>
    <row r="1387" spans="1:13" x14ac:dyDescent="0.35">
      <c r="A1387">
        <f t="shared" si="1908"/>
        <v>1383</v>
      </c>
      <c r="B1387" s="9">
        <f t="shared" ref="B1387:B1388" si="2552">B1386+H1387+I1387+J1387</f>
        <v>47.000000000000014</v>
      </c>
      <c r="C1387" s="3" t="s">
        <v>1529</v>
      </c>
      <c r="D1387">
        <f t="shared" ref="D1387:D1388" si="2553">_xlfn.NUMBERVALUE(LEFT(C1387,2))</f>
        <v>10</v>
      </c>
      <c r="E1387">
        <f t="shared" ref="E1387:E1388" si="2554">_xlfn.NUMBERVALUE(MID(C1387,4,2))</f>
        <v>11</v>
      </c>
      <c r="F1387">
        <f t="shared" ref="F1387:F1388" si="2555">_xlfn.NUMBERVALUE(RIGHT(C1387,4))</f>
        <v>2023</v>
      </c>
      <c r="G1387" t="s">
        <v>1389</v>
      </c>
      <c r="H1387">
        <v>-1.65</v>
      </c>
      <c r="K1387" t="s">
        <v>9</v>
      </c>
      <c r="L1387" s="8">
        <f t="shared" si="2415"/>
        <v>-1</v>
      </c>
      <c r="M1387" t="s">
        <v>1531</v>
      </c>
    </row>
    <row r="1388" spans="1:13" x14ac:dyDescent="0.35">
      <c r="A1388">
        <f t="shared" si="1908"/>
        <v>1384</v>
      </c>
      <c r="B1388" s="9">
        <f t="shared" si="2552"/>
        <v>51.000000000000014</v>
      </c>
      <c r="C1388" s="3" t="s">
        <v>1529</v>
      </c>
      <c r="D1388">
        <f t="shared" si="2553"/>
        <v>10</v>
      </c>
      <c r="E1388">
        <f t="shared" si="2554"/>
        <v>11</v>
      </c>
      <c r="F1388">
        <f t="shared" si="2555"/>
        <v>2023</v>
      </c>
      <c r="G1388" t="s">
        <v>7</v>
      </c>
      <c r="H1388">
        <v>-2</v>
      </c>
      <c r="I1388">
        <v>6</v>
      </c>
      <c r="K1388" t="s">
        <v>10</v>
      </c>
      <c r="L1388" s="8">
        <f t="shared" si="2415"/>
        <v>2</v>
      </c>
      <c r="M1388" t="s">
        <v>1532</v>
      </c>
    </row>
    <row r="1389" spans="1:13" x14ac:dyDescent="0.35">
      <c r="A1389">
        <f t="shared" si="1908"/>
        <v>1385</v>
      </c>
      <c r="B1389" s="9">
        <f t="shared" ref="B1389" si="2556">B1388+H1389+I1389+J1389</f>
        <v>53.000000000000014</v>
      </c>
      <c r="C1389" s="3" t="s">
        <v>1529</v>
      </c>
      <c r="D1389">
        <f t="shared" ref="D1389" si="2557">_xlfn.NUMBERVALUE(LEFT(C1389,2))</f>
        <v>10</v>
      </c>
      <c r="E1389">
        <f t="shared" ref="E1389" si="2558">_xlfn.NUMBERVALUE(MID(C1389,4,2))</f>
        <v>11</v>
      </c>
      <c r="F1389">
        <f t="shared" ref="F1389" si="2559">_xlfn.NUMBERVALUE(RIGHT(C1389,4))</f>
        <v>2023</v>
      </c>
      <c r="G1389" t="s">
        <v>7</v>
      </c>
      <c r="H1389">
        <v>-2</v>
      </c>
      <c r="I1389">
        <v>4</v>
      </c>
      <c r="K1389" t="s">
        <v>10</v>
      </c>
      <c r="L1389" s="8">
        <f t="shared" si="2415"/>
        <v>1</v>
      </c>
      <c r="M1389" t="s">
        <v>1533</v>
      </c>
    </row>
    <row r="1390" spans="1:13" x14ac:dyDescent="0.35">
      <c r="A1390">
        <f t="shared" si="1908"/>
        <v>1386</v>
      </c>
      <c r="B1390" s="9">
        <f t="shared" ref="B1390" si="2560">B1389+H1390+I1390+J1390</f>
        <v>57.000000000000014</v>
      </c>
      <c r="C1390" s="3" t="s">
        <v>1529</v>
      </c>
      <c r="D1390">
        <f t="shared" ref="D1390" si="2561">_xlfn.NUMBERVALUE(LEFT(C1390,2))</f>
        <v>10</v>
      </c>
      <c r="E1390">
        <f t="shared" ref="E1390" si="2562">_xlfn.NUMBERVALUE(MID(C1390,4,2))</f>
        <v>11</v>
      </c>
      <c r="F1390">
        <f t="shared" ref="F1390" si="2563">_xlfn.NUMBERVALUE(RIGHT(C1390,4))</f>
        <v>2023</v>
      </c>
      <c r="G1390" t="s">
        <v>7</v>
      </c>
      <c r="H1390">
        <v>-2</v>
      </c>
      <c r="I1390">
        <v>6</v>
      </c>
      <c r="K1390" t="s">
        <v>10</v>
      </c>
      <c r="L1390" s="8">
        <f t="shared" si="2415"/>
        <v>2</v>
      </c>
      <c r="M1390" t="s">
        <v>1534</v>
      </c>
    </row>
    <row r="1391" spans="1:13" x14ac:dyDescent="0.35">
      <c r="A1391">
        <f t="shared" si="1908"/>
        <v>1387</v>
      </c>
      <c r="B1391" s="9">
        <f t="shared" ref="B1391" si="2564">B1390+H1391+I1391+J1391</f>
        <v>55.000000000000014</v>
      </c>
      <c r="C1391" s="3" t="s">
        <v>1529</v>
      </c>
      <c r="D1391">
        <f t="shared" ref="D1391" si="2565">_xlfn.NUMBERVALUE(LEFT(C1391,2))</f>
        <v>10</v>
      </c>
      <c r="E1391">
        <f t="shared" ref="E1391" si="2566">_xlfn.NUMBERVALUE(MID(C1391,4,2))</f>
        <v>11</v>
      </c>
      <c r="F1391">
        <f t="shared" ref="F1391" si="2567">_xlfn.NUMBERVALUE(RIGHT(C1391,4))</f>
        <v>2023</v>
      </c>
      <c r="G1391" t="s">
        <v>7</v>
      </c>
      <c r="H1391">
        <v>-2</v>
      </c>
      <c r="K1391" t="s">
        <v>9</v>
      </c>
      <c r="L1391" s="8">
        <f t="shared" si="2415"/>
        <v>-1</v>
      </c>
      <c r="M1391" t="s">
        <v>1535</v>
      </c>
    </row>
    <row r="1392" spans="1:13" x14ac:dyDescent="0.35">
      <c r="A1392">
        <f t="shared" si="1908"/>
        <v>1388</v>
      </c>
      <c r="B1392" s="9">
        <f t="shared" ref="B1392" si="2568">B1391+H1392+I1392+J1392</f>
        <v>57.000000000000014</v>
      </c>
      <c r="C1392" s="3" t="s">
        <v>1529</v>
      </c>
      <c r="D1392">
        <f t="shared" ref="D1392" si="2569">_xlfn.NUMBERVALUE(LEFT(C1392,2))</f>
        <v>10</v>
      </c>
      <c r="E1392">
        <f t="shared" ref="E1392" si="2570">_xlfn.NUMBERVALUE(MID(C1392,4,2))</f>
        <v>11</v>
      </c>
      <c r="F1392">
        <f t="shared" ref="F1392" si="2571">_xlfn.NUMBERVALUE(RIGHT(C1392,4))</f>
        <v>2023</v>
      </c>
      <c r="G1392" t="s">
        <v>7</v>
      </c>
      <c r="H1392">
        <v>-2</v>
      </c>
      <c r="I1392">
        <v>4</v>
      </c>
      <c r="K1392" t="s">
        <v>10</v>
      </c>
      <c r="L1392" s="8">
        <f t="shared" si="2415"/>
        <v>1</v>
      </c>
      <c r="M1392" t="s">
        <v>1536</v>
      </c>
    </row>
    <row r="1393" spans="1:13" x14ac:dyDescent="0.35">
      <c r="A1393">
        <f t="shared" si="1908"/>
        <v>1389</v>
      </c>
      <c r="B1393" s="9">
        <f t="shared" ref="B1393" si="2572">B1392+H1393+I1393+J1393</f>
        <v>55.000000000000014</v>
      </c>
      <c r="C1393" s="3" t="s">
        <v>1529</v>
      </c>
      <c r="D1393">
        <f t="shared" ref="D1393" si="2573">_xlfn.NUMBERVALUE(LEFT(C1393,2))</f>
        <v>10</v>
      </c>
      <c r="E1393">
        <f t="shared" ref="E1393" si="2574">_xlfn.NUMBERVALUE(MID(C1393,4,2))</f>
        <v>11</v>
      </c>
      <c r="F1393">
        <f t="shared" ref="F1393" si="2575">_xlfn.NUMBERVALUE(RIGHT(C1393,4))</f>
        <v>2023</v>
      </c>
      <c r="G1393" t="s">
        <v>7</v>
      </c>
      <c r="H1393">
        <v>-2</v>
      </c>
      <c r="K1393" t="s">
        <v>9</v>
      </c>
      <c r="L1393" s="8">
        <f t="shared" si="2415"/>
        <v>-1</v>
      </c>
      <c r="M1393" t="s">
        <v>1537</v>
      </c>
    </row>
    <row r="1394" spans="1:13" x14ac:dyDescent="0.35">
      <c r="A1394">
        <f t="shared" si="1908"/>
        <v>1390</v>
      </c>
      <c r="B1394" s="9">
        <f t="shared" ref="B1394" si="2576">B1393+H1394+I1394+J1394</f>
        <v>53.000000000000014</v>
      </c>
      <c r="C1394" s="3" t="s">
        <v>1529</v>
      </c>
      <c r="D1394">
        <f t="shared" ref="D1394" si="2577">_xlfn.NUMBERVALUE(LEFT(C1394,2))</f>
        <v>10</v>
      </c>
      <c r="E1394">
        <f t="shared" ref="E1394" si="2578">_xlfn.NUMBERVALUE(MID(C1394,4,2))</f>
        <v>11</v>
      </c>
      <c r="F1394">
        <f t="shared" ref="F1394" si="2579">_xlfn.NUMBERVALUE(RIGHT(C1394,4))</f>
        <v>2023</v>
      </c>
      <c r="G1394" t="s">
        <v>7</v>
      </c>
      <c r="H1394">
        <v>-2</v>
      </c>
      <c r="K1394" t="s">
        <v>9</v>
      </c>
      <c r="L1394" s="8">
        <f t="shared" si="2415"/>
        <v>-1</v>
      </c>
      <c r="M1394" t="s">
        <v>1538</v>
      </c>
    </row>
    <row r="1395" spans="1:13" x14ac:dyDescent="0.35">
      <c r="A1395">
        <f t="shared" si="1908"/>
        <v>1391</v>
      </c>
      <c r="B1395" s="9">
        <f t="shared" ref="B1395" si="2580">B1394+H1395+I1395+J1395</f>
        <v>51.000000000000014</v>
      </c>
      <c r="C1395" s="3" t="s">
        <v>1529</v>
      </c>
      <c r="D1395">
        <f t="shared" ref="D1395" si="2581">_xlfn.NUMBERVALUE(LEFT(C1395,2))</f>
        <v>10</v>
      </c>
      <c r="E1395">
        <f t="shared" ref="E1395" si="2582">_xlfn.NUMBERVALUE(MID(C1395,4,2))</f>
        <v>11</v>
      </c>
      <c r="F1395">
        <f t="shared" ref="F1395" si="2583">_xlfn.NUMBERVALUE(RIGHT(C1395,4))</f>
        <v>2023</v>
      </c>
      <c r="G1395" t="s">
        <v>7</v>
      </c>
      <c r="H1395">
        <v>-2</v>
      </c>
      <c r="K1395" t="s">
        <v>9</v>
      </c>
      <c r="L1395" s="8">
        <f t="shared" si="2415"/>
        <v>-1</v>
      </c>
      <c r="M1395" t="s">
        <v>1539</v>
      </c>
    </row>
    <row r="1396" spans="1:13" x14ac:dyDescent="0.35">
      <c r="A1396">
        <f t="shared" si="1908"/>
        <v>1392</v>
      </c>
      <c r="B1396" s="9">
        <f t="shared" ref="B1396" si="2584">B1395+H1396+I1396+J1396</f>
        <v>49.000000000000014</v>
      </c>
      <c r="C1396" s="3" t="s">
        <v>1529</v>
      </c>
      <c r="D1396">
        <f t="shared" ref="D1396" si="2585">_xlfn.NUMBERVALUE(LEFT(C1396,2))</f>
        <v>10</v>
      </c>
      <c r="E1396">
        <f t="shared" ref="E1396" si="2586">_xlfn.NUMBERVALUE(MID(C1396,4,2))</f>
        <v>11</v>
      </c>
      <c r="F1396">
        <f t="shared" ref="F1396" si="2587">_xlfn.NUMBERVALUE(RIGHT(C1396,4))</f>
        <v>2023</v>
      </c>
      <c r="G1396" t="s">
        <v>7</v>
      </c>
      <c r="H1396">
        <v>-2</v>
      </c>
      <c r="K1396" t="s">
        <v>9</v>
      </c>
      <c r="L1396" s="8">
        <f t="shared" si="2415"/>
        <v>-1</v>
      </c>
      <c r="M1396" t="s">
        <v>1540</v>
      </c>
    </row>
    <row r="1397" spans="1:13" x14ac:dyDescent="0.35">
      <c r="A1397">
        <f t="shared" si="1908"/>
        <v>1393</v>
      </c>
      <c r="B1397" s="9">
        <f t="shared" ref="B1397" si="2588">B1396+H1397+I1397+J1397</f>
        <v>47.000000000000014</v>
      </c>
      <c r="C1397" s="3" t="s">
        <v>1529</v>
      </c>
      <c r="D1397">
        <f t="shared" ref="D1397" si="2589">_xlfn.NUMBERVALUE(LEFT(C1397,2))</f>
        <v>10</v>
      </c>
      <c r="E1397">
        <f t="shared" ref="E1397" si="2590">_xlfn.NUMBERVALUE(MID(C1397,4,2))</f>
        <v>11</v>
      </c>
      <c r="F1397">
        <f t="shared" ref="F1397" si="2591">_xlfn.NUMBERVALUE(RIGHT(C1397,4))</f>
        <v>2023</v>
      </c>
      <c r="G1397" t="s">
        <v>7</v>
      </c>
      <c r="H1397">
        <v>-2</v>
      </c>
      <c r="K1397" t="s">
        <v>9</v>
      </c>
      <c r="L1397" s="8">
        <f t="shared" si="2415"/>
        <v>-1</v>
      </c>
      <c r="M1397" t="s">
        <v>1541</v>
      </c>
    </row>
    <row r="1398" spans="1:13" x14ac:dyDescent="0.35">
      <c r="A1398">
        <f t="shared" si="1908"/>
        <v>1394</v>
      </c>
      <c r="B1398" s="9">
        <f t="shared" ref="B1398" si="2592">B1397+H1398+I1398+J1398</f>
        <v>51.000000000000014</v>
      </c>
      <c r="C1398" s="3" t="s">
        <v>1529</v>
      </c>
      <c r="D1398">
        <f t="shared" ref="D1398" si="2593">_xlfn.NUMBERVALUE(LEFT(C1398,2))</f>
        <v>10</v>
      </c>
      <c r="E1398">
        <f t="shared" ref="E1398" si="2594">_xlfn.NUMBERVALUE(MID(C1398,4,2))</f>
        <v>11</v>
      </c>
      <c r="F1398">
        <f t="shared" ref="F1398" si="2595">_xlfn.NUMBERVALUE(RIGHT(C1398,4))</f>
        <v>2023</v>
      </c>
      <c r="G1398" t="s">
        <v>7</v>
      </c>
      <c r="H1398">
        <v>-2</v>
      </c>
      <c r="I1398">
        <v>6</v>
      </c>
      <c r="K1398" t="s">
        <v>10</v>
      </c>
      <c r="L1398" s="8">
        <f t="shared" si="2415"/>
        <v>2</v>
      </c>
      <c r="M1398" t="s">
        <v>1542</v>
      </c>
    </row>
    <row r="1399" spans="1:13" x14ac:dyDescent="0.35">
      <c r="A1399">
        <f t="shared" si="1908"/>
        <v>1395</v>
      </c>
      <c r="B1399" s="9">
        <f t="shared" ref="B1399" si="2596">B1398+H1399+I1399+J1399</f>
        <v>49.000000000000014</v>
      </c>
      <c r="C1399" s="3" t="s">
        <v>1529</v>
      </c>
      <c r="D1399">
        <f t="shared" ref="D1399" si="2597">_xlfn.NUMBERVALUE(LEFT(C1399,2))</f>
        <v>10</v>
      </c>
      <c r="E1399">
        <f t="shared" ref="E1399" si="2598">_xlfn.NUMBERVALUE(MID(C1399,4,2))</f>
        <v>11</v>
      </c>
      <c r="F1399">
        <f t="shared" ref="F1399" si="2599">_xlfn.NUMBERVALUE(RIGHT(C1399,4))</f>
        <v>2023</v>
      </c>
      <c r="G1399" t="s">
        <v>7</v>
      </c>
      <c r="H1399">
        <v>-2</v>
      </c>
      <c r="K1399" t="s">
        <v>9</v>
      </c>
      <c r="L1399" s="8">
        <f t="shared" si="2415"/>
        <v>-1</v>
      </c>
      <c r="M1399" t="s">
        <v>1543</v>
      </c>
    </row>
    <row r="1400" spans="1:13" x14ac:dyDescent="0.35">
      <c r="A1400">
        <f t="shared" si="1908"/>
        <v>1396</v>
      </c>
      <c r="B1400" s="9">
        <f t="shared" ref="B1400" si="2600">B1399+H1400+I1400+J1400</f>
        <v>47.000000000000014</v>
      </c>
      <c r="C1400" s="3" t="s">
        <v>1529</v>
      </c>
      <c r="D1400">
        <f t="shared" ref="D1400" si="2601">_xlfn.NUMBERVALUE(LEFT(C1400,2))</f>
        <v>10</v>
      </c>
      <c r="E1400">
        <f t="shared" ref="E1400" si="2602">_xlfn.NUMBERVALUE(MID(C1400,4,2))</f>
        <v>11</v>
      </c>
      <c r="F1400">
        <f t="shared" ref="F1400" si="2603">_xlfn.NUMBERVALUE(RIGHT(C1400,4))</f>
        <v>2023</v>
      </c>
      <c r="G1400" t="s">
        <v>7</v>
      </c>
      <c r="H1400">
        <v>-2</v>
      </c>
      <c r="K1400" t="s">
        <v>9</v>
      </c>
      <c r="L1400" s="8">
        <f t="shared" si="2415"/>
        <v>-1</v>
      </c>
      <c r="M1400" t="s">
        <v>1544</v>
      </c>
    </row>
    <row r="1401" spans="1:13" x14ac:dyDescent="0.35">
      <c r="A1401">
        <f t="shared" si="1908"/>
        <v>1397</v>
      </c>
      <c r="B1401" s="9">
        <f t="shared" ref="B1401" si="2604">B1400+H1401+I1401+J1401</f>
        <v>45.000000000000014</v>
      </c>
      <c r="C1401" s="3" t="s">
        <v>1529</v>
      </c>
      <c r="D1401">
        <f t="shared" ref="D1401" si="2605">_xlfn.NUMBERVALUE(LEFT(C1401,2))</f>
        <v>10</v>
      </c>
      <c r="E1401">
        <f t="shared" ref="E1401" si="2606">_xlfn.NUMBERVALUE(MID(C1401,4,2))</f>
        <v>11</v>
      </c>
      <c r="F1401">
        <f t="shared" ref="F1401" si="2607">_xlfn.NUMBERVALUE(RIGHT(C1401,4))</f>
        <v>2023</v>
      </c>
      <c r="G1401" t="s">
        <v>7</v>
      </c>
      <c r="H1401">
        <v>-2</v>
      </c>
      <c r="K1401" t="s">
        <v>9</v>
      </c>
      <c r="L1401" s="8">
        <f t="shared" si="2415"/>
        <v>-1</v>
      </c>
      <c r="M1401" t="s">
        <v>1545</v>
      </c>
    </row>
    <row r="1402" spans="1:13" x14ac:dyDescent="0.35">
      <c r="A1402">
        <f t="shared" si="1908"/>
        <v>1398</v>
      </c>
      <c r="B1402" s="9">
        <f t="shared" ref="B1402" si="2608">B1401+H1402+I1402+J1402</f>
        <v>43.000000000000014</v>
      </c>
      <c r="C1402" s="3" t="s">
        <v>1529</v>
      </c>
      <c r="D1402">
        <f t="shared" ref="D1402" si="2609">_xlfn.NUMBERVALUE(LEFT(C1402,2))</f>
        <v>10</v>
      </c>
      <c r="E1402">
        <f t="shared" ref="E1402" si="2610">_xlfn.NUMBERVALUE(MID(C1402,4,2))</f>
        <v>11</v>
      </c>
      <c r="F1402">
        <f t="shared" ref="F1402" si="2611">_xlfn.NUMBERVALUE(RIGHT(C1402,4))</f>
        <v>2023</v>
      </c>
      <c r="G1402" t="s">
        <v>7</v>
      </c>
      <c r="H1402">
        <v>-2</v>
      </c>
      <c r="K1402" t="s">
        <v>9</v>
      </c>
      <c r="L1402" s="8">
        <f t="shared" si="2415"/>
        <v>-1</v>
      </c>
      <c r="M1402" t="s">
        <v>1546</v>
      </c>
    </row>
    <row r="1403" spans="1:13" x14ac:dyDescent="0.35">
      <c r="A1403">
        <f t="shared" si="1908"/>
        <v>1399</v>
      </c>
      <c r="B1403" s="9">
        <f t="shared" ref="B1403" si="2612">B1402+H1403+I1403+J1403</f>
        <v>47.000000000000014</v>
      </c>
      <c r="C1403" s="3" t="s">
        <v>1529</v>
      </c>
      <c r="D1403">
        <f t="shared" ref="D1403" si="2613">_xlfn.NUMBERVALUE(LEFT(C1403,2))</f>
        <v>10</v>
      </c>
      <c r="E1403">
        <f t="shared" ref="E1403" si="2614">_xlfn.NUMBERVALUE(MID(C1403,4,2))</f>
        <v>11</v>
      </c>
      <c r="F1403">
        <f t="shared" ref="F1403" si="2615">_xlfn.NUMBERVALUE(RIGHT(C1403,4))</f>
        <v>2023</v>
      </c>
      <c r="G1403" t="s">
        <v>7</v>
      </c>
      <c r="H1403">
        <v>-2</v>
      </c>
      <c r="I1403">
        <v>6</v>
      </c>
      <c r="K1403" t="s">
        <v>10</v>
      </c>
      <c r="L1403" s="8">
        <f t="shared" si="2415"/>
        <v>2</v>
      </c>
      <c r="M1403" t="s">
        <v>1547</v>
      </c>
    </row>
    <row r="1404" spans="1:13" x14ac:dyDescent="0.35">
      <c r="A1404">
        <f t="shared" si="1908"/>
        <v>1400</v>
      </c>
      <c r="B1404" s="9">
        <f t="shared" ref="B1404" si="2616">B1403+H1404+I1404+J1404</f>
        <v>45.000000000000014</v>
      </c>
      <c r="C1404" s="3" t="s">
        <v>1529</v>
      </c>
      <c r="D1404">
        <f t="shared" ref="D1404" si="2617">_xlfn.NUMBERVALUE(LEFT(C1404,2))</f>
        <v>10</v>
      </c>
      <c r="E1404">
        <f t="shared" ref="E1404" si="2618">_xlfn.NUMBERVALUE(MID(C1404,4,2))</f>
        <v>11</v>
      </c>
      <c r="F1404">
        <f t="shared" ref="F1404" si="2619">_xlfn.NUMBERVALUE(RIGHT(C1404,4))</f>
        <v>2023</v>
      </c>
      <c r="G1404" t="s">
        <v>7</v>
      </c>
      <c r="H1404">
        <v>-2</v>
      </c>
      <c r="K1404" t="s">
        <v>9</v>
      </c>
      <c r="L1404" s="8">
        <f t="shared" si="2415"/>
        <v>-1</v>
      </c>
      <c r="M1404" t="s">
        <v>1548</v>
      </c>
    </row>
    <row r="1405" spans="1:13" x14ac:dyDescent="0.35">
      <c r="A1405">
        <f t="shared" si="1908"/>
        <v>1401</v>
      </c>
      <c r="B1405" s="9">
        <f t="shared" ref="B1405" si="2620">B1404+H1405+I1405+J1405</f>
        <v>43.000000000000014</v>
      </c>
      <c r="C1405" s="3" t="s">
        <v>1529</v>
      </c>
      <c r="D1405">
        <f t="shared" ref="D1405" si="2621">_xlfn.NUMBERVALUE(LEFT(C1405,2))</f>
        <v>10</v>
      </c>
      <c r="E1405">
        <f t="shared" ref="E1405" si="2622">_xlfn.NUMBERVALUE(MID(C1405,4,2))</f>
        <v>11</v>
      </c>
      <c r="F1405">
        <f t="shared" ref="F1405" si="2623">_xlfn.NUMBERVALUE(RIGHT(C1405,4))</f>
        <v>2023</v>
      </c>
      <c r="G1405" t="s">
        <v>7</v>
      </c>
      <c r="H1405">
        <v>-2</v>
      </c>
      <c r="K1405" t="s">
        <v>9</v>
      </c>
      <c r="L1405" s="8">
        <f t="shared" si="2415"/>
        <v>-1</v>
      </c>
      <c r="M1405" t="s">
        <v>1549</v>
      </c>
    </row>
    <row r="1406" spans="1:13" x14ac:dyDescent="0.35">
      <c r="A1406">
        <f t="shared" si="1908"/>
        <v>1402</v>
      </c>
      <c r="B1406" s="9">
        <f t="shared" ref="B1406" si="2624">B1405+H1406+I1406+J1406</f>
        <v>41.000000000000014</v>
      </c>
      <c r="C1406" s="3" t="s">
        <v>1529</v>
      </c>
      <c r="D1406">
        <f t="shared" ref="D1406" si="2625">_xlfn.NUMBERVALUE(LEFT(C1406,2))</f>
        <v>10</v>
      </c>
      <c r="E1406">
        <f t="shared" ref="E1406" si="2626">_xlfn.NUMBERVALUE(MID(C1406,4,2))</f>
        <v>11</v>
      </c>
      <c r="F1406">
        <f t="shared" ref="F1406" si="2627">_xlfn.NUMBERVALUE(RIGHT(C1406,4))</f>
        <v>2023</v>
      </c>
      <c r="G1406" t="s">
        <v>7</v>
      </c>
      <c r="H1406">
        <v>-2</v>
      </c>
      <c r="K1406" t="s">
        <v>9</v>
      </c>
      <c r="L1406" s="8">
        <f t="shared" si="2415"/>
        <v>-1</v>
      </c>
      <c r="M1406" t="s">
        <v>1550</v>
      </c>
    </row>
    <row r="1407" spans="1:13" x14ac:dyDescent="0.35">
      <c r="A1407">
        <f t="shared" si="1908"/>
        <v>1403</v>
      </c>
      <c r="B1407" s="9">
        <f t="shared" ref="B1407" si="2628">B1406+H1407+I1407+J1407</f>
        <v>43.000000000000014</v>
      </c>
      <c r="C1407" s="3" t="s">
        <v>1529</v>
      </c>
      <c r="D1407">
        <f t="shared" ref="D1407" si="2629">_xlfn.NUMBERVALUE(LEFT(C1407,2))</f>
        <v>10</v>
      </c>
      <c r="E1407">
        <f t="shared" ref="E1407" si="2630">_xlfn.NUMBERVALUE(MID(C1407,4,2))</f>
        <v>11</v>
      </c>
      <c r="F1407">
        <f t="shared" ref="F1407" si="2631">_xlfn.NUMBERVALUE(RIGHT(C1407,4))</f>
        <v>2023</v>
      </c>
      <c r="G1407" t="s">
        <v>7</v>
      </c>
      <c r="H1407">
        <v>-2</v>
      </c>
      <c r="I1407">
        <v>4</v>
      </c>
      <c r="K1407" t="s">
        <v>10</v>
      </c>
      <c r="L1407" s="8">
        <f t="shared" si="2415"/>
        <v>1</v>
      </c>
      <c r="M1407" t="s">
        <v>1551</v>
      </c>
    </row>
    <row r="1408" spans="1:13" x14ac:dyDescent="0.35">
      <c r="A1408">
        <f t="shared" si="1908"/>
        <v>1404</v>
      </c>
      <c r="B1408" s="9">
        <f t="shared" ref="B1408" si="2632">B1407+H1408+I1408+J1408</f>
        <v>45.000000000000014</v>
      </c>
      <c r="C1408" s="3" t="s">
        <v>1529</v>
      </c>
      <c r="D1408">
        <f t="shared" ref="D1408" si="2633">_xlfn.NUMBERVALUE(LEFT(C1408,2))</f>
        <v>10</v>
      </c>
      <c r="E1408">
        <f t="shared" ref="E1408" si="2634">_xlfn.NUMBERVALUE(MID(C1408,4,2))</f>
        <v>11</v>
      </c>
      <c r="F1408">
        <f t="shared" ref="F1408" si="2635">_xlfn.NUMBERVALUE(RIGHT(C1408,4))</f>
        <v>2023</v>
      </c>
      <c r="G1408" t="s">
        <v>7</v>
      </c>
      <c r="H1408">
        <v>-2</v>
      </c>
      <c r="I1408">
        <v>4</v>
      </c>
      <c r="K1408" t="s">
        <v>10</v>
      </c>
      <c r="L1408" s="8">
        <f t="shared" si="2415"/>
        <v>1</v>
      </c>
      <c r="M1408" t="s">
        <v>1552</v>
      </c>
    </row>
    <row r="1409" spans="1:13" x14ac:dyDescent="0.35">
      <c r="A1409">
        <f t="shared" si="1908"/>
        <v>1405</v>
      </c>
      <c r="B1409" s="9">
        <f t="shared" ref="B1409" si="2636">B1408+H1409+I1409+J1409</f>
        <v>49.000000000000014</v>
      </c>
      <c r="C1409" s="3" t="s">
        <v>1529</v>
      </c>
      <c r="D1409">
        <f t="shared" ref="D1409" si="2637">_xlfn.NUMBERVALUE(LEFT(C1409,2))</f>
        <v>10</v>
      </c>
      <c r="E1409">
        <f t="shared" ref="E1409" si="2638">_xlfn.NUMBERVALUE(MID(C1409,4,2))</f>
        <v>11</v>
      </c>
      <c r="F1409">
        <f t="shared" ref="F1409" si="2639">_xlfn.NUMBERVALUE(RIGHT(C1409,4))</f>
        <v>2023</v>
      </c>
      <c r="G1409" t="s">
        <v>7</v>
      </c>
      <c r="H1409">
        <v>-2</v>
      </c>
      <c r="I1409">
        <v>6</v>
      </c>
      <c r="K1409" t="s">
        <v>10</v>
      </c>
      <c r="L1409" s="8">
        <f t="shared" si="2415"/>
        <v>2</v>
      </c>
      <c r="M1409" t="s">
        <v>1553</v>
      </c>
    </row>
    <row r="1410" spans="1:13" x14ac:dyDescent="0.35">
      <c r="A1410">
        <f t="shared" si="1908"/>
        <v>1406</v>
      </c>
      <c r="B1410" s="9">
        <f t="shared" ref="B1410" si="2640">B1409+H1410+I1410+J1410</f>
        <v>55.000000000000014</v>
      </c>
      <c r="C1410" s="3" t="s">
        <v>1529</v>
      </c>
      <c r="D1410">
        <f t="shared" ref="D1410" si="2641">_xlfn.NUMBERVALUE(LEFT(C1410,2))</f>
        <v>10</v>
      </c>
      <c r="E1410">
        <f t="shared" ref="E1410" si="2642">_xlfn.NUMBERVALUE(MID(C1410,4,2))</f>
        <v>11</v>
      </c>
      <c r="F1410">
        <f t="shared" ref="F1410" si="2643">_xlfn.NUMBERVALUE(RIGHT(C1410,4))</f>
        <v>2023</v>
      </c>
      <c r="G1410" t="s">
        <v>7</v>
      </c>
      <c r="H1410">
        <v>-2</v>
      </c>
      <c r="I1410">
        <v>8</v>
      </c>
      <c r="K1410" t="s">
        <v>10</v>
      </c>
      <c r="L1410" s="8">
        <f t="shared" si="2415"/>
        <v>3</v>
      </c>
      <c r="M1410" t="s">
        <v>1554</v>
      </c>
    </row>
    <row r="1411" spans="1:13" x14ac:dyDescent="0.35">
      <c r="A1411">
        <f t="shared" si="1908"/>
        <v>1407</v>
      </c>
      <c r="B1411" s="9">
        <f t="shared" ref="B1411" si="2644">B1410+H1411+I1411+J1411</f>
        <v>59.000000000000014</v>
      </c>
      <c r="C1411" s="3" t="s">
        <v>1529</v>
      </c>
      <c r="D1411">
        <f t="shared" ref="D1411" si="2645">_xlfn.NUMBERVALUE(LEFT(C1411,2))</f>
        <v>10</v>
      </c>
      <c r="E1411">
        <f t="shared" ref="E1411" si="2646">_xlfn.NUMBERVALUE(MID(C1411,4,2))</f>
        <v>11</v>
      </c>
      <c r="F1411">
        <f t="shared" ref="F1411" si="2647">_xlfn.NUMBERVALUE(RIGHT(C1411,4))</f>
        <v>2023</v>
      </c>
      <c r="G1411" t="s">
        <v>7</v>
      </c>
      <c r="H1411">
        <v>-2</v>
      </c>
      <c r="I1411">
        <v>6</v>
      </c>
      <c r="K1411" t="s">
        <v>10</v>
      </c>
      <c r="L1411" s="8">
        <f t="shared" si="2415"/>
        <v>2</v>
      </c>
      <c r="M1411" t="s">
        <v>1555</v>
      </c>
    </row>
    <row r="1412" spans="1:13" x14ac:dyDescent="0.35">
      <c r="A1412">
        <f t="shared" si="1908"/>
        <v>1408</v>
      </c>
      <c r="B1412" s="9">
        <f t="shared" ref="B1412" si="2648">B1411+H1412+I1412+J1412</f>
        <v>57.000000000000014</v>
      </c>
      <c r="C1412" s="3" t="s">
        <v>1529</v>
      </c>
      <c r="D1412">
        <f t="shared" ref="D1412" si="2649">_xlfn.NUMBERVALUE(LEFT(C1412,2))</f>
        <v>10</v>
      </c>
      <c r="E1412">
        <f t="shared" ref="E1412" si="2650">_xlfn.NUMBERVALUE(MID(C1412,4,2))</f>
        <v>11</v>
      </c>
      <c r="F1412">
        <f t="shared" ref="F1412" si="2651">_xlfn.NUMBERVALUE(RIGHT(C1412,4))</f>
        <v>2023</v>
      </c>
      <c r="G1412" t="s">
        <v>7</v>
      </c>
      <c r="H1412">
        <v>-2</v>
      </c>
      <c r="K1412" t="s">
        <v>9</v>
      </c>
      <c r="L1412" s="8">
        <f t="shared" si="2415"/>
        <v>-1</v>
      </c>
      <c r="M1412" t="s">
        <v>1556</v>
      </c>
    </row>
    <row r="1413" spans="1:13" x14ac:dyDescent="0.35">
      <c r="A1413">
        <f t="shared" si="1908"/>
        <v>1409</v>
      </c>
      <c r="B1413" s="9">
        <f t="shared" ref="B1413" si="2652">B1412+H1413+I1413+J1413</f>
        <v>55.000000000000014</v>
      </c>
      <c r="C1413" s="3" t="s">
        <v>1529</v>
      </c>
      <c r="D1413">
        <f t="shared" ref="D1413" si="2653">_xlfn.NUMBERVALUE(LEFT(C1413,2))</f>
        <v>10</v>
      </c>
      <c r="E1413">
        <f t="shared" ref="E1413" si="2654">_xlfn.NUMBERVALUE(MID(C1413,4,2))</f>
        <v>11</v>
      </c>
      <c r="F1413">
        <f t="shared" ref="F1413" si="2655">_xlfn.NUMBERVALUE(RIGHT(C1413,4))</f>
        <v>2023</v>
      </c>
      <c r="G1413" t="s">
        <v>7</v>
      </c>
      <c r="H1413">
        <v>-2</v>
      </c>
      <c r="K1413" t="s">
        <v>9</v>
      </c>
      <c r="L1413" s="8">
        <f t="shared" si="2415"/>
        <v>-1</v>
      </c>
      <c r="M1413" t="s">
        <v>1557</v>
      </c>
    </row>
    <row r="1414" spans="1:13" x14ac:dyDescent="0.35">
      <c r="A1414">
        <f t="shared" si="1908"/>
        <v>1410</v>
      </c>
      <c r="B1414" s="9">
        <f t="shared" ref="B1414" si="2656">B1413+H1414+I1414+J1414</f>
        <v>53.000000000000014</v>
      </c>
      <c r="C1414" s="3" t="s">
        <v>1529</v>
      </c>
      <c r="D1414">
        <f t="shared" ref="D1414" si="2657">_xlfn.NUMBERVALUE(LEFT(C1414,2))</f>
        <v>10</v>
      </c>
      <c r="E1414">
        <f t="shared" ref="E1414" si="2658">_xlfn.NUMBERVALUE(MID(C1414,4,2))</f>
        <v>11</v>
      </c>
      <c r="F1414">
        <f t="shared" ref="F1414" si="2659">_xlfn.NUMBERVALUE(RIGHT(C1414,4))</f>
        <v>2023</v>
      </c>
      <c r="G1414" t="s">
        <v>7</v>
      </c>
      <c r="H1414">
        <v>-2</v>
      </c>
      <c r="K1414" t="s">
        <v>9</v>
      </c>
      <c r="L1414" s="8">
        <f t="shared" ref="L1414:L1477" si="2660">IF(H1414="",0,(SUM(I1414:J1414)/-H1414)-1)</f>
        <v>-1</v>
      </c>
      <c r="M1414" t="s">
        <v>1558</v>
      </c>
    </row>
    <row r="1415" spans="1:13" x14ac:dyDescent="0.35">
      <c r="A1415">
        <f t="shared" si="1908"/>
        <v>1411</v>
      </c>
      <c r="B1415" s="9">
        <f t="shared" ref="B1415" si="2661">B1414+H1415+I1415+J1415</f>
        <v>51.000000000000014</v>
      </c>
      <c r="C1415" s="3" t="s">
        <v>1529</v>
      </c>
      <c r="D1415">
        <f t="shared" ref="D1415" si="2662">_xlfn.NUMBERVALUE(LEFT(C1415,2))</f>
        <v>10</v>
      </c>
      <c r="E1415">
        <f t="shared" ref="E1415" si="2663">_xlfn.NUMBERVALUE(MID(C1415,4,2))</f>
        <v>11</v>
      </c>
      <c r="F1415">
        <f t="shared" ref="F1415" si="2664">_xlfn.NUMBERVALUE(RIGHT(C1415,4))</f>
        <v>2023</v>
      </c>
      <c r="G1415" t="s">
        <v>7</v>
      </c>
      <c r="H1415">
        <v>-2</v>
      </c>
      <c r="K1415" t="s">
        <v>9</v>
      </c>
      <c r="L1415" s="8">
        <f t="shared" si="2660"/>
        <v>-1</v>
      </c>
      <c r="M1415" t="s">
        <v>1559</v>
      </c>
    </row>
    <row r="1416" spans="1:13" x14ac:dyDescent="0.35">
      <c r="A1416">
        <f t="shared" si="1908"/>
        <v>1412</v>
      </c>
      <c r="B1416" s="9">
        <f t="shared" ref="B1416" si="2665">B1415+H1416+I1416+J1416</f>
        <v>49.000000000000014</v>
      </c>
      <c r="C1416" s="3" t="s">
        <v>1560</v>
      </c>
      <c r="D1416">
        <f t="shared" ref="D1416" si="2666">_xlfn.NUMBERVALUE(LEFT(C1416,2))</f>
        <v>11</v>
      </c>
      <c r="E1416">
        <f t="shared" ref="E1416" si="2667">_xlfn.NUMBERVALUE(MID(C1416,4,2))</f>
        <v>11</v>
      </c>
      <c r="F1416">
        <f t="shared" ref="F1416" si="2668">_xlfn.NUMBERVALUE(RIGHT(C1416,4))</f>
        <v>2023</v>
      </c>
      <c r="G1416" t="s">
        <v>7</v>
      </c>
      <c r="H1416">
        <v>-2</v>
      </c>
      <c r="K1416" t="s">
        <v>9</v>
      </c>
      <c r="L1416" s="8">
        <f t="shared" si="2660"/>
        <v>-1</v>
      </c>
      <c r="M1416" t="s">
        <v>1561</v>
      </c>
    </row>
    <row r="1417" spans="1:13" x14ac:dyDescent="0.35">
      <c r="A1417">
        <f t="shared" si="1908"/>
        <v>1413</v>
      </c>
      <c r="B1417" s="9">
        <f t="shared" ref="B1417" si="2669">B1416+H1417+I1417+J1417</f>
        <v>47.000000000000014</v>
      </c>
      <c r="C1417" s="3" t="s">
        <v>1560</v>
      </c>
      <c r="D1417">
        <f t="shared" ref="D1417" si="2670">_xlfn.NUMBERVALUE(LEFT(C1417,2))</f>
        <v>11</v>
      </c>
      <c r="E1417">
        <f t="shared" ref="E1417" si="2671">_xlfn.NUMBERVALUE(MID(C1417,4,2))</f>
        <v>11</v>
      </c>
      <c r="F1417">
        <f t="shared" ref="F1417" si="2672">_xlfn.NUMBERVALUE(RIGHT(C1417,4))</f>
        <v>2023</v>
      </c>
      <c r="G1417" t="s">
        <v>7</v>
      </c>
      <c r="H1417">
        <v>-2</v>
      </c>
      <c r="K1417" t="s">
        <v>9</v>
      </c>
      <c r="L1417" s="8">
        <f t="shared" si="2660"/>
        <v>-1</v>
      </c>
      <c r="M1417" t="s">
        <v>1562</v>
      </c>
    </row>
    <row r="1418" spans="1:13" x14ac:dyDescent="0.35">
      <c r="A1418">
        <f t="shared" si="1908"/>
        <v>1414</v>
      </c>
      <c r="B1418" s="9">
        <f t="shared" ref="B1418" si="2673">B1417+H1418+I1418+J1418</f>
        <v>45.000000000000014</v>
      </c>
      <c r="C1418" s="3" t="s">
        <v>1560</v>
      </c>
      <c r="D1418">
        <f t="shared" ref="D1418" si="2674">_xlfn.NUMBERVALUE(LEFT(C1418,2))</f>
        <v>11</v>
      </c>
      <c r="E1418">
        <f t="shared" ref="E1418" si="2675">_xlfn.NUMBERVALUE(MID(C1418,4,2))</f>
        <v>11</v>
      </c>
      <c r="F1418">
        <f t="shared" ref="F1418" si="2676">_xlfn.NUMBERVALUE(RIGHT(C1418,4))</f>
        <v>2023</v>
      </c>
      <c r="G1418" t="s">
        <v>7</v>
      </c>
      <c r="H1418">
        <v>-2</v>
      </c>
      <c r="K1418" t="s">
        <v>9</v>
      </c>
      <c r="L1418" s="8">
        <f t="shared" si="2660"/>
        <v>-1</v>
      </c>
      <c r="M1418" t="s">
        <v>1563</v>
      </c>
    </row>
    <row r="1419" spans="1:13" x14ac:dyDescent="0.35">
      <c r="A1419">
        <f t="shared" si="1908"/>
        <v>1415</v>
      </c>
      <c r="B1419" s="9">
        <f t="shared" ref="B1419" si="2677">B1418+H1419+I1419+J1419</f>
        <v>43.000000000000014</v>
      </c>
      <c r="C1419" s="3" t="s">
        <v>1560</v>
      </c>
      <c r="D1419">
        <f t="shared" ref="D1419" si="2678">_xlfn.NUMBERVALUE(LEFT(C1419,2))</f>
        <v>11</v>
      </c>
      <c r="E1419">
        <f t="shared" ref="E1419" si="2679">_xlfn.NUMBERVALUE(MID(C1419,4,2))</f>
        <v>11</v>
      </c>
      <c r="F1419">
        <f t="shared" ref="F1419" si="2680">_xlfn.NUMBERVALUE(RIGHT(C1419,4))</f>
        <v>2023</v>
      </c>
      <c r="G1419" t="s">
        <v>7</v>
      </c>
      <c r="H1419">
        <v>-2</v>
      </c>
      <c r="K1419" t="s">
        <v>9</v>
      </c>
      <c r="L1419" s="8">
        <f t="shared" si="2660"/>
        <v>-1</v>
      </c>
      <c r="M1419" t="s">
        <v>1564</v>
      </c>
    </row>
    <row r="1420" spans="1:13" x14ac:dyDescent="0.35">
      <c r="A1420">
        <f t="shared" si="1908"/>
        <v>1416</v>
      </c>
      <c r="B1420" s="9">
        <f t="shared" ref="B1420" si="2681">B1419+H1420+I1420+J1420</f>
        <v>41.000000000000014</v>
      </c>
      <c r="C1420" s="3" t="s">
        <v>1560</v>
      </c>
      <c r="D1420">
        <f t="shared" ref="D1420" si="2682">_xlfn.NUMBERVALUE(LEFT(C1420,2))</f>
        <v>11</v>
      </c>
      <c r="E1420">
        <f t="shared" ref="E1420" si="2683">_xlfn.NUMBERVALUE(MID(C1420,4,2))</f>
        <v>11</v>
      </c>
      <c r="F1420">
        <f t="shared" ref="F1420" si="2684">_xlfn.NUMBERVALUE(RIGHT(C1420,4))</f>
        <v>2023</v>
      </c>
      <c r="G1420" t="s">
        <v>7</v>
      </c>
      <c r="H1420">
        <v>-2</v>
      </c>
      <c r="K1420" t="s">
        <v>9</v>
      </c>
      <c r="L1420" s="8">
        <f t="shared" si="2660"/>
        <v>-1</v>
      </c>
      <c r="M1420" t="s">
        <v>1565</v>
      </c>
    </row>
    <row r="1421" spans="1:13" x14ac:dyDescent="0.35">
      <c r="A1421">
        <f t="shared" si="1908"/>
        <v>1417</v>
      </c>
      <c r="B1421" s="9">
        <f t="shared" ref="B1421" si="2685">B1420+H1421+I1421+J1421</f>
        <v>39.000000000000014</v>
      </c>
      <c r="C1421" s="3" t="s">
        <v>1560</v>
      </c>
      <c r="D1421">
        <f t="shared" ref="D1421" si="2686">_xlfn.NUMBERVALUE(LEFT(C1421,2))</f>
        <v>11</v>
      </c>
      <c r="E1421">
        <f t="shared" ref="E1421" si="2687">_xlfn.NUMBERVALUE(MID(C1421,4,2))</f>
        <v>11</v>
      </c>
      <c r="F1421">
        <f t="shared" ref="F1421" si="2688">_xlfn.NUMBERVALUE(RIGHT(C1421,4))</f>
        <v>2023</v>
      </c>
      <c r="G1421" t="s">
        <v>7</v>
      </c>
      <c r="H1421">
        <v>-2</v>
      </c>
      <c r="K1421" t="s">
        <v>9</v>
      </c>
      <c r="L1421" s="8">
        <f t="shared" si="2660"/>
        <v>-1</v>
      </c>
      <c r="M1421" t="s">
        <v>1566</v>
      </c>
    </row>
    <row r="1422" spans="1:13" x14ac:dyDescent="0.35">
      <c r="A1422">
        <f t="shared" si="1908"/>
        <v>1418</v>
      </c>
      <c r="B1422" s="9">
        <f t="shared" ref="B1422" si="2689">B1421+H1422+I1422+J1422</f>
        <v>37.000000000000014</v>
      </c>
      <c r="C1422" s="3" t="s">
        <v>1560</v>
      </c>
      <c r="D1422">
        <f t="shared" ref="D1422" si="2690">_xlfn.NUMBERVALUE(LEFT(C1422,2))</f>
        <v>11</v>
      </c>
      <c r="E1422">
        <f t="shared" ref="E1422" si="2691">_xlfn.NUMBERVALUE(MID(C1422,4,2))</f>
        <v>11</v>
      </c>
      <c r="F1422">
        <f t="shared" ref="F1422" si="2692">_xlfn.NUMBERVALUE(RIGHT(C1422,4))</f>
        <v>2023</v>
      </c>
      <c r="G1422" t="s">
        <v>7</v>
      </c>
      <c r="H1422">
        <v>-2</v>
      </c>
      <c r="K1422" t="s">
        <v>9</v>
      </c>
      <c r="L1422" s="8">
        <f t="shared" si="2660"/>
        <v>-1</v>
      </c>
      <c r="M1422" t="s">
        <v>1567</v>
      </c>
    </row>
    <row r="1423" spans="1:13" x14ac:dyDescent="0.35">
      <c r="A1423">
        <f t="shared" si="1908"/>
        <v>1419</v>
      </c>
      <c r="B1423" s="9">
        <f t="shared" ref="B1423" si="2693">B1422+H1423+I1423+J1423</f>
        <v>35.000000000000014</v>
      </c>
      <c r="C1423" s="3" t="s">
        <v>1560</v>
      </c>
      <c r="D1423">
        <f t="shared" ref="D1423" si="2694">_xlfn.NUMBERVALUE(LEFT(C1423,2))</f>
        <v>11</v>
      </c>
      <c r="E1423">
        <f t="shared" ref="E1423" si="2695">_xlfn.NUMBERVALUE(MID(C1423,4,2))</f>
        <v>11</v>
      </c>
      <c r="F1423">
        <f t="shared" ref="F1423" si="2696">_xlfn.NUMBERVALUE(RIGHT(C1423,4))</f>
        <v>2023</v>
      </c>
      <c r="G1423" t="s">
        <v>7</v>
      </c>
      <c r="H1423">
        <v>-2</v>
      </c>
      <c r="K1423" t="s">
        <v>9</v>
      </c>
      <c r="L1423" s="8">
        <f t="shared" si="2660"/>
        <v>-1</v>
      </c>
      <c r="M1423" t="s">
        <v>1568</v>
      </c>
    </row>
    <row r="1424" spans="1:13" x14ac:dyDescent="0.35">
      <c r="A1424">
        <f t="shared" si="1908"/>
        <v>1420</v>
      </c>
      <c r="B1424" s="9">
        <f t="shared" ref="B1424:B1425" si="2697">B1423+H1424+I1424+J1424</f>
        <v>35.320000000000014</v>
      </c>
      <c r="C1424" s="3" t="s">
        <v>1560</v>
      </c>
      <c r="D1424">
        <f t="shared" ref="D1424:D1425" si="2698">_xlfn.NUMBERVALUE(LEFT(C1424,2))</f>
        <v>11</v>
      </c>
      <c r="E1424">
        <f t="shared" ref="E1424:E1425" si="2699">_xlfn.NUMBERVALUE(MID(C1424,4,2))</f>
        <v>11</v>
      </c>
      <c r="F1424">
        <f t="shared" ref="F1424:F1425" si="2700">_xlfn.NUMBERVALUE(RIGHT(C1424,4))</f>
        <v>2023</v>
      </c>
      <c r="G1424" t="s">
        <v>1389</v>
      </c>
      <c r="H1424">
        <v>-2</v>
      </c>
      <c r="I1424">
        <v>2.3199999999999998</v>
      </c>
      <c r="K1424" t="s">
        <v>10</v>
      </c>
      <c r="L1424" s="8">
        <f t="shared" si="2660"/>
        <v>0.15999999999999992</v>
      </c>
      <c r="M1424" t="s">
        <v>1569</v>
      </c>
    </row>
    <row r="1425" spans="1:13" x14ac:dyDescent="0.35">
      <c r="A1425">
        <f t="shared" si="1908"/>
        <v>1421</v>
      </c>
      <c r="B1425" s="9">
        <f t="shared" si="2697"/>
        <v>33.320000000000014</v>
      </c>
      <c r="C1425" s="3" t="s">
        <v>1560</v>
      </c>
      <c r="D1425">
        <f t="shared" si="2698"/>
        <v>11</v>
      </c>
      <c r="E1425">
        <f t="shared" si="2699"/>
        <v>11</v>
      </c>
      <c r="F1425">
        <f t="shared" si="2700"/>
        <v>2023</v>
      </c>
      <c r="G1425" t="s">
        <v>7</v>
      </c>
      <c r="H1425">
        <v>-2</v>
      </c>
      <c r="K1425" t="s">
        <v>9</v>
      </c>
      <c r="L1425" s="8">
        <f t="shared" si="2660"/>
        <v>-1</v>
      </c>
      <c r="M1425" t="s">
        <v>1570</v>
      </c>
    </row>
    <row r="1426" spans="1:13" x14ac:dyDescent="0.35">
      <c r="A1426">
        <f t="shared" si="1908"/>
        <v>1422</v>
      </c>
      <c r="B1426" s="9">
        <f t="shared" ref="B1426" si="2701">B1425+H1426+I1426+J1426</f>
        <v>35.320000000000014</v>
      </c>
      <c r="C1426" s="3" t="s">
        <v>1560</v>
      </c>
      <c r="D1426">
        <f t="shared" ref="D1426" si="2702">_xlfn.NUMBERVALUE(LEFT(C1426,2))</f>
        <v>11</v>
      </c>
      <c r="E1426">
        <f t="shared" ref="E1426" si="2703">_xlfn.NUMBERVALUE(MID(C1426,4,2))</f>
        <v>11</v>
      </c>
      <c r="F1426">
        <f t="shared" ref="F1426" si="2704">_xlfn.NUMBERVALUE(RIGHT(C1426,4))</f>
        <v>2023</v>
      </c>
      <c r="G1426" t="s">
        <v>7</v>
      </c>
      <c r="H1426">
        <v>-2</v>
      </c>
      <c r="I1426">
        <v>4</v>
      </c>
      <c r="K1426" t="s">
        <v>10</v>
      </c>
      <c r="L1426" s="8">
        <f t="shared" si="2660"/>
        <v>1</v>
      </c>
      <c r="M1426" t="s">
        <v>1571</v>
      </c>
    </row>
    <row r="1427" spans="1:13" x14ac:dyDescent="0.35">
      <c r="A1427">
        <f t="shared" si="1908"/>
        <v>1423</v>
      </c>
      <c r="B1427" s="9">
        <f t="shared" ref="B1427" si="2705">B1426+H1427+I1427+J1427</f>
        <v>33.320000000000014</v>
      </c>
      <c r="C1427" s="3" t="s">
        <v>1560</v>
      </c>
      <c r="D1427">
        <f t="shared" ref="D1427" si="2706">_xlfn.NUMBERVALUE(LEFT(C1427,2))</f>
        <v>11</v>
      </c>
      <c r="E1427">
        <f t="shared" ref="E1427" si="2707">_xlfn.NUMBERVALUE(MID(C1427,4,2))</f>
        <v>11</v>
      </c>
      <c r="F1427">
        <f t="shared" ref="F1427" si="2708">_xlfn.NUMBERVALUE(RIGHT(C1427,4))</f>
        <v>2023</v>
      </c>
      <c r="G1427" t="s">
        <v>7</v>
      </c>
      <c r="H1427">
        <v>-2</v>
      </c>
      <c r="K1427" t="s">
        <v>9</v>
      </c>
      <c r="L1427" s="8">
        <f t="shared" si="2660"/>
        <v>-1</v>
      </c>
      <c r="M1427" t="s">
        <v>1572</v>
      </c>
    </row>
    <row r="1428" spans="1:13" x14ac:dyDescent="0.35">
      <c r="A1428">
        <f t="shared" si="1908"/>
        <v>1424</v>
      </c>
      <c r="B1428" s="9">
        <f t="shared" ref="B1428" si="2709">B1427+H1428+I1428+J1428</f>
        <v>35.320000000000014</v>
      </c>
      <c r="C1428" s="3" t="s">
        <v>1560</v>
      </c>
      <c r="D1428">
        <f t="shared" ref="D1428" si="2710">_xlfn.NUMBERVALUE(LEFT(C1428,2))</f>
        <v>11</v>
      </c>
      <c r="E1428">
        <f t="shared" ref="E1428" si="2711">_xlfn.NUMBERVALUE(MID(C1428,4,2))</f>
        <v>11</v>
      </c>
      <c r="F1428">
        <f t="shared" ref="F1428" si="2712">_xlfn.NUMBERVALUE(RIGHT(C1428,4))</f>
        <v>2023</v>
      </c>
      <c r="G1428" t="s">
        <v>7</v>
      </c>
      <c r="H1428">
        <v>-2</v>
      </c>
      <c r="I1428">
        <v>4</v>
      </c>
      <c r="K1428" t="s">
        <v>10</v>
      </c>
      <c r="L1428" s="8">
        <f t="shared" si="2660"/>
        <v>1</v>
      </c>
      <c r="M1428" t="s">
        <v>1573</v>
      </c>
    </row>
    <row r="1429" spans="1:13" x14ac:dyDescent="0.35">
      <c r="A1429">
        <f t="shared" si="1908"/>
        <v>1425</v>
      </c>
      <c r="B1429" s="9">
        <f t="shared" ref="B1429" si="2713">B1428+H1429+I1429+J1429</f>
        <v>33.320000000000014</v>
      </c>
      <c r="C1429" s="3" t="s">
        <v>1560</v>
      </c>
      <c r="D1429">
        <f t="shared" ref="D1429" si="2714">_xlfn.NUMBERVALUE(LEFT(C1429,2))</f>
        <v>11</v>
      </c>
      <c r="E1429">
        <f t="shared" ref="E1429" si="2715">_xlfn.NUMBERVALUE(MID(C1429,4,2))</f>
        <v>11</v>
      </c>
      <c r="F1429">
        <f t="shared" ref="F1429" si="2716">_xlfn.NUMBERVALUE(RIGHT(C1429,4))</f>
        <v>2023</v>
      </c>
      <c r="G1429" t="s">
        <v>7</v>
      </c>
      <c r="H1429">
        <v>-2</v>
      </c>
      <c r="K1429" t="s">
        <v>9</v>
      </c>
      <c r="L1429" s="8">
        <f t="shared" si="2660"/>
        <v>-1</v>
      </c>
      <c r="M1429" t="s">
        <v>1574</v>
      </c>
    </row>
    <row r="1430" spans="1:13" x14ac:dyDescent="0.35">
      <c r="A1430">
        <f t="shared" si="1908"/>
        <v>1426</v>
      </c>
      <c r="B1430" s="9">
        <f t="shared" ref="B1430" si="2717">B1429+H1430+I1430+J1430</f>
        <v>31.320000000000014</v>
      </c>
      <c r="C1430" s="3" t="s">
        <v>1560</v>
      </c>
      <c r="D1430">
        <f t="shared" ref="D1430" si="2718">_xlfn.NUMBERVALUE(LEFT(C1430,2))</f>
        <v>11</v>
      </c>
      <c r="E1430">
        <f t="shared" ref="E1430" si="2719">_xlfn.NUMBERVALUE(MID(C1430,4,2))</f>
        <v>11</v>
      </c>
      <c r="F1430">
        <f t="shared" ref="F1430" si="2720">_xlfn.NUMBERVALUE(RIGHT(C1430,4))</f>
        <v>2023</v>
      </c>
      <c r="G1430" t="s">
        <v>7</v>
      </c>
      <c r="H1430">
        <v>-2</v>
      </c>
      <c r="K1430" t="s">
        <v>9</v>
      </c>
      <c r="L1430" s="8">
        <f t="shared" si="2660"/>
        <v>-1</v>
      </c>
      <c r="M1430" t="s">
        <v>1575</v>
      </c>
    </row>
    <row r="1431" spans="1:13" x14ac:dyDescent="0.35">
      <c r="A1431">
        <f t="shared" si="1908"/>
        <v>1427</v>
      </c>
      <c r="B1431" s="9">
        <f t="shared" ref="B1431" si="2721">B1430+H1431+I1431+J1431</f>
        <v>29.320000000000014</v>
      </c>
      <c r="C1431" s="3" t="s">
        <v>1560</v>
      </c>
      <c r="D1431">
        <f t="shared" ref="D1431" si="2722">_xlfn.NUMBERVALUE(LEFT(C1431,2))</f>
        <v>11</v>
      </c>
      <c r="E1431">
        <f t="shared" ref="E1431" si="2723">_xlfn.NUMBERVALUE(MID(C1431,4,2))</f>
        <v>11</v>
      </c>
      <c r="F1431">
        <f t="shared" ref="F1431" si="2724">_xlfn.NUMBERVALUE(RIGHT(C1431,4))</f>
        <v>2023</v>
      </c>
      <c r="G1431" t="s">
        <v>7</v>
      </c>
      <c r="H1431">
        <v>-2</v>
      </c>
      <c r="K1431" t="s">
        <v>9</v>
      </c>
      <c r="L1431" s="8">
        <f t="shared" si="2660"/>
        <v>-1</v>
      </c>
      <c r="M1431" t="s">
        <v>1576</v>
      </c>
    </row>
    <row r="1432" spans="1:13" x14ac:dyDescent="0.35">
      <c r="A1432">
        <f t="shared" si="1908"/>
        <v>1428</v>
      </c>
      <c r="B1432" s="9">
        <f t="shared" ref="B1432" si="2725">B1431+H1432+I1432+J1432</f>
        <v>33.320000000000014</v>
      </c>
      <c r="C1432" s="3" t="s">
        <v>1560</v>
      </c>
      <c r="D1432">
        <f t="shared" ref="D1432" si="2726">_xlfn.NUMBERVALUE(LEFT(C1432,2))</f>
        <v>11</v>
      </c>
      <c r="E1432">
        <f t="shared" ref="E1432" si="2727">_xlfn.NUMBERVALUE(MID(C1432,4,2))</f>
        <v>11</v>
      </c>
      <c r="F1432">
        <f t="shared" ref="F1432" si="2728">_xlfn.NUMBERVALUE(RIGHT(C1432,4))</f>
        <v>2023</v>
      </c>
      <c r="G1432" t="s">
        <v>7</v>
      </c>
      <c r="H1432">
        <v>-2</v>
      </c>
      <c r="I1432">
        <v>6</v>
      </c>
      <c r="K1432" t="s">
        <v>10</v>
      </c>
      <c r="L1432" s="8">
        <f t="shared" si="2660"/>
        <v>2</v>
      </c>
      <c r="M1432" t="s">
        <v>1577</v>
      </c>
    </row>
    <row r="1433" spans="1:13" x14ac:dyDescent="0.35">
      <c r="A1433">
        <f t="shared" si="1908"/>
        <v>1429</v>
      </c>
      <c r="B1433" s="9">
        <f t="shared" ref="B1433" si="2729">B1432+H1433+I1433+J1433</f>
        <v>37.320000000000014</v>
      </c>
      <c r="C1433" s="3" t="s">
        <v>1560</v>
      </c>
      <c r="D1433">
        <f t="shared" ref="D1433" si="2730">_xlfn.NUMBERVALUE(LEFT(C1433,2))</f>
        <v>11</v>
      </c>
      <c r="E1433">
        <f t="shared" ref="E1433" si="2731">_xlfn.NUMBERVALUE(MID(C1433,4,2))</f>
        <v>11</v>
      </c>
      <c r="F1433">
        <f t="shared" ref="F1433" si="2732">_xlfn.NUMBERVALUE(RIGHT(C1433,4))</f>
        <v>2023</v>
      </c>
      <c r="G1433" t="s">
        <v>7</v>
      </c>
      <c r="H1433">
        <v>-2</v>
      </c>
      <c r="I1433">
        <v>6</v>
      </c>
      <c r="K1433" t="s">
        <v>10</v>
      </c>
      <c r="L1433" s="8">
        <f t="shared" si="2660"/>
        <v>2</v>
      </c>
      <c r="M1433" t="s">
        <v>1578</v>
      </c>
    </row>
    <row r="1434" spans="1:13" x14ac:dyDescent="0.35">
      <c r="A1434">
        <f t="shared" si="1908"/>
        <v>1430</v>
      </c>
      <c r="B1434" s="9">
        <f t="shared" ref="B1434" si="2733">B1433+H1434+I1434+J1434</f>
        <v>41.320000000000014</v>
      </c>
      <c r="C1434" s="3" t="s">
        <v>1579</v>
      </c>
      <c r="D1434">
        <f t="shared" ref="D1434" si="2734">_xlfn.NUMBERVALUE(LEFT(C1434,2))</f>
        <v>12</v>
      </c>
      <c r="E1434">
        <f t="shared" ref="E1434" si="2735">_xlfn.NUMBERVALUE(MID(C1434,4,2))</f>
        <v>11</v>
      </c>
      <c r="F1434">
        <f t="shared" ref="F1434" si="2736">_xlfn.NUMBERVALUE(RIGHT(C1434,4))</f>
        <v>2023</v>
      </c>
      <c r="G1434" t="s">
        <v>7</v>
      </c>
      <c r="H1434">
        <v>-2</v>
      </c>
      <c r="I1434">
        <v>6</v>
      </c>
      <c r="K1434" t="s">
        <v>10</v>
      </c>
      <c r="L1434" s="8">
        <f t="shared" si="2660"/>
        <v>2</v>
      </c>
      <c r="M1434" t="s">
        <v>1580</v>
      </c>
    </row>
    <row r="1435" spans="1:13" x14ac:dyDescent="0.35">
      <c r="A1435">
        <f t="shared" si="1908"/>
        <v>1431</v>
      </c>
      <c r="B1435" s="9">
        <f t="shared" ref="B1435" si="2737">B1434+H1435+I1435+J1435</f>
        <v>39.320000000000014</v>
      </c>
      <c r="C1435" s="3" t="s">
        <v>1579</v>
      </c>
      <c r="D1435">
        <f t="shared" ref="D1435" si="2738">_xlfn.NUMBERVALUE(LEFT(C1435,2))</f>
        <v>12</v>
      </c>
      <c r="E1435">
        <f t="shared" ref="E1435" si="2739">_xlfn.NUMBERVALUE(MID(C1435,4,2))</f>
        <v>11</v>
      </c>
      <c r="F1435">
        <f t="shared" ref="F1435" si="2740">_xlfn.NUMBERVALUE(RIGHT(C1435,4))</f>
        <v>2023</v>
      </c>
      <c r="G1435" t="s">
        <v>7</v>
      </c>
      <c r="H1435">
        <v>-2</v>
      </c>
      <c r="K1435" t="s">
        <v>9</v>
      </c>
      <c r="L1435" s="8">
        <f t="shared" si="2660"/>
        <v>-1</v>
      </c>
      <c r="M1435" t="s">
        <v>1581</v>
      </c>
    </row>
    <row r="1436" spans="1:13" x14ac:dyDescent="0.35">
      <c r="A1436">
        <f t="shared" si="1908"/>
        <v>1432</v>
      </c>
      <c r="B1436" s="9">
        <f t="shared" ref="B1436" si="2741">B1435+H1436+I1436+J1436</f>
        <v>37.320000000000014</v>
      </c>
      <c r="C1436" s="3" t="s">
        <v>1579</v>
      </c>
      <c r="D1436">
        <f t="shared" ref="D1436" si="2742">_xlfn.NUMBERVALUE(LEFT(C1436,2))</f>
        <v>12</v>
      </c>
      <c r="E1436">
        <f t="shared" ref="E1436" si="2743">_xlfn.NUMBERVALUE(MID(C1436,4,2))</f>
        <v>11</v>
      </c>
      <c r="F1436">
        <f t="shared" ref="F1436" si="2744">_xlfn.NUMBERVALUE(RIGHT(C1436,4))</f>
        <v>2023</v>
      </c>
      <c r="G1436" t="s">
        <v>7</v>
      </c>
      <c r="H1436">
        <v>-2</v>
      </c>
      <c r="K1436" t="s">
        <v>9</v>
      </c>
      <c r="L1436" s="8">
        <f t="shared" si="2660"/>
        <v>-1</v>
      </c>
      <c r="M1436" t="s">
        <v>1582</v>
      </c>
    </row>
    <row r="1437" spans="1:13" x14ac:dyDescent="0.35">
      <c r="A1437">
        <f t="shared" si="1908"/>
        <v>1433</v>
      </c>
      <c r="B1437" s="9">
        <f t="shared" ref="B1437" si="2745">B1436+H1437+I1437+J1437</f>
        <v>35.320000000000014</v>
      </c>
      <c r="C1437" s="3" t="s">
        <v>1579</v>
      </c>
      <c r="D1437">
        <f t="shared" ref="D1437" si="2746">_xlfn.NUMBERVALUE(LEFT(C1437,2))</f>
        <v>12</v>
      </c>
      <c r="E1437">
        <f t="shared" ref="E1437" si="2747">_xlfn.NUMBERVALUE(MID(C1437,4,2))</f>
        <v>11</v>
      </c>
      <c r="F1437">
        <f t="shared" ref="F1437" si="2748">_xlfn.NUMBERVALUE(RIGHT(C1437,4))</f>
        <v>2023</v>
      </c>
      <c r="G1437" t="s">
        <v>7</v>
      </c>
      <c r="H1437">
        <v>-2</v>
      </c>
      <c r="K1437" t="s">
        <v>9</v>
      </c>
      <c r="L1437" s="8">
        <f t="shared" si="2660"/>
        <v>-1</v>
      </c>
      <c r="M1437" t="s">
        <v>1583</v>
      </c>
    </row>
    <row r="1438" spans="1:13" x14ac:dyDescent="0.35">
      <c r="A1438">
        <f t="shared" si="1908"/>
        <v>1434</v>
      </c>
      <c r="B1438" s="9">
        <f t="shared" ref="B1438:B1439" si="2749">B1437+H1438+I1438+J1438</f>
        <v>36.000000000000014</v>
      </c>
      <c r="C1438" s="3" t="s">
        <v>1579</v>
      </c>
      <c r="D1438">
        <f t="shared" ref="D1438:D1439" si="2750">_xlfn.NUMBERVALUE(LEFT(C1438,2))</f>
        <v>12</v>
      </c>
      <c r="E1438">
        <f t="shared" ref="E1438:E1439" si="2751">_xlfn.NUMBERVALUE(MID(C1438,4,2))</f>
        <v>11</v>
      </c>
      <c r="F1438">
        <f t="shared" ref="F1438:F1439" si="2752">_xlfn.NUMBERVALUE(RIGHT(C1438,4))</f>
        <v>2023</v>
      </c>
      <c r="G1438" t="s">
        <v>1389</v>
      </c>
      <c r="H1438">
        <v>-1.32</v>
      </c>
      <c r="I1438">
        <v>2</v>
      </c>
      <c r="K1438" t="s">
        <v>10</v>
      </c>
      <c r="L1438" s="8">
        <f t="shared" si="2660"/>
        <v>0.51515151515151514</v>
      </c>
      <c r="M1438" t="s">
        <v>1584</v>
      </c>
    </row>
    <row r="1439" spans="1:13" x14ac:dyDescent="0.35">
      <c r="A1439">
        <f t="shared" si="1908"/>
        <v>1435</v>
      </c>
      <c r="B1439" s="9">
        <f t="shared" si="2749"/>
        <v>34.000000000000014</v>
      </c>
      <c r="C1439" s="3" t="s">
        <v>1579</v>
      </c>
      <c r="D1439">
        <f t="shared" si="2750"/>
        <v>12</v>
      </c>
      <c r="E1439">
        <f t="shared" si="2751"/>
        <v>11</v>
      </c>
      <c r="F1439">
        <f t="shared" si="2752"/>
        <v>2023</v>
      </c>
      <c r="G1439" t="s">
        <v>7</v>
      </c>
      <c r="H1439">
        <v>-2</v>
      </c>
      <c r="K1439" t="s">
        <v>9</v>
      </c>
      <c r="L1439" s="8">
        <f t="shared" si="2660"/>
        <v>-1</v>
      </c>
      <c r="M1439" t="s">
        <v>1585</v>
      </c>
    </row>
    <row r="1440" spans="1:13" x14ac:dyDescent="0.35">
      <c r="A1440">
        <f t="shared" si="1908"/>
        <v>1436</v>
      </c>
      <c r="B1440" s="9">
        <f t="shared" ref="B1440" si="2753">B1439+H1440+I1440+J1440</f>
        <v>36.000000000000014</v>
      </c>
      <c r="C1440" s="3" t="s">
        <v>1579</v>
      </c>
      <c r="D1440">
        <f t="shared" ref="D1440" si="2754">_xlfn.NUMBERVALUE(LEFT(C1440,2))</f>
        <v>12</v>
      </c>
      <c r="E1440">
        <f t="shared" ref="E1440" si="2755">_xlfn.NUMBERVALUE(MID(C1440,4,2))</f>
        <v>11</v>
      </c>
      <c r="F1440">
        <f t="shared" ref="F1440" si="2756">_xlfn.NUMBERVALUE(RIGHT(C1440,4))</f>
        <v>2023</v>
      </c>
      <c r="G1440" t="s">
        <v>7</v>
      </c>
      <c r="H1440">
        <v>-2</v>
      </c>
      <c r="I1440">
        <v>4</v>
      </c>
      <c r="K1440" t="s">
        <v>10</v>
      </c>
      <c r="L1440" s="8">
        <f t="shared" si="2660"/>
        <v>1</v>
      </c>
      <c r="M1440" t="s">
        <v>1586</v>
      </c>
    </row>
    <row r="1441" spans="1:13" x14ac:dyDescent="0.35">
      <c r="A1441">
        <f t="shared" si="1908"/>
        <v>1437</v>
      </c>
      <c r="B1441" s="9">
        <f t="shared" ref="B1441" si="2757">B1440+H1441+I1441+J1441</f>
        <v>34.000000000000014</v>
      </c>
      <c r="C1441" s="3" t="s">
        <v>1579</v>
      </c>
      <c r="D1441">
        <f t="shared" ref="D1441" si="2758">_xlfn.NUMBERVALUE(LEFT(C1441,2))</f>
        <v>12</v>
      </c>
      <c r="E1441">
        <f t="shared" ref="E1441" si="2759">_xlfn.NUMBERVALUE(MID(C1441,4,2))</f>
        <v>11</v>
      </c>
      <c r="F1441">
        <f t="shared" ref="F1441" si="2760">_xlfn.NUMBERVALUE(RIGHT(C1441,4))</f>
        <v>2023</v>
      </c>
      <c r="G1441" t="s">
        <v>7</v>
      </c>
      <c r="H1441">
        <v>-2</v>
      </c>
      <c r="K1441" t="s">
        <v>9</v>
      </c>
      <c r="L1441" s="8">
        <f t="shared" si="2660"/>
        <v>-1</v>
      </c>
      <c r="M1441" t="s">
        <v>1587</v>
      </c>
    </row>
    <row r="1442" spans="1:13" x14ac:dyDescent="0.35">
      <c r="A1442">
        <f t="shared" si="1908"/>
        <v>1438</v>
      </c>
      <c r="B1442" s="9">
        <f t="shared" ref="B1442" si="2761">B1441+H1442+I1442+J1442</f>
        <v>32.000000000000014</v>
      </c>
      <c r="C1442" s="3" t="s">
        <v>1579</v>
      </c>
      <c r="D1442">
        <f t="shared" ref="D1442" si="2762">_xlfn.NUMBERVALUE(LEFT(C1442,2))</f>
        <v>12</v>
      </c>
      <c r="E1442">
        <f t="shared" ref="E1442" si="2763">_xlfn.NUMBERVALUE(MID(C1442,4,2))</f>
        <v>11</v>
      </c>
      <c r="F1442">
        <f t="shared" ref="F1442" si="2764">_xlfn.NUMBERVALUE(RIGHT(C1442,4))</f>
        <v>2023</v>
      </c>
      <c r="G1442" t="s">
        <v>7</v>
      </c>
      <c r="H1442">
        <v>-2</v>
      </c>
      <c r="K1442" t="s">
        <v>9</v>
      </c>
      <c r="L1442" s="8">
        <f t="shared" si="2660"/>
        <v>-1</v>
      </c>
      <c r="M1442" t="s">
        <v>1588</v>
      </c>
    </row>
    <row r="1443" spans="1:13" x14ac:dyDescent="0.35">
      <c r="A1443">
        <f t="shared" si="1908"/>
        <v>1439</v>
      </c>
      <c r="B1443" s="9">
        <f t="shared" ref="B1443" si="2765">B1442+H1443+I1443+J1443</f>
        <v>38.000000000000014</v>
      </c>
      <c r="C1443" s="3" t="s">
        <v>1579</v>
      </c>
      <c r="D1443">
        <f t="shared" ref="D1443" si="2766">_xlfn.NUMBERVALUE(LEFT(C1443,2))</f>
        <v>12</v>
      </c>
      <c r="E1443">
        <f t="shared" ref="E1443" si="2767">_xlfn.NUMBERVALUE(MID(C1443,4,2))</f>
        <v>11</v>
      </c>
      <c r="F1443">
        <f t="shared" ref="F1443" si="2768">_xlfn.NUMBERVALUE(RIGHT(C1443,4))</f>
        <v>2023</v>
      </c>
      <c r="G1443" t="s">
        <v>7</v>
      </c>
      <c r="H1443">
        <v>-2</v>
      </c>
      <c r="I1443">
        <v>8</v>
      </c>
      <c r="K1443" t="s">
        <v>10</v>
      </c>
      <c r="L1443" s="8">
        <f t="shared" si="2660"/>
        <v>3</v>
      </c>
      <c r="M1443" t="s">
        <v>1589</v>
      </c>
    </row>
    <row r="1444" spans="1:13" x14ac:dyDescent="0.35">
      <c r="A1444">
        <f t="shared" si="1908"/>
        <v>1440</v>
      </c>
      <c r="B1444" s="9">
        <f t="shared" ref="B1444:B1445" si="2769">B1443+H1444+I1444+J1444</f>
        <v>51.490000000000009</v>
      </c>
      <c r="C1444" s="3" t="s">
        <v>1579</v>
      </c>
      <c r="D1444">
        <f t="shared" ref="D1444:D1445" si="2770">_xlfn.NUMBERVALUE(LEFT(C1444,2))</f>
        <v>12</v>
      </c>
      <c r="E1444">
        <f t="shared" ref="E1444:E1445" si="2771">_xlfn.NUMBERVALUE(MID(C1444,4,2))</f>
        <v>11</v>
      </c>
      <c r="F1444">
        <f t="shared" ref="F1444:F1445" si="2772">_xlfn.NUMBERVALUE(RIGHT(C1444,4))</f>
        <v>2023</v>
      </c>
      <c r="G1444" t="s">
        <v>154</v>
      </c>
      <c r="H1444">
        <v>-11</v>
      </c>
      <c r="I1444">
        <v>8.8699999999999992</v>
      </c>
      <c r="J1444">
        <v>15.62</v>
      </c>
      <c r="K1444" t="s">
        <v>10</v>
      </c>
      <c r="L1444" s="8">
        <f t="shared" si="2660"/>
        <v>1.2263636363636361</v>
      </c>
      <c r="M1444" t="s">
        <v>1590</v>
      </c>
    </row>
    <row r="1445" spans="1:13" x14ac:dyDescent="0.35">
      <c r="A1445">
        <f t="shared" si="1908"/>
        <v>1441</v>
      </c>
      <c r="B1445" s="9">
        <f t="shared" si="2769"/>
        <v>49.490000000000009</v>
      </c>
      <c r="C1445" s="3" t="s">
        <v>1579</v>
      </c>
      <c r="D1445">
        <f t="shared" si="2770"/>
        <v>12</v>
      </c>
      <c r="E1445">
        <f t="shared" si="2771"/>
        <v>11</v>
      </c>
      <c r="F1445">
        <f t="shared" si="2772"/>
        <v>2023</v>
      </c>
      <c r="G1445" t="s">
        <v>7</v>
      </c>
      <c r="H1445">
        <v>-2</v>
      </c>
      <c r="K1445" t="s">
        <v>9</v>
      </c>
      <c r="L1445" s="8">
        <f t="shared" si="2660"/>
        <v>-1</v>
      </c>
      <c r="M1445" t="s">
        <v>1591</v>
      </c>
    </row>
    <row r="1446" spans="1:13" x14ac:dyDescent="0.35">
      <c r="A1446">
        <f t="shared" si="1908"/>
        <v>1442</v>
      </c>
      <c r="B1446" s="9">
        <f t="shared" ref="B1446" si="2773">B1445+H1446+I1446+J1446</f>
        <v>47.490000000000009</v>
      </c>
      <c r="C1446" s="3" t="s">
        <v>1579</v>
      </c>
      <c r="D1446">
        <f t="shared" ref="D1446" si="2774">_xlfn.NUMBERVALUE(LEFT(C1446,2))</f>
        <v>12</v>
      </c>
      <c r="E1446">
        <f t="shared" ref="E1446" si="2775">_xlfn.NUMBERVALUE(MID(C1446,4,2))</f>
        <v>11</v>
      </c>
      <c r="F1446">
        <f t="shared" ref="F1446" si="2776">_xlfn.NUMBERVALUE(RIGHT(C1446,4))</f>
        <v>2023</v>
      </c>
      <c r="G1446" t="s">
        <v>7</v>
      </c>
      <c r="H1446">
        <v>-2</v>
      </c>
      <c r="K1446" t="s">
        <v>9</v>
      </c>
      <c r="L1446" s="8">
        <f t="shared" si="2660"/>
        <v>-1</v>
      </c>
      <c r="M1446" t="s">
        <v>1592</v>
      </c>
    </row>
    <row r="1447" spans="1:13" x14ac:dyDescent="0.35">
      <c r="A1447">
        <f t="shared" si="1908"/>
        <v>1443</v>
      </c>
      <c r="B1447" s="9">
        <f t="shared" ref="B1447" si="2777">B1446+H1447+I1447+J1447</f>
        <v>47.490000000000009</v>
      </c>
      <c r="C1447" s="3" t="s">
        <v>1579</v>
      </c>
      <c r="D1447">
        <f t="shared" ref="D1447" si="2778">_xlfn.NUMBERVALUE(LEFT(C1447,2))</f>
        <v>12</v>
      </c>
      <c r="E1447">
        <f t="shared" ref="E1447" si="2779">_xlfn.NUMBERVALUE(MID(C1447,4,2))</f>
        <v>11</v>
      </c>
      <c r="F1447">
        <f t="shared" ref="F1447" si="2780">_xlfn.NUMBERVALUE(RIGHT(C1447,4))</f>
        <v>2023</v>
      </c>
      <c r="G1447" t="s">
        <v>7</v>
      </c>
      <c r="K1447" t="s">
        <v>9</v>
      </c>
      <c r="L1447" s="8">
        <f t="shared" si="2660"/>
        <v>0</v>
      </c>
      <c r="M1447" t="s">
        <v>1593</v>
      </c>
    </row>
    <row r="1448" spans="1:13" x14ac:dyDescent="0.35">
      <c r="A1448">
        <f t="shared" si="1908"/>
        <v>1444</v>
      </c>
      <c r="B1448" s="9">
        <f t="shared" ref="B1448" si="2781">B1447+H1448+I1448+J1448</f>
        <v>45.490000000000009</v>
      </c>
      <c r="C1448" s="3" t="s">
        <v>1595</v>
      </c>
      <c r="D1448">
        <f t="shared" ref="D1448" si="2782">_xlfn.NUMBERVALUE(LEFT(C1448,2))</f>
        <v>13</v>
      </c>
      <c r="E1448">
        <f t="shared" ref="E1448" si="2783">_xlfn.NUMBERVALUE(MID(C1448,4,2))</f>
        <v>11</v>
      </c>
      <c r="F1448">
        <f t="shared" ref="F1448" si="2784">_xlfn.NUMBERVALUE(RIGHT(C1448,4))</f>
        <v>2023</v>
      </c>
      <c r="G1448" t="s">
        <v>7</v>
      </c>
      <c r="H1448">
        <v>-2</v>
      </c>
      <c r="K1448" t="s">
        <v>9</v>
      </c>
      <c r="L1448" s="8">
        <f t="shared" si="2660"/>
        <v>-1</v>
      </c>
      <c r="M1448" t="s">
        <v>1594</v>
      </c>
    </row>
    <row r="1449" spans="1:13" x14ac:dyDescent="0.35">
      <c r="A1449">
        <f t="shared" si="1908"/>
        <v>1445</v>
      </c>
      <c r="B1449" s="9">
        <f t="shared" ref="B1449" si="2785">B1448+H1449+I1449+J1449</f>
        <v>43.490000000000009</v>
      </c>
      <c r="C1449" s="3" t="s">
        <v>1595</v>
      </c>
      <c r="D1449">
        <f t="shared" ref="D1449" si="2786">_xlfn.NUMBERVALUE(LEFT(C1449,2))</f>
        <v>13</v>
      </c>
      <c r="E1449">
        <f t="shared" ref="E1449" si="2787">_xlfn.NUMBERVALUE(MID(C1449,4,2))</f>
        <v>11</v>
      </c>
      <c r="F1449">
        <f t="shared" ref="F1449" si="2788">_xlfn.NUMBERVALUE(RIGHT(C1449,4))</f>
        <v>2023</v>
      </c>
      <c r="G1449" t="s">
        <v>7</v>
      </c>
      <c r="H1449">
        <v>-2</v>
      </c>
      <c r="K1449" t="s">
        <v>9</v>
      </c>
      <c r="L1449" s="8">
        <f t="shared" si="2660"/>
        <v>-1</v>
      </c>
      <c r="M1449" t="s">
        <v>1596</v>
      </c>
    </row>
    <row r="1450" spans="1:13" x14ac:dyDescent="0.35">
      <c r="A1450">
        <f t="shared" si="1908"/>
        <v>1446</v>
      </c>
      <c r="B1450" s="9">
        <f t="shared" ref="B1450" si="2789">B1449+H1450+I1450+J1450</f>
        <v>41.490000000000009</v>
      </c>
      <c r="C1450" s="3" t="s">
        <v>1595</v>
      </c>
      <c r="D1450">
        <f t="shared" ref="D1450" si="2790">_xlfn.NUMBERVALUE(LEFT(C1450,2))</f>
        <v>13</v>
      </c>
      <c r="E1450">
        <f t="shared" ref="E1450" si="2791">_xlfn.NUMBERVALUE(MID(C1450,4,2))</f>
        <v>11</v>
      </c>
      <c r="F1450">
        <f t="shared" ref="F1450" si="2792">_xlfn.NUMBERVALUE(RIGHT(C1450,4))</f>
        <v>2023</v>
      </c>
      <c r="G1450" t="s">
        <v>7</v>
      </c>
      <c r="H1450">
        <v>-2</v>
      </c>
      <c r="K1450" t="s">
        <v>9</v>
      </c>
      <c r="L1450" s="8">
        <f t="shared" si="2660"/>
        <v>-1</v>
      </c>
      <c r="M1450" t="s">
        <v>1597</v>
      </c>
    </row>
    <row r="1451" spans="1:13" x14ac:dyDescent="0.35">
      <c r="A1451">
        <f t="shared" si="1908"/>
        <v>1447</v>
      </c>
      <c r="B1451" s="9">
        <f t="shared" ref="B1451:B1452" si="2793">B1450+H1451+I1451+J1451</f>
        <v>42.500000000000007</v>
      </c>
      <c r="C1451" s="3" t="s">
        <v>1595</v>
      </c>
      <c r="D1451">
        <f t="shared" ref="D1451:D1452" si="2794">_xlfn.NUMBERVALUE(LEFT(C1451,2))</f>
        <v>13</v>
      </c>
      <c r="E1451">
        <f t="shared" ref="E1451:E1452" si="2795">_xlfn.NUMBERVALUE(MID(C1451,4,2))</f>
        <v>11</v>
      </c>
      <c r="F1451">
        <f t="shared" ref="F1451:F1452" si="2796">_xlfn.NUMBERVALUE(RIGHT(C1451,4))</f>
        <v>2023</v>
      </c>
      <c r="G1451" t="s">
        <v>1389</v>
      </c>
      <c r="H1451">
        <v>-1.49</v>
      </c>
      <c r="I1451">
        <v>2.5</v>
      </c>
      <c r="K1451" t="s">
        <v>10</v>
      </c>
      <c r="L1451" s="8">
        <f t="shared" si="2660"/>
        <v>0.67785234899328861</v>
      </c>
      <c r="M1451" t="s">
        <v>1598</v>
      </c>
    </row>
    <row r="1452" spans="1:13" x14ac:dyDescent="0.35">
      <c r="A1452">
        <f t="shared" si="1908"/>
        <v>1448</v>
      </c>
      <c r="B1452" s="9">
        <f t="shared" si="2793"/>
        <v>42.250000000000007</v>
      </c>
      <c r="C1452" s="3" t="s">
        <v>1595</v>
      </c>
      <c r="D1452">
        <f t="shared" si="2794"/>
        <v>13</v>
      </c>
      <c r="E1452">
        <f t="shared" si="2795"/>
        <v>11</v>
      </c>
      <c r="F1452">
        <f t="shared" si="2796"/>
        <v>2023</v>
      </c>
      <c r="G1452" t="s">
        <v>7</v>
      </c>
      <c r="H1452">
        <v>-0.25</v>
      </c>
      <c r="K1452" t="s">
        <v>9</v>
      </c>
      <c r="L1452" s="8">
        <f t="shared" si="2660"/>
        <v>-1</v>
      </c>
      <c r="M1452" t="s">
        <v>1599</v>
      </c>
    </row>
    <row r="1453" spans="1:13" x14ac:dyDescent="0.35">
      <c r="A1453">
        <f t="shared" si="1908"/>
        <v>1449</v>
      </c>
      <c r="B1453" s="9">
        <f t="shared" ref="B1453:B1454" si="2797">B1452+H1453+I1453+J1453</f>
        <v>42.000000000000007</v>
      </c>
      <c r="C1453" s="3" t="s">
        <v>1595</v>
      </c>
      <c r="D1453">
        <f t="shared" ref="D1453:D1454" si="2798">_xlfn.NUMBERVALUE(LEFT(C1453,2))</f>
        <v>13</v>
      </c>
      <c r="E1453">
        <f t="shared" ref="E1453:E1454" si="2799">_xlfn.NUMBERVALUE(MID(C1453,4,2))</f>
        <v>11</v>
      </c>
      <c r="F1453">
        <f t="shared" ref="F1453:F1454" si="2800">_xlfn.NUMBERVALUE(RIGHT(C1453,4))</f>
        <v>2023</v>
      </c>
      <c r="G1453" t="s">
        <v>7</v>
      </c>
      <c r="H1453">
        <v>-0.25</v>
      </c>
      <c r="K1453" t="s">
        <v>9</v>
      </c>
      <c r="L1453" s="8">
        <f t="shared" si="2660"/>
        <v>-1</v>
      </c>
      <c r="M1453" t="s">
        <v>1600</v>
      </c>
    </row>
    <row r="1454" spans="1:13" x14ac:dyDescent="0.35">
      <c r="A1454">
        <f t="shared" si="1908"/>
        <v>1450</v>
      </c>
      <c r="B1454" s="9">
        <f t="shared" si="2797"/>
        <v>40.000000000000007</v>
      </c>
      <c r="C1454" s="3" t="s">
        <v>1595</v>
      </c>
      <c r="D1454">
        <f t="shared" si="2798"/>
        <v>13</v>
      </c>
      <c r="E1454">
        <f t="shared" si="2799"/>
        <v>11</v>
      </c>
      <c r="F1454">
        <f t="shared" si="2800"/>
        <v>2023</v>
      </c>
      <c r="G1454" t="s">
        <v>7</v>
      </c>
      <c r="H1454">
        <v>-2</v>
      </c>
      <c r="K1454" t="s">
        <v>9</v>
      </c>
      <c r="L1454" s="8">
        <f t="shared" si="2660"/>
        <v>-1</v>
      </c>
      <c r="M1454" t="s">
        <v>1601</v>
      </c>
    </row>
    <row r="1455" spans="1:13" x14ac:dyDescent="0.35">
      <c r="A1455">
        <f t="shared" si="1908"/>
        <v>1451</v>
      </c>
      <c r="B1455" s="9">
        <f t="shared" ref="B1455" si="2801">B1454+H1455+I1455+J1455</f>
        <v>38.000000000000007</v>
      </c>
      <c r="C1455" s="3" t="s">
        <v>1595</v>
      </c>
      <c r="D1455">
        <f t="shared" ref="D1455" si="2802">_xlfn.NUMBERVALUE(LEFT(C1455,2))</f>
        <v>13</v>
      </c>
      <c r="E1455">
        <f t="shared" ref="E1455" si="2803">_xlfn.NUMBERVALUE(MID(C1455,4,2))</f>
        <v>11</v>
      </c>
      <c r="F1455">
        <f t="shared" ref="F1455" si="2804">_xlfn.NUMBERVALUE(RIGHT(C1455,4))</f>
        <v>2023</v>
      </c>
      <c r="G1455" t="s">
        <v>7</v>
      </c>
      <c r="H1455">
        <v>-2</v>
      </c>
      <c r="K1455" t="s">
        <v>9</v>
      </c>
      <c r="L1455" s="8">
        <f t="shared" si="2660"/>
        <v>-1</v>
      </c>
      <c r="M1455" t="s">
        <v>1602</v>
      </c>
    </row>
    <row r="1456" spans="1:13" x14ac:dyDescent="0.35">
      <c r="A1456">
        <f t="shared" si="1908"/>
        <v>1452</v>
      </c>
      <c r="B1456" s="9">
        <f t="shared" ref="B1456" si="2805">B1455+H1456+I1456+J1456</f>
        <v>40.000000000000007</v>
      </c>
      <c r="C1456" s="3" t="s">
        <v>1595</v>
      </c>
      <c r="D1456">
        <f t="shared" ref="D1456" si="2806">_xlfn.NUMBERVALUE(LEFT(C1456,2))</f>
        <v>13</v>
      </c>
      <c r="E1456">
        <f t="shared" ref="E1456" si="2807">_xlfn.NUMBERVALUE(MID(C1456,4,2))</f>
        <v>11</v>
      </c>
      <c r="F1456">
        <f t="shared" ref="F1456" si="2808">_xlfn.NUMBERVALUE(RIGHT(C1456,4))</f>
        <v>2023</v>
      </c>
      <c r="G1456" t="s">
        <v>7</v>
      </c>
      <c r="H1456">
        <v>-2</v>
      </c>
      <c r="I1456">
        <v>4</v>
      </c>
      <c r="K1456" t="s">
        <v>10</v>
      </c>
      <c r="L1456" s="8">
        <f t="shared" si="2660"/>
        <v>1</v>
      </c>
      <c r="M1456" t="s">
        <v>1603</v>
      </c>
    </row>
    <row r="1457" spans="1:13" x14ac:dyDescent="0.35">
      <c r="A1457">
        <f t="shared" si="1908"/>
        <v>1453</v>
      </c>
      <c r="B1457" s="9">
        <f t="shared" ref="B1457" si="2809">B1456+H1457+I1457+J1457</f>
        <v>38.000000000000007</v>
      </c>
      <c r="C1457" s="3" t="s">
        <v>1595</v>
      </c>
      <c r="D1457">
        <f t="shared" ref="D1457" si="2810">_xlfn.NUMBERVALUE(LEFT(C1457,2))</f>
        <v>13</v>
      </c>
      <c r="E1457">
        <f t="shared" ref="E1457" si="2811">_xlfn.NUMBERVALUE(MID(C1457,4,2))</f>
        <v>11</v>
      </c>
      <c r="F1457">
        <f t="shared" ref="F1457" si="2812">_xlfn.NUMBERVALUE(RIGHT(C1457,4))</f>
        <v>2023</v>
      </c>
      <c r="G1457" t="s">
        <v>7</v>
      </c>
      <c r="H1457">
        <v>-2</v>
      </c>
      <c r="K1457" t="s">
        <v>9</v>
      </c>
      <c r="L1457" s="8">
        <f t="shared" si="2660"/>
        <v>-1</v>
      </c>
      <c r="M1457" t="s">
        <v>1604</v>
      </c>
    </row>
    <row r="1458" spans="1:13" x14ac:dyDescent="0.35">
      <c r="A1458">
        <f t="shared" si="1908"/>
        <v>1454</v>
      </c>
      <c r="B1458" s="9">
        <f t="shared" ref="B1458" si="2813">B1457+H1458+I1458+J1458</f>
        <v>40.000000000000007</v>
      </c>
      <c r="C1458" s="3" t="s">
        <v>1595</v>
      </c>
      <c r="D1458">
        <f t="shared" ref="D1458" si="2814">_xlfn.NUMBERVALUE(LEFT(C1458,2))</f>
        <v>13</v>
      </c>
      <c r="E1458">
        <f t="shared" ref="E1458" si="2815">_xlfn.NUMBERVALUE(MID(C1458,4,2))</f>
        <v>11</v>
      </c>
      <c r="F1458">
        <f t="shared" ref="F1458" si="2816">_xlfn.NUMBERVALUE(RIGHT(C1458,4))</f>
        <v>2023</v>
      </c>
      <c r="G1458" t="s">
        <v>7</v>
      </c>
      <c r="H1458">
        <v>-2</v>
      </c>
      <c r="I1458">
        <v>4</v>
      </c>
      <c r="K1458" t="s">
        <v>10</v>
      </c>
      <c r="L1458" s="8">
        <f t="shared" si="2660"/>
        <v>1</v>
      </c>
      <c r="M1458" t="s">
        <v>1605</v>
      </c>
    </row>
    <row r="1459" spans="1:13" x14ac:dyDescent="0.35">
      <c r="A1459">
        <f t="shared" si="1908"/>
        <v>1455</v>
      </c>
      <c r="B1459" s="9">
        <f t="shared" ref="B1459" si="2817">B1458+H1459+I1459+J1459</f>
        <v>38.000000000000007</v>
      </c>
      <c r="C1459" s="3" t="s">
        <v>1595</v>
      </c>
      <c r="D1459">
        <f t="shared" ref="D1459" si="2818">_xlfn.NUMBERVALUE(LEFT(C1459,2))</f>
        <v>13</v>
      </c>
      <c r="E1459">
        <f t="shared" ref="E1459" si="2819">_xlfn.NUMBERVALUE(MID(C1459,4,2))</f>
        <v>11</v>
      </c>
      <c r="F1459">
        <f t="shared" ref="F1459" si="2820">_xlfn.NUMBERVALUE(RIGHT(C1459,4))</f>
        <v>2023</v>
      </c>
      <c r="G1459" t="s">
        <v>7</v>
      </c>
      <c r="H1459">
        <v>-2</v>
      </c>
      <c r="K1459" t="s">
        <v>9</v>
      </c>
      <c r="L1459" s="8">
        <f t="shared" si="2660"/>
        <v>-1</v>
      </c>
      <c r="M1459" t="s">
        <v>1606</v>
      </c>
    </row>
    <row r="1460" spans="1:13" x14ac:dyDescent="0.35">
      <c r="A1460">
        <f t="shared" si="1908"/>
        <v>1456</v>
      </c>
      <c r="B1460" s="9">
        <f t="shared" ref="B1460" si="2821">B1459+H1460+I1460+J1460</f>
        <v>36.000000000000007</v>
      </c>
      <c r="C1460" s="3" t="s">
        <v>1595</v>
      </c>
      <c r="D1460">
        <f t="shared" ref="D1460" si="2822">_xlfn.NUMBERVALUE(LEFT(C1460,2))</f>
        <v>13</v>
      </c>
      <c r="E1460">
        <f t="shared" ref="E1460" si="2823">_xlfn.NUMBERVALUE(MID(C1460,4,2))</f>
        <v>11</v>
      </c>
      <c r="F1460">
        <f t="shared" ref="F1460" si="2824">_xlfn.NUMBERVALUE(RIGHT(C1460,4))</f>
        <v>2023</v>
      </c>
      <c r="G1460" t="s">
        <v>7</v>
      </c>
      <c r="H1460">
        <v>-2</v>
      </c>
      <c r="K1460" t="s">
        <v>9</v>
      </c>
      <c r="L1460" s="8">
        <f t="shared" si="2660"/>
        <v>-1</v>
      </c>
      <c r="M1460" t="s">
        <v>1607</v>
      </c>
    </row>
    <row r="1461" spans="1:13" x14ac:dyDescent="0.35">
      <c r="A1461">
        <f t="shared" si="1908"/>
        <v>1457</v>
      </c>
      <c r="B1461" s="9">
        <f t="shared" ref="B1461" si="2825">B1460+H1461+I1461+J1461</f>
        <v>34.000000000000007</v>
      </c>
      <c r="C1461" s="3" t="s">
        <v>1595</v>
      </c>
      <c r="D1461">
        <f t="shared" ref="D1461" si="2826">_xlfn.NUMBERVALUE(LEFT(C1461,2))</f>
        <v>13</v>
      </c>
      <c r="E1461">
        <f t="shared" ref="E1461" si="2827">_xlfn.NUMBERVALUE(MID(C1461,4,2))</f>
        <v>11</v>
      </c>
      <c r="F1461">
        <f t="shared" ref="F1461" si="2828">_xlfn.NUMBERVALUE(RIGHT(C1461,4))</f>
        <v>2023</v>
      </c>
      <c r="G1461" t="s">
        <v>7</v>
      </c>
      <c r="H1461">
        <v>-2</v>
      </c>
      <c r="K1461" t="s">
        <v>9</v>
      </c>
      <c r="L1461" s="8">
        <f t="shared" si="2660"/>
        <v>-1</v>
      </c>
      <c r="M1461" t="s">
        <v>1608</v>
      </c>
    </row>
    <row r="1462" spans="1:13" x14ac:dyDescent="0.35">
      <c r="A1462">
        <f t="shared" si="1908"/>
        <v>1458</v>
      </c>
      <c r="B1462" s="9">
        <f t="shared" ref="B1462" si="2829">B1461+H1462+I1462+J1462</f>
        <v>32.000000000000007</v>
      </c>
      <c r="C1462" s="3" t="s">
        <v>1595</v>
      </c>
      <c r="D1462">
        <f t="shared" ref="D1462" si="2830">_xlfn.NUMBERVALUE(LEFT(C1462,2))</f>
        <v>13</v>
      </c>
      <c r="E1462">
        <f t="shared" ref="E1462" si="2831">_xlfn.NUMBERVALUE(MID(C1462,4,2))</f>
        <v>11</v>
      </c>
      <c r="F1462">
        <f t="shared" ref="F1462" si="2832">_xlfn.NUMBERVALUE(RIGHT(C1462,4))</f>
        <v>2023</v>
      </c>
      <c r="G1462" t="s">
        <v>7</v>
      </c>
      <c r="H1462">
        <v>-2</v>
      </c>
      <c r="K1462" t="s">
        <v>9</v>
      </c>
      <c r="L1462" s="8">
        <f t="shared" si="2660"/>
        <v>-1</v>
      </c>
      <c r="M1462" t="s">
        <v>1609</v>
      </c>
    </row>
    <row r="1463" spans="1:13" x14ac:dyDescent="0.35">
      <c r="A1463">
        <f t="shared" si="1908"/>
        <v>1459</v>
      </c>
      <c r="B1463" s="9">
        <f t="shared" ref="B1463" si="2833">B1462+H1463+I1463+J1463</f>
        <v>34.000000000000007</v>
      </c>
      <c r="C1463" s="3" t="s">
        <v>1595</v>
      </c>
      <c r="D1463">
        <f t="shared" ref="D1463" si="2834">_xlfn.NUMBERVALUE(LEFT(C1463,2))</f>
        <v>13</v>
      </c>
      <c r="E1463">
        <f t="shared" ref="E1463" si="2835">_xlfn.NUMBERVALUE(MID(C1463,4,2))</f>
        <v>11</v>
      </c>
      <c r="F1463">
        <f t="shared" ref="F1463" si="2836">_xlfn.NUMBERVALUE(RIGHT(C1463,4))</f>
        <v>2023</v>
      </c>
      <c r="G1463" t="s">
        <v>7</v>
      </c>
      <c r="H1463">
        <v>-2</v>
      </c>
      <c r="I1463">
        <v>4</v>
      </c>
      <c r="K1463" t="s">
        <v>10</v>
      </c>
      <c r="L1463" s="8">
        <f t="shared" si="2660"/>
        <v>1</v>
      </c>
      <c r="M1463" t="s">
        <v>1610</v>
      </c>
    </row>
    <row r="1464" spans="1:13" x14ac:dyDescent="0.35">
      <c r="A1464">
        <f t="shared" si="1908"/>
        <v>1460</v>
      </c>
      <c r="B1464" s="9">
        <f t="shared" ref="B1464" si="2837">B1463+H1464+I1464+J1464</f>
        <v>32.000000000000007</v>
      </c>
      <c r="C1464" s="3" t="s">
        <v>1595</v>
      </c>
      <c r="D1464">
        <f t="shared" ref="D1464" si="2838">_xlfn.NUMBERVALUE(LEFT(C1464,2))</f>
        <v>13</v>
      </c>
      <c r="E1464">
        <f t="shared" ref="E1464" si="2839">_xlfn.NUMBERVALUE(MID(C1464,4,2))</f>
        <v>11</v>
      </c>
      <c r="F1464">
        <f t="shared" ref="F1464" si="2840">_xlfn.NUMBERVALUE(RIGHT(C1464,4))</f>
        <v>2023</v>
      </c>
      <c r="G1464" t="s">
        <v>7</v>
      </c>
      <c r="H1464">
        <v>-2</v>
      </c>
      <c r="K1464" t="s">
        <v>9</v>
      </c>
      <c r="L1464" s="8">
        <f t="shared" si="2660"/>
        <v>-1</v>
      </c>
      <c r="M1464" t="s">
        <v>1611</v>
      </c>
    </row>
    <row r="1465" spans="1:13" x14ac:dyDescent="0.35">
      <c r="A1465">
        <f t="shared" si="1908"/>
        <v>1461</v>
      </c>
      <c r="B1465" s="9">
        <f t="shared" ref="B1465" si="2841">B1464+H1465+I1465+J1465</f>
        <v>30.000000000000007</v>
      </c>
      <c r="C1465" s="3" t="s">
        <v>1595</v>
      </c>
      <c r="D1465">
        <f t="shared" ref="D1465" si="2842">_xlfn.NUMBERVALUE(LEFT(C1465,2))</f>
        <v>13</v>
      </c>
      <c r="E1465">
        <f t="shared" ref="E1465" si="2843">_xlfn.NUMBERVALUE(MID(C1465,4,2))</f>
        <v>11</v>
      </c>
      <c r="F1465">
        <f t="shared" ref="F1465" si="2844">_xlfn.NUMBERVALUE(RIGHT(C1465,4))</f>
        <v>2023</v>
      </c>
      <c r="G1465" t="s">
        <v>7</v>
      </c>
      <c r="H1465">
        <v>-2</v>
      </c>
      <c r="K1465" t="s">
        <v>9</v>
      </c>
      <c r="L1465" s="8">
        <f t="shared" si="2660"/>
        <v>-1</v>
      </c>
      <c r="M1465" t="s">
        <v>1612</v>
      </c>
    </row>
    <row r="1466" spans="1:13" x14ac:dyDescent="0.35">
      <c r="A1466">
        <f t="shared" si="1908"/>
        <v>1462</v>
      </c>
      <c r="B1466" s="9">
        <f t="shared" ref="B1466" si="2845">B1465+H1466+I1466+J1466</f>
        <v>28.000000000000007</v>
      </c>
      <c r="C1466" s="3" t="s">
        <v>1595</v>
      </c>
      <c r="D1466">
        <f t="shared" ref="D1466" si="2846">_xlfn.NUMBERVALUE(LEFT(C1466,2))</f>
        <v>13</v>
      </c>
      <c r="E1466">
        <f t="shared" ref="E1466" si="2847">_xlfn.NUMBERVALUE(MID(C1466,4,2))</f>
        <v>11</v>
      </c>
      <c r="F1466">
        <f t="shared" ref="F1466" si="2848">_xlfn.NUMBERVALUE(RIGHT(C1466,4))</f>
        <v>2023</v>
      </c>
      <c r="G1466" t="s">
        <v>7</v>
      </c>
      <c r="H1466">
        <v>-2</v>
      </c>
      <c r="K1466" t="s">
        <v>9</v>
      </c>
      <c r="L1466" s="8">
        <f t="shared" si="2660"/>
        <v>-1</v>
      </c>
      <c r="M1466" t="s">
        <v>1613</v>
      </c>
    </row>
    <row r="1467" spans="1:13" x14ac:dyDescent="0.35">
      <c r="A1467">
        <f t="shared" si="1908"/>
        <v>1463</v>
      </c>
      <c r="B1467" s="9">
        <f t="shared" ref="B1467:B1468" si="2849">B1466+H1467+I1467+J1467</f>
        <v>3.0000000000000071</v>
      </c>
      <c r="C1467" s="3" t="s">
        <v>1595</v>
      </c>
      <c r="D1467">
        <f t="shared" ref="D1467:D1468" si="2850">_xlfn.NUMBERVALUE(LEFT(C1467,2))</f>
        <v>13</v>
      </c>
      <c r="E1467">
        <f t="shared" ref="E1467:E1468" si="2851">_xlfn.NUMBERVALUE(MID(C1467,4,2))</f>
        <v>11</v>
      </c>
      <c r="F1467">
        <f t="shared" ref="F1467:F1468" si="2852">_xlfn.NUMBERVALUE(RIGHT(C1467,4))</f>
        <v>2023</v>
      </c>
      <c r="G1467" t="s">
        <v>7</v>
      </c>
      <c r="H1467">
        <v>-25</v>
      </c>
      <c r="K1467" t="s">
        <v>9</v>
      </c>
      <c r="L1467" s="8">
        <f t="shared" si="2660"/>
        <v>-1</v>
      </c>
      <c r="M1467" t="s">
        <v>1614</v>
      </c>
    </row>
    <row r="1468" spans="1:13" x14ac:dyDescent="0.35">
      <c r="A1468">
        <f t="shared" si="1908"/>
        <v>1464</v>
      </c>
      <c r="B1468" s="9">
        <f t="shared" si="2849"/>
        <v>7.0000000000000071</v>
      </c>
      <c r="C1468" s="3" t="s">
        <v>1595</v>
      </c>
      <c r="D1468">
        <f t="shared" si="2850"/>
        <v>13</v>
      </c>
      <c r="E1468">
        <f t="shared" si="2851"/>
        <v>11</v>
      </c>
      <c r="F1468">
        <f t="shared" si="2852"/>
        <v>2023</v>
      </c>
      <c r="G1468" t="s">
        <v>7</v>
      </c>
      <c r="H1468">
        <v>-2</v>
      </c>
      <c r="I1468">
        <v>6</v>
      </c>
      <c r="K1468" t="s">
        <v>10</v>
      </c>
      <c r="L1468" s="8">
        <f t="shared" si="2660"/>
        <v>2</v>
      </c>
      <c r="M1468" t="s">
        <v>1615</v>
      </c>
    </row>
    <row r="1469" spans="1:13" x14ac:dyDescent="0.35">
      <c r="A1469">
        <f t="shared" si="1908"/>
        <v>1465</v>
      </c>
      <c r="B1469" s="9">
        <f t="shared" ref="B1469:B1470" si="2853">B1468+H1469+I1469+J1469</f>
        <v>2.0000000000000071</v>
      </c>
      <c r="C1469" s="3" t="s">
        <v>1595</v>
      </c>
      <c r="D1469">
        <f t="shared" ref="D1469:D1470" si="2854">_xlfn.NUMBERVALUE(LEFT(C1469,2))</f>
        <v>13</v>
      </c>
      <c r="E1469">
        <f t="shared" ref="E1469:E1470" si="2855">_xlfn.NUMBERVALUE(MID(C1469,4,2))</f>
        <v>11</v>
      </c>
      <c r="F1469">
        <f t="shared" ref="F1469:F1470" si="2856">_xlfn.NUMBERVALUE(RIGHT(C1469,4))</f>
        <v>2023</v>
      </c>
      <c r="G1469" t="s">
        <v>7</v>
      </c>
      <c r="H1469">
        <v>-5</v>
      </c>
      <c r="K1469" t="s">
        <v>9</v>
      </c>
      <c r="L1469" s="8">
        <f t="shared" si="2660"/>
        <v>-1</v>
      </c>
      <c r="M1469" t="s">
        <v>1616</v>
      </c>
    </row>
    <row r="1470" spans="1:13" x14ac:dyDescent="0.35">
      <c r="A1470">
        <f t="shared" si="1908"/>
        <v>1466</v>
      </c>
      <c r="B1470" s="9">
        <f t="shared" si="2853"/>
        <v>4.0000000000000071</v>
      </c>
      <c r="C1470" s="3" t="s">
        <v>1595</v>
      </c>
      <c r="D1470">
        <f t="shared" si="2854"/>
        <v>13</v>
      </c>
      <c r="E1470">
        <f t="shared" si="2855"/>
        <v>11</v>
      </c>
      <c r="F1470">
        <f t="shared" si="2856"/>
        <v>2023</v>
      </c>
      <c r="G1470" t="s">
        <v>7</v>
      </c>
      <c r="H1470">
        <v>-2</v>
      </c>
      <c r="I1470">
        <v>4</v>
      </c>
      <c r="K1470" t="s">
        <v>10</v>
      </c>
      <c r="L1470" s="8">
        <f t="shared" si="2660"/>
        <v>1</v>
      </c>
      <c r="M1470" t="s">
        <v>1617</v>
      </c>
    </row>
    <row r="1471" spans="1:13" x14ac:dyDescent="0.35">
      <c r="A1471">
        <f t="shared" si="1908"/>
        <v>1467</v>
      </c>
      <c r="B1471" s="9">
        <f t="shared" ref="B1471" si="2857">B1470+H1471+I1471+J1471</f>
        <v>8.0000000000000071</v>
      </c>
      <c r="C1471" s="3" t="s">
        <v>1595</v>
      </c>
      <c r="D1471">
        <f t="shared" ref="D1471" si="2858">_xlfn.NUMBERVALUE(LEFT(C1471,2))</f>
        <v>13</v>
      </c>
      <c r="E1471">
        <f t="shared" ref="E1471" si="2859">_xlfn.NUMBERVALUE(MID(C1471,4,2))</f>
        <v>11</v>
      </c>
      <c r="F1471">
        <f t="shared" ref="F1471" si="2860">_xlfn.NUMBERVALUE(RIGHT(C1471,4))</f>
        <v>2023</v>
      </c>
      <c r="G1471" t="s">
        <v>7</v>
      </c>
      <c r="H1471">
        <v>-2</v>
      </c>
      <c r="I1471">
        <v>6</v>
      </c>
      <c r="K1471" t="s">
        <v>10</v>
      </c>
      <c r="L1471" s="8">
        <f t="shared" si="2660"/>
        <v>2</v>
      </c>
      <c r="M1471" t="s">
        <v>1618</v>
      </c>
    </row>
    <row r="1472" spans="1:13" x14ac:dyDescent="0.35">
      <c r="A1472">
        <f t="shared" si="1908"/>
        <v>1468</v>
      </c>
      <c r="B1472" s="9">
        <f t="shared" ref="B1472" si="2861">B1471+H1472+I1472+J1472</f>
        <v>3.0000000000000071</v>
      </c>
      <c r="C1472" s="3" t="s">
        <v>1595</v>
      </c>
      <c r="D1472">
        <f t="shared" ref="D1472" si="2862">_xlfn.NUMBERVALUE(LEFT(C1472,2))</f>
        <v>13</v>
      </c>
      <c r="E1472">
        <f t="shared" ref="E1472" si="2863">_xlfn.NUMBERVALUE(MID(C1472,4,2))</f>
        <v>11</v>
      </c>
      <c r="F1472">
        <f t="shared" ref="F1472" si="2864">_xlfn.NUMBERVALUE(RIGHT(C1472,4))</f>
        <v>2023</v>
      </c>
      <c r="G1472" t="s">
        <v>7</v>
      </c>
      <c r="H1472">
        <v>-5</v>
      </c>
      <c r="K1472" t="s">
        <v>9</v>
      </c>
      <c r="L1472" s="8">
        <f t="shared" si="2660"/>
        <v>-1</v>
      </c>
      <c r="M1472" t="s">
        <v>1619</v>
      </c>
    </row>
    <row r="1473" spans="1:13" x14ac:dyDescent="0.35">
      <c r="A1473">
        <f t="shared" si="1908"/>
        <v>1469</v>
      </c>
      <c r="B1473" s="9">
        <f t="shared" ref="B1473" si="2865">B1472+H1473+I1473+J1473</f>
        <v>1.0000000000000071</v>
      </c>
      <c r="C1473" s="3" t="s">
        <v>1595</v>
      </c>
      <c r="D1473">
        <f t="shared" ref="D1473" si="2866">_xlfn.NUMBERVALUE(LEFT(C1473,2))</f>
        <v>13</v>
      </c>
      <c r="E1473">
        <f t="shared" ref="E1473" si="2867">_xlfn.NUMBERVALUE(MID(C1473,4,2))</f>
        <v>11</v>
      </c>
      <c r="F1473">
        <f t="shared" ref="F1473" si="2868">_xlfn.NUMBERVALUE(RIGHT(C1473,4))</f>
        <v>2023</v>
      </c>
      <c r="G1473" t="s">
        <v>7</v>
      </c>
      <c r="H1473">
        <v>-2</v>
      </c>
      <c r="K1473" t="s">
        <v>9</v>
      </c>
      <c r="L1473" s="8">
        <f t="shared" si="2660"/>
        <v>-1</v>
      </c>
      <c r="M1473" t="s">
        <v>1620</v>
      </c>
    </row>
    <row r="1474" spans="1:13" x14ac:dyDescent="0.35">
      <c r="A1474">
        <f t="shared" ref="A1474:A1695" si="2869">A1473+1</f>
        <v>1470</v>
      </c>
      <c r="B1474" s="9">
        <f t="shared" ref="B1474" si="2870">B1473+H1474+I1474+J1474</f>
        <v>7.1054273576010019E-15</v>
      </c>
      <c r="C1474" s="3" t="s">
        <v>1595</v>
      </c>
      <c r="D1474">
        <f t="shared" ref="D1474" si="2871">_xlfn.NUMBERVALUE(LEFT(C1474,2))</f>
        <v>13</v>
      </c>
      <c r="E1474">
        <f t="shared" ref="E1474" si="2872">_xlfn.NUMBERVALUE(MID(C1474,4,2))</f>
        <v>11</v>
      </c>
      <c r="F1474">
        <f t="shared" ref="F1474" si="2873">_xlfn.NUMBERVALUE(RIGHT(C1474,4))</f>
        <v>2023</v>
      </c>
      <c r="G1474" t="s">
        <v>7</v>
      </c>
      <c r="H1474">
        <v>-1</v>
      </c>
      <c r="K1474" t="s">
        <v>9</v>
      </c>
      <c r="L1474" s="8">
        <f t="shared" si="2660"/>
        <v>-1</v>
      </c>
      <c r="M1474" t="s">
        <v>1621</v>
      </c>
    </row>
    <row r="1475" spans="1:13" x14ac:dyDescent="0.35">
      <c r="A1475">
        <f t="shared" si="2869"/>
        <v>1471</v>
      </c>
      <c r="B1475" s="9">
        <f t="shared" ref="B1475:B1476" si="2874">B1474+H1475+I1475+J1475</f>
        <v>56.150000000000006</v>
      </c>
      <c r="C1475" s="3" t="s">
        <v>1595</v>
      </c>
      <c r="D1475">
        <f t="shared" ref="D1475:D1476" si="2875">_xlfn.NUMBERVALUE(LEFT(C1475,2))</f>
        <v>13</v>
      </c>
      <c r="E1475">
        <f t="shared" ref="E1475:E1476" si="2876">_xlfn.NUMBERVALUE(MID(C1475,4,2))</f>
        <v>11</v>
      </c>
      <c r="F1475">
        <f t="shared" ref="F1475:F1476" si="2877">_xlfn.NUMBERVALUE(RIGHT(C1475,4))</f>
        <v>2023</v>
      </c>
      <c r="G1475" t="s">
        <v>3362</v>
      </c>
      <c r="I1475">
        <v>56.15</v>
      </c>
      <c r="L1475" s="8"/>
    </row>
    <row r="1476" spans="1:13" x14ac:dyDescent="0.35">
      <c r="A1476">
        <f t="shared" si="2869"/>
        <v>1472</v>
      </c>
      <c r="B1476" s="9">
        <f t="shared" si="2874"/>
        <v>58.150000000000006</v>
      </c>
      <c r="C1476" s="3" t="s">
        <v>1622</v>
      </c>
      <c r="D1476">
        <f t="shared" si="2875"/>
        <v>14</v>
      </c>
      <c r="E1476">
        <f t="shared" si="2876"/>
        <v>11</v>
      </c>
      <c r="F1476">
        <f t="shared" si="2877"/>
        <v>2023</v>
      </c>
      <c r="G1476" t="s">
        <v>7</v>
      </c>
      <c r="H1476">
        <v>-2</v>
      </c>
      <c r="I1476">
        <v>4</v>
      </c>
      <c r="K1476" t="s">
        <v>10</v>
      </c>
      <c r="L1476" s="8">
        <f t="shared" si="2660"/>
        <v>1</v>
      </c>
      <c r="M1476" t="s">
        <v>1623</v>
      </c>
    </row>
    <row r="1477" spans="1:13" x14ac:dyDescent="0.35">
      <c r="A1477">
        <f t="shared" si="2869"/>
        <v>1473</v>
      </c>
      <c r="B1477" s="9">
        <f t="shared" ref="B1477" si="2878">B1476+H1477+I1477+J1477</f>
        <v>56.150000000000006</v>
      </c>
      <c r="C1477" s="3" t="s">
        <v>1622</v>
      </c>
      <c r="D1477">
        <f t="shared" ref="D1477" si="2879">_xlfn.NUMBERVALUE(LEFT(C1477,2))</f>
        <v>14</v>
      </c>
      <c r="E1477">
        <f t="shared" ref="E1477" si="2880">_xlfn.NUMBERVALUE(MID(C1477,4,2))</f>
        <v>11</v>
      </c>
      <c r="F1477">
        <f t="shared" ref="F1477" si="2881">_xlfn.NUMBERVALUE(RIGHT(C1477,4))</f>
        <v>2023</v>
      </c>
      <c r="G1477" t="s">
        <v>7</v>
      </c>
      <c r="H1477">
        <v>-2</v>
      </c>
      <c r="K1477" t="s">
        <v>9</v>
      </c>
      <c r="L1477" s="8">
        <f t="shared" si="2660"/>
        <v>-1</v>
      </c>
      <c r="M1477" t="s">
        <v>1624</v>
      </c>
    </row>
    <row r="1478" spans="1:13" x14ac:dyDescent="0.35">
      <c r="A1478">
        <f t="shared" si="2869"/>
        <v>1474</v>
      </c>
      <c r="B1478" s="9">
        <f t="shared" ref="B1478" si="2882">B1477+H1478+I1478+J1478</f>
        <v>58.150000000000006</v>
      </c>
      <c r="C1478" s="3" t="s">
        <v>1622</v>
      </c>
      <c r="D1478">
        <f t="shared" ref="D1478" si="2883">_xlfn.NUMBERVALUE(LEFT(C1478,2))</f>
        <v>14</v>
      </c>
      <c r="E1478">
        <f t="shared" ref="E1478" si="2884">_xlfn.NUMBERVALUE(MID(C1478,4,2))</f>
        <v>11</v>
      </c>
      <c r="F1478">
        <f t="shared" ref="F1478" si="2885">_xlfn.NUMBERVALUE(RIGHT(C1478,4))</f>
        <v>2023</v>
      </c>
      <c r="G1478" t="s">
        <v>7</v>
      </c>
      <c r="H1478">
        <v>-2</v>
      </c>
      <c r="I1478">
        <v>4</v>
      </c>
      <c r="K1478" t="s">
        <v>10</v>
      </c>
      <c r="L1478" s="8">
        <f t="shared" ref="L1478:L1541" si="2886">IF(H1478="",0,(SUM(I1478:J1478)/-H1478)-1)</f>
        <v>1</v>
      </c>
      <c r="M1478" t="s">
        <v>1625</v>
      </c>
    </row>
    <row r="1479" spans="1:13" x14ac:dyDescent="0.35">
      <c r="A1479">
        <f t="shared" si="2869"/>
        <v>1475</v>
      </c>
      <c r="B1479" s="9">
        <f t="shared" ref="B1479" si="2887">B1478+H1479+I1479+J1479</f>
        <v>60.150000000000006</v>
      </c>
      <c r="C1479" s="3" t="s">
        <v>1622</v>
      </c>
      <c r="D1479">
        <f t="shared" ref="D1479" si="2888">_xlfn.NUMBERVALUE(LEFT(C1479,2))</f>
        <v>14</v>
      </c>
      <c r="E1479">
        <f t="shared" ref="E1479" si="2889">_xlfn.NUMBERVALUE(MID(C1479,4,2))</f>
        <v>11</v>
      </c>
      <c r="F1479">
        <f t="shared" ref="F1479" si="2890">_xlfn.NUMBERVALUE(RIGHT(C1479,4))</f>
        <v>2023</v>
      </c>
      <c r="G1479" t="s">
        <v>7</v>
      </c>
      <c r="H1479">
        <v>-2</v>
      </c>
      <c r="I1479">
        <v>4</v>
      </c>
      <c r="K1479" t="s">
        <v>10</v>
      </c>
      <c r="L1479" s="8">
        <f t="shared" si="2886"/>
        <v>1</v>
      </c>
      <c r="M1479" t="s">
        <v>1626</v>
      </c>
    </row>
    <row r="1480" spans="1:13" x14ac:dyDescent="0.35">
      <c r="A1480">
        <f t="shared" si="2869"/>
        <v>1476</v>
      </c>
      <c r="B1480" s="9">
        <f t="shared" ref="B1480" si="2891">B1479+H1480+I1480+J1480</f>
        <v>74.150000000000006</v>
      </c>
      <c r="C1480" s="3" t="s">
        <v>1622</v>
      </c>
      <c r="D1480">
        <f t="shared" ref="D1480" si="2892">_xlfn.NUMBERVALUE(LEFT(C1480,2))</f>
        <v>14</v>
      </c>
      <c r="E1480">
        <f t="shared" ref="E1480" si="2893">_xlfn.NUMBERVALUE(MID(C1480,4,2))</f>
        <v>11</v>
      </c>
      <c r="F1480">
        <f t="shared" ref="F1480" si="2894">_xlfn.NUMBERVALUE(RIGHT(C1480,4))</f>
        <v>2023</v>
      </c>
      <c r="G1480" t="s">
        <v>7</v>
      </c>
      <c r="H1480">
        <v>-2</v>
      </c>
      <c r="I1480">
        <v>16</v>
      </c>
      <c r="K1480" t="s">
        <v>10</v>
      </c>
      <c r="L1480" s="8">
        <f t="shared" si="2886"/>
        <v>7</v>
      </c>
      <c r="M1480" t="s">
        <v>1627</v>
      </c>
    </row>
    <row r="1481" spans="1:13" x14ac:dyDescent="0.35">
      <c r="A1481">
        <f t="shared" si="2869"/>
        <v>1477</v>
      </c>
      <c r="B1481" s="9">
        <f t="shared" ref="B1481" si="2895">B1480+H1481+I1481+J1481</f>
        <v>72.150000000000006</v>
      </c>
      <c r="C1481" s="3" t="s">
        <v>1622</v>
      </c>
      <c r="D1481">
        <f t="shared" ref="D1481" si="2896">_xlfn.NUMBERVALUE(LEFT(C1481,2))</f>
        <v>14</v>
      </c>
      <c r="E1481">
        <f t="shared" ref="E1481" si="2897">_xlfn.NUMBERVALUE(MID(C1481,4,2))</f>
        <v>11</v>
      </c>
      <c r="F1481">
        <f t="shared" ref="F1481" si="2898">_xlfn.NUMBERVALUE(RIGHT(C1481,4))</f>
        <v>2023</v>
      </c>
      <c r="G1481" t="s">
        <v>7</v>
      </c>
      <c r="H1481">
        <v>-2</v>
      </c>
      <c r="K1481" t="s">
        <v>9</v>
      </c>
      <c r="L1481" s="8">
        <f t="shared" si="2886"/>
        <v>-1</v>
      </c>
      <c r="M1481" t="s">
        <v>1628</v>
      </c>
    </row>
    <row r="1482" spans="1:13" x14ac:dyDescent="0.35">
      <c r="A1482">
        <f t="shared" si="2869"/>
        <v>1478</v>
      </c>
      <c r="B1482" s="9">
        <f t="shared" ref="B1482" si="2899">B1481+H1482+I1482+J1482</f>
        <v>70.150000000000006</v>
      </c>
      <c r="C1482" s="3" t="s">
        <v>1622</v>
      </c>
      <c r="D1482">
        <f t="shared" ref="D1482" si="2900">_xlfn.NUMBERVALUE(LEFT(C1482,2))</f>
        <v>14</v>
      </c>
      <c r="E1482">
        <f t="shared" ref="E1482" si="2901">_xlfn.NUMBERVALUE(MID(C1482,4,2))</f>
        <v>11</v>
      </c>
      <c r="F1482">
        <f t="shared" ref="F1482" si="2902">_xlfn.NUMBERVALUE(RIGHT(C1482,4))</f>
        <v>2023</v>
      </c>
      <c r="G1482" t="s">
        <v>7</v>
      </c>
      <c r="H1482">
        <v>-2</v>
      </c>
      <c r="K1482" t="s">
        <v>9</v>
      </c>
      <c r="L1482" s="8">
        <f t="shared" si="2886"/>
        <v>-1</v>
      </c>
      <c r="M1482" t="s">
        <v>1629</v>
      </c>
    </row>
    <row r="1483" spans="1:13" x14ac:dyDescent="0.35">
      <c r="A1483">
        <f t="shared" si="2869"/>
        <v>1479</v>
      </c>
      <c r="B1483" s="9">
        <f t="shared" ref="B1483" si="2903">B1482+H1483+I1483+J1483</f>
        <v>74.150000000000006</v>
      </c>
      <c r="C1483" s="3" t="s">
        <v>1622</v>
      </c>
      <c r="D1483">
        <f t="shared" ref="D1483" si="2904">_xlfn.NUMBERVALUE(LEFT(C1483,2))</f>
        <v>14</v>
      </c>
      <c r="E1483">
        <f t="shared" ref="E1483" si="2905">_xlfn.NUMBERVALUE(MID(C1483,4,2))</f>
        <v>11</v>
      </c>
      <c r="F1483">
        <f t="shared" ref="F1483" si="2906">_xlfn.NUMBERVALUE(RIGHT(C1483,4))</f>
        <v>2023</v>
      </c>
      <c r="G1483" t="s">
        <v>7</v>
      </c>
      <c r="H1483">
        <v>-2</v>
      </c>
      <c r="I1483">
        <v>6</v>
      </c>
      <c r="K1483" t="s">
        <v>10</v>
      </c>
      <c r="L1483" s="8">
        <f t="shared" si="2886"/>
        <v>2</v>
      </c>
      <c r="M1483" t="s">
        <v>1630</v>
      </c>
    </row>
    <row r="1484" spans="1:13" x14ac:dyDescent="0.35">
      <c r="A1484">
        <f t="shared" si="2869"/>
        <v>1480</v>
      </c>
      <c r="B1484" s="9">
        <f t="shared" ref="B1484" si="2907">B1483+H1484+I1484+J1484</f>
        <v>72.150000000000006</v>
      </c>
      <c r="C1484" s="3" t="s">
        <v>1633</v>
      </c>
      <c r="D1484">
        <f t="shared" ref="D1484" si="2908">_xlfn.NUMBERVALUE(LEFT(C1484,2))</f>
        <v>15</v>
      </c>
      <c r="E1484">
        <f t="shared" ref="E1484" si="2909">_xlfn.NUMBERVALUE(MID(C1484,4,2))</f>
        <v>11</v>
      </c>
      <c r="F1484">
        <f t="shared" ref="F1484" si="2910">_xlfn.NUMBERVALUE(RIGHT(C1484,4))</f>
        <v>2023</v>
      </c>
      <c r="G1484" t="s">
        <v>7</v>
      </c>
      <c r="H1484">
        <v>-2</v>
      </c>
      <c r="K1484" t="s">
        <v>9</v>
      </c>
      <c r="L1484" s="8">
        <f t="shared" si="2886"/>
        <v>-1</v>
      </c>
      <c r="M1484" t="s">
        <v>1631</v>
      </c>
    </row>
    <row r="1485" spans="1:13" x14ac:dyDescent="0.35">
      <c r="A1485">
        <f t="shared" si="2869"/>
        <v>1481</v>
      </c>
      <c r="B1485" s="9">
        <f t="shared" ref="B1485" si="2911">B1484+H1485+I1485+J1485</f>
        <v>70.150000000000006</v>
      </c>
      <c r="C1485" s="3" t="s">
        <v>1633</v>
      </c>
      <c r="D1485">
        <f t="shared" ref="D1485" si="2912">_xlfn.NUMBERVALUE(LEFT(C1485,2))</f>
        <v>15</v>
      </c>
      <c r="E1485">
        <f t="shared" ref="E1485" si="2913">_xlfn.NUMBERVALUE(MID(C1485,4,2))</f>
        <v>11</v>
      </c>
      <c r="F1485">
        <f t="shared" ref="F1485" si="2914">_xlfn.NUMBERVALUE(RIGHT(C1485,4))</f>
        <v>2023</v>
      </c>
      <c r="G1485" t="s">
        <v>7</v>
      </c>
      <c r="H1485">
        <v>-2</v>
      </c>
      <c r="K1485" t="s">
        <v>9</v>
      </c>
      <c r="L1485" s="8">
        <f t="shared" si="2886"/>
        <v>-1</v>
      </c>
      <c r="M1485" t="s">
        <v>1632</v>
      </c>
    </row>
    <row r="1486" spans="1:13" x14ac:dyDescent="0.35">
      <c r="A1486">
        <f t="shared" si="2869"/>
        <v>1482</v>
      </c>
      <c r="B1486" s="9">
        <f t="shared" ref="B1486" si="2915">B1485+H1486+I1486+J1486</f>
        <v>68.150000000000006</v>
      </c>
      <c r="C1486" s="3" t="s">
        <v>1633</v>
      </c>
      <c r="D1486">
        <f t="shared" ref="D1486" si="2916">_xlfn.NUMBERVALUE(LEFT(C1486,2))</f>
        <v>15</v>
      </c>
      <c r="E1486">
        <f t="shared" ref="E1486" si="2917">_xlfn.NUMBERVALUE(MID(C1486,4,2))</f>
        <v>11</v>
      </c>
      <c r="F1486">
        <f t="shared" ref="F1486" si="2918">_xlfn.NUMBERVALUE(RIGHT(C1486,4))</f>
        <v>2023</v>
      </c>
      <c r="G1486" t="s">
        <v>7</v>
      </c>
      <c r="H1486">
        <v>-2</v>
      </c>
      <c r="K1486" t="s">
        <v>9</v>
      </c>
      <c r="L1486" s="8">
        <f t="shared" si="2886"/>
        <v>-1</v>
      </c>
      <c r="M1486" t="s">
        <v>1634</v>
      </c>
    </row>
    <row r="1487" spans="1:13" x14ac:dyDescent="0.35">
      <c r="A1487">
        <f t="shared" si="2869"/>
        <v>1483</v>
      </c>
      <c r="B1487" s="9">
        <f t="shared" ref="B1487" si="2919">B1486+H1487+I1487+J1487</f>
        <v>66.150000000000006</v>
      </c>
      <c r="C1487" s="3" t="s">
        <v>1633</v>
      </c>
      <c r="D1487">
        <f t="shared" ref="D1487" si="2920">_xlfn.NUMBERVALUE(LEFT(C1487,2))</f>
        <v>15</v>
      </c>
      <c r="E1487">
        <f t="shared" ref="E1487" si="2921">_xlfn.NUMBERVALUE(MID(C1487,4,2))</f>
        <v>11</v>
      </c>
      <c r="F1487">
        <f t="shared" ref="F1487" si="2922">_xlfn.NUMBERVALUE(RIGHT(C1487,4))</f>
        <v>2023</v>
      </c>
      <c r="G1487" t="s">
        <v>7</v>
      </c>
      <c r="H1487">
        <v>-2</v>
      </c>
      <c r="K1487" t="s">
        <v>9</v>
      </c>
      <c r="L1487" s="8">
        <f t="shared" si="2886"/>
        <v>-1</v>
      </c>
      <c r="M1487" t="s">
        <v>1635</v>
      </c>
    </row>
    <row r="1488" spans="1:13" x14ac:dyDescent="0.35">
      <c r="A1488">
        <f t="shared" si="2869"/>
        <v>1484</v>
      </c>
      <c r="B1488" s="9">
        <f t="shared" ref="B1488" si="2923">B1487+H1488+I1488+J1488</f>
        <v>64.150000000000006</v>
      </c>
      <c r="C1488" s="3" t="s">
        <v>1633</v>
      </c>
      <c r="D1488">
        <f t="shared" ref="D1488" si="2924">_xlfn.NUMBERVALUE(LEFT(C1488,2))</f>
        <v>15</v>
      </c>
      <c r="E1488">
        <f t="shared" ref="E1488" si="2925">_xlfn.NUMBERVALUE(MID(C1488,4,2))</f>
        <v>11</v>
      </c>
      <c r="F1488">
        <f t="shared" ref="F1488" si="2926">_xlfn.NUMBERVALUE(RIGHT(C1488,4))</f>
        <v>2023</v>
      </c>
      <c r="G1488" t="s">
        <v>7</v>
      </c>
      <c r="H1488">
        <v>-2</v>
      </c>
      <c r="K1488" t="s">
        <v>9</v>
      </c>
      <c r="L1488" s="8">
        <f t="shared" si="2886"/>
        <v>-1</v>
      </c>
      <c r="M1488" t="s">
        <v>1636</v>
      </c>
    </row>
    <row r="1489" spans="1:13" x14ac:dyDescent="0.35">
      <c r="A1489">
        <f t="shared" si="2869"/>
        <v>1485</v>
      </c>
      <c r="B1489" s="9">
        <f t="shared" ref="B1489" si="2927">B1488+H1489+I1489+J1489</f>
        <v>62.150000000000006</v>
      </c>
      <c r="C1489" s="3" t="s">
        <v>1633</v>
      </c>
      <c r="D1489">
        <f t="shared" ref="D1489" si="2928">_xlfn.NUMBERVALUE(LEFT(C1489,2))</f>
        <v>15</v>
      </c>
      <c r="E1489">
        <f t="shared" ref="E1489" si="2929">_xlfn.NUMBERVALUE(MID(C1489,4,2))</f>
        <v>11</v>
      </c>
      <c r="F1489">
        <f t="shared" ref="F1489" si="2930">_xlfn.NUMBERVALUE(RIGHT(C1489,4))</f>
        <v>2023</v>
      </c>
      <c r="G1489" t="s">
        <v>7</v>
      </c>
      <c r="H1489">
        <v>-2</v>
      </c>
      <c r="K1489" t="s">
        <v>9</v>
      </c>
      <c r="L1489" s="8">
        <f t="shared" si="2886"/>
        <v>-1</v>
      </c>
      <c r="M1489" t="s">
        <v>1637</v>
      </c>
    </row>
    <row r="1490" spans="1:13" x14ac:dyDescent="0.35">
      <c r="A1490">
        <f t="shared" si="2869"/>
        <v>1486</v>
      </c>
      <c r="B1490" s="9">
        <f t="shared" ref="B1490" si="2931">B1489+H1490+I1490+J1490</f>
        <v>52.150000000000006</v>
      </c>
      <c r="C1490" s="3" t="s">
        <v>1633</v>
      </c>
      <c r="D1490">
        <f t="shared" ref="D1490" si="2932">_xlfn.NUMBERVALUE(LEFT(C1490,2))</f>
        <v>15</v>
      </c>
      <c r="E1490">
        <f t="shared" ref="E1490" si="2933">_xlfn.NUMBERVALUE(MID(C1490,4,2))</f>
        <v>11</v>
      </c>
      <c r="F1490">
        <f t="shared" ref="F1490" si="2934">_xlfn.NUMBERVALUE(RIGHT(C1490,4))</f>
        <v>2023</v>
      </c>
      <c r="G1490" t="s">
        <v>7</v>
      </c>
      <c r="H1490">
        <v>-10</v>
      </c>
      <c r="K1490" t="s">
        <v>9</v>
      </c>
      <c r="L1490" s="8">
        <f t="shared" si="2886"/>
        <v>-1</v>
      </c>
      <c r="M1490" t="s">
        <v>1638</v>
      </c>
    </row>
    <row r="1491" spans="1:13" x14ac:dyDescent="0.35">
      <c r="A1491">
        <f t="shared" si="2869"/>
        <v>1487</v>
      </c>
      <c r="B1491" s="9">
        <f t="shared" ref="B1491" si="2935">B1490+H1491+I1491+J1491</f>
        <v>42.150000000000006</v>
      </c>
      <c r="C1491" s="3" t="s">
        <v>1633</v>
      </c>
      <c r="D1491">
        <f t="shared" ref="D1491" si="2936">_xlfn.NUMBERVALUE(LEFT(C1491,2))</f>
        <v>15</v>
      </c>
      <c r="E1491">
        <f t="shared" ref="E1491" si="2937">_xlfn.NUMBERVALUE(MID(C1491,4,2))</f>
        <v>11</v>
      </c>
      <c r="F1491">
        <f t="shared" ref="F1491" si="2938">_xlfn.NUMBERVALUE(RIGHT(C1491,4))</f>
        <v>2023</v>
      </c>
      <c r="G1491" t="s">
        <v>7</v>
      </c>
      <c r="H1491">
        <v>-10</v>
      </c>
      <c r="K1491" t="s">
        <v>9</v>
      </c>
      <c r="L1491" s="8">
        <f t="shared" si="2886"/>
        <v>-1</v>
      </c>
      <c r="M1491" t="s">
        <v>1639</v>
      </c>
    </row>
    <row r="1492" spans="1:13" x14ac:dyDescent="0.35">
      <c r="A1492">
        <f t="shared" si="2869"/>
        <v>1488</v>
      </c>
      <c r="B1492" s="9">
        <f t="shared" ref="B1492" si="2939">B1491+H1492+I1492+J1492</f>
        <v>62.150000000000006</v>
      </c>
      <c r="C1492" s="3" t="s">
        <v>1633</v>
      </c>
      <c r="D1492">
        <f t="shared" ref="D1492" si="2940">_xlfn.NUMBERVALUE(LEFT(C1492,2))</f>
        <v>15</v>
      </c>
      <c r="E1492">
        <f t="shared" ref="E1492" si="2941">_xlfn.NUMBERVALUE(MID(C1492,4,2))</f>
        <v>11</v>
      </c>
      <c r="F1492">
        <f t="shared" ref="F1492" si="2942">_xlfn.NUMBERVALUE(RIGHT(C1492,4))</f>
        <v>2023</v>
      </c>
      <c r="G1492" t="s">
        <v>7</v>
      </c>
      <c r="H1492">
        <v>-10</v>
      </c>
      <c r="I1492">
        <v>30</v>
      </c>
      <c r="K1492" t="s">
        <v>10</v>
      </c>
      <c r="L1492" s="8">
        <f t="shared" si="2886"/>
        <v>2</v>
      </c>
      <c r="M1492" t="s">
        <v>1640</v>
      </c>
    </row>
    <row r="1493" spans="1:13" x14ac:dyDescent="0.35">
      <c r="A1493">
        <f t="shared" si="2869"/>
        <v>1489</v>
      </c>
      <c r="B1493" s="9">
        <f t="shared" ref="B1493" si="2943">B1492+H1493+I1493+J1493</f>
        <v>52.150000000000006</v>
      </c>
      <c r="C1493" s="3" t="s">
        <v>1633</v>
      </c>
      <c r="D1493">
        <f t="shared" ref="D1493" si="2944">_xlfn.NUMBERVALUE(LEFT(C1493,2))</f>
        <v>15</v>
      </c>
      <c r="E1493">
        <f t="shared" ref="E1493" si="2945">_xlfn.NUMBERVALUE(MID(C1493,4,2))</f>
        <v>11</v>
      </c>
      <c r="F1493">
        <f t="shared" ref="F1493" si="2946">_xlfn.NUMBERVALUE(RIGHT(C1493,4))</f>
        <v>2023</v>
      </c>
      <c r="G1493" t="s">
        <v>7</v>
      </c>
      <c r="H1493">
        <v>-10</v>
      </c>
      <c r="K1493" t="s">
        <v>9</v>
      </c>
      <c r="L1493" s="8">
        <f t="shared" si="2886"/>
        <v>-1</v>
      </c>
      <c r="M1493" t="s">
        <v>1641</v>
      </c>
    </row>
    <row r="1494" spans="1:13" x14ac:dyDescent="0.35">
      <c r="A1494">
        <f t="shared" si="2869"/>
        <v>1490</v>
      </c>
      <c r="B1494" s="9">
        <f t="shared" ref="B1494" si="2947">B1493+H1494+I1494+J1494</f>
        <v>72.150000000000006</v>
      </c>
      <c r="C1494" s="3" t="s">
        <v>1633</v>
      </c>
      <c r="D1494">
        <v>16</v>
      </c>
      <c r="E1494">
        <f t="shared" ref="E1494" si="2948">_xlfn.NUMBERVALUE(MID(C1494,4,2))</f>
        <v>11</v>
      </c>
      <c r="F1494">
        <f t="shared" ref="F1494" si="2949">_xlfn.NUMBERVALUE(RIGHT(C1494,4))</f>
        <v>2023</v>
      </c>
      <c r="G1494" t="s">
        <v>7</v>
      </c>
      <c r="H1494">
        <v>-10</v>
      </c>
      <c r="I1494">
        <v>30</v>
      </c>
      <c r="K1494" t="s">
        <v>10</v>
      </c>
      <c r="L1494" s="8">
        <f t="shared" si="2886"/>
        <v>2</v>
      </c>
      <c r="M1494" t="s">
        <v>1642</v>
      </c>
    </row>
    <row r="1495" spans="1:13" x14ac:dyDescent="0.35">
      <c r="A1495">
        <f t="shared" si="2869"/>
        <v>1491</v>
      </c>
      <c r="B1495" s="9">
        <f t="shared" ref="B1495:B1496" si="2950">B1494+H1495+I1495+J1495</f>
        <v>63.650000000000006</v>
      </c>
      <c r="C1495" s="3" t="s">
        <v>1633</v>
      </c>
      <c r="D1495">
        <v>16</v>
      </c>
      <c r="E1495">
        <f t="shared" ref="E1495:E1496" si="2951">_xlfn.NUMBERVALUE(MID(C1495,4,2))</f>
        <v>11</v>
      </c>
      <c r="F1495">
        <f t="shared" ref="F1495:F1496" si="2952">_xlfn.NUMBERVALUE(RIGHT(C1495,4))</f>
        <v>2023</v>
      </c>
      <c r="G1495" t="s">
        <v>44</v>
      </c>
      <c r="H1495">
        <v>-11</v>
      </c>
      <c r="J1495">
        <v>2.5</v>
      </c>
      <c r="K1495" t="s">
        <v>9</v>
      </c>
      <c r="L1495" s="8">
        <f t="shared" si="2886"/>
        <v>-0.77272727272727271</v>
      </c>
      <c r="M1495" t="s">
        <v>1643</v>
      </c>
    </row>
    <row r="1496" spans="1:13" x14ac:dyDescent="0.35">
      <c r="A1496">
        <f t="shared" si="2869"/>
        <v>1492</v>
      </c>
      <c r="B1496" s="9">
        <f t="shared" si="2950"/>
        <v>53.650000000000006</v>
      </c>
      <c r="C1496" s="3" t="s">
        <v>1633</v>
      </c>
      <c r="D1496">
        <v>16</v>
      </c>
      <c r="E1496">
        <f t="shared" si="2951"/>
        <v>11</v>
      </c>
      <c r="F1496">
        <f t="shared" si="2952"/>
        <v>2023</v>
      </c>
      <c r="G1496" t="s">
        <v>7</v>
      </c>
      <c r="H1496">
        <v>-10</v>
      </c>
      <c r="K1496" t="s">
        <v>9</v>
      </c>
      <c r="L1496" s="8">
        <f t="shared" si="2886"/>
        <v>-1</v>
      </c>
      <c r="M1496" t="s">
        <v>1644</v>
      </c>
    </row>
    <row r="1497" spans="1:13" x14ac:dyDescent="0.35">
      <c r="A1497">
        <f t="shared" si="2869"/>
        <v>1493</v>
      </c>
      <c r="B1497" s="9">
        <f t="shared" ref="B1497" si="2953">B1496+H1497+I1497+J1497</f>
        <v>43.650000000000006</v>
      </c>
      <c r="C1497" s="3" t="s">
        <v>1633</v>
      </c>
      <c r="D1497">
        <v>16</v>
      </c>
      <c r="E1497">
        <f t="shared" ref="E1497" si="2954">_xlfn.NUMBERVALUE(MID(C1497,4,2))</f>
        <v>11</v>
      </c>
      <c r="F1497">
        <f t="shared" ref="F1497" si="2955">_xlfn.NUMBERVALUE(RIGHT(C1497,4))</f>
        <v>2023</v>
      </c>
      <c r="G1497" t="s">
        <v>7</v>
      </c>
      <c r="H1497">
        <v>-10</v>
      </c>
      <c r="K1497" t="s">
        <v>9</v>
      </c>
      <c r="L1497" s="8">
        <f t="shared" si="2886"/>
        <v>-1</v>
      </c>
      <c r="M1497" t="s">
        <v>1645</v>
      </c>
    </row>
    <row r="1498" spans="1:13" x14ac:dyDescent="0.35">
      <c r="A1498">
        <f t="shared" si="2869"/>
        <v>1494</v>
      </c>
      <c r="B1498" s="9">
        <f t="shared" ref="B1498" si="2956">B1497+H1498+I1498+J1498</f>
        <v>33.650000000000006</v>
      </c>
      <c r="C1498" s="3" t="s">
        <v>1633</v>
      </c>
      <c r="D1498">
        <v>16</v>
      </c>
      <c r="E1498">
        <f t="shared" ref="E1498" si="2957">_xlfn.NUMBERVALUE(MID(C1498,4,2))</f>
        <v>11</v>
      </c>
      <c r="F1498">
        <f t="shared" ref="F1498" si="2958">_xlfn.NUMBERVALUE(RIGHT(C1498,4))</f>
        <v>2023</v>
      </c>
      <c r="G1498" t="s">
        <v>7</v>
      </c>
      <c r="H1498">
        <v>-10</v>
      </c>
      <c r="K1498" t="s">
        <v>9</v>
      </c>
      <c r="L1498" s="8">
        <f t="shared" si="2886"/>
        <v>-1</v>
      </c>
      <c r="M1498" t="s">
        <v>1646</v>
      </c>
    </row>
    <row r="1499" spans="1:13" x14ac:dyDescent="0.35">
      <c r="A1499">
        <f t="shared" si="2869"/>
        <v>1495</v>
      </c>
      <c r="B1499" s="9">
        <f t="shared" ref="B1499" si="2959">B1498+H1499+I1499+J1499</f>
        <v>23.650000000000006</v>
      </c>
      <c r="C1499" s="3" t="s">
        <v>1633</v>
      </c>
      <c r="D1499">
        <v>16</v>
      </c>
      <c r="E1499">
        <f t="shared" ref="E1499" si="2960">_xlfn.NUMBERVALUE(MID(C1499,4,2))</f>
        <v>11</v>
      </c>
      <c r="F1499">
        <f t="shared" ref="F1499" si="2961">_xlfn.NUMBERVALUE(RIGHT(C1499,4))</f>
        <v>2023</v>
      </c>
      <c r="G1499" t="s">
        <v>7</v>
      </c>
      <c r="H1499">
        <v>-10</v>
      </c>
      <c r="K1499" t="s">
        <v>9</v>
      </c>
      <c r="L1499" s="8">
        <f t="shared" si="2886"/>
        <v>-1</v>
      </c>
      <c r="M1499" t="s">
        <v>1647</v>
      </c>
    </row>
    <row r="1500" spans="1:13" x14ac:dyDescent="0.35">
      <c r="A1500">
        <f t="shared" si="2869"/>
        <v>1496</v>
      </c>
      <c r="B1500" s="9">
        <f t="shared" ref="B1500" si="2962">B1499+H1500+I1500+J1500</f>
        <v>13.650000000000006</v>
      </c>
      <c r="C1500" s="3" t="s">
        <v>1633</v>
      </c>
      <c r="D1500">
        <v>16</v>
      </c>
      <c r="E1500">
        <f t="shared" ref="E1500" si="2963">_xlfn.NUMBERVALUE(MID(C1500,4,2))</f>
        <v>11</v>
      </c>
      <c r="F1500">
        <f t="shared" ref="F1500" si="2964">_xlfn.NUMBERVALUE(RIGHT(C1500,4))</f>
        <v>2023</v>
      </c>
      <c r="G1500" t="s">
        <v>7</v>
      </c>
      <c r="H1500">
        <v>-10</v>
      </c>
      <c r="K1500" t="s">
        <v>9</v>
      </c>
      <c r="L1500" s="8">
        <f t="shared" si="2886"/>
        <v>-1</v>
      </c>
      <c r="M1500" t="s">
        <v>1648</v>
      </c>
    </row>
    <row r="1501" spans="1:13" x14ac:dyDescent="0.35">
      <c r="A1501">
        <f t="shared" si="2869"/>
        <v>1497</v>
      </c>
      <c r="B1501" s="9">
        <f t="shared" ref="B1501" si="2965">B1500+H1501+I1501+J1501</f>
        <v>3.6500000000000057</v>
      </c>
      <c r="C1501" s="3" t="s">
        <v>1633</v>
      </c>
      <c r="D1501">
        <v>16</v>
      </c>
      <c r="E1501">
        <f t="shared" ref="E1501" si="2966">_xlfn.NUMBERVALUE(MID(C1501,4,2))</f>
        <v>11</v>
      </c>
      <c r="F1501">
        <f t="shared" ref="F1501" si="2967">_xlfn.NUMBERVALUE(RIGHT(C1501,4))</f>
        <v>2023</v>
      </c>
      <c r="G1501" t="s">
        <v>7</v>
      </c>
      <c r="H1501">
        <v>-10</v>
      </c>
      <c r="K1501" t="s">
        <v>9</v>
      </c>
      <c r="L1501" s="8">
        <f t="shared" si="2886"/>
        <v>-1</v>
      </c>
      <c r="M1501" t="s">
        <v>1649</v>
      </c>
    </row>
    <row r="1502" spans="1:13" x14ac:dyDescent="0.35">
      <c r="A1502">
        <f t="shared" si="2869"/>
        <v>1498</v>
      </c>
      <c r="B1502" s="9">
        <f t="shared" ref="B1502:B1503" si="2968">B1501+H1502+I1502+J1502</f>
        <v>5.773159728050814E-15</v>
      </c>
      <c r="C1502" s="3" t="s">
        <v>1633</v>
      </c>
      <c r="D1502">
        <v>16</v>
      </c>
      <c r="E1502">
        <f t="shared" ref="E1502:E1503" si="2969">_xlfn.NUMBERVALUE(MID(C1502,4,2))</f>
        <v>11</v>
      </c>
      <c r="F1502">
        <f t="shared" ref="F1502:F1503" si="2970">_xlfn.NUMBERVALUE(RIGHT(C1502,4))</f>
        <v>2023</v>
      </c>
      <c r="G1502" t="s">
        <v>1389</v>
      </c>
      <c r="H1502">
        <v>-3.65</v>
      </c>
      <c r="K1502" t="s">
        <v>9</v>
      </c>
      <c r="L1502" s="8">
        <f t="shared" si="2886"/>
        <v>-1</v>
      </c>
      <c r="M1502" t="s">
        <v>1650</v>
      </c>
    </row>
    <row r="1503" spans="1:13" x14ac:dyDescent="0.35">
      <c r="A1503">
        <f t="shared" si="2869"/>
        <v>1499</v>
      </c>
      <c r="B1503" s="9">
        <f t="shared" si="2968"/>
        <v>57.320000000000007</v>
      </c>
      <c r="C1503" s="3" t="s">
        <v>1651</v>
      </c>
      <c r="D1503">
        <f t="shared" ref="D1503" si="2971">_xlfn.NUMBERVALUE(LEFT(C1503,2))</f>
        <v>4</v>
      </c>
      <c r="E1503">
        <f t="shared" si="2969"/>
        <v>12</v>
      </c>
      <c r="F1503">
        <f t="shared" si="2970"/>
        <v>2023</v>
      </c>
      <c r="G1503" t="s">
        <v>3362</v>
      </c>
      <c r="I1503">
        <v>57.32</v>
      </c>
      <c r="L1503" s="8"/>
    </row>
    <row r="1504" spans="1:13" x14ac:dyDescent="0.35">
      <c r="A1504">
        <f t="shared" si="2869"/>
        <v>1500</v>
      </c>
      <c r="B1504" s="9">
        <f t="shared" ref="B1504" si="2972">B1503+H1504+I1504+J1504</f>
        <v>55.320000000000007</v>
      </c>
      <c r="C1504" s="3" t="s">
        <v>1651</v>
      </c>
      <c r="D1504">
        <f t="shared" ref="D1504" si="2973">_xlfn.NUMBERVALUE(LEFT(C1504,2))</f>
        <v>4</v>
      </c>
      <c r="E1504">
        <f t="shared" ref="E1504" si="2974">_xlfn.NUMBERVALUE(MID(C1504,4,2))</f>
        <v>12</v>
      </c>
      <c r="F1504">
        <f t="shared" ref="F1504" si="2975">_xlfn.NUMBERVALUE(RIGHT(C1504,4))</f>
        <v>2023</v>
      </c>
      <c r="G1504" t="s">
        <v>7</v>
      </c>
      <c r="H1504">
        <v>-2</v>
      </c>
      <c r="K1504" t="s">
        <v>9</v>
      </c>
      <c r="L1504" s="8">
        <f t="shared" si="2886"/>
        <v>-1</v>
      </c>
      <c r="M1504" t="s">
        <v>1652</v>
      </c>
    </row>
    <row r="1505" spans="1:13" x14ac:dyDescent="0.35">
      <c r="A1505">
        <f t="shared" si="2869"/>
        <v>1501</v>
      </c>
      <c r="B1505" s="9">
        <f t="shared" ref="B1505" si="2976">B1504+H1505+I1505+J1505</f>
        <v>53.320000000000007</v>
      </c>
      <c r="C1505" s="3" t="s">
        <v>1651</v>
      </c>
      <c r="D1505">
        <f t="shared" ref="D1505" si="2977">_xlfn.NUMBERVALUE(LEFT(C1505,2))</f>
        <v>4</v>
      </c>
      <c r="E1505">
        <f t="shared" ref="E1505" si="2978">_xlfn.NUMBERVALUE(MID(C1505,4,2))</f>
        <v>12</v>
      </c>
      <c r="F1505">
        <f t="shared" ref="F1505" si="2979">_xlfn.NUMBERVALUE(RIGHT(C1505,4))</f>
        <v>2023</v>
      </c>
      <c r="G1505" t="s">
        <v>7</v>
      </c>
      <c r="H1505">
        <v>-2</v>
      </c>
      <c r="K1505" t="s">
        <v>9</v>
      </c>
      <c r="L1505" s="8">
        <f t="shared" si="2886"/>
        <v>-1</v>
      </c>
      <c r="M1505" t="s">
        <v>1653</v>
      </c>
    </row>
    <row r="1506" spans="1:13" x14ac:dyDescent="0.35">
      <c r="A1506">
        <f t="shared" si="2869"/>
        <v>1502</v>
      </c>
      <c r="B1506" s="9">
        <f t="shared" ref="B1506" si="2980">B1505+H1506+I1506+J1506</f>
        <v>51.320000000000007</v>
      </c>
      <c r="C1506" s="3" t="s">
        <v>1651</v>
      </c>
      <c r="D1506">
        <f t="shared" ref="D1506" si="2981">_xlfn.NUMBERVALUE(LEFT(C1506,2))</f>
        <v>4</v>
      </c>
      <c r="E1506">
        <f t="shared" ref="E1506" si="2982">_xlfn.NUMBERVALUE(MID(C1506,4,2))</f>
        <v>12</v>
      </c>
      <c r="F1506">
        <f t="shared" ref="F1506" si="2983">_xlfn.NUMBERVALUE(RIGHT(C1506,4))</f>
        <v>2023</v>
      </c>
      <c r="G1506" t="s">
        <v>7</v>
      </c>
      <c r="H1506">
        <v>-2</v>
      </c>
      <c r="K1506" t="s">
        <v>9</v>
      </c>
      <c r="L1506" s="8">
        <f t="shared" si="2886"/>
        <v>-1</v>
      </c>
      <c r="M1506" t="s">
        <v>1654</v>
      </c>
    </row>
    <row r="1507" spans="1:13" x14ac:dyDescent="0.35">
      <c r="A1507">
        <f t="shared" si="2869"/>
        <v>1503</v>
      </c>
      <c r="B1507" s="9">
        <f t="shared" ref="B1507" si="2984">B1506+H1507+I1507+J1507</f>
        <v>53.320000000000007</v>
      </c>
      <c r="C1507" s="3" t="s">
        <v>1651</v>
      </c>
      <c r="D1507">
        <f t="shared" ref="D1507" si="2985">_xlfn.NUMBERVALUE(LEFT(C1507,2))</f>
        <v>4</v>
      </c>
      <c r="E1507">
        <f t="shared" ref="E1507" si="2986">_xlfn.NUMBERVALUE(MID(C1507,4,2))</f>
        <v>12</v>
      </c>
      <c r="F1507">
        <f t="shared" ref="F1507" si="2987">_xlfn.NUMBERVALUE(RIGHT(C1507,4))</f>
        <v>2023</v>
      </c>
      <c r="G1507" t="s">
        <v>7</v>
      </c>
      <c r="H1507">
        <v>-2</v>
      </c>
      <c r="I1507">
        <v>4</v>
      </c>
      <c r="K1507" t="s">
        <v>10</v>
      </c>
      <c r="L1507" s="8">
        <f t="shared" si="2886"/>
        <v>1</v>
      </c>
      <c r="M1507" t="s">
        <v>1655</v>
      </c>
    </row>
    <row r="1508" spans="1:13" x14ac:dyDescent="0.35">
      <c r="A1508">
        <f t="shared" si="2869"/>
        <v>1504</v>
      </c>
      <c r="B1508" s="9">
        <f t="shared" ref="B1508" si="2988">B1507+H1508+I1508+J1508</f>
        <v>55.320000000000007</v>
      </c>
      <c r="C1508" s="3" t="s">
        <v>1651</v>
      </c>
      <c r="D1508">
        <f t="shared" ref="D1508" si="2989">_xlfn.NUMBERVALUE(LEFT(C1508,2))</f>
        <v>4</v>
      </c>
      <c r="E1508">
        <f t="shared" ref="E1508" si="2990">_xlfn.NUMBERVALUE(MID(C1508,4,2))</f>
        <v>12</v>
      </c>
      <c r="F1508">
        <f t="shared" ref="F1508" si="2991">_xlfn.NUMBERVALUE(RIGHT(C1508,4))</f>
        <v>2023</v>
      </c>
      <c r="G1508" t="s">
        <v>7</v>
      </c>
      <c r="H1508">
        <v>-2</v>
      </c>
      <c r="I1508">
        <v>4</v>
      </c>
      <c r="K1508" t="s">
        <v>10</v>
      </c>
      <c r="L1508" s="8">
        <f t="shared" si="2886"/>
        <v>1</v>
      </c>
      <c r="M1508" t="s">
        <v>1656</v>
      </c>
    </row>
    <row r="1509" spans="1:13" x14ac:dyDescent="0.35">
      <c r="A1509">
        <f t="shared" si="2869"/>
        <v>1505</v>
      </c>
      <c r="B1509" s="9">
        <f t="shared" ref="B1509" si="2992">B1508+H1509+I1509+J1509</f>
        <v>57.320000000000007</v>
      </c>
      <c r="C1509" s="3" t="s">
        <v>1651</v>
      </c>
      <c r="D1509">
        <f t="shared" ref="D1509" si="2993">_xlfn.NUMBERVALUE(LEFT(C1509,2))</f>
        <v>4</v>
      </c>
      <c r="E1509">
        <f t="shared" ref="E1509" si="2994">_xlfn.NUMBERVALUE(MID(C1509,4,2))</f>
        <v>12</v>
      </c>
      <c r="F1509">
        <f t="shared" ref="F1509" si="2995">_xlfn.NUMBERVALUE(RIGHT(C1509,4))</f>
        <v>2023</v>
      </c>
      <c r="G1509" t="s">
        <v>7</v>
      </c>
      <c r="H1509">
        <v>-2</v>
      </c>
      <c r="I1509">
        <v>4</v>
      </c>
      <c r="K1509" t="s">
        <v>10</v>
      </c>
      <c r="L1509" s="8">
        <f t="shared" si="2886"/>
        <v>1</v>
      </c>
      <c r="M1509" t="s">
        <v>1657</v>
      </c>
    </row>
    <row r="1510" spans="1:13" x14ac:dyDescent="0.35">
      <c r="A1510">
        <f t="shared" si="2869"/>
        <v>1506</v>
      </c>
      <c r="B1510" s="9">
        <f t="shared" ref="B1510" si="2996">B1509+H1510+I1510+J1510</f>
        <v>63.320000000000007</v>
      </c>
      <c r="C1510" s="3" t="s">
        <v>1651</v>
      </c>
      <c r="D1510">
        <f t="shared" ref="D1510" si="2997">_xlfn.NUMBERVALUE(LEFT(C1510,2))</f>
        <v>4</v>
      </c>
      <c r="E1510">
        <f t="shared" ref="E1510" si="2998">_xlfn.NUMBERVALUE(MID(C1510,4,2))</f>
        <v>12</v>
      </c>
      <c r="F1510">
        <f t="shared" ref="F1510" si="2999">_xlfn.NUMBERVALUE(RIGHT(C1510,4))</f>
        <v>2023</v>
      </c>
      <c r="G1510" t="s">
        <v>7</v>
      </c>
      <c r="H1510">
        <v>-2</v>
      </c>
      <c r="I1510">
        <v>8</v>
      </c>
      <c r="K1510" t="s">
        <v>10</v>
      </c>
      <c r="L1510" s="8">
        <f t="shared" si="2886"/>
        <v>3</v>
      </c>
      <c r="M1510" t="s">
        <v>1658</v>
      </c>
    </row>
    <row r="1511" spans="1:13" x14ac:dyDescent="0.35">
      <c r="A1511">
        <f t="shared" si="2869"/>
        <v>1507</v>
      </c>
      <c r="B1511" s="9">
        <f t="shared" ref="B1511" si="3000">B1510+H1511+I1511+J1511</f>
        <v>67.320000000000007</v>
      </c>
      <c r="C1511" s="3" t="s">
        <v>1651</v>
      </c>
      <c r="D1511">
        <f t="shared" ref="D1511" si="3001">_xlfn.NUMBERVALUE(LEFT(C1511,2))</f>
        <v>4</v>
      </c>
      <c r="E1511">
        <f t="shared" ref="E1511" si="3002">_xlfn.NUMBERVALUE(MID(C1511,4,2))</f>
        <v>12</v>
      </c>
      <c r="F1511">
        <f t="shared" ref="F1511" si="3003">_xlfn.NUMBERVALUE(RIGHT(C1511,4))</f>
        <v>2023</v>
      </c>
      <c r="G1511" t="s">
        <v>7</v>
      </c>
      <c r="H1511">
        <v>-2</v>
      </c>
      <c r="I1511">
        <v>6</v>
      </c>
      <c r="K1511" t="s">
        <v>10</v>
      </c>
      <c r="L1511" s="8">
        <f t="shared" si="2886"/>
        <v>2</v>
      </c>
      <c r="M1511" t="s">
        <v>1659</v>
      </c>
    </row>
    <row r="1512" spans="1:13" x14ac:dyDescent="0.35">
      <c r="A1512">
        <f t="shared" si="2869"/>
        <v>1508</v>
      </c>
      <c r="B1512" s="9">
        <f t="shared" ref="B1512" si="3004">B1511+H1512+I1512+J1512</f>
        <v>65.320000000000007</v>
      </c>
      <c r="C1512" s="3" t="s">
        <v>1651</v>
      </c>
      <c r="D1512">
        <f t="shared" ref="D1512" si="3005">_xlfn.NUMBERVALUE(LEFT(C1512,2))</f>
        <v>4</v>
      </c>
      <c r="E1512">
        <f t="shared" ref="E1512" si="3006">_xlfn.NUMBERVALUE(MID(C1512,4,2))</f>
        <v>12</v>
      </c>
      <c r="F1512">
        <f t="shared" ref="F1512" si="3007">_xlfn.NUMBERVALUE(RIGHT(C1512,4))</f>
        <v>2023</v>
      </c>
      <c r="G1512" t="s">
        <v>7</v>
      </c>
      <c r="H1512">
        <v>-2</v>
      </c>
      <c r="K1512" t="s">
        <v>9</v>
      </c>
      <c r="L1512" s="8">
        <f t="shared" si="2886"/>
        <v>-1</v>
      </c>
      <c r="M1512" t="s">
        <v>1660</v>
      </c>
    </row>
    <row r="1513" spans="1:13" x14ac:dyDescent="0.35">
      <c r="A1513">
        <f t="shared" si="2869"/>
        <v>1509</v>
      </c>
      <c r="B1513" s="9">
        <f t="shared" ref="B1513" si="3008">B1512+H1513+I1513+J1513</f>
        <v>63.320000000000007</v>
      </c>
      <c r="C1513" s="3" t="s">
        <v>1661</v>
      </c>
      <c r="D1513">
        <f t="shared" ref="D1513" si="3009">_xlfn.NUMBERVALUE(LEFT(C1513,2))</f>
        <v>5</v>
      </c>
      <c r="E1513">
        <f t="shared" ref="E1513" si="3010">_xlfn.NUMBERVALUE(MID(C1513,4,2))</f>
        <v>12</v>
      </c>
      <c r="F1513">
        <f t="shared" ref="F1513" si="3011">_xlfn.NUMBERVALUE(RIGHT(C1513,4))</f>
        <v>2023</v>
      </c>
      <c r="G1513" t="s">
        <v>7</v>
      </c>
      <c r="H1513">
        <v>-2</v>
      </c>
      <c r="K1513" t="s">
        <v>9</v>
      </c>
      <c r="L1513" s="8">
        <f t="shared" si="2886"/>
        <v>-1</v>
      </c>
      <c r="M1513" t="s">
        <v>1662</v>
      </c>
    </row>
    <row r="1514" spans="1:13" x14ac:dyDescent="0.35">
      <c r="A1514">
        <f t="shared" si="2869"/>
        <v>1510</v>
      </c>
      <c r="B1514" s="9">
        <f t="shared" ref="B1514" si="3012">B1513+H1514+I1514+J1514</f>
        <v>65.320000000000007</v>
      </c>
      <c r="C1514" s="3" t="s">
        <v>1661</v>
      </c>
      <c r="D1514">
        <f t="shared" ref="D1514" si="3013">_xlfn.NUMBERVALUE(LEFT(C1514,2))</f>
        <v>5</v>
      </c>
      <c r="E1514">
        <f t="shared" ref="E1514" si="3014">_xlfn.NUMBERVALUE(MID(C1514,4,2))</f>
        <v>12</v>
      </c>
      <c r="F1514">
        <f t="shared" ref="F1514" si="3015">_xlfn.NUMBERVALUE(RIGHT(C1514,4))</f>
        <v>2023</v>
      </c>
      <c r="G1514" t="s">
        <v>7</v>
      </c>
      <c r="H1514">
        <v>-2</v>
      </c>
      <c r="I1514">
        <v>4</v>
      </c>
      <c r="K1514" t="s">
        <v>10</v>
      </c>
      <c r="L1514" s="8">
        <f t="shared" si="2886"/>
        <v>1</v>
      </c>
      <c r="M1514" t="s">
        <v>1663</v>
      </c>
    </row>
    <row r="1515" spans="1:13" x14ac:dyDescent="0.35">
      <c r="A1515">
        <f t="shared" si="2869"/>
        <v>1511</v>
      </c>
      <c r="B1515" s="9">
        <f t="shared" ref="B1515" si="3016">B1514+H1515+I1515+J1515</f>
        <v>69.320000000000007</v>
      </c>
      <c r="C1515" s="3" t="s">
        <v>1661</v>
      </c>
      <c r="D1515">
        <f t="shared" ref="D1515" si="3017">_xlfn.NUMBERVALUE(LEFT(C1515,2))</f>
        <v>5</v>
      </c>
      <c r="E1515">
        <f t="shared" ref="E1515" si="3018">_xlfn.NUMBERVALUE(MID(C1515,4,2))</f>
        <v>12</v>
      </c>
      <c r="F1515">
        <f t="shared" ref="F1515" si="3019">_xlfn.NUMBERVALUE(RIGHT(C1515,4))</f>
        <v>2023</v>
      </c>
      <c r="G1515" t="s">
        <v>7</v>
      </c>
      <c r="I1515">
        <v>4</v>
      </c>
      <c r="K1515" t="s">
        <v>10</v>
      </c>
      <c r="L1515" s="8">
        <f t="shared" si="2886"/>
        <v>0</v>
      </c>
      <c r="M1515" t="s">
        <v>1664</v>
      </c>
    </row>
    <row r="1516" spans="1:13" x14ac:dyDescent="0.35">
      <c r="A1516">
        <f t="shared" si="2869"/>
        <v>1512</v>
      </c>
      <c r="B1516" s="9">
        <f t="shared" ref="B1516" si="3020">B1515+H1516+I1516+J1516</f>
        <v>67.320000000000007</v>
      </c>
      <c r="C1516" s="3" t="s">
        <v>1661</v>
      </c>
      <c r="D1516">
        <f t="shared" ref="D1516" si="3021">_xlfn.NUMBERVALUE(LEFT(C1516,2))</f>
        <v>5</v>
      </c>
      <c r="E1516">
        <f t="shared" ref="E1516" si="3022">_xlfn.NUMBERVALUE(MID(C1516,4,2))</f>
        <v>12</v>
      </c>
      <c r="F1516">
        <f t="shared" ref="F1516" si="3023">_xlfn.NUMBERVALUE(RIGHT(C1516,4))</f>
        <v>2023</v>
      </c>
      <c r="G1516" t="s">
        <v>7</v>
      </c>
      <c r="H1516">
        <v>-2</v>
      </c>
      <c r="K1516" t="s">
        <v>9</v>
      </c>
      <c r="L1516" s="8">
        <f t="shared" si="2886"/>
        <v>-1</v>
      </c>
      <c r="M1516" t="s">
        <v>1665</v>
      </c>
    </row>
    <row r="1517" spans="1:13" x14ac:dyDescent="0.35">
      <c r="A1517">
        <f t="shared" si="2869"/>
        <v>1513</v>
      </c>
      <c r="B1517" s="9">
        <f t="shared" ref="B1517" si="3024">B1516+H1517+I1517+J1517</f>
        <v>73.320000000000007</v>
      </c>
      <c r="C1517" s="3" t="s">
        <v>1661</v>
      </c>
      <c r="D1517">
        <f t="shared" ref="D1517" si="3025">_xlfn.NUMBERVALUE(LEFT(C1517,2))</f>
        <v>5</v>
      </c>
      <c r="E1517">
        <f t="shared" ref="E1517" si="3026">_xlfn.NUMBERVALUE(MID(C1517,4,2))</f>
        <v>12</v>
      </c>
      <c r="F1517">
        <f t="shared" ref="F1517" si="3027">_xlfn.NUMBERVALUE(RIGHT(C1517,4))</f>
        <v>2023</v>
      </c>
      <c r="G1517" t="s">
        <v>7</v>
      </c>
      <c r="I1517">
        <v>6</v>
      </c>
      <c r="K1517" t="s">
        <v>10</v>
      </c>
      <c r="L1517" s="8">
        <f t="shared" si="2886"/>
        <v>0</v>
      </c>
      <c r="M1517" t="s">
        <v>1666</v>
      </c>
    </row>
    <row r="1518" spans="1:13" x14ac:dyDescent="0.35">
      <c r="A1518">
        <f t="shared" si="2869"/>
        <v>1514</v>
      </c>
      <c r="B1518" s="9">
        <f t="shared" ref="B1518" si="3028">B1517+H1518+I1518+J1518</f>
        <v>71.320000000000007</v>
      </c>
      <c r="C1518" s="3" t="s">
        <v>1667</v>
      </c>
      <c r="D1518">
        <f t="shared" ref="D1518" si="3029">_xlfn.NUMBERVALUE(LEFT(C1518,2))</f>
        <v>6</v>
      </c>
      <c r="E1518">
        <f t="shared" ref="E1518" si="3030">_xlfn.NUMBERVALUE(MID(C1518,4,2))</f>
        <v>12</v>
      </c>
      <c r="F1518">
        <f t="shared" ref="F1518" si="3031">_xlfn.NUMBERVALUE(RIGHT(C1518,4))</f>
        <v>2023</v>
      </c>
      <c r="G1518" t="s">
        <v>7</v>
      </c>
      <c r="H1518">
        <v>-2</v>
      </c>
      <c r="K1518" t="s">
        <v>9</v>
      </c>
      <c r="L1518" s="8">
        <f t="shared" si="2886"/>
        <v>-1</v>
      </c>
      <c r="M1518" t="s">
        <v>1668</v>
      </c>
    </row>
    <row r="1519" spans="1:13" x14ac:dyDescent="0.35">
      <c r="A1519">
        <f t="shared" si="2869"/>
        <v>1515</v>
      </c>
      <c r="B1519" s="9">
        <f t="shared" ref="B1519" si="3032">B1518+H1519+I1519+J1519</f>
        <v>69.320000000000007</v>
      </c>
      <c r="C1519" s="3" t="s">
        <v>1667</v>
      </c>
      <c r="D1519">
        <f t="shared" ref="D1519" si="3033">_xlfn.NUMBERVALUE(LEFT(C1519,2))</f>
        <v>6</v>
      </c>
      <c r="E1519">
        <f t="shared" ref="E1519" si="3034">_xlfn.NUMBERVALUE(MID(C1519,4,2))</f>
        <v>12</v>
      </c>
      <c r="F1519">
        <f t="shared" ref="F1519" si="3035">_xlfn.NUMBERVALUE(RIGHT(C1519,4))</f>
        <v>2023</v>
      </c>
      <c r="G1519" t="s">
        <v>7</v>
      </c>
      <c r="H1519">
        <v>-2</v>
      </c>
      <c r="K1519" t="s">
        <v>9</v>
      </c>
      <c r="L1519" s="8">
        <f t="shared" si="2886"/>
        <v>-1</v>
      </c>
      <c r="M1519" t="s">
        <v>1669</v>
      </c>
    </row>
    <row r="1520" spans="1:13" x14ac:dyDescent="0.35">
      <c r="A1520">
        <f t="shared" si="2869"/>
        <v>1516</v>
      </c>
      <c r="B1520" s="9">
        <f t="shared" ref="B1520" si="3036">B1519+H1520+I1520+J1520</f>
        <v>67.320000000000007</v>
      </c>
      <c r="C1520" s="3" t="s">
        <v>1667</v>
      </c>
      <c r="D1520">
        <f t="shared" ref="D1520" si="3037">_xlfn.NUMBERVALUE(LEFT(C1520,2))</f>
        <v>6</v>
      </c>
      <c r="E1520">
        <f t="shared" ref="E1520" si="3038">_xlfn.NUMBERVALUE(MID(C1520,4,2))</f>
        <v>12</v>
      </c>
      <c r="F1520">
        <f t="shared" ref="F1520" si="3039">_xlfn.NUMBERVALUE(RIGHT(C1520,4))</f>
        <v>2023</v>
      </c>
      <c r="G1520" t="s">
        <v>7</v>
      </c>
      <c r="H1520">
        <v>-2</v>
      </c>
      <c r="K1520" t="s">
        <v>9</v>
      </c>
      <c r="L1520" s="8">
        <f t="shared" si="2886"/>
        <v>-1</v>
      </c>
      <c r="M1520" t="s">
        <v>1670</v>
      </c>
    </row>
    <row r="1521" spans="1:13" x14ac:dyDescent="0.35">
      <c r="A1521">
        <f t="shared" si="2869"/>
        <v>1517</v>
      </c>
      <c r="B1521" s="9">
        <f t="shared" ref="B1521:B1522" si="3040">B1520+H1521+I1521+J1521</f>
        <v>83.4</v>
      </c>
      <c r="C1521" s="3" t="s">
        <v>1667</v>
      </c>
      <c r="D1521">
        <f t="shared" ref="D1521:D1522" si="3041">_xlfn.NUMBERVALUE(LEFT(C1521,2))</f>
        <v>6</v>
      </c>
      <c r="E1521">
        <f t="shared" ref="E1521:E1522" si="3042">_xlfn.NUMBERVALUE(MID(C1521,4,2))</f>
        <v>12</v>
      </c>
      <c r="F1521">
        <f t="shared" ref="F1521:F1522" si="3043">_xlfn.NUMBERVALUE(RIGHT(C1521,4))</f>
        <v>2023</v>
      </c>
      <c r="G1521" t="s">
        <v>44</v>
      </c>
      <c r="H1521">
        <v>-11</v>
      </c>
      <c r="I1521">
        <v>10.199999999999999</v>
      </c>
      <c r="J1521">
        <v>16.88</v>
      </c>
      <c r="K1521" t="s">
        <v>10</v>
      </c>
      <c r="L1521" s="8">
        <f t="shared" si="2886"/>
        <v>1.4618181818181815</v>
      </c>
      <c r="M1521" t="s">
        <v>1671</v>
      </c>
    </row>
    <row r="1522" spans="1:13" x14ac:dyDescent="0.35">
      <c r="A1522">
        <f t="shared" si="2869"/>
        <v>1518</v>
      </c>
      <c r="B1522" s="9">
        <f t="shared" si="3040"/>
        <v>81.400000000000006</v>
      </c>
      <c r="C1522" s="3" t="s">
        <v>1667</v>
      </c>
      <c r="D1522">
        <f t="shared" si="3041"/>
        <v>6</v>
      </c>
      <c r="E1522">
        <f t="shared" si="3042"/>
        <v>12</v>
      </c>
      <c r="F1522">
        <f t="shared" si="3043"/>
        <v>2023</v>
      </c>
      <c r="G1522" t="s">
        <v>7</v>
      </c>
      <c r="H1522">
        <v>-2</v>
      </c>
      <c r="K1522" t="s">
        <v>9</v>
      </c>
      <c r="L1522" s="8">
        <f t="shared" si="2886"/>
        <v>-1</v>
      </c>
      <c r="M1522" t="s">
        <v>1672</v>
      </c>
    </row>
    <row r="1523" spans="1:13" x14ac:dyDescent="0.35">
      <c r="A1523">
        <f t="shared" si="2869"/>
        <v>1519</v>
      </c>
      <c r="B1523" s="9">
        <f t="shared" ref="B1523" si="3044">B1522+H1523+I1523+J1523</f>
        <v>79.400000000000006</v>
      </c>
      <c r="C1523" s="3" t="s">
        <v>1673</v>
      </c>
      <c r="D1523">
        <f t="shared" ref="D1523" si="3045">_xlfn.NUMBERVALUE(LEFT(C1523,2))</f>
        <v>7</v>
      </c>
      <c r="E1523">
        <f t="shared" ref="E1523" si="3046">_xlfn.NUMBERVALUE(MID(C1523,4,2))</f>
        <v>12</v>
      </c>
      <c r="F1523">
        <f t="shared" ref="F1523" si="3047">_xlfn.NUMBERVALUE(RIGHT(C1523,4))</f>
        <v>2023</v>
      </c>
      <c r="G1523" t="s">
        <v>7</v>
      </c>
      <c r="H1523">
        <v>-2</v>
      </c>
      <c r="K1523" t="s">
        <v>9</v>
      </c>
      <c r="L1523" s="8">
        <f t="shared" si="2886"/>
        <v>-1</v>
      </c>
      <c r="M1523" t="s">
        <v>1674</v>
      </c>
    </row>
    <row r="1524" spans="1:13" x14ac:dyDescent="0.35">
      <c r="A1524">
        <f t="shared" si="2869"/>
        <v>1520</v>
      </c>
      <c r="B1524" s="9">
        <f t="shared" ref="B1524" si="3048">B1523+H1524+I1524+J1524</f>
        <v>77.400000000000006</v>
      </c>
      <c r="C1524" s="3" t="s">
        <v>1673</v>
      </c>
      <c r="D1524">
        <f t="shared" ref="D1524" si="3049">_xlfn.NUMBERVALUE(LEFT(C1524,2))</f>
        <v>7</v>
      </c>
      <c r="E1524">
        <f t="shared" ref="E1524" si="3050">_xlfn.NUMBERVALUE(MID(C1524,4,2))</f>
        <v>12</v>
      </c>
      <c r="F1524">
        <f t="shared" ref="F1524" si="3051">_xlfn.NUMBERVALUE(RIGHT(C1524,4))</f>
        <v>2023</v>
      </c>
      <c r="G1524" t="s">
        <v>7</v>
      </c>
      <c r="H1524">
        <v>-2</v>
      </c>
      <c r="K1524" t="s">
        <v>9</v>
      </c>
      <c r="L1524" s="8">
        <f t="shared" si="2886"/>
        <v>-1</v>
      </c>
      <c r="M1524" t="s">
        <v>1675</v>
      </c>
    </row>
    <row r="1525" spans="1:13" x14ac:dyDescent="0.35">
      <c r="A1525">
        <f t="shared" si="2869"/>
        <v>1521</v>
      </c>
      <c r="B1525" s="9">
        <f t="shared" ref="B1525" si="3052">B1524+H1525+I1525+J1525</f>
        <v>79.400000000000006</v>
      </c>
      <c r="C1525" s="3" t="s">
        <v>1673</v>
      </c>
      <c r="D1525">
        <f t="shared" ref="D1525" si="3053">_xlfn.NUMBERVALUE(LEFT(C1525,2))</f>
        <v>7</v>
      </c>
      <c r="E1525">
        <f t="shared" ref="E1525" si="3054">_xlfn.NUMBERVALUE(MID(C1525,4,2))</f>
        <v>12</v>
      </c>
      <c r="F1525">
        <f t="shared" ref="F1525" si="3055">_xlfn.NUMBERVALUE(RIGHT(C1525,4))</f>
        <v>2023</v>
      </c>
      <c r="G1525" t="s">
        <v>7</v>
      </c>
      <c r="H1525">
        <v>-2</v>
      </c>
      <c r="I1525">
        <v>4</v>
      </c>
      <c r="K1525" t="s">
        <v>10</v>
      </c>
      <c r="L1525" s="8">
        <f t="shared" si="2886"/>
        <v>1</v>
      </c>
      <c r="M1525" t="s">
        <v>1676</v>
      </c>
    </row>
    <row r="1526" spans="1:13" x14ac:dyDescent="0.35">
      <c r="A1526">
        <f t="shared" si="2869"/>
        <v>1522</v>
      </c>
      <c r="B1526" s="9">
        <f t="shared" ref="B1526" si="3056">B1525+H1526+I1526+J1526</f>
        <v>77.400000000000006</v>
      </c>
      <c r="C1526" s="3" t="s">
        <v>1673</v>
      </c>
      <c r="D1526">
        <f t="shared" ref="D1526" si="3057">_xlfn.NUMBERVALUE(LEFT(C1526,2))</f>
        <v>7</v>
      </c>
      <c r="E1526">
        <f t="shared" ref="E1526" si="3058">_xlfn.NUMBERVALUE(MID(C1526,4,2))</f>
        <v>12</v>
      </c>
      <c r="F1526">
        <f t="shared" ref="F1526" si="3059">_xlfn.NUMBERVALUE(RIGHT(C1526,4))</f>
        <v>2023</v>
      </c>
      <c r="G1526" t="s">
        <v>7</v>
      </c>
      <c r="H1526">
        <v>-2</v>
      </c>
      <c r="K1526" t="s">
        <v>9</v>
      </c>
      <c r="L1526" s="8">
        <f t="shared" si="2886"/>
        <v>-1</v>
      </c>
      <c r="M1526" t="s">
        <v>1677</v>
      </c>
    </row>
    <row r="1527" spans="1:13" x14ac:dyDescent="0.35">
      <c r="A1527">
        <f t="shared" si="2869"/>
        <v>1523</v>
      </c>
      <c r="B1527" s="9">
        <f t="shared" ref="B1527" si="3060">B1526+H1527+I1527+J1527</f>
        <v>75.400000000000006</v>
      </c>
      <c r="C1527" s="3" t="s">
        <v>1673</v>
      </c>
      <c r="D1527">
        <f t="shared" ref="D1527" si="3061">_xlfn.NUMBERVALUE(LEFT(C1527,2))</f>
        <v>7</v>
      </c>
      <c r="E1527">
        <f t="shared" ref="E1527" si="3062">_xlfn.NUMBERVALUE(MID(C1527,4,2))</f>
        <v>12</v>
      </c>
      <c r="F1527">
        <f t="shared" ref="F1527" si="3063">_xlfn.NUMBERVALUE(RIGHT(C1527,4))</f>
        <v>2023</v>
      </c>
      <c r="G1527" t="s">
        <v>7</v>
      </c>
      <c r="H1527">
        <v>-2</v>
      </c>
      <c r="K1527" t="s">
        <v>9</v>
      </c>
      <c r="L1527" s="8">
        <f t="shared" si="2886"/>
        <v>-1</v>
      </c>
      <c r="M1527" t="s">
        <v>1678</v>
      </c>
    </row>
    <row r="1528" spans="1:13" x14ac:dyDescent="0.35">
      <c r="A1528">
        <f t="shared" si="2869"/>
        <v>1524</v>
      </c>
      <c r="B1528" s="9">
        <f t="shared" ref="B1528" si="3064">B1527+H1528+I1528+J1528</f>
        <v>73.400000000000006</v>
      </c>
      <c r="C1528" s="3" t="s">
        <v>1673</v>
      </c>
      <c r="D1528">
        <f t="shared" ref="D1528" si="3065">_xlfn.NUMBERVALUE(LEFT(C1528,2))</f>
        <v>7</v>
      </c>
      <c r="E1528">
        <f t="shared" ref="E1528" si="3066">_xlfn.NUMBERVALUE(MID(C1528,4,2))</f>
        <v>12</v>
      </c>
      <c r="F1528">
        <f t="shared" ref="F1528" si="3067">_xlfn.NUMBERVALUE(RIGHT(C1528,4))</f>
        <v>2023</v>
      </c>
      <c r="G1528" t="s">
        <v>7</v>
      </c>
      <c r="H1528">
        <v>-2</v>
      </c>
      <c r="K1528" t="s">
        <v>9</v>
      </c>
      <c r="L1528" s="8">
        <f t="shared" si="2886"/>
        <v>-1</v>
      </c>
      <c r="M1528" t="s">
        <v>1679</v>
      </c>
    </row>
    <row r="1529" spans="1:13" x14ac:dyDescent="0.35">
      <c r="A1529">
        <f t="shared" si="2869"/>
        <v>1525</v>
      </c>
      <c r="B1529" s="9">
        <f t="shared" ref="B1529" si="3068">B1528+H1529+I1529+J1529</f>
        <v>77.400000000000006</v>
      </c>
      <c r="C1529" s="3" t="s">
        <v>1673</v>
      </c>
      <c r="D1529">
        <f t="shared" ref="D1529" si="3069">_xlfn.NUMBERVALUE(LEFT(C1529,2))</f>
        <v>7</v>
      </c>
      <c r="E1529">
        <f t="shared" ref="E1529" si="3070">_xlfn.NUMBERVALUE(MID(C1529,4,2))</f>
        <v>12</v>
      </c>
      <c r="F1529">
        <f t="shared" ref="F1529" si="3071">_xlfn.NUMBERVALUE(RIGHT(C1529,4))</f>
        <v>2023</v>
      </c>
      <c r="G1529" t="s">
        <v>7</v>
      </c>
      <c r="H1529">
        <v>-2</v>
      </c>
      <c r="I1529">
        <v>6</v>
      </c>
      <c r="K1529" t="s">
        <v>10</v>
      </c>
      <c r="L1529" s="8">
        <f t="shared" si="2886"/>
        <v>2</v>
      </c>
      <c r="M1529" t="s">
        <v>1680</v>
      </c>
    </row>
    <row r="1530" spans="1:13" x14ac:dyDescent="0.35">
      <c r="A1530">
        <f t="shared" si="2869"/>
        <v>1526</v>
      </c>
      <c r="B1530" s="9">
        <f t="shared" ref="B1530" si="3072">B1529+H1530+I1530+J1530</f>
        <v>75.400000000000006</v>
      </c>
      <c r="C1530" s="3" t="s">
        <v>1673</v>
      </c>
      <c r="D1530">
        <f t="shared" ref="D1530" si="3073">_xlfn.NUMBERVALUE(LEFT(C1530,2))</f>
        <v>7</v>
      </c>
      <c r="E1530">
        <f t="shared" ref="E1530" si="3074">_xlfn.NUMBERVALUE(MID(C1530,4,2))</f>
        <v>12</v>
      </c>
      <c r="F1530">
        <f t="shared" ref="F1530" si="3075">_xlfn.NUMBERVALUE(RIGHT(C1530,4))</f>
        <v>2023</v>
      </c>
      <c r="G1530" t="s">
        <v>7</v>
      </c>
      <c r="H1530">
        <v>-2</v>
      </c>
      <c r="K1530" t="s">
        <v>9</v>
      </c>
      <c r="L1530" s="8">
        <f t="shared" si="2886"/>
        <v>-1</v>
      </c>
      <c r="M1530" t="s">
        <v>1681</v>
      </c>
    </row>
    <row r="1531" spans="1:13" x14ac:dyDescent="0.35">
      <c r="A1531">
        <f t="shared" si="2869"/>
        <v>1527</v>
      </c>
      <c r="B1531" s="9">
        <f t="shared" ref="B1531" si="3076">B1530+H1531+I1531+J1531</f>
        <v>73.400000000000006</v>
      </c>
      <c r="C1531" s="3" t="s">
        <v>1673</v>
      </c>
      <c r="D1531">
        <f t="shared" ref="D1531" si="3077">_xlfn.NUMBERVALUE(LEFT(C1531,2))</f>
        <v>7</v>
      </c>
      <c r="E1531">
        <f t="shared" ref="E1531" si="3078">_xlfn.NUMBERVALUE(MID(C1531,4,2))</f>
        <v>12</v>
      </c>
      <c r="F1531">
        <f t="shared" ref="F1531" si="3079">_xlfn.NUMBERVALUE(RIGHT(C1531,4))</f>
        <v>2023</v>
      </c>
      <c r="G1531" t="s">
        <v>7</v>
      </c>
      <c r="H1531">
        <v>-2</v>
      </c>
      <c r="K1531" t="s">
        <v>9</v>
      </c>
      <c r="L1531" s="8">
        <f t="shared" si="2886"/>
        <v>-1</v>
      </c>
      <c r="M1531" t="s">
        <v>1682</v>
      </c>
    </row>
    <row r="1532" spans="1:13" x14ac:dyDescent="0.35">
      <c r="A1532">
        <f t="shared" si="2869"/>
        <v>1528</v>
      </c>
      <c r="B1532" s="9">
        <f t="shared" ref="B1532" si="3080">B1531+H1532+I1532+J1532</f>
        <v>71.400000000000006</v>
      </c>
      <c r="C1532" s="3" t="s">
        <v>1673</v>
      </c>
      <c r="D1532">
        <f t="shared" ref="D1532" si="3081">_xlfn.NUMBERVALUE(LEFT(C1532,2))</f>
        <v>7</v>
      </c>
      <c r="E1532">
        <f t="shared" ref="E1532" si="3082">_xlfn.NUMBERVALUE(MID(C1532,4,2))</f>
        <v>12</v>
      </c>
      <c r="F1532">
        <f t="shared" ref="F1532" si="3083">_xlfn.NUMBERVALUE(RIGHT(C1532,4))</f>
        <v>2023</v>
      </c>
      <c r="G1532" t="s">
        <v>7</v>
      </c>
      <c r="H1532">
        <v>-2</v>
      </c>
      <c r="K1532" t="s">
        <v>9</v>
      </c>
      <c r="L1532" s="8">
        <f t="shared" si="2886"/>
        <v>-1</v>
      </c>
      <c r="M1532" t="s">
        <v>1683</v>
      </c>
    </row>
    <row r="1533" spans="1:13" x14ac:dyDescent="0.35">
      <c r="A1533">
        <f t="shared" si="2869"/>
        <v>1529</v>
      </c>
      <c r="B1533" s="9">
        <f t="shared" ref="B1533" si="3084">B1532+H1533+I1533+J1533</f>
        <v>69.400000000000006</v>
      </c>
      <c r="C1533" s="3" t="s">
        <v>1673</v>
      </c>
      <c r="D1533">
        <f t="shared" ref="D1533" si="3085">_xlfn.NUMBERVALUE(LEFT(C1533,2))</f>
        <v>7</v>
      </c>
      <c r="E1533">
        <f t="shared" ref="E1533" si="3086">_xlfn.NUMBERVALUE(MID(C1533,4,2))</f>
        <v>12</v>
      </c>
      <c r="F1533">
        <f t="shared" ref="F1533" si="3087">_xlfn.NUMBERVALUE(RIGHT(C1533,4))</f>
        <v>2023</v>
      </c>
      <c r="G1533" t="s">
        <v>7</v>
      </c>
      <c r="H1533">
        <v>-2</v>
      </c>
      <c r="K1533" t="s">
        <v>9</v>
      </c>
      <c r="L1533" s="8">
        <f t="shared" si="2886"/>
        <v>-1</v>
      </c>
      <c r="M1533" t="s">
        <v>1684</v>
      </c>
    </row>
    <row r="1534" spans="1:13" x14ac:dyDescent="0.35">
      <c r="A1534">
        <f t="shared" si="2869"/>
        <v>1530</v>
      </c>
      <c r="B1534" s="9">
        <f t="shared" ref="B1534" si="3088">B1533+H1534+I1534+J1534</f>
        <v>67.400000000000006</v>
      </c>
      <c r="C1534" s="3" t="s">
        <v>1673</v>
      </c>
      <c r="D1534">
        <f t="shared" ref="D1534" si="3089">_xlfn.NUMBERVALUE(LEFT(C1534,2))</f>
        <v>7</v>
      </c>
      <c r="E1534">
        <f t="shared" ref="E1534" si="3090">_xlfn.NUMBERVALUE(MID(C1534,4,2))</f>
        <v>12</v>
      </c>
      <c r="F1534">
        <f t="shared" ref="F1534" si="3091">_xlfn.NUMBERVALUE(RIGHT(C1534,4))</f>
        <v>2023</v>
      </c>
      <c r="G1534" t="s">
        <v>7</v>
      </c>
      <c r="H1534">
        <v>-2</v>
      </c>
      <c r="K1534" t="s">
        <v>9</v>
      </c>
      <c r="L1534" s="8">
        <f t="shared" si="2886"/>
        <v>-1</v>
      </c>
      <c r="M1534" t="s">
        <v>1685</v>
      </c>
    </row>
    <row r="1535" spans="1:13" x14ac:dyDescent="0.35">
      <c r="A1535">
        <f t="shared" si="2869"/>
        <v>1531</v>
      </c>
      <c r="B1535" s="9">
        <f t="shared" ref="B1535" si="3092">B1534+H1535+I1535+J1535</f>
        <v>65.400000000000006</v>
      </c>
      <c r="C1535" s="3" t="s">
        <v>1673</v>
      </c>
      <c r="D1535">
        <f t="shared" ref="D1535" si="3093">_xlfn.NUMBERVALUE(LEFT(C1535,2))</f>
        <v>7</v>
      </c>
      <c r="E1535">
        <f t="shared" ref="E1535" si="3094">_xlfn.NUMBERVALUE(MID(C1535,4,2))</f>
        <v>12</v>
      </c>
      <c r="F1535">
        <f t="shared" ref="F1535" si="3095">_xlfn.NUMBERVALUE(RIGHT(C1535,4))</f>
        <v>2023</v>
      </c>
      <c r="G1535" t="s">
        <v>7</v>
      </c>
      <c r="H1535">
        <v>-2</v>
      </c>
      <c r="K1535" t="s">
        <v>9</v>
      </c>
      <c r="L1535" s="8">
        <f t="shared" si="2886"/>
        <v>-1</v>
      </c>
      <c r="M1535" t="s">
        <v>1686</v>
      </c>
    </row>
    <row r="1536" spans="1:13" x14ac:dyDescent="0.35">
      <c r="A1536">
        <f t="shared" si="2869"/>
        <v>1532</v>
      </c>
      <c r="B1536" s="9">
        <f t="shared" ref="B1536" si="3096">B1535+H1536+I1536+J1536</f>
        <v>63.400000000000006</v>
      </c>
      <c r="C1536" s="3" t="s">
        <v>1673</v>
      </c>
      <c r="D1536">
        <f t="shared" ref="D1536" si="3097">_xlfn.NUMBERVALUE(LEFT(C1536,2))</f>
        <v>7</v>
      </c>
      <c r="E1536">
        <f t="shared" ref="E1536" si="3098">_xlfn.NUMBERVALUE(MID(C1536,4,2))</f>
        <v>12</v>
      </c>
      <c r="F1536">
        <f t="shared" ref="F1536" si="3099">_xlfn.NUMBERVALUE(RIGHT(C1536,4))</f>
        <v>2023</v>
      </c>
      <c r="G1536" t="s">
        <v>7</v>
      </c>
      <c r="H1536">
        <v>-2</v>
      </c>
      <c r="K1536" t="s">
        <v>9</v>
      </c>
      <c r="L1536" s="8">
        <f t="shared" si="2886"/>
        <v>-1</v>
      </c>
      <c r="M1536" t="s">
        <v>1687</v>
      </c>
    </row>
    <row r="1537" spans="1:13" x14ac:dyDescent="0.35">
      <c r="A1537">
        <f t="shared" si="2869"/>
        <v>1533</v>
      </c>
      <c r="B1537" s="9">
        <f t="shared" ref="B1537" si="3100">B1536+H1537+I1537+J1537</f>
        <v>61.400000000000006</v>
      </c>
      <c r="C1537" s="3" t="s">
        <v>1673</v>
      </c>
      <c r="D1537">
        <f t="shared" ref="D1537" si="3101">_xlfn.NUMBERVALUE(LEFT(C1537,2))</f>
        <v>7</v>
      </c>
      <c r="E1537">
        <f t="shared" ref="E1537" si="3102">_xlfn.NUMBERVALUE(MID(C1537,4,2))</f>
        <v>12</v>
      </c>
      <c r="F1537">
        <f t="shared" ref="F1537" si="3103">_xlfn.NUMBERVALUE(RIGHT(C1537,4))</f>
        <v>2023</v>
      </c>
      <c r="G1537" t="s">
        <v>7</v>
      </c>
      <c r="H1537">
        <v>-2</v>
      </c>
      <c r="K1537" t="s">
        <v>9</v>
      </c>
      <c r="L1537" s="8">
        <f t="shared" si="2886"/>
        <v>-1</v>
      </c>
      <c r="M1537" t="s">
        <v>1688</v>
      </c>
    </row>
    <row r="1538" spans="1:13" x14ac:dyDescent="0.35">
      <c r="A1538">
        <f t="shared" si="2869"/>
        <v>1534</v>
      </c>
      <c r="B1538" s="9">
        <f t="shared" ref="B1538" si="3104">B1537+H1538+I1538+J1538</f>
        <v>65.400000000000006</v>
      </c>
      <c r="C1538" s="3" t="s">
        <v>1673</v>
      </c>
      <c r="D1538">
        <f t="shared" ref="D1538" si="3105">_xlfn.NUMBERVALUE(LEFT(C1538,2))</f>
        <v>7</v>
      </c>
      <c r="E1538">
        <f t="shared" ref="E1538" si="3106">_xlfn.NUMBERVALUE(MID(C1538,4,2))</f>
        <v>12</v>
      </c>
      <c r="F1538">
        <f t="shared" ref="F1538" si="3107">_xlfn.NUMBERVALUE(RIGHT(C1538,4))</f>
        <v>2023</v>
      </c>
      <c r="G1538" t="s">
        <v>7</v>
      </c>
      <c r="H1538">
        <v>-2</v>
      </c>
      <c r="I1538">
        <v>6</v>
      </c>
      <c r="K1538" t="s">
        <v>10</v>
      </c>
      <c r="L1538" s="8">
        <f t="shared" si="2886"/>
        <v>2</v>
      </c>
      <c r="M1538" t="s">
        <v>1689</v>
      </c>
    </row>
    <row r="1539" spans="1:13" x14ac:dyDescent="0.35">
      <c r="A1539">
        <f t="shared" si="2869"/>
        <v>1535</v>
      </c>
      <c r="B1539" s="9">
        <f t="shared" ref="B1539" si="3108">B1538+H1539+I1539+J1539</f>
        <v>63.400000000000006</v>
      </c>
      <c r="C1539" s="3" t="s">
        <v>1673</v>
      </c>
      <c r="D1539">
        <f t="shared" ref="D1539" si="3109">_xlfn.NUMBERVALUE(LEFT(C1539,2))</f>
        <v>7</v>
      </c>
      <c r="E1539">
        <f t="shared" ref="E1539" si="3110">_xlfn.NUMBERVALUE(MID(C1539,4,2))</f>
        <v>12</v>
      </c>
      <c r="F1539">
        <f t="shared" ref="F1539" si="3111">_xlfn.NUMBERVALUE(RIGHT(C1539,4))</f>
        <v>2023</v>
      </c>
      <c r="G1539" t="s">
        <v>7</v>
      </c>
      <c r="H1539">
        <v>-2</v>
      </c>
      <c r="K1539" t="s">
        <v>9</v>
      </c>
      <c r="L1539" s="8">
        <f t="shared" si="2886"/>
        <v>-1</v>
      </c>
      <c r="M1539" t="s">
        <v>1690</v>
      </c>
    </row>
    <row r="1540" spans="1:13" x14ac:dyDescent="0.35">
      <c r="A1540">
        <f t="shared" si="2869"/>
        <v>1536</v>
      </c>
      <c r="B1540" s="9">
        <f t="shared" ref="B1540" si="3112">B1539+H1540+I1540+J1540</f>
        <v>61.400000000000006</v>
      </c>
      <c r="C1540" s="3" t="s">
        <v>1673</v>
      </c>
      <c r="D1540">
        <f t="shared" ref="D1540" si="3113">_xlfn.NUMBERVALUE(LEFT(C1540,2))</f>
        <v>7</v>
      </c>
      <c r="E1540">
        <f t="shared" ref="E1540" si="3114">_xlfn.NUMBERVALUE(MID(C1540,4,2))</f>
        <v>12</v>
      </c>
      <c r="F1540">
        <f t="shared" ref="F1540" si="3115">_xlfn.NUMBERVALUE(RIGHT(C1540,4))</f>
        <v>2023</v>
      </c>
      <c r="G1540" t="s">
        <v>7</v>
      </c>
      <c r="H1540">
        <v>-2</v>
      </c>
      <c r="K1540" t="s">
        <v>9</v>
      </c>
      <c r="L1540" s="8">
        <f t="shared" si="2886"/>
        <v>-1</v>
      </c>
      <c r="M1540" t="s">
        <v>1691</v>
      </c>
    </row>
    <row r="1541" spans="1:13" x14ac:dyDescent="0.35">
      <c r="A1541">
        <f t="shared" si="2869"/>
        <v>1537</v>
      </c>
      <c r="B1541" s="9">
        <f t="shared" ref="B1541" si="3116">B1540+H1541+I1541+J1541</f>
        <v>63.400000000000006</v>
      </c>
      <c r="C1541" s="3" t="s">
        <v>1692</v>
      </c>
      <c r="D1541">
        <f t="shared" ref="D1541" si="3117">_xlfn.NUMBERVALUE(LEFT(C1541,2))</f>
        <v>8</v>
      </c>
      <c r="E1541">
        <f t="shared" ref="E1541" si="3118">_xlfn.NUMBERVALUE(MID(C1541,4,2))</f>
        <v>12</v>
      </c>
      <c r="F1541">
        <f t="shared" ref="F1541" si="3119">_xlfn.NUMBERVALUE(RIGHT(C1541,4))</f>
        <v>2023</v>
      </c>
      <c r="G1541" t="s">
        <v>7</v>
      </c>
      <c r="H1541">
        <v>-2</v>
      </c>
      <c r="I1541">
        <v>4</v>
      </c>
      <c r="K1541" t="s">
        <v>10</v>
      </c>
      <c r="L1541" s="8">
        <f t="shared" si="2886"/>
        <v>1</v>
      </c>
      <c r="M1541" t="s">
        <v>1693</v>
      </c>
    </row>
    <row r="1542" spans="1:13" x14ac:dyDescent="0.35">
      <c r="A1542">
        <f t="shared" si="2869"/>
        <v>1538</v>
      </c>
      <c r="B1542" s="9">
        <f t="shared" ref="B1542" si="3120">B1541+H1542+I1542+J1542</f>
        <v>61.400000000000006</v>
      </c>
      <c r="C1542" s="3" t="s">
        <v>1692</v>
      </c>
      <c r="D1542">
        <f t="shared" ref="D1542" si="3121">_xlfn.NUMBERVALUE(LEFT(C1542,2))</f>
        <v>8</v>
      </c>
      <c r="E1542">
        <f t="shared" ref="E1542" si="3122">_xlfn.NUMBERVALUE(MID(C1542,4,2))</f>
        <v>12</v>
      </c>
      <c r="F1542">
        <f t="shared" ref="F1542" si="3123">_xlfn.NUMBERVALUE(RIGHT(C1542,4))</f>
        <v>2023</v>
      </c>
      <c r="G1542" t="s">
        <v>7</v>
      </c>
      <c r="H1542">
        <v>-2</v>
      </c>
      <c r="K1542" t="s">
        <v>9</v>
      </c>
      <c r="L1542" s="8">
        <f t="shared" ref="L1542:L1605" si="3124">IF(H1542="",0,(SUM(I1542:J1542)/-H1542)-1)</f>
        <v>-1</v>
      </c>
      <c r="M1542" t="s">
        <v>1694</v>
      </c>
    </row>
    <row r="1543" spans="1:13" x14ac:dyDescent="0.35">
      <c r="A1543">
        <f t="shared" si="2869"/>
        <v>1539</v>
      </c>
      <c r="B1543" s="9">
        <f t="shared" ref="B1543" si="3125">B1542+H1543+I1543+J1543</f>
        <v>59.400000000000006</v>
      </c>
      <c r="C1543" s="3" t="s">
        <v>1692</v>
      </c>
      <c r="D1543">
        <f t="shared" ref="D1543" si="3126">_xlfn.NUMBERVALUE(LEFT(C1543,2))</f>
        <v>8</v>
      </c>
      <c r="E1543">
        <f t="shared" ref="E1543" si="3127">_xlfn.NUMBERVALUE(MID(C1543,4,2))</f>
        <v>12</v>
      </c>
      <c r="F1543">
        <f t="shared" ref="F1543" si="3128">_xlfn.NUMBERVALUE(RIGHT(C1543,4))</f>
        <v>2023</v>
      </c>
      <c r="G1543" t="s">
        <v>7</v>
      </c>
      <c r="H1543">
        <v>-2</v>
      </c>
      <c r="K1543" t="s">
        <v>9</v>
      </c>
      <c r="L1543" s="8">
        <f t="shared" si="3124"/>
        <v>-1</v>
      </c>
      <c r="M1543" t="s">
        <v>1695</v>
      </c>
    </row>
    <row r="1544" spans="1:13" x14ac:dyDescent="0.35">
      <c r="A1544">
        <f t="shared" si="2869"/>
        <v>1540</v>
      </c>
      <c r="B1544" s="9">
        <f t="shared" ref="B1544" si="3129">B1543+H1544+I1544+J1544</f>
        <v>61.400000000000006</v>
      </c>
      <c r="C1544" s="3" t="s">
        <v>1692</v>
      </c>
      <c r="D1544">
        <f t="shared" ref="D1544" si="3130">_xlfn.NUMBERVALUE(LEFT(C1544,2))</f>
        <v>8</v>
      </c>
      <c r="E1544">
        <f t="shared" ref="E1544" si="3131">_xlfn.NUMBERVALUE(MID(C1544,4,2))</f>
        <v>12</v>
      </c>
      <c r="F1544">
        <f t="shared" ref="F1544" si="3132">_xlfn.NUMBERVALUE(RIGHT(C1544,4))</f>
        <v>2023</v>
      </c>
      <c r="G1544" t="s">
        <v>7</v>
      </c>
      <c r="H1544">
        <v>-2</v>
      </c>
      <c r="I1544">
        <v>4</v>
      </c>
      <c r="K1544" t="s">
        <v>10</v>
      </c>
      <c r="L1544" s="8">
        <f t="shared" si="3124"/>
        <v>1</v>
      </c>
      <c r="M1544" t="s">
        <v>1696</v>
      </c>
    </row>
    <row r="1545" spans="1:13" x14ac:dyDescent="0.35">
      <c r="A1545">
        <f t="shared" si="2869"/>
        <v>1541</v>
      </c>
      <c r="B1545" s="9">
        <f t="shared" ref="B1545" si="3133">B1544+H1545+I1545+J1545</f>
        <v>59.400000000000006</v>
      </c>
      <c r="C1545" s="3" t="s">
        <v>1692</v>
      </c>
      <c r="D1545">
        <f t="shared" ref="D1545" si="3134">_xlfn.NUMBERVALUE(LEFT(C1545,2))</f>
        <v>8</v>
      </c>
      <c r="E1545">
        <f t="shared" ref="E1545" si="3135">_xlfn.NUMBERVALUE(MID(C1545,4,2))</f>
        <v>12</v>
      </c>
      <c r="F1545">
        <f t="shared" ref="F1545" si="3136">_xlfn.NUMBERVALUE(RIGHT(C1545,4))</f>
        <v>2023</v>
      </c>
      <c r="G1545" t="s">
        <v>7</v>
      </c>
      <c r="H1545">
        <v>-2</v>
      </c>
      <c r="K1545" t="s">
        <v>9</v>
      </c>
      <c r="L1545" s="8">
        <f t="shared" si="3124"/>
        <v>-1</v>
      </c>
      <c r="M1545" t="s">
        <v>1697</v>
      </c>
    </row>
    <row r="1546" spans="1:13" x14ac:dyDescent="0.35">
      <c r="A1546">
        <f t="shared" si="2869"/>
        <v>1542</v>
      </c>
      <c r="B1546" s="9">
        <f t="shared" ref="B1546" si="3137">B1545+H1546+I1546+J1546</f>
        <v>57.400000000000006</v>
      </c>
      <c r="C1546" s="3" t="s">
        <v>1692</v>
      </c>
      <c r="D1546">
        <f t="shared" ref="D1546" si="3138">_xlfn.NUMBERVALUE(LEFT(C1546,2))</f>
        <v>8</v>
      </c>
      <c r="E1546">
        <f t="shared" ref="E1546" si="3139">_xlfn.NUMBERVALUE(MID(C1546,4,2))</f>
        <v>12</v>
      </c>
      <c r="F1546">
        <f t="shared" ref="F1546" si="3140">_xlfn.NUMBERVALUE(RIGHT(C1546,4))</f>
        <v>2023</v>
      </c>
      <c r="G1546" t="s">
        <v>7</v>
      </c>
      <c r="H1546">
        <v>-2</v>
      </c>
      <c r="K1546" t="s">
        <v>9</v>
      </c>
      <c r="L1546" s="8">
        <f t="shared" si="3124"/>
        <v>-1</v>
      </c>
      <c r="M1546" t="s">
        <v>1698</v>
      </c>
    </row>
    <row r="1547" spans="1:13" x14ac:dyDescent="0.35">
      <c r="A1547">
        <f t="shared" si="2869"/>
        <v>1543</v>
      </c>
      <c r="B1547" s="9">
        <f t="shared" ref="B1547" si="3141">B1546+H1547+I1547+J1547</f>
        <v>55.400000000000006</v>
      </c>
      <c r="C1547" s="3" t="s">
        <v>1692</v>
      </c>
      <c r="D1547">
        <f t="shared" ref="D1547" si="3142">_xlfn.NUMBERVALUE(LEFT(C1547,2))</f>
        <v>8</v>
      </c>
      <c r="E1547">
        <f t="shared" ref="E1547" si="3143">_xlfn.NUMBERVALUE(MID(C1547,4,2))</f>
        <v>12</v>
      </c>
      <c r="F1547">
        <f t="shared" ref="F1547" si="3144">_xlfn.NUMBERVALUE(RIGHT(C1547,4))</f>
        <v>2023</v>
      </c>
      <c r="G1547" t="s">
        <v>7</v>
      </c>
      <c r="H1547">
        <v>-2</v>
      </c>
      <c r="K1547" t="s">
        <v>9</v>
      </c>
      <c r="L1547" s="8">
        <f t="shared" si="3124"/>
        <v>-1</v>
      </c>
      <c r="M1547" t="s">
        <v>1699</v>
      </c>
    </row>
    <row r="1548" spans="1:13" x14ac:dyDescent="0.35">
      <c r="A1548">
        <f t="shared" si="2869"/>
        <v>1544</v>
      </c>
      <c r="B1548" s="9">
        <f t="shared" ref="B1548" si="3145">B1547+H1548+I1548+J1548</f>
        <v>53.400000000000006</v>
      </c>
      <c r="C1548" s="3" t="s">
        <v>1692</v>
      </c>
      <c r="D1548">
        <f t="shared" ref="D1548" si="3146">_xlfn.NUMBERVALUE(LEFT(C1548,2))</f>
        <v>8</v>
      </c>
      <c r="E1548">
        <f t="shared" ref="E1548" si="3147">_xlfn.NUMBERVALUE(MID(C1548,4,2))</f>
        <v>12</v>
      </c>
      <c r="F1548">
        <f t="shared" ref="F1548" si="3148">_xlfn.NUMBERVALUE(RIGHT(C1548,4))</f>
        <v>2023</v>
      </c>
      <c r="G1548" t="s">
        <v>7</v>
      </c>
      <c r="H1548">
        <v>-2</v>
      </c>
      <c r="K1548" t="s">
        <v>9</v>
      </c>
      <c r="L1548" s="8">
        <f t="shared" si="3124"/>
        <v>-1</v>
      </c>
      <c r="M1548" t="s">
        <v>1700</v>
      </c>
    </row>
    <row r="1549" spans="1:13" x14ac:dyDescent="0.35">
      <c r="A1549">
        <f t="shared" si="2869"/>
        <v>1545</v>
      </c>
      <c r="B1549" s="9">
        <f t="shared" ref="B1549" si="3149">B1548+H1549+I1549+J1549</f>
        <v>51.400000000000006</v>
      </c>
      <c r="C1549" s="3" t="s">
        <v>1692</v>
      </c>
      <c r="D1549">
        <f t="shared" ref="D1549" si="3150">_xlfn.NUMBERVALUE(LEFT(C1549,2))</f>
        <v>8</v>
      </c>
      <c r="E1549">
        <f t="shared" ref="E1549" si="3151">_xlfn.NUMBERVALUE(MID(C1549,4,2))</f>
        <v>12</v>
      </c>
      <c r="F1549">
        <f t="shared" ref="F1549" si="3152">_xlfn.NUMBERVALUE(RIGHT(C1549,4))</f>
        <v>2023</v>
      </c>
      <c r="G1549" t="s">
        <v>7</v>
      </c>
      <c r="H1549">
        <v>-2</v>
      </c>
      <c r="K1549" t="s">
        <v>9</v>
      </c>
      <c r="L1549" s="8">
        <f t="shared" si="3124"/>
        <v>-1</v>
      </c>
      <c r="M1549" t="s">
        <v>1701</v>
      </c>
    </row>
    <row r="1550" spans="1:13" x14ac:dyDescent="0.35">
      <c r="A1550">
        <f t="shared" si="2869"/>
        <v>1546</v>
      </c>
      <c r="B1550" s="9">
        <f t="shared" ref="B1550" si="3153">B1549+H1550+I1550+J1550</f>
        <v>53.400000000000006</v>
      </c>
      <c r="C1550" s="3" t="s">
        <v>1692</v>
      </c>
      <c r="D1550">
        <f t="shared" ref="D1550" si="3154">_xlfn.NUMBERVALUE(LEFT(C1550,2))</f>
        <v>8</v>
      </c>
      <c r="E1550">
        <f t="shared" ref="E1550" si="3155">_xlfn.NUMBERVALUE(MID(C1550,4,2))</f>
        <v>12</v>
      </c>
      <c r="F1550">
        <f t="shared" ref="F1550" si="3156">_xlfn.NUMBERVALUE(RIGHT(C1550,4))</f>
        <v>2023</v>
      </c>
      <c r="G1550" t="s">
        <v>7</v>
      </c>
      <c r="H1550">
        <v>-2</v>
      </c>
      <c r="I1550">
        <v>4</v>
      </c>
      <c r="K1550" t="s">
        <v>10</v>
      </c>
      <c r="L1550" s="8">
        <f t="shared" si="3124"/>
        <v>1</v>
      </c>
      <c r="M1550" t="s">
        <v>1702</v>
      </c>
    </row>
    <row r="1551" spans="1:13" x14ac:dyDescent="0.35">
      <c r="A1551">
        <f t="shared" si="2869"/>
        <v>1547</v>
      </c>
      <c r="B1551" s="9">
        <f t="shared" ref="B1551" si="3157">B1550+H1551+I1551+J1551</f>
        <v>51.400000000000006</v>
      </c>
      <c r="C1551" s="3" t="s">
        <v>1692</v>
      </c>
      <c r="D1551">
        <f t="shared" ref="D1551" si="3158">_xlfn.NUMBERVALUE(LEFT(C1551,2))</f>
        <v>8</v>
      </c>
      <c r="E1551">
        <f t="shared" ref="E1551" si="3159">_xlfn.NUMBERVALUE(MID(C1551,4,2))</f>
        <v>12</v>
      </c>
      <c r="F1551">
        <f t="shared" ref="F1551" si="3160">_xlfn.NUMBERVALUE(RIGHT(C1551,4))</f>
        <v>2023</v>
      </c>
      <c r="G1551" t="s">
        <v>7</v>
      </c>
      <c r="H1551">
        <v>-2</v>
      </c>
      <c r="K1551" t="s">
        <v>9</v>
      </c>
      <c r="L1551" s="8">
        <f t="shared" si="3124"/>
        <v>-1</v>
      </c>
      <c r="M1551" t="s">
        <v>1703</v>
      </c>
    </row>
    <row r="1552" spans="1:13" x14ac:dyDescent="0.35">
      <c r="A1552">
        <f t="shared" si="2869"/>
        <v>1548</v>
      </c>
      <c r="B1552" s="9">
        <f t="shared" ref="B1552" si="3161">B1551+H1552+I1552+J1552</f>
        <v>57.400000000000006</v>
      </c>
      <c r="C1552" s="3" t="s">
        <v>1692</v>
      </c>
      <c r="D1552">
        <f t="shared" ref="D1552" si="3162">_xlfn.NUMBERVALUE(LEFT(C1552,2))</f>
        <v>8</v>
      </c>
      <c r="E1552">
        <f t="shared" ref="E1552" si="3163">_xlfn.NUMBERVALUE(MID(C1552,4,2))</f>
        <v>12</v>
      </c>
      <c r="F1552">
        <f t="shared" ref="F1552" si="3164">_xlfn.NUMBERVALUE(RIGHT(C1552,4))</f>
        <v>2023</v>
      </c>
      <c r="G1552" t="s">
        <v>7</v>
      </c>
      <c r="H1552">
        <v>-2</v>
      </c>
      <c r="I1552">
        <v>8</v>
      </c>
      <c r="K1552" t="s">
        <v>10</v>
      </c>
      <c r="L1552" s="8">
        <f t="shared" si="3124"/>
        <v>3</v>
      </c>
      <c r="M1552" t="s">
        <v>1704</v>
      </c>
    </row>
    <row r="1553" spans="1:13" x14ac:dyDescent="0.35">
      <c r="A1553">
        <f t="shared" si="2869"/>
        <v>1549</v>
      </c>
      <c r="B1553" s="9">
        <f t="shared" ref="B1553" si="3165">B1552+H1553+I1553+J1553</f>
        <v>55.400000000000006</v>
      </c>
      <c r="C1553" s="3" t="s">
        <v>1692</v>
      </c>
      <c r="D1553">
        <f t="shared" ref="D1553" si="3166">_xlfn.NUMBERVALUE(LEFT(C1553,2))</f>
        <v>8</v>
      </c>
      <c r="E1553">
        <f t="shared" ref="E1553" si="3167">_xlfn.NUMBERVALUE(MID(C1553,4,2))</f>
        <v>12</v>
      </c>
      <c r="F1553">
        <f t="shared" ref="F1553" si="3168">_xlfn.NUMBERVALUE(RIGHT(C1553,4))</f>
        <v>2023</v>
      </c>
      <c r="G1553" t="s">
        <v>7</v>
      </c>
      <c r="H1553">
        <v>-2</v>
      </c>
      <c r="K1553" t="s">
        <v>9</v>
      </c>
      <c r="L1553" s="8">
        <f t="shared" si="3124"/>
        <v>-1</v>
      </c>
      <c r="M1553" t="s">
        <v>1705</v>
      </c>
    </row>
    <row r="1554" spans="1:13" x14ac:dyDescent="0.35">
      <c r="A1554">
        <f t="shared" si="2869"/>
        <v>1550</v>
      </c>
      <c r="B1554" s="9">
        <f t="shared" ref="B1554" si="3169">B1553+H1554+I1554+J1554</f>
        <v>53.400000000000006</v>
      </c>
      <c r="C1554" s="3" t="s">
        <v>1692</v>
      </c>
      <c r="D1554">
        <f t="shared" ref="D1554" si="3170">_xlfn.NUMBERVALUE(LEFT(C1554,2))</f>
        <v>8</v>
      </c>
      <c r="E1554">
        <f t="shared" ref="E1554" si="3171">_xlfn.NUMBERVALUE(MID(C1554,4,2))</f>
        <v>12</v>
      </c>
      <c r="F1554">
        <f t="shared" ref="F1554" si="3172">_xlfn.NUMBERVALUE(RIGHT(C1554,4))</f>
        <v>2023</v>
      </c>
      <c r="G1554" t="s">
        <v>7</v>
      </c>
      <c r="H1554">
        <v>-2</v>
      </c>
      <c r="K1554" t="s">
        <v>9</v>
      </c>
      <c r="L1554" s="8">
        <f t="shared" si="3124"/>
        <v>-1</v>
      </c>
      <c r="M1554" t="s">
        <v>1706</v>
      </c>
    </row>
    <row r="1555" spans="1:13" x14ac:dyDescent="0.35">
      <c r="A1555">
        <f t="shared" si="2869"/>
        <v>1551</v>
      </c>
      <c r="B1555" s="9">
        <f t="shared" ref="B1555" si="3173">B1554+H1555+I1555+J1555</f>
        <v>51.400000000000006</v>
      </c>
      <c r="C1555" s="3" t="s">
        <v>1692</v>
      </c>
      <c r="D1555">
        <f t="shared" ref="D1555" si="3174">_xlfn.NUMBERVALUE(LEFT(C1555,2))</f>
        <v>8</v>
      </c>
      <c r="E1555">
        <f t="shared" ref="E1555" si="3175">_xlfn.NUMBERVALUE(MID(C1555,4,2))</f>
        <v>12</v>
      </c>
      <c r="F1555">
        <f t="shared" ref="F1555" si="3176">_xlfn.NUMBERVALUE(RIGHT(C1555,4))</f>
        <v>2023</v>
      </c>
      <c r="G1555" t="s">
        <v>7</v>
      </c>
      <c r="H1555">
        <v>-2</v>
      </c>
      <c r="K1555" t="s">
        <v>9</v>
      </c>
      <c r="L1555" s="8">
        <f t="shared" si="3124"/>
        <v>-1</v>
      </c>
      <c r="M1555" t="s">
        <v>1707</v>
      </c>
    </row>
    <row r="1556" spans="1:13" x14ac:dyDescent="0.35">
      <c r="A1556">
        <f t="shared" si="2869"/>
        <v>1552</v>
      </c>
      <c r="B1556" s="9">
        <f t="shared" ref="B1556" si="3177">B1555+H1556+I1556+J1556</f>
        <v>49.400000000000006</v>
      </c>
      <c r="C1556" s="3" t="s">
        <v>1692</v>
      </c>
      <c r="D1556">
        <f t="shared" ref="D1556" si="3178">_xlfn.NUMBERVALUE(LEFT(C1556,2))</f>
        <v>8</v>
      </c>
      <c r="E1556">
        <f t="shared" ref="E1556" si="3179">_xlfn.NUMBERVALUE(MID(C1556,4,2))</f>
        <v>12</v>
      </c>
      <c r="F1556">
        <f t="shared" ref="F1556" si="3180">_xlfn.NUMBERVALUE(RIGHT(C1556,4))</f>
        <v>2023</v>
      </c>
      <c r="G1556" t="s">
        <v>7</v>
      </c>
      <c r="H1556">
        <v>-2</v>
      </c>
      <c r="K1556" t="s">
        <v>9</v>
      </c>
      <c r="L1556" s="8">
        <f t="shared" si="3124"/>
        <v>-1</v>
      </c>
      <c r="M1556" t="s">
        <v>1708</v>
      </c>
    </row>
    <row r="1557" spans="1:13" x14ac:dyDescent="0.35">
      <c r="A1557">
        <f t="shared" si="2869"/>
        <v>1553</v>
      </c>
      <c r="B1557" s="9">
        <f t="shared" ref="B1557" si="3181">B1556+H1557+I1557+J1557</f>
        <v>53.400000000000006</v>
      </c>
      <c r="C1557" s="3" t="s">
        <v>1692</v>
      </c>
      <c r="D1557">
        <f t="shared" ref="D1557" si="3182">_xlfn.NUMBERVALUE(LEFT(C1557,2))</f>
        <v>8</v>
      </c>
      <c r="E1557">
        <f t="shared" ref="E1557" si="3183">_xlfn.NUMBERVALUE(MID(C1557,4,2))</f>
        <v>12</v>
      </c>
      <c r="F1557">
        <f t="shared" ref="F1557" si="3184">_xlfn.NUMBERVALUE(RIGHT(C1557,4))</f>
        <v>2023</v>
      </c>
      <c r="G1557" t="s">
        <v>7</v>
      </c>
      <c r="H1557">
        <v>-2</v>
      </c>
      <c r="I1557">
        <v>6</v>
      </c>
      <c r="K1557" t="s">
        <v>10</v>
      </c>
      <c r="L1557" s="8">
        <f t="shared" si="3124"/>
        <v>2</v>
      </c>
      <c r="M1557" t="s">
        <v>1709</v>
      </c>
    </row>
    <row r="1558" spans="1:13" x14ac:dyDescent="0.35">
      <c r="A1558">
        <f t="shared" si="2869"/>
        <v>1554</v>
      </c>
      <c r="B1558" s="9">
        <f t="shared" ref="B1558" si="3185">B1557+H1558+I1558+J1558</f>
        <v>51.400000000000006</v>
      </c>
      <c r="C1558" s="3" t="s">
        <v>1710</v>
      </c>
      <c r="D1558">
        <f t="shared" ref="D1558" si="3186">_xlfn.NUMBERVALUE(LEFT(C1558,2))</f>
        <v>9</v>
      </c>
      <c r="E1558">
        <f t="shared" ref="E1558" si="3187">_xlfn.NUMBERVALUE(MID(C1558,4,2))</f>
        <v>12</v>
      </c>
      <c r="F1558">
        <f t="shared" ref="F1558" si="3188">_xlfn.NUMBERVALUE(RIGHT(C1558,4))</f>
        <v>2023</v>
      </c>
      <c r="G1558" t="s">
        <v>7</v>
      </c>
      <c r="H1558">
        <v>-2</v>
      </c>
      <c r="K1558" t="s">
        <v>9</v>
      </c>
      <c r="L1558" s="8">
        <f t="shared" si="3124"/>
        <v>-1</v>
      </c>
      <c r="M1558" t="s">
        <v>1711</v>
      </c>
    </row>
    <row r="1559" spans="1:13" x14ac:dyDescent="0.35">
      <c r="A1559">
        <f t="shared" si="2869"/>
        <v>1555</v>
      </c>
      <c r="B1559" s="9">
        <f t="shared" ref="B1559" si="3189">B1558+H1559+I1559+J1559</f>
        <v>49.400000000000006</v>
      </c>
      <c r="C1559" s="3" t="s">
        <v>1710</v>
      </c>
      <c r="D1559">
        <f t="shared" ref="D1559" si="3190">_xlfn.NUMBERVALUE(LEFT(C1559,2))</f>
        <v>9</v>
      </c>
      <c r="E1559">
        <f t="shared" ref="E1559" si="3191">_xlfn.NUMBERVALUE(MID(C1559,4,2))</f>
        <v>12</v>
      </c>
      <c r="F1559">
        <f t="shared" ref="F1559" si="3192">_xlfn.NUMBERVALUE(RIGHT(C1559,4))</f>
        <v>2023</v>
      </c>
      <c r="G1559" t="s">
        <v>7</v>
      </c>
      <c r="H1559">
        <v>-2</v>
      </c>
      <c r="K1559" t="s">
        <v>9</v>
      </c>
      <c r="L1559" s="8">
        <f t="shared" si="3124"/>
        <v>-1</v>
      </c>
      <c r="M1559" t="s">
        <v>1712</v>
      </c>
    </row>
    <row r="1560" spans="1:13" x14ac:dyDescent="0.35">
      <c r="A1560">
        <f t="shared" si="2869"/>
        <v>1556</v>
      </c>
      <c r="B1560" s="9">
        <f t="shared" ref="B1560" si="3193">B1559+H1560+I1560+J1560</f>
        <v>51.400000000000006</v>
      </c>
      <c r="C1560" s="3" t="s">
        <v>1710</v>
      </c>
      <c r="D1560">
        <f t="shared" ref="D1560" si="3194">_xlfn.NUMBERVALUE(LEFT(C1560,2))</f>
        <v>9</v>
      </c>
      <c r="E1560">
        <f t="shared" ref="E1560" si="3195">_xlfn.NUMBERVALUE(MID(C1560,4,2))</f>
        <v>12</v>
      </c>
      <c r="F1560">
        <f t="shared" ref="F1560" si="3196">_xlfn.NUMBERVALUE(RIGHT(C1560,4))</f>
        <v>2023</v>
      </c>
      <c r="G1560" t="s">
        <v>7</v>
      </c>
      <c r="H1560">
        <v>-2</v>
      </c>
      <c r="I1560">
        <v>4</v>
      </c>
      <c r="K1560" t="s">
        <v>10</v>
      </c>
      <c r="L1560" s="8">
        <f t="shared" si="3124"/>
        <v>1</v>
      </c>
      <c r="M1560" t="s">
        <v>1713</v>
      </c>
    </row>
    <row r="1561" spans="1:13" x14ac:dyDescent="0.35">
      <c r="A1561">
        <f t="shared" si="2869"/>
        <v>1557</v>
      </c>
      <c r="B1561" s="9">
        <f t="shared" ref="B1561" si="3197">B1560+H1561+I1561+J1561</f>
        <v>49.400000000000006</v>
      </c>
      <c r="C1561" s="3" t="s">
        <v>1710</v>
      </c>
      <c r="D1561">
        <f t="shared" ref="D1561" si="3198">_xlfn.NUMBERVALUE(LEFT(C1561,2))</f>
        <v>9</v>
      </c>
      <c r="E1561">
        <f t="shared" ref="E1561" si="3199">_xlfn.NUMBERVALUE(MID(C1561,4,2))</f>
        <v>12</v>
      </c>
      <c r="F1561">
        <f t="shared" ref="F1561" si="3200">_xlfn.NUMBERVALUE(RIGHT(C1561,4))</f>
        <v>2023</v>
      </c>
      <c r="G1561" t="s">
        <v>7</v>
      </c>
      <c r="H1561">
        <v>-2</v>
      </c>
      <c r="K1561" t="s">
        <v>9</v>
      </c>
      <c r="L1561" s="8">
        <f t="shared" si="3124"/>
        <v>-1</v>
      </c>
      <c r="M1561" t="s">
        <v>1714</v>
      </c>
    </row>
    <row r="1562" spans="1:13" x14ac:dyDescent="0.35">
      <c r="A1562">
        <f t="shared" si="2869"/>
        <v>1558</v>
      </c>
      <c r="B1562" s="9">
        <f t="shared" ref="B1562" si="3201">B1561+H1562+I1562+J1562</f>
        <v>47.400000000000006</v>
      </c>
      <c r="C1562" s="3" t="s">
        <v>1710</v>
      </c>
      <c r="D1562">
        <f t="shared" ref="D1562" si="3202">_xlfn.NUMBERVALUE(LEFT(C1562,2))</f>
        <v>9</v>
      </c>
      <c r="E1562">
        <f t="shared" ref="E1562" si="3203">_xlfn.NUMBERVALUE(MID(C1562,4,2))</f>
        <v>12</v>
      </c>
      <c r="F1562">
        <f t="shared" ref="F1562" si="3204">_xlfn.NUMBERVALUE(RIGHT(C1562,4))</f>
        <v>2023</v>
      </c>
      <c r="G1562" t="s">
        <v>7</v>
      </c>
      <c r="H1562">
        <v>-2</v>
      </c>
      <c r="K1562" t="s">
        <v>9</v>
      </c>
      <c r="L1562" s="8">
        <f t="shared" si="3124"/>
        <v>-1</v>
      </c>
      <c r="M1562" t="s">
        <v>1715</v>
      </c>
    </row>
    <row r="1563" spans="1:13" x14ac:dyDescent="0.35">
      <c r="A1563">
        <f t="shared" si="2869"/>
        <v>1559</v>
      </c>
      <c r="B1563" s="9">
        <f t="shared" ref="B1563" si="3205">B1562+H1563+I1563+J1563</f>
        <v>45.400000000000006</v>
      </c>
      <c r="C1563" s="3" t="s">
        <v>1710</v>
      </c>
      <c r="D1563">
        <f t="shared" ref="D1563" si="3206">_xlfn.NUMBERVALUE(LEFT(C1563,2))</f>
        <v>9</v>
      </c>
      <c r="E1563">
        <f t="shared" ref="E1563" si="3207">_xlfn.NUMBERVALUE(MID(C1563,4,2))</f>
        <v>12</v>
      </c>
      <c r="F1563">
        <f t="shared" ref="F1563" si="3208">_xlfn.NUMBERVALUE(RIGHT(C1563,4))</f>
        <v>2023</v>
      </c>
      <c r="G1563" t="s">
        <v>7</v>
      </c>
      <c r="H1563">
        <v>-2</v>
      </c>
      <c r="K1563" t="s">
        <v>9</v>
      </c>
      <c r="L1563" s="8">
        <f t="shared" si="3124"/>
        <v>-1</v>
      </c>
      <c r="M1563" t="s">
        <v>1716</v>
      </c>
    </row>
    <row r="1564" spans="1:13" x14ac:dyDescent="0.35">
      <c r="A1564">
        <f t="shared" si="2869"/>
        <v>1560</v>
      </c>
      <c r="B1564" s="9">
        <f t="shared" ref="B1564" si="3209">B1563+H1564+I1564+J1564</f>
        <v>43.400000000000006</v>
      </c>
      <c r="C1564" s="3" t="s">
        <v>1710</v>
      </c>
      <c r="D1564">
        <f t="shared" ref="D1564" si="3210">_xlfn.NUMBERVALUE(LEFT(C1564,2))</f>
        <v>9</v>
      </c>
      <c r="E1564">
        <f t="shared" ref="E1564" si="3211">_xlfn.NUMBERVALUE(MID(C1564,4,2))</f>
        <v>12</v>
      </c>
      <c r="F1564">
        <f t="shared" ref="F1564" si="3212">_xlfn.NUMBERVALUE(RIGHT(C1564,4))</f>
        <v>2023</v>
      </c>
      <c r="G1564" t="s">
        <v>7</v>
      </c>
      <c r="H1564">
        <v>-2</v>
      </c>
      <c r="K1564" t="s">
        <v>9</v>
      </c>
      <c r="L1564" s="8">
        <f t="shared" si="3124"/>
        <v>-1</v>
      </c>
      <c r="M1564" t="s">
        <v>1717</v>
      </c>
    </row>
    <row r="1565" spans="1:13" x14ac:dyDescent="0.35">
      <c r="A1565">
        <f t="shared" si="2869"/>
        <v>1561</v>
      </c>
      <c r="B1565" s="9">
        <f t="shared" ref="B1565" si="3213">B1564+H1565+I1565+J1565</f>
        <v>45.400000000000006</v>
      </c>
      <c r="C1565" s="3" t="s">
        <v>1710</v>
      </c>
      <c r="D1565">
        <f t="shared" ref="D1565" si="3214">_xlfn.NUMBERVALUE(LEFT(C1565,2))</f>
        <v>9</v>
      </c>
      <c r="E1565">
        <f t="shared" ref="E1565" si="3215">_xlfn.NUMBERVALUE(MID(C1565,4,2))</f>
        <v>12</v>
      </c>
      <c r="F1565">
        <f t="shared" ref="F1565" si="3216">_xlfn.NUMBERVALUE(RIGHT(C1565,4))</f>
        <v>2023</v>
      </c>
      <c r="G1565" t="s">
        <v>7</v>
      </c>
      <c r="H1565">
        <v>-2</v>
      </c>
      <c r="I1565">
        <v>4</v>
      </c>
      <c r="K1565" t="s">
        <v>10</v>
      </c>
      <c r="L1565" s="8">
        <f t="shared" si="3124"/>
        <v>1</v>
      </c>
      <c r="M1565" t="s">
        <v>1718</v>
      </c>
    </row>
    <row r="1566" spans="1:13" x14ac:dyDescent="0.35">
      <c r="A1566">
        <f t="shared" si="2869"/>
        <v>1562</v>
      </c>
      <c r="B1566" s="9">
        <f t="shared" ref="B1566" si="3217">B1565+H1566+I1566+J1566</f>
        <v>43.400000000000006</v>
      </c>
      <c r="C1566" s="3" t="s">
        <v>1710</v>
      </c>
      <c r="D1566">
        <f t="shared" ref="D1566" si="3218">_xlfn.NUMBERVALUE(LEFT(C1566,2))</f>
        <v>9</v>
      </c>
      <c r="E1566">
        <f t="shared" ref="E1566" si="3219">_xlfn.NUMBERVALUE(MID(C1566,4,2))</f>
        <v>12</v>
      </c>
      <c r="F1566">
        <f t="shared" ref="F1566" si="3220">_xlfn.NUMBERVALUE(RIGHT(C1566,4))</f>
        <v>2023</v>
      </c>
      <c r="G1566" t="s">
        <v>7</v>
      </c>
      <c r="H1566">
        <v>-2</v>
      </c>
      <c r="K1566" t="s">
        <v>9</v>
      </c>
      <c r="L1566" s="8">
        <f t="shared" si="3124"/>
        <v>-1</v>
      </c>
      <c r="M1566" t="s">
        <v>1719</v>
      </c>
    </row>
    <row r="1567" spans="1:13" x14ac:dyDescent="0.35">
      <c r="A1567">
        <f t="shared" si="2869"/>
        <v>1563</v>
      </c>
      <c r="B1567" s="9">
        <f t="shared" ref="B1567" si="3221">B1566+H1567+I1567+J1567</f>
        <v>41.400000000000006</v>
      </c>
      <c r="C1567" s="3" t="s">
        <v>1710</v>
      </c>
      <c r="D1567">
        <f t="shared" ref="D1567" si="3222">_xlfn.NUMBERVALUE(LEFT(C1567,2))</f>
        <v>9</v>
      </c>
      <c r="E1567">
        <f t="shared" ref="E1567" si="3223">_xlfn.NUMBERVALUE(MID(C1567,4,2))</f>
        <v>12</v>
      </c>
      <c r="F1567">
        <f t="shared" ref="F1567" si="3224">_xlfn.NUMBERVALUE(RIGHT(C1567,4))</f>
        <v>2023</v>
      </c>
      <c r="G1567" t="s">
        <v>7</v>
      </c>
      <c r="H1567">
        <v>-2</v>
      </c>
      <c r="K1567" t="s">
        <v>9</v>
      </c>
      <c r="L1567" s="8">
        <f t="shared" si="3124"/>
        <v>-1</v>
      </c>
      <c r="M1567" t="s">
        <v>1720</v>
      </c>
    </row>
    <row r="1568" spans="1:13" x14ac:dyDescent="0.35">
      <c r="A1568">
        <f t="shared" si="2869"/>
        <v>1564</v>
      </c>
      <c r="B1568" s="9">
        <f t="shared" ref="B1568" si="3225">B1567+H1568+I1568+J1568</f>
        <v>39.400000000000006</v>
      </c>
      <c r="C1568" s="3" t="s">
        <v>1710</v>
      </c>
      <c r="D1568">
        <f t="shared" ref="D1568" si="3226">_xlfn.NUMBERVALUE(LEFT(C1568,2))</f>
        <v>9</v>
      </c>
      <c r="E1568">
        <f t="shared" ref="E1568" si="3227">_xlfn.NUMBERVALUE(MID(C1568,4,2))</f>
        <v>12</v>
      </c>
      <c r="F1568">
        <f t="shared" ref="F1568" si="3228">_xlfn.NUMBERVALUE(RIGHT(C1568,4))</f>
        <v>2023</v>
      </c>
      <c r="G1568" t="s">
        <v>7</v>
      </c>
      <c r="H1568">
        <v>-2</v>
      </c>
      <c r="K1568" t="s">
        <v>9</v>
      </c>
      <c r="L1568" s="8">
        <f t="shared" si="3124"/>
        <v>-1</v>
      </c>
      <c r="M1568" t="s">
        <v>1721</v>
      </c>
    </row>
    <row r="1569" spans="1:13" x14ac:dyDescent="0.35">
      <c r="A1569">
        <f t="shared" si="2869"/>
        <v>1565</v>
      </c>
      <c r="B1569" s="9">
        <f t="shared" ref="B1569" si="3229">B1568+H1569+I1569+J1569</f>
        <v>43.400000000000006</v>
      </c>
      <c r="C1569" s="3" t="s">
        <v>1710</v>
      </c>
      <c r="D1569">
        <f t="shared" ref="D1569" si="3230">_xlfn.NUMBERVALUE(LEFT(C1569,2))</f>
        <v>9</v>
      </c>
      <c r="E1569">
        <f t="shared" ref="E1569" si="3231">_xlfn.NUMBERVALUE(MID(C1569,4,2))</f>
        <v>12</v>
      </c>
      <c r="F1569">
        <f t="shared" ref="F1569" si="3232">_xlfn.NUMBERVALUE(RIGHT(C1569,4))</f>
        <v>2023</v>
      </c>
      <c r="G1569" t="s">
        <v>7</v>
      </c>
      <c r="H1569">
        <v>-2</v>
      </c>
      <c r="I1569">
        <v>6</v>
      </c>
      <c r="K1569" t="s">
        <v>10</v>
      </c>
      <c r="L1569" s="8">
        <f t="shared" si="3124"/>
        <v>2</v>
      </c>
      <c r="M1569" t="s">
        <v>1722</v>
      </c>
    </row>
    <row r="1570" spans="1:13" x14ac:dyDescent="0.35">
      <c r="A1570">
        <f t="shared" si="2869"/>
        <v>1566</v>
      </c>
      <c r="B1570" s="9">
        <f t="shared" ref="B1570" si="3233">B1569+H1570+I1570+J1570</f>
        <v>41.400000000000006</v>
      </c>
      <c r="C1570" s="3" t="s">
        <v>1710</v>
      </c>
      <c r="D1570">
        <f t="shared" ref="D1570" si="3234">_xlfn.NUMBERVALUE(LEFT(C1570,2))</f>
        <v>9</v>
      </c>
      <c r="E1570">
        <f t="shared" ref="E1570" si="3235">_xlfn.NUMBERVALUE(MID(C1570,4,2))</f>
        <v>12</v>
      </c>
      <c r="F1570">
        <f t="shared" ref="F1570" si="3236">_xlfn.NUMBERVALUE(RIGHT(C1570,4))</f>
        <v>2023</v>
      </c>
      <c r="G1570" t="s">
        <v>7</v>
      </c>
      <c r="H1570">
        <v>-2</v>
      </c>
      <c r="K1570" t="s">
        <v>9</v>
      </c>
      <c r="L1570" s="8">
        <f t="shared" si="3124"/>
        <v>-1</v>
      </c>
      <c r="M1570" t="s">
        <v>1723</v>
      </c>
    </row>
    <row r="1571" spans="1:13" x14ac:dyDescent="0.35">
      <c r="A1571">
        <f t="shared" si="2869"/>
        <v>1567</v>
      </c>
      <c r="B1571" s="9">
        <f t="shared" ref="B1571" si="3237">B1570+H1571+I1571+J1571</f>
        <v>39.400000000000006</v>
      </c>
      <c r="C1571" s="3" t="s">
        <v>1710</v>
      </c>
      <c r="D1571">
        <f t="shared" ref="D1571" si="3238">_xlfn.NUMBERVALUE(LEFT(C1571,2))</f>
        <v>9</v>
      </c>
      <c r="E1571">
        <f t="shared" ref="E1571" si="3239">_xlfn.NUMBERVALUE(MID(C1571,4,2))</f>
        <v>12</v>
      </c>
      <c r="F1571">
        <f t="shared" ref="F1571" si="3240">_xlfn.NUMBERVALUE(RIGHT(C1571,4))</f>
        <v>2023</v>
      </c>
      <c r="G1571" t="s">
        <v>7</v>
      </c>
      <c r="H1571">
        <v>-2</v>
      </c>
      <c r="K1571" t="s">
        <v>9</v>
      </c>
      <c r="L1571" s="8">
        <f t="shared" si="3124"/>
        <v>-1</v>
      </c>
      <c r="M1571" t="s">
        <v>1724</v>
      </c>
    </row>
    <row r="1572" spans="1:13" x14ac:dyDescent="0.35">
      <c r="A1572">
        <f t="shared" si="2869"/>
        <v>1568</v>
      </c>
      <c r="B1572" s="9">
        <f t="shared" ref="B1572" si="3241">B1571+H1572+I1572+J1572</f>
        <v>37.400000000000006</v>
      </c>
      <c r="C1572" s="3" t="s">
        <v>1710</v>
      </c>
      <c r="D1572">
        <f t="shared" ref="D1572" si="3242">_xlfn.NUMBERVALUE(LEFT(C1572,2))</f>
        <v>9</v>
      </c>
      <c r="E1572">
        <f t="shared" ref="E1572" si="3243">_xlfn.NUMBERVALUE(MID(C1572,4,2))</f>
        <v>12</v>
      </c>
      <c r="F1572">
        <f t="shared" ref="F1572" si="3244">_xlfn.NUMBERVALUE(RIGHT(C1572,4))</f>
        <v>2023</v>
      </c>
      <c r="G1572" t="s">
        <v>7</v>
      </c>
      <c r="H1572">
        <v>-2</v>
      </c>
      <c r="K1572" t="s">
        <v>9</v>
      </c>
      <c r="L1572" s="8">
        <f t="shared" si="3124"/>
        <v>-1</v>
      </c>
      <c r="M1572" t="s">
        <v>1725</v>
      </c>
    </row>
    <row r="1573" spans="1:13" x14ac:dyDescent="0.35">
      <c r="A1573">
        <f t="shared" si="2869"/>
        <v>1569</v>
      </c>
      <c r="B1573" s="9">
        <f t="shared" ref="B1573" si="3245">B1572+H1573+I1573+J1573</f>
        <v>35.400000000000006</v>
      </c>
      <c r="C1573" s="3" t="s">
        <v>1710</v>
      </c>
      <c r="D1573">
        <f t="shared" ref="D1573" si="3246">_xlfn.NUMBERVALUE(LEFT(C1573,2))</f>
        <v>9</v>
      </c>
      <c r="E1573">
        <f t="shared" ref="E1573" si="3247">_xlfn.NUMBERVALUE(MID(C1573,4,2))</f>
        <v>12</v>
      </c>
      <c r="F1573">
        <f t="shared" ref="F1573" si="3248">_xlfn.NUMBERVALUE(RIGHT(C1573,4))</f>
        <v>2023</v>
      </c>
      <c r="G1573" t="s">
        <v>7</v>
      </c>
      <c r="H1573">
        <v>-2</v>
      </c>
      <c r="K1573" t="s">
        <v>9</v>
      </c>
      <c r="L1573" s="8">
        <f t="shared" si="3124"/>
        <v>-1</v>
      </c>
      <c r="M1573" t="s">
        <v>1726</v>
      </c>
    </row>
    <row r="1574" spans="1:13" x14ac:dyDescent="0.35">
      <c r="A1574">
        <f t="shared" si="2869"/>
        <v>1570</v>
      </c>
      <c r="B1574" s="9">
        <f t="shared" ref="B1574" si="3249">B1573+H1574+I1574+J1574</f>
        <v>33.400000000000006</v>
      </c>
      <c r="C1574" s="3" t="s">
        <v>1710</v>
      </c>
      <c r="D1574">
        <f t="shared" ref="D1574" si="3250">_xlfn.NUMBERVALUE(LEFT(C1574,2))</f>
        <v>9</v>
      </c>
      <c r="E1574">
        <f t="shared" ref="E1574" si="3251">_xlfn.NUMBERVALUE(MID(C1574,4,2))</f>
        <v>12</v>
      </c>
      <c r="F1574">
        <f t="shared" ref="F1574" si="3252">_xlfn.NUMBERVALUE(RIGHT(C1574,4))</f>
        <v>2023</v>
      </c>
      <c r="G1574" t="s">
        <v>7</v>
      </c>
      <c r="H1574">
        <v>-2</v>
      </c>
      <c r="K1574" t="s">
        <v>9</v>
      </c>
      <c r="L1574" s="8">
        <f t="shared" si="3124"/>
        <v>-1</v>
      </c>
      <c r="M1574" t="s">
        <v>1727</v>
      </c>
    </row>
    <row r="1575" spans="1:13" x14ac:dyDescent="0.35">
      <c r="A1575">
        <f t="shared" si="2869"/>
        <v>1571</v>
      </c>
      <c r="B1575" s="9">
        <f t="shared" ref="B1575:B1576" si="3253">B1574+H1575+I1575+J1575</f>
        <v>30.100000000000005</v>
      </c>
      <c r="C1575" s="3" t="s">
        <v>1710</v>
      </c>
      <c r="D1575">
        <f t="shared" ref="D1575:D1576" si="3254">_xlfn.NUMBERVALUE(LEFT(C1575,2))</f>
        <v>9</v>
      </c>
      <c r="E1575">
        <f t="shared" ref="E1575:E1576" si="3255">_xlfn.NUMBERVALUE(MID(C1575,4,2))</f>
        <v>12</v>
      </c>
      <c r="F1575">
        <f t="shared" ref="F1575:F1576" si="3256">_xlfn.NUMBERVALUE(RIGHT(C1575,4))</f>
        <v>2023</v>
      </c>
      <c r="G1575" t="s">
        <v>44</v>
      </c>
      <c r="H1575">
        <v>-3.3</v>
      </c>
      <c r="K1575" t="s">
        <v>9</v>
      </c>
      <c r="L1575" s="8">
        <f t="shared" si="3124"/>
        <v>-1</v>
      </c>
      <c r="M1575" t="s">
        <v>1728</v>
      </c>
    </row>
    <row r="1576" spans="1:13" x14ac:dyDescent="0.35">
      <c r="A1576">
        <f t="shared" si="2869"/>
        <v>1572</v>
      </c>
      <c r="B1576" s="9">
        <f t="shared" si="3253"/>
        <v>34.100000000000009</v>
      </c>
      <c r="C1576" s="3" t="s">
        <v>1710</v>
      </c>
      <c r="D1576">
        <f t="shared" si="3254"/>
        <v>9</v>
      </c>
      <c r="E1576">
        <f t="shared" si="3255"/>
        <v>12</v>
      </c>
      <c r="F1576">
        <f t="shared" si="3256"/>
        <v>2023</v>
      </c>
      <c r="G1576" t="s">
        <v>7</v>
      </c>
      <c r="H1576">
        <v>-2</v>
      </c>
      <c r="I1576">
        <v>6</v>
      </c>
      <c r="K1576" t="s">
        <v>10</v>
      </c>
      <c r="L1576" s="8">
        <f t="shared" si="3124"/>
        <v>2</v>
      </c>
      <c r="M1576" t="s">
        <v>1729</v>
      </c>
    </row>
    <row r="1577" spans="1:13" x14ac:dyDescent="0.35">
      <c r="A1577">
        <f t="shared" si="2869"/>
        <v>1573</v>
      </c>
      <c r="B1577" s="9">
        <f t="shared" ref="B1577" si="3257">B1576+H1577+I1577+J1577</f>
        <v>40.100000000000009</v>
      </c>
      <c r="C1577" s="3" t="s">
        <v>1710</v>
      </c>
      <c r="D1577">
        <f t="shared" ref="D1577" si="3258">_xlfn.NUMBERVALUE(LEFT(C1577,2))</f>
        <v>9</v>
      </c>
      <c r="E1577">
        <f t="shared" ref="E1577" si="3259">_xlfn.NUMBERVALUE(MID(C1577,4,2))</f>
        <v>12</v>
      </c>
      <c r="F1577">
        <f t="shared" ref="F1577" si="3260">_xlfn.NUMBERVALUE(RIGHT(C1577,4))</f>
        <v>2023</v>
      </c>
      <c r="G1577" t="s">
        <v>7</v>
      </c>
      <c r="H1577">
        <v>-2</v>
      </c>
      <c r="I1577">
        <v>8</v>
      </c>
      <c r="K1577" t="s">
        <v>10</v>
      </c>
      <c r="L1577" s="8">
        <f t="shared" si="3124"/>
        <v>3</v>
      </c>
      <c r="M1577" t="s">
        <v>1730</v>
      </c>
    </row>
    <row r="1578" spans="1:13" x14ac:dyDescent="0.35">
      <c r="A1578">
        <f t="shared" si="2869"/>
        <v>1574</v>
      </c>
      <c r="B1578" s="9">
        <f t="shared" ref="B1578" si="3261">B1577+H1578+I1578+J1578</f>
        <v>44.100000000000009</v>
      </c>
      <c r="C1578" s="3" t="s">
        <v>1710</v>
      </c>
      <c r="D1578">
        <f t="shared" ref="D1578" si="3262">_xlfn.NUMBERVALUE(LEFT(C1578,2))</f>
        <v>9</v>
      </c>
      <c r="E1578">
        <f t="shared" ref="E1578" si="3263">_xlfn.NUMBERVALUE(MID(C1578,4,2))</f>
        <v>12</v>
      </c>
      <c r="F1578">
        <f t="shared" ref="F1578" si="3264">_xlfn.NUMBERVALUE(RIGHT(C1578,4))</f>
        <v>2023</v>
      </c>
      <c r="G1578" t="s">
        <v>7</v>
      </c>
      <c r="H1578">
        <v>-2</v>
      </c>
      <c r="I1578">
        <v>6</v>
      </c>
      <c r="K1578" t="s">
        <v>10</v>
      </c>
      <c r="L1578" s="8">
        <f t="shared" si="3124"/>
        <v>2</v>
      </c>
      <c r="M1578" t="s">
        <v>1731</v>
      </c>
    </row>
    <row r="1579" spans="1:13" x14ac:dyDescent="0.35">
      <c r="A1579">
        <f t="shared" si="2869"/>
        <v>1575</v>
      </c>
      <c r="B1579" s="9">
        <f t="shared" ref="B1579" si="3265">B1578+H1579+I1579+J1579</f>
        <v>42.100000000000009</v>
      </c>
      <c r="C1579" s="3" t="s">
        <v>1710</v>
      </c>
      <c r="D1579">
        <f t="shared" ref="D1579" si="3266">_xlfn.NUMBERVALUE(LEFT(C1579,2))</f>
        <v>9</v>
      </c>
      <c r="E1579">
        <f t="shared" ref="E1579" si="3267">_xlfn.NUMBERVALUE(MID(C1579,4,2))</f>
        <v>12</v>
      </c>
      <c r="F1579">
        <f t="shared" ref="F1579" si="3268">_xlfn.NUMBERVALUE(RIGHT(C1579,4))</f>
        <v>2023</v>
      </c>
      <c r="G1579" t="s">
        <v>7</v>
      </c>
      <c r="H1579">
        <v>-2</v>
      </c>
      <c r="K1579" t="s">
        <v>9</v>
      </c>
      <c r="L1579" s="8">
        <f t="shared" si="3124"/>
        <v>-1</v>
      </c>
      <c r="M1579" t="s">
        <v>1732</v>
      </c>
    </row>
    <row r="1580" spans="1:13" x14ac:dyDescent="0.35">
      <c r="A1580">
        <f t="shared" si="2869"/>
        <v>1576</v>
      </c>
      <c r="B1580" s="9">
        <f t="shared" ref="B1580" si="3269">B1579+H1580+I1580+J1580</f>
        <v>46.100000000000009</v>
      </c>
      <c r="C1580" s="3" t="s">
        <v>1710</v>
      </c>
      <c r="D1580">
        <f t="shared" ref="D1580" si="3270">_xlfn.NUMBERVALUE(LEFT(C1580,2))</f>
        <v>9</v>
      </c>
      <c r="E1580">
        <f t="shared" ref="E1580" si="3271">_xlfn.NUMBERVALUE(MID(C1580,4,2))</f>
        <v>12</v>
      </c>
      <c r="F1580">
        <f t="shared" ref="F1580" si="3272">_xlfn.NUMBERVALUE(RIGHT(C1580,4))</f>
        <v>2023</v>
      </c>
      <c r="G1580" t="s">
        <v>7</v>
      </c>
      <c r="H1580">
        <v>-2</v>
      </c>
      <c r="I1580">
        <v>6</v>
      </c>
      <c r="K1580" t="s">
        <v>10</v>
      </c>
      <c r="L1580" s="8">
        <f t="shared" si="3124"/>
        <v>2</v>
      </c>
      <c r="M1580" t="s">
        <v>1733</v>
      </c>
    </row>
    <row r="1581" spans="1:13" x14ac:dyDescent="0.35">
      <c r="A1581">
        <f t="shared" si="2869"/>
        <v>1577</v>
      </c>
      <c r="B1581" s="9">
        <f t="shared" ref="B1581" si="3273">B1580+H1581+I1581+J1581</f>
        <v>48.100000000000009</v>
      </c>
      <c r="C1581" s="3" t="s">
        <v>1710</v>
      </c>
      <c r="D1581">
        <f t="shared" ref="D1581" si="3274">_xlfn.NUMBERVALUE(LEFT(C1581,2))</f>
        <v>9</v>
      </c>
      <c r="E1581">
        <f t="shared" ref="E1581" si="3275">_xlfn.NUMBERVALUE(MID(C1581,4,2))</f>
        <v>12</v>
      </c>
      <c r="F1581">
        <f t="shared" ref="F1581" si="3276">_xlfn.NUMBERVALUE(RIGHT(C1581,4))</f>
        <v>2023</v>
      </c>
      <c r="G1581" t="s">
        <v>7</v>
      </c>
      <c r="H1581">
        <v>-2</v>
      </c>
      <c r="I1581">
        <v>4</v>
      </c>
      <c r="K1581" t="s">
        <v>10</v>
      </c>
      <c r="L1581" s="8">
        <f t="shared" si="3124"/>
        <v>1</v>
      </c>
      <c r="M1581" t="s">
        <v>1734</v>
      </c>
    </row>
    <row r="1582" spans="1:13" x14ac:dyDescent="0.35">
      <c r="A1582">
        <f t="shared" si="2869"/>
        <v>1578</v>
      </c>
      <c r="B1582" s="9">
        <f t="shared" ref="B1582" si="3277">B1581+H1582+I1582+J1582</f>
        <v>46.100000000000009</v>
      </c>
      <c r="C1582" s="3" t="s">
        <v>1710</v>
      </c>
      <c r="D1582">
        <f t="shared" ref="D1582" si="3278">_xlfn.NUMBERVALUE(LEFT(C1582,2))</f>
        <v>9</v>
      </c>
      <c r="E1582">
        <f t="shared" ref="E1582" si="3279">_xlfn.NUMBERVALUE(MID(C1582,4,2))</f>
        <v>12</v>
      </c>
      <c r="F1582">
        <f t="shared" ref="F1582" si="3280">_xlfn.NUMBERVALUE(RIGHT(C1582,4))</f>
        <v>2023</v>
      </c>
      <c r="G1582" t="s">
        <v>7</v>
      </c>
      <c r="H1582">
        <v>-2</v>
      </c>
      <c r="K1582" t="s">
        <v>9</v>
      </c>
      <c r="L1582" s="8">
        <f t="shared" si="3124"/>
        <v>-1</v>
      </c>
      <c r="M1582" t="s">
        <v>1735</v>
      </c>
    </row>
    <row r="1583" spans="1:13" x14ac:dyDescent="0.35">
      <c r="A1583">
        <f t="shared" si="2869"/>
        <v>1579</v>
      </c>
      <c r="B1583" s="9">
        <f t="shared" ref="B1583" si="3281">B1582+H1583+I1583+J1583</f>
        <v>44.100000000000009</v>
      </c>
      <c r="C1583" s="3" t="s">
        <v>1710</v>
      </c>
      <c r="D1583">
        <f t="shared" ref="D1583" si="3282">_xlfn.NUMBERVALUE(LEFT(C1583,2))</f>
        <v>9</v>
      </c>
      <c r="E1583">
        <f t="shared" ref="E1583" si="3283">_xlfn.NUMBERVALUE(MID(C1583,4,2))</f>
        <v>12</v>
      </c>
      <c r="F1583">
        <f t="shared" ref="F1583" si="3284">_xlfn.NUMBERVALUE(RIGHT(C1583,4))</f>
        <v>2023</v>
      </c>
      <c r="G1583" t="s">
        <v>7</v>
      </c>
      <c r="H1583">
        <v>-2</v>
      </c>
      <c r="K1583" t="s">
        <v>9</v>
      </c>
      <c r="L1583" s="8">
        <f t="shared" si="3124"/>
        <v>-1</v>
      </c>
      <c r="M1583" t="s">
        <v>1736</v>
      </c>
    </row>
    <row r="1584" spans="1:13" x14ac:dyDescent="0.35">
      <c r="A1584">
        <f t="shared" si="2869"/>
        <v>1580</v>
      </c>
      <c r="B1584" s="9">
        <f t="shared" ref="B1584" si="3285">B1583+H1584+I1584+J1584</f>
        <v>42.100000000000009</v>
      </c>
      <c r="C1584" s="3" t="s">
        <v>1710</v>
      </c>
      <c r="D1584">
        <f t="shared" ref="D1584" si="3286">_xlfn.NUMBERVALUE(LEFT(C1584,2))</f>
        <v>9</v>
      </c>
      <c r="E1584">
        <f t="shared" ref="E1584" si="3287">_xlfn.NUMBERVALUE(MID(C1584,4,2))</f>
        <v>12</v>
      </c>
      <c r="F1584">
        <f t="shared" ref="F1584" si="3288">_xlfn.NUMBERVALUE(RIGHT(C1584,4))</f>
        <v>2023</v>
      </c>
      <c r="G1584" t="s">
        <v>7</v>
      </c>
      <c r="H1584">
        <v>-2</v>
      </c>
      <c r="K1584" t="s">
        <v>9</v>
      </c>
      <c r="L1584" s="8">
        <f t="shared" si="3124"/>
        <v>-1</v>
      </c>
      <c r="M1584" t="s">
        <v>1737</v>
      </c>
    </row>
    <row r="1585" spans="1:13" x14ac:dyDescent="0.35">
      <c r="A1585">
        <f t="shared" si="2869"/>
        <v>1581</v>
      </c>
      <c r="B1585" s="9">
        <f t="shared" ref="B1585" si="3289">B1584+H1585+I1585+J1585</f>
        <v>40.100000000000009</v>
      </c>
      <c r="C1585" s="3" t="s">
        <v>1738</v>
      </c>
      <c r="D1585">
        <f t="shared" ref="D1585" si="3290">_xlfn.NUMBERVALUE(LEFT(C1585,2))</f>
        <v>10</v>
      </c>
      <c r="E1585">
        <f t="shared" ref="E1585" si="3291">_xlfn.NUMBERVALUE(MID(C1585,4,2))</f>
        <v>12</v>
      </c>
      <c r="F1585">
        <f t="shared" ref="F1585" si="3292">_xlfn.NUMBERVALUE(RIGHT(C1585,4))</f>
        <v>2023</v>
      </c>
      <c r="G1585" t="s">
        <v>7</v>
      </c>
      <c r="H1585">
        <v>-2</v>
      </c>
      <c r="K1585" t="s">
        <v>9</v>
      </c>
      <c r="L1585" s="8">
        <f t="shared" si="3124"/>
        <v>-1</v>
      </c>
      <c r="M1585" t="s">
        <v>1739</v>
      </c>
    </row>
    <row r="1586" spans="1:13" x14ac:dyDescent="0.35">
      <c r="A1586">
        <f t="shared" si="2869"/>
        <v>1582</v>
      </c>
      <c r="B1586" s="9">
        <f t="shared" ref="B1586" si="3293">B1585+H1586+I1586+J1586</f>
        <v>38.100000000000009</v>
      </c>
      <c r="C1586" s="3" t="s">
        <v>1738</v>
      </c>
      <c r="D1586">
        <f t="shared" ref="D1586" si="3294">_xlfn.NUMBERVALUE(LEFT(C1586,2))</f>
        <v>10</v>
      </c>
      <c r="E1586">
        <f t="shared" ref="E1586" si="3295">_xlfn.NUMBERVALUE(MID(C1586,4,2))</f>
        <v>12</v>
      </c>
      <c r="F1586">
        <f t="shared" ref="F1586" si="3296">_xlfn.NUMBERVALUE(RIGHT(C1586,4))</f>
        <v>2023</v>
      </c>
      <c r="G1586" t="s">
        <v>7</v>
      </c>
      <c r="H1586">
        <v>-2</v>
      </c>
      <c r="K1586" t="s">
        <v>9</v>
      </c>
      <c r="L1586" s="8">
        <f t="shared" si="3124"/>
        <v>-1</v>
      </c>
      <c r="M1586" t="s">
        <v>1740</v>
      </c>
    </row>
    <row r="1587" spans="1:13" x14ac:dyDescent="0.35">
      <c r="A1587">
        <f t="shared" si="2869"/>
        <v>1583</v>
      </c>
      <c r="B1587" s="9">
        <f t="shared" ref="B1587" si="3297">B1586+H1587+I1587+J1587</f>
        <v>36.100000000000009</v>
      </c>
      <c r="C1587" s="3" t="s">
        <v>1738</v>
      </c>
      <c r="D1587">
        <f t="shared" ref="D1587" si="3298">_xlfn.NUMBERVALUE(LEFT(C1587,2))</f>
        <v>10</v>
      </c>
      <c r="E1587">
        <f t="shared" ref="E1587" si="3299">_xlfn.NUMBERVALUE(MID(C1587,4,2))</f>
        <v>12</v>
      </c>
      <c r="F1587">
        <f t="shared" ref="F1587" si="3300">_xlfn.NUMBERVALUE(RIGHT(C1587,4))</f>
        <v>2023</v>
      </c>
      <c r="G1587" t="s">
        <v>7</v>
      </c>
      <c r="H1587">
        <v>-2</v>
      </c>
      <c r="K1587" t="s">
        <v>9</v>
      </c>
      <c r="L1587" s="8">
        <f t="shared" si="3124"/>
        <v>-1</v>
      </c>
      <c r="M1587" t="s">
        <v>1741</v>
      </c>
    </row>
    <row r="1588" spans="1:13" x14ac:dyDescent="0.35">
      <c r="A1588">
        <f t="shared" si="2869"/>
        <v>1584</v>
      </c>
      <c r="B1588" s="9">
        <f t="shared" ref="B1588" si="3301">B1587+H1588+I1588+J1588</f>
        <v>42.100000000000009</v>
      </c>
      <c r="C1588" s="3" t="s">
        <v>1738</v>
      </c>
      <c r="D1588">
        <f t="shared" ref="D1588" si="3302">_xlfn.NUMBERVALUE(LEFT(C1588,2))</f>
        <v>10</v>
      </c>
      <c r="E1588">
        <f t="shared" ref="E1588" si="3303">_xlfn.NUMBERVALUE(MID(C1588,4,2))</f>
        <v>12</v>
      </c>
      <c r="F1588">
        <f t="shared" ref="F1588" si="3304">_xlfn.NUMBERVALUE(RIGHT(C1588,4))</f>
        <v>2023</v>
      </c>
      <c r="G1588" t="s">
        <v>7</v>
      </c>
      <c r="H1588">
        <v>-2</v>
      </c>
      <c r="I1588">
        <v>8</v>
      </c>
      <c r="K1588" t="s">
        <v>10</v>
      </c>
      <c r="L1588" s="8">
        <f t="shared" si="3124"/>
        <v>3</v>
      </c>
      <c r="M1588" t="s">
        <v>1742</v>
      </c>
    </row>
    <row r="1589" spans="1:13" x14ac:dyDescent="0.35">
      <c r="A1589">
        <f t="shared" si="2869"/>
        <v>1585</v>
      </c>
      <c r="B1589" s="9">
        <f t="shared" ref="B1589" si="3305">B1588+H1589+I1589+J1589</f>
        <v>46.100000000000009</v>
      </c>
      <c r="C1589" s="3" t="s">
        <v>1738</v>
      </c>
      <c r="D1589">
        <f t="shared" ref="D1589" si="3306">_xlfn.NUMBERVALUE(LEFT(C1589,2))</f>
        <v>10</v>
      </c>
      <c r="E1589">
        <f t="shared" ref="E1589" si="3307">_xlfn.NUMBERVALUE(MID(C1589,4,2))</f>
        <v>12</v>
      </c>
      <c r="F1589">
        <f t="shared" ref="F1589" si="3308">_xlfn.NUMBERVALUE(RIGHT(C1589,4))</f>
        <v>2023</v>
      </c>
      <c r="G1589" t="s">
        <v>7</v>
      </c>
      <c r="H1589">
        <v>-2</v>
      </c>
      <c r="I1589">
        <v>6</v>
      </c>
      <c r="K1589" t="s">
        <v>10</v>
      </c>
      <c r="L1589" s="8">
        <f t="shared" si="3124"/>
        <v>2</v>
      </c>
      <c r="M1589" t="s">
        <v>1743</v>
      </c>
    </row>
    <row r="1590" spans="1:13" x14ac:dyDescent="0.35">
      <c r="A1590">
        <f t="shared" si="2869"/>
        <v>1586</v>
      </c>
      <c r="B1590" s="9">
        <f t="shared" ref="B1590" si="3309">B1589+H1590+I1590+J1590</f>
        <v>44.100000000000009</v>
      </c>
      <c r="C1590" s="3" t="s">
        <v>1738</v>
      </c>
      <c r="D1590">
        <f t="shared" ref="D1590" si="3310">_xlfn.NUMBERVALUE(LEFT(C1590,2))</f>
        <v>10</v>
      </c>
      <c r="E1590">
        <f t="shared" ref="E1590" si="3311">_xlfn.NUMBERVALUE(MID(C1590,4,2))</f>
        <v>12</v>
      </c>
      <c r="F1590">
        <f t="shared" ref="F1590" si="3312">_xlfn.NUMBERVALUE(RIGHT(C1590,4))</f>
        <v>2023</v>
      </c>
      <c r="G1590" t="s">
        <v>7</v>
      </c>
      <c r="H1590">
        <v>-2</v>
      </c>
      <c r="K1590" t="s">
        <v>9</v>
      </c>
      <c r="L1590" s="8">
        <f t="shared" si="3124"/>
        <v>-1</v>
      </c>
      <c r="M1590" t="s">
        <v>1744</v>
      </c>
    </row>
    <row r="1591" spans="1:13" x14ac:dyDescent="0.35">
      <c r="A1591">
        <f t="shared" si="2869"/>
        <v>1587</v>
      </c>
      <c r="B1591" s="9">
        <f t="shared" ref="B1591" si="3313">B1590+H1591+I1591+J1591</f>
        <v>46.100000000000009</v>
      </c>
      <c r="C1591" s="3" t="s">
        <v>1738</v>
      </c>
      <c r="D1591">
        <f t="shared" ref="D1591" si="3314">_xlfn.NUMBERVALUE(LEFT(C1591,2))</f>
        <v>10</v>
      </c>
      <c r="E1591">
        <f t="shared" ref="E1591" si="3315">_xlfn.NUMBERVALUE(MID(C1591,4,2))</f>
        <v>12</v>
      </c>
      <c r="F1591">
        <f t="shared" ref="F1591" si="3316">_xlfn.NUMBERVALUE(RIGHT(C1591,4))</f>
        <v>2023</v>
      </c>
      <c r="G1591" t="s">
        <v>7</v>
      </c>
      <c r="H1591">
        <v>-2</v>
      </c>
      <c r="I1591">
        <v>4</v>
      </c>
      <c r="K1591" t="s">
        <v>10</v>
      </c>
      <c r="L1591" s="8">
        <f t="shared" si="3124"/>
        <v>1</v>
      </c>
      <c r="M1591" t="s">
        <v>1745</v>
      </c>
    </row>
    <row r="1592" spans="1:13" x14ac:dyDescent="0.35">
      <c r="A1592">
        <f t="shared" si="2869"/>
        <v>1588</v>
      </c>
      <c r="B1592" s="9">
        <f t="shared" ref="B1592" si="3317">B1591+H1592+I1592+J1592</f>
        <v>54.100000000000009</v>
      </c>
      <c r="C1592" s="3" t="s">
        <v>1738</v>
      </c>
      <c r="D1592">
        <f t="shared" ref="D1592" si="3318">_xlfn.NUMBERVALUE(LEFT(C1592,2))</f>
        <v>10</v>
      </c>
      <c r="E1592">
        <f t="shared" ref="E1592" si="3319">_xlfn.NUMBERVALUE(MID(C1592,4,2))</f>
        <v>12</v>
      </c>
      <c r="F1592">
        <f t="shared" ref="F1592" si="3320">_xlfn.NUMBERVALUE(RIGHT(C1592,4))</f>
        <v>2023</v>
      </c>
      <c r="G1592" t="s">
        <v>7</v>
      </c>
      <c r="H1592">
        <v>-2</v>
      </c>
      <c r="I1592">
        <v>10</v>
      </c>
      <c r="K1592" t="s">
        <v>10</v>
      </c>
      <c r="L1592" s="8">
        <f t="shared" si="3124"/>
        <v>4</v>
      </c>
      <c r="M1592" t="s">
        <v>1746</v>
      </c>
    </row>
    <row r="1593" spans="1:13" x14ac:dyDescent="0.35">
      <c r="A1593">
        <f t="shared" si="2869"/>
        <v>1589</v>
      </c>
      <c r="B1593" s="9">
        <f t="shared" ref="B1593" si="3321">B1592+H1593+I1593+J1593</f>
        <v>56.100000000000009</v>
      </c>
      <c r="C1593" s="3" t="s">
        <v>1738</v>
      </c>
      <c r="D1593">
        <f t="shared" ref="D1593" si="3322">_xlfn.NUMBERVALUE(LEFT(C1593,2))</f>
        <v>10</v>
      </c>
      <c r="E1593">
        <f t="shared" ref="E1593" si="3323">_xlfn.NUMBERVALUE(MID(C1593,4,2))</f>
        <v>12</v>
      </c>
      <c r="F1593">
        <f t="shared" ref="F1593" si="3324">_xlfn.NUMBERVALUE(RIGHT(C1593,4))</f>
        <v>2023</v>
      </c>
      <c r="G1593" t="s">
        <v>7</v>
      </c>
      <c r="H1593">
        <v>-2</v>
      </c>
      <c r="I1593">
        <v>4</v>
      </c>
      <c r="K1593" t="s">
        <v>10</v>
      </c>
      <c r="L1593" s="8">
        <f t="shared" si="3124"/>
        <v>1</v>
      </c>
      <c r="M1593" t="s">
        <v>1747</v>
      </c>
    </row>
    <row r="1594" spans="1:13" x14ac:dyDescent="0.35">
      <c r="A1594">
        <f t="shared" si="2869"/>
        <v>1590</v>
      </c>
      <c r="B1594" s="9">
        <f t="shared" ref="B1594:B1595" si="3325">B1593+H1594+I1594+J1594</f>
        <v>45.100000000000009</v>
      </c>
      <c r="C1594" s="3" t="s">
        <v>1738</v>
      </c>
      <c r="D1594">
        <f t="shared" ref="D1594:D1595" si="3326">_xlfn.NUMBERVALUE(LEFT(C1594,2))</f>
        <v>10</v>
      </c>
      <c r="E1594">
        <f t="shared" ref="E1594:E1595" si="3327">_xlfn.NUMBERVALUE(MID(C1594,4,2))</f>
        <v>12</v>
      </c>
      <c r="F1594">
        <f t="shared" ref="F1594:F1595" si="3328">_xlfn.NUMBERVALUE(RIGHT(C1594,4))</f>
        <v>2023</v>
      </c>
      <c r="G1594" t="s">
        <v>154</v>
      </c>
      <c r="H1594">
        <v>-11</v>
      </c>
      <c r="K1594" t="s">
        <v>9</v>
      </c>
      <c r="L1594" s="8">
        <f t="shared" si="3124"/>
        <v>-1</v>
      </c>
      <c r="M1594" t="s">
        <v>1748</v>
      </c>
    </row>
    <row r="1595" spans="1:13" x14ac:dyDescent="0.35">
      <c r="A1595">
        <f t="shared" si="2869"/>
        <v>1591</v>
      </c>
      <c r="B1595" s="9">
        <f t="shared" si="3325"/>
        <v>45.100000000000009</v>
      </c>
      <c r="C1595" s="3" t="s">
        <v>1738</v>
      </c>
      <c r="D1595">
        <f t="shared" si="3326"/>
        <v>10</v>
      </c>
      <c r="E1595">
        <f t="shared" si="3327"/>
        <v>12</v>
      </c>
      <c r="F1595">
        <f t="shared" si="3328"/>
        <v>2023</v>
      </c>
      <c r="G1595" t="s">
        <v>7</v>
      </c>
      <c r="K1595" t="s">
        <v>9</v>
      </c>
      <c r="L1595" s="8">
        <f t="shared" si="3124"/>
        <v>0</v>
      </c>
      <c r="M1595" t="s">
        <v>1749</v>
      </c>
    </row>
    <row r="1596" spans="1:13" x14ac:dyDescent="0.35">
      <c r="A1596">
        <f t="shared" si="2869"/>
        <v>1592</v>
      </c>
      <c r="B1596" s="9">
        <f t="shared" ref="B1596" si="3329">B1595+H1596+I1596+J1596</f>
        <v>49.100000000000009</v>
      </c>
      <c r="C1596" s="3" t="s">
        <v>1738</v>
      </c>
      <c r="D1596">
        <f t="shared" ref="D1596" si="3330">_xlfn.NUMBERVALUE(LEFT(C1596,2))</f>
        <v>10</v>
      </c>
      <c r="E1596">
        <f t="shared" ref="E1596" si="3331">_xlfn.NUMBERVALUE(MID(C1596,4,2))</f>
        <v>12</v>
      </c>
      <c r="F1596">
        <f t="shared" ref="F1596" si="3332">_xlfn.NUMBERVALUE(RIGHT(C1596,4))</f>
        <v>2023</v>
      </c>
      <c r="G1596" t="s">
        <v>7</v>
      </c>
      <c r="H1596">
        <v>-2</v>
      </c>
      <c r="I1596">
        <v>6</v>
      </c>
      <c r="K1596" t="s">
        <v>10</v>
      </c>
      <c r="L1596" s="8">
        <f t="shared" si="3124"/>
        <v>2</v>
      </c>
      <c r="M1596" t="s">
        <v>1750</v>
      </c>
    </row>
    <row r="1597" spans="1:13" x14ac:dyDescent="0.35">
      <c r="A1597">
        <f t="shared" si="2869"/>
        <v>1593</v>
      </c>
      <c r="B1597" s="9">
        <f t="shared" ref="B1597" si="3333">B1596+H1597+I1597+J1597</f>
        <v>51.100000000000009</v>
      </c>
      <c r="C1597" s="3" t="s">
        <v>1738</v>
      </c>
      <c r="D1597">
        <f t="shared" ref="D1597" si="3334">_xlfn.NUMBERVALUE(LEFT(C1597,2))</f>
        <v>10</v>
      </c>
      <c r="E1597">
        <f t="shared" ref="E1597" si="3335">_xlfn.NUMBERVALUE(MID(C1597,4,2))</f>
        <v>12</v>
      </c>
      <c r="F1597">
        <f t="shared" ref="F1597" si="3336">_xlfn.NUMBERVALUE(RIGHT(C1597,4))</f>
        <v>2023</v>
      </c>
      <c r="G1597" t="s">
        <v>7</v>
      </c>
      <c r="H1597">
        <v>-2</v>
      </c>
      <c r="I1597">
        <v>4</v>
      </c>
      <c r="K1597" t="s">
        <v>10</v>
      </c>
      <c r="L1597" s="8">
        <f t="shared" si="3124"/>
        <v>1</v>
      </c>
      <c r="M1597" t="s">
        <v>1751</v>
      </c>
    </row>
    <row r="1598" spans="1:13" x14ac:dyDescent="0.35">
      <c r="A1598">
        <f t="shared" si="2869"/>
        <v>1594</v>
      </c>
      <c r="B1598" s="9">
        <f t="shared" ref="B1598" si="3337">B1597+H1598+I1598+J1598</f>
        <v>49.100000000000009</v>
      </c>
      <c r="C1598" s="3" t="s">
        <v>1752</v>
      </c>
      <c r="D1598">
        <f t="shared" ref="D1598" si="3338">_xlfn.NUMBERVALUE(LEFT(C1598,2))</f>
        <v>11</v>
      </c>
      <c r="E1598">
        <f t="shared" ref="E1598" si="3339">_xlfn.NUMBERVALUE(MID(C1598,4,2))</f>
        <v>12</v>
      </c>
      <c r="F1598">
        <f t="shared" ref="F1598" si="3340">_xlfn.NUMBERVALUE(RIGHT(C1598,4))</f>
        <v>2023</v>
      </c>
      <c r="G1598" t="s">
        <v>7</v>
      </c>
      <c r="H1598">
        <v>-2</v>
      </c>
      <c r="K1598" t="s">
        <v>9</v>
      </c>
      <c r="L1598" s="8">
        <f t="shared" si="3124"/>
        <v>-1</v>
      </c>
      <c r="M1598" t="s">
        <v>1753</v>
      </c>
    </row>
    <row r="1599" spans="1:13" x14ac:dyDescent="0.35">
      <c r="A1599">
        <f t="shared" si="2869"/>
        <v>1595</v>
      </c>
      <c r="B1599" s="9">
        <f t="shared" ref="B1599" si="3341">B1598+H1599+I1599+J1599</f>
        <v>47.100000000000009</v>
      </c>
      <c r="C1599" s="3" t="s">
        <v>1752</v>
      </c>
      <c r="D1599">
        <f t="shared" ref="D1599" si="3342">_xlfn.NUMBERVALUE(LEFT(C1599,2))</f>
        <v>11</v>
      </c>
      <c r="E1599">
        <f t="shared" ref="E1599" si="3343">_xlfn.NUMBERVALUE(MID(C1599,4,2))</f>
        <v>12</v>
      </c>
      <c r="F1599">
        <f t="shared" ref="F1599" si="3344">_xlfn.NUMBERVALUE(RIGHT(C1599,4))</f>
        <v>2023</v>
      </c>
      <c r="G1599" t="s">
        <v>7</v>
      </c>
      <c r="H1599">
        <v>-2</v>
      </c>
      <c r="K1599" t="s">
        <v>9</v>
      </c>
      <c r="L1599" s="8">
        <f t="shared" si="3124"/>
        <v>-1</v>
      </c>
      <c r="M1599" t="s">
        <v>1754</v>
      </c>
    </row>
    <row r="1600" spans="1:13" x14ac:dyDescent="0.35">
      <c r="A1600">
        <f t="shared" si="2869"/>
        <v>1596</v>
      </c>
      <c r="B1600" s="9">
        <f t="shared" ref="B1600" si="3345">B1599+H1600+I1600+J1600</f>
        <v>45.100000000000009</v>
      </c>
      <c r="C1600" s="3" t="s">
        <v>1752</v>
      </c>
      <c r="D1600">
        <f t="shared" ref="D1600" si="3346">_xlfn.NUMBERVALUE(LEFT(C1600,2))</f>
        <v>11</v>
      </c>
      <c r="E1600">
        <f t="shared" ref="E1600" si="3347">_xlfn.NUMBERVALUE(MID(C1600,4,2))</f>
        <v>12</v>
      </c>
      <c r="F1600">
        <f t="shared" ref="F1600" si="3348">_xlfn.NUMBERVALUE(RIGHT(C1600,4))</f>
        <v>2023</v>
      </c>
      <c r="G1600" t="s">
        <v>7</v>
      </c>
      <c r="H1600">
        <v>-2</v>
      </c>
      <c r="K1600" t="s">
        <v>9</v>
      </c>
      <c r="L1600" s="8">
        <f t="shared" si="3124"/>
        <v>-1</v>
      </c>
      <c r="M1600" t="s">
        <v>1755</v>
      </c>
    </row>
    <row r="1601" spans="1:13" x14ac:dyDescent="0.35">
      <c r="A1601">
        <f t="shared" si="2869"/>
        <v>1597</v>
      </c>
      <c r="B1601" s="9">
        <f t="shared" ref="B1601" si="3349">B1600+H1601+I1601+J1601</f>
        <v>43.100000000000009</v>
      </c>
      <c r="C1601" s="3" t="s">
        <v>1752</v>
      </c>
      <c r="D1601">
        <f t="shared" ref="D1601" si="3350">_xlfn.NUMBERVALUE(LEFT(C1601,2))</f>
        <v>11</v>
      </c>
      <c r="E1601">
        <f t="shared" ref="E1601" si="3351">_xlfn.NUMBERVALUE(MID(C1601,4,2))</f>
        <v>12</v>
      </c>
      <c r="F1601">
        <f t="shared" ref="F1601" si="3352">_xlfn.NUMBERVALUE(RIGHT(C1601,4))</f>
        <v>2023</v>
      </c>
      <c r="G1601" t="s">
        <v>7</v>
      </c>
      <c r="H1601">
        <v>-2</v>
      </c>
      <c r="K1601" t="s">
        <v>9</v>
      </c>
      <c r="L1601" s="8">
        <f t="shared" si="3124"/>
        <v>-1</v>
      </c>
      <c r="M1601" t="s">
        <v>1756</v>
      </c>
    </row>
    <row r="1602" spans="1:13" x14ac:dyDescent="0.35">
      <c r="A1602">
        <f t="shared" si="2869"/>
        <v>1598</v>
      </c>
      <c r="B1602" s="9">
        <f t="shared" ref="B1602" si="3353">B1601+H1602+I1602+J1602</f>
        <v>41.100000000000009</v>
      </c>
      <c r="C1602" s="3" t="s">
        <v>1752</v>
      </c>
      <c r="D1602">
        <f t="shared" ref="D1602" si="3354">_xlfn.NUMBERVALUE(LEFT(C1602,2))</f>
        <v>11</v>
      </c>
      <c r="E1602">
        <f t="shared" ref="E1602" si="3355">_xlfn.NUMBERVALUE(MID(C1602,4,2))</f>
        <v>12</v>
      </c>
      <c r="F1602">
        <f t="shared" ref="F1602" si="3356">_xlfn.NUMBERVALUE(RIGHT(C1602,4))</f>
        <v>2023</v>
      </c>
      <c r="G1602" t="s">
        <v>7</v>
      </c>
      <c r="H1602">
        <v>-2</v>
      </c>
      <c r="K1602" t="s">
        <v>9</v>
      </c>
      <c r="L1602" s="8">
        <f t="shared" si="3124"/>
        <v>-1</v>
      </c>
      <c r="M1602" t="s">
        <v>1757</v>
      </c>
    </row>
    <row r="1603" spans="1:13" x14ac:dyDescent="0.35">
      <c r="A1603">
        <f t="shared" si="2869"/>
        <v>1599</v>
      </c>
      <c r="B1603" s="9">
        <f t="shared" ref="B1603" si="3357">B1602+H1603+I1603+J1603</f>
        <v>39.100000000000009</v>
      </c>
      <c r="C1603" s="3" t="s">
        <v>1752</v>
      </c>
      <c r="D1603">
        <f t="shared" ref="D1603" si="3358">_xlfn.NUMBERVALUE(LEFT(C1603,2))</f>
        <v>11</v>
      </c>
      <c r="E1603">
        <f t="shared" ref="E1603" si="3359">_xlfn.NUMBERVALUE(MID(C1603,4,2))</f>
        <v>12</v>
      </c>
      <c r="F1603">
        <f t="shared" ref="F1603" si="3360">_xlfn.NUMBERVALUE(RIGHT(C1603,4))</f>
        <v>2023</v>
      </c>
      <c r="G1603" t="s">
        <v>7</v>
      </c>
      <c r="H1603">
        <v>-2</v>
      </c>
      <c r="K1603" t="s">
        <v>9</v>
      </c>
      <c r="L1603" s="8">
        <f t="shared" si="3124"/>
        <v>-1</v>
      </c>
      <c r="M1603" t="s">
        <v>1758</v>
      </c>
    </row>
    <row r="1604" spans="1:13" x14ac:dyDescent="0.35">
      <c r="A1604">
        <f t="shared" si="2869"/>
        <v>1600</v>
      </c>
      <c r="B1604" s="9">
        <f t="shared" ref="B1604" si="3361">B1603+H1604+I1604+J1604</f>
        <v>37.100000000000009</v>
      </c>
      <c r="C1604" s="3" t="s">
        <v>1752</v>
      </c>
      <c r="D1604">
        <f t="shared" ref="D1604" si="3362">_xlfn.NUMBERVALUE(LEFT(C1604,2))</f>
        <v>11</v>
      </c>
      <c r="E1604">
        <f t="shared" ref="E1604" si="3363">_xlfn.NUMBERVALUE(MID(C1604,4,2))</f>
        <v>12</v>
      </c>
      <c r="F1604">
        <f t="shared" ref="F1604" si="3364">_xlfn.NUMBERVALUE(RIGHT(C1604,4))</f>
        <v>2023</v>
      </c>
      <c r="G1604" t="s">
        <v>7</v>
      </c>
      <c r="H1604">
        <v>-2</v>
      </c>
      <c r="K1604" t="s">
        <v>9</v>
      </c>
      <c r="L1604" s="8">
        <f t="shared" si="3124"/>
        <v>-1</v>
      </c>
      <c r="M1604" t="s">
        <v>1759</v>
      </c>
    </row>
    <row r="1605" spans="1:13" x14ac:dyDescent="0.35">
      <c r="A1605">
        <f t="shared" si="2869"/>
        <v>1601</v>
      </c>
      <c r="B1605" s="9">
        <f t="shared" ref="B1605" si="3365">B1604+H1605+I1605+J1605</f>
        <v>35.100000000000009</v>
      </c>
      <c r="C1605" s="3" t="s">
        <v>1752</v>
      </c>
      <c r="D1605">
        <f t="shared" ref="D1605" si="3366">_xlfn.NUMBERVALUE(LEFT(C1605,2))</f>
        <v>11</v>
      </c>
      <c r="E1605">
        <f t="shared" ref="E1605" si="3367">_xlfn.NUMBERVALUE(MID(C1605,4,2))</f>
        <v>12</v>
      </c>
      <c r="F1605">
        <f t="shared" ref="F1605" si="3368">_xlfn.NUMBERVALUE(RIGHT(C1605,4))</f>
        <v>2023</v>
      </c>
      <c r="G1605" t="s">
        <v>7</v>
      </c>
      <c r="H1605">
        <v>-2</v>
      </c>
      <c r="K1605" t="s">
        <v>9</v>
      </c>
      <c r="L1605" s="8">
        <f t="shared" si="3124"/>
        <v>-1</v>
      </c>
      <c r="M1605" t="s">
        <v>1760</v>
      </c>
    </row>
    <row r="1606" spans="1:13" x14ac:dyDescent="0.35">
      <c r="A1606">
        <f t="shared" si="2869"/>
        <v>1602</v>
      </c>
      <c r="B1606" s="9">
        <f t="shared" ref="B1606" si="3369">B1605+H1606+I1606+J1606</f>
        <v>37.100000000000009</v>
      </c>
      <c r="C1606" s="3" t="s">
        <v>1752</v>
      </c>
      <c r="D1606">
        <f t="shared" ref="D1606" si="3370">_xlfn.NUMBERVALUE(LEFT(C1606,2))</f>
        <v>11</v>
      </c>
      <c r="E1606">
        <f t="shared" ref="E1606" si="3371">_xlfn.NUMBERVALUE(MID(C1606,4,2))</f>
        <v>12</v>
      </c>
      <c r="F1606">
        <f t="shared" ref="F1606" si="3372">_xlfn.NUMBERVALUE(RIGHT(C1606,4))</f>
        <v>2023</v>
      </c>
      <c r="G1606" t="s">
        <v>7</v>
      </c>
      <c r="H1606">
        <v>-2</v>
      </c>
      <c r="I1606">
        <v>4</v>
      </c>
      <c r="K1606" t="s">
        <v>10</v>
      </c>
      <c r="L1606" s="8">
        <f t="shared" ref="L1606:L1669" si="3373">IF(H1606="",0,(SUM(I1606:J1606)/-H1606)-1)</f>
        <v>1</v>
      </c>
      <c r="M1606" t="s">
        <v>1761</v>
      </c>
    </row>
    <row r="1607" spans="1:13" x14ac:dyDescent="0.35">
      <c r="A1607">
        <f t="shared" si="2869"/>
        <v>1603</v>
      </c>
      <c r="B1607" s="9">
        <f t="shared" ref="B1607" si="3374">B1606+H1607+I1607+J1607</f>
        <v>39.100000000000009</v>
      </c>
      <c r="C1607" s="3" t="s">
        <v>1752</v>
      </c>
      <c r="D1607">
        <f t="shared" ref="D1607" si="3375">_xlfn.NUMBERVALUE(LEFT(C1607,2))</f>
        <v>11</v>
      </c>
      <c r="E1607">
        <f t="shared" ref="E1607" si="3376">_xlfn.NUMBERVALUE(MID(C1607,4,2))</f>
        <v>12</v>
      </c>
      <c r="F1607">
        <f t="shared" ref="F1607" si="3377">_xlfn.NUMBERVALUE(RIGHT(C1607,4))</f>
        <v>2023</v>
      </c>
      <c r="G1607" t="s">
        <v>7</v>
      </c>
      <c r="H1607">
        <v>-2</v>
      </c>
      <c r="I1607">
        <v>4</v>
      </c>
      <c r="K1607" t="s">
        <v>10</v>
      </c>
      <c r="L1607" s="8">
        <f t="shared" si="3373"/>
        <v>1</v>
      </c>
      <c r="M1607" t="s">
        <v>1762</v>
      </c>
    </row>
    <row r="1608" spans="1:13" x14ac:dyDescent="0.35">
      <c r="A1608">
        <f t="shared" si="2869"/>
        <v>1604</v>
      </c>
      <c r="B1608" s="9">
        <f t="shared" ref="B1608" si="3378">B1607+H1608+I1608+J1608</f>
        <v>37.100000000000009</v>
      </c>
      <c r="C1608" s="3" t="s">
        <v>1763</v>
      </c>
      <c r="D1608">
        <f t="shared" ref="D1608" si="3379">_xlfn.NUMBERVALUE(LEFT(C1608,2))</f>
        <v>12</v>
      </c>
      <c r="E1608">
        <f t="shared" ref="E1608" si="3380">_xlfn.NUMBERVALUE(MID(C1608,4,2))</f>
        <v>12</v>
      </c>
      <c r="F1608">
        <f t="shared" ref="F1608" si="3381">_xlfn.NUMBERVALUE(RIGHT(C1608,4))</f>
        <v>2023</v>
      </c>
      <c r="G1608" t="s">
        <v>7</v>
      </c>
      <c r="H1608">
        <v>-2</v>
      </c>
      <c r="K1608" t="s">
        <v>9</v>
      </c>
      <c r="L1608" s="8">
        <f t="shared" si="3373"/>
        <v>-1</v>
      </c>
      <c r="M1608" t="s">
        <v>1764</v>
      </c>
    </row>
    <row r="1609" spans="1:13" x14ac:dyDescent="0.35">
      <c r="A1609">
        <f t="shared" si="2869"/>
        <v>1605</v>
      </c>
      <c r="B1609" s="9">
        <f t="shared" ref="B1609" si="3382">B1608+H1609+I1609+J1609</f>
        <v>35.100000000000009</v>
      </c>
      <c r="C1609" s="3" t="s">
        <v>1763</v>
      </c>
      <c r="D1609">
        <f t="shared" ref="D1609" si="3383">_xlfn.NUMBERVALUE(LEFT(C1609,2))</f>
        <v>12</v>
      </c>
      <c r="E1609">
        <f t="shared" ref="E1609" si="3384">_xlfn.NUMBERVALUE(MID(C1609,4,2))</f>
        <v>12</v>
      </c>
      <c r="F1609">
        <f t="shared" ref="F1609" si="3385">_xlfn.NUMBERVALUE(RIGHT(C1609,4))</f>
        <v>2023</v>
      </c>
      <c r="G1609" t="s">
        <v>7</v>
      </c>
      <c r="H1609">
        <v>-2</v>
      </c>
      <c r="K1609" t="s">
        <v>9</v>
      </c>
      <c r="L1609" s="8">
        <f t="shared" si="3373"/>
        <v>-1</v>
      </c>
      <c r="M1609" t="s">
        <v>1765</v>
      </c>
    </row>
    <row r="1610" spans="1:13" x14ac:dyDescent="0.35">
      <c r="A1610">
        <f t="shared" si="2869"/>
        <v>1606</v>
      </c>
      <c r="B1610" s="9">
        <f t="shared" ref="B1610" si="3386">B1609+H1610+I1610+J1610</f>
        <v>39.100000000000009</v>
      </c>
      <c r="C1610" s="3" t="s">
        <v>1763</v>
      </c>
      <c r="D1610">
        <f t="shared" ref="D1610" si="3387">_xlfn.NUMBERVALUE(LEFT(C1610,2))</f>
        <v>12</v>
      </c>
      <c r="E1610">
        <f t="shared" ref="E1610" si="3388">_xlfn.NUMBERVALUE(MID(C1610,4,2))</f>
        <v>12</v>
      </c>
      <c r="F1610">
        <f t="shared" ref="F1610" si="3389">_xlfn.NUMBERVALUE(RIGHT(C1610,4))</f>
        <v>2023</v>
      </c>
      <c r="G1610" t="s">
        <v>7</v>
      </c>
      <c r="H1610">
        <v>-2</v>
      </c>
      <c r="I1610">
        <v>6</v>
      </c>
      <c r="K1610" t="s">
        <v>10</v>
      </c>
      <c r="L1610" s="8">
        <f t="shared" si="3373"/>
        <v>2</v>
      </c>
      <c r="M1610" t="s">
        <v>1766</v>
      </c>
    </row>
    <row r="1611" spans="1:13" x14ac:dyDescent="0.35">
      <c r="A1611">
        <f t="shared" si="2869"/>
        <v>1607</v>
      </c>
      <c r="B1611" s="9">
        <f t="shared" ref="B1611" si="3390">B1610+H1611+I1611+J1611</f>
        <v>37.100000000000009</v>
      </c>
      <c r="C1611" s="3" t="s">
        <v>1763</v>
      </c>
      <c r="D1611">
        <f t="shared" ref="D1611" si="3391">_xlfn.NUMBERVALUE(LEFT(C1611,2))</f>
        <v>12</v>
      </c>
      <c r="E1611">
        <f t="shared" ref="E1611" si="3392">_xlfn.NUMBERVALUE(MID(C1611,4,2))</f>
        <v>12</v>
      </c>
      <c r="F1611">
        <f t="shared" ref="F1611" si="3393">_xlfn.NUMBERVALUE(RIGHT(C1611,4))</f>
        <v>2023</v>
      </c>
      <c r="G1611" t="s">
        <v>7</v>
      </c>
      <c r="H1611">
        <v>-2</v>
      </c>
      <c r="K1611" t="s">
        <v>9</v>
      </c>
      <c r="L1611" s="8">
        <f t="shared" si="3373"/>
        <v>-1</v>
      </c>
      <c r="M1611" t="s">
        <v>1767</v>
      </c>
    </row>
    <row r="1612" spans="1:13" x14ac:dyDescent="0.35">
      <c r="A1612">
        <f t="shared" si="2869"/>
        <v>1608</v>
      </c>
      <c r="B1612" s="9">
        <f t="shared" ref="B1612" si="3394">B1611+H1612+I1612+J1612</f>
        <v>35.100000000000009</v>
      </c>
      <c r="C1612" s="3" t="s">
        <v>1763</v>
      </c>
      <c r="D1612">
        <f t="shared" ref="D1612" si="3395">_xlfn.NUMBERVALUE(LEFT(C1612,2))</f>
        <v>12</v>
      </c>
      <c r="E1612">
        <f t="shared" ref="E1612" si="3396">_xlfn.NUMBERVALUE(MID(C1612,4,2))</f>
        <v>12</v>
      </c>
      <c r="F1612">
        <f t="shared" ref="F1612" si="3397">_xlfn.NUMBERVALUE(RIGHT(C1612,4))</f>
        <v>2023</v>
      </c>
      <c r="G1612" t="s">
        <v>7</v>
      </c>
      <c r="H1612">
        <v>-2</v>
      </c>
      <c r="K1612" t="s">
        <v>9</v>
      </c>
      <c r="L1612" s="8">
        <f t="shared" si="3373"/>
        <v>-1</v>
      </c>
      <c r="M1612" t="s">
        <v>1768</v>
      </c>
    </row>
    <row r="1613" spans="1:13" x14ac:dyDescent="0.35">
      <c r="A1613">
        <f t="shared" si="2869"/>
        <v>1609</v>
      </c>
      <c r="B1613" s="9">
        <f t="shared" ref="B1613" si="3398">B1612+H1613+I1613+J1613</f>
        <v>39.100000000000009</v>
      </c>
      <c r="C1613" s="3" t="s">
        <v>1763</v>
      </c>
      <c r="D1613">
        <f t="shared" ref="D1613" si="3399">_xlfn.NUMBERVALUE(LEFT(C1613,2))</f>
        <v>12</v>
      </c>
      <c r="E1613">
        <f t="shared" ref="E1613" si="3400">_xlfn.NUMBERVALUE(MID(C1613,4,2))</f>
        <v>12</v>
      </c>
      <c r="F1613">
        <f t="shared" ref="F1613" si="3401">_xlfn.NUMBERVALUE(RIGHT(C1613,4))</f>
        <v>2023</v>
      </c>
      <c r="G1613" t="s">
        <v>7</v>
      </c>
      <c r="H1613">
        <v>-2</v>
      </c>
      <c r="I1613">
        <v>6</v>
      </c>
      <c r="K1613" t="s">
        <v>10</v>
      </c>
      <c r="L1613" s="8">
        <f t="shared" si="3373"/>
        <v>2</v>
      </c>
      <c r="M1613" t="s">
        <v>1769</v>
      </c>
    </row>
    <row r="1614" spans="1:13" x14ac:dyDescent="0.35">
      <c r="A1614">
        <f t="shared" si="2869"/>
        <v>1610</v>
      </c>
      <c r="B1614" s="9">
        <f t="shared" ref="B1614" si="3402">B1613+H1614+I1614+J1614</f>
        <v>43.100000000000009</v>
      </c>
      <c r="C1614" s="3" t="s">
        <v>1763</v>
      </c>
      <c r="D1614">
        <f t="shared" ref="D1614" si="3403">_xlfn.NUMBERVALUE(LEFT(C1614,2))</f>
        <v>12</v>
      </c>
      <c r="E1614">
        <f t="shared" ref="E1614" si="3404">_xlfn.NUMBERVALUE(MID(C1614,4,2))</f>
        <v>12</v>
      </c>
      <c r="F1614">
        <f t="shared" ref="F1614" si="3405">_xlfn.NUMBERVALUE(RIGHT(C1614,4))</f>
        <v>2023</v>
      </c>
      <c r="G1614" t="s">
        <v>7</v>
      </c>
      <c r="H1614">
        <v>-2</v>
      </c>
      <c r="I1614">
        <v>6</v>
      </c>
      <c r="K1614" t="s">
        <v>10</v>
      </c>
      <c r="L1614" s="8">
        <f t="shared" si="3373"/>
        <v>2</v>
      </c>
      <c r="M1614" t="s">
        <v>1770</v>
      </c>
    </row>
    <row r="1615" spans="1:13" x14ac:dyDescent="0.35">
      <c r="A1615">
        <f t="shared" si="2869"/>
        <v>1611</v>
      </c>
      <c r="B1615" s="9">
        <f t="shared" ref="B1615" si="3406">B1614+H1615+I1615+J1615</f>
        <v>45.100000000000009</v>
      </c>
      <c r="C1615" s="3" t="s">
        <v>1771</v>
      </c>
      <c r="D1615">
        <f t="shared" ref="D1615" si="3407">_xlfn.NUMBERVALUE(LEFT(C1615,2))</f>
        <v>13</v>
      </c>
      <c r="E1615">
        <f t="shared" ref="E1615" si="3408">_xlfn.NUMBERVALUE(MID(C1615,4,2))</f>
        <v>12</v>
      </c>
      <c r="F1615">
        <f t="shared" ref="F1615" si="3409">_xlfn.NUMBERVALUE(RIGHT(C1615,4))</f>
        <v>2023</v>
      </c>
      <c r="G1615" t="s">
        <v>7</v>
      </c>
      <c r="H1615">
        <v>-2</v>
      </c>
      <c r="I1615">
        <v>4</v>
      </c>
      <c r="K1615" t="s">
        <v>10</v>
      </c>
      <c r="L1615" s="8">
        <f t="shared" si="3373"/>
        <v>1</v>
      </c>
      <c r="M1615" t="s">
        <v>1772</v>
      </c>
    </row>
    <row r="1616" spans="1:13" x14ac:dyDescent="0.35">
      <c r="A1616">
        <f t="shared" si="2869"/>
        <v>1612</v>
      </c>
      <c r="B1616" s="9">
        <f t="shared" ref="B1616" si="3410">B1615+H1616+I1616+J1616</f>
        <v>49.100000000000009</v>
      </c>
      <c r="C1616" s="3" t="s">
        <v>1771</v>
      </c>
      <c r="D1616">
        <f t="shared" ref="D1616" si="3411">_xlfn.NUMBERVALUE(LEFT(C1616,2))</f>
        <v>13</v>
      </c>
      <c r="E1616">
        <f t="shared" ref="E1616" si="3412">_xlfn.NUMBERVALUE(MID(C1616,4,2))</f>
        <v>12</v>
      </c>
      <c r="F1616">
        <f t="shared" ref="F1616" si="3413">_xlfn.NUMBERVALUE(RIGHT(C1616,4))</f>
        <v>2023</v>
      </c>
      <c r="G1616" t="s">
        <v>7</v>
      </c>
      <c r="H1616">
        <v>-2</v>
      </c>
      <c r="I1616">
        <v>6</v>
      </c>
      <c r="K1616" t="s">
        <v>10</v>
      </c>
      <c r="L1616" s="8">
        <f t="shared" si="3373"/>
        <v>2</v>
      </c>
      <c r="M1616" t="s">
        <v>1773</v>
      </c>
    </row>
    <row r="1617" spans="1:13" x14ac:dyDescent="0.35">
      <c r="A1617">
        <f t="shared" si="2869"/>
        <v>1613</v>
      </c>
      <c r="B1617" s="9">
        <f t="shared" ref="B1617" si="3414">B1616+H1617+I1617+J1617</f>
        <v>47.100000000000009</v>
      </c>
      <c r="C1617" s="3" t="s">
        <v>1774</v>
      </c>
      <c r="D1617">
        <f t="shared" ref="D1617" si="3415">_xlfn.NUMBERVALUE(LEFT(C1617,2))</f>
        <v>14</v>
      </c>
      <c r="E1617">
        <f t="shared" ref="E1617" si="3416">_xlfn.NUMBERVALUE(MID(C1617,4,2))</f>
        <v>12</v>
      </c>
      <c r="F1617">
        <f t="shared" ref="F1617" si="3417">_xlfn.NUMBERVALUE(RIGHT(C1617,4))</f>
        <v>2023</v>
      </c>
      <c r="G1617" t="s">
        <v>7</v>
      </c>
      <c r="H1617">
        <v>-2</v>
      </c>
      <c r="K1617" t="s">
        <v>9</v>
      </c>
      <c r="L1617" s="8">
        <f t="shared" si="3373"/>
        <v>-1</v>
      </c>
      <c r="M1617" t="s">
        <v>1775</v>
      </c>
    </row>
    <row r="1618" spans="1:13" x14ac:dyDescent="0.35">
      <c r="A1618">
        <f t="shared" si="2869"/>
        <v>1614</v>
      </c>
      <c r="B1618" s="9">
        <f t="shared" ref="B1618" si="3418">B1617+H1618+I1618+J1618</f>
        <v>45.100000000000009</v>
      </c>
      <c r="C1618" s="3" t="s">
        <v>1774</v>
      </c>
      <c r="D1618">
        <f t="shared" ref="D1618" si="3419">_xlfn.NUMBERVALUE(LEFT(C1618,2))</f>
        <v>14</v>
      </c>
      <c r="E1618">
        <f t="shared" ref="E1618" si="3420">_xlfn.NUMBERVALUE(MID(C1618,4,2))</f>
        <v>12</v>
      </c>
      <c r="F1618">
        <f t="shared" ref="F1618" si="3421">_xlfn.NUMBERVALUE(RIGHT(C1618,4))</f>
        <v>2023</v>
      </c>
      <c r="G1618" t="s">
        <v>7</v>
      </c>
      <c r="H1618">
        <v>-2</v>
      </c>
      <c r="K1618" t="s">
        <v>9</v>
      </c>
      <c r="L1618" s="8">
        <f t="shared" si="3373"/>
        <v>-1</v>
      </c>
      <c r="M1618" t="s">
        <v>1776</v>
      </c>
    </row>
    <row r="1619" spans="1:13" x14ac:dyDescent="0.35">
      <c r="A1619">
        <f t="shared" si="2869"/>
        <v>1615</v>
      </c>
      <c r="B1619" s="9">
        <f t="shared" ref="B1619" si="3422">B1618+H1619+I1619+J1619</f>
        <v>43.100000000000009</v>
      </c>
      <c r="C1619" s="3" t="s">
        <v>1774</v>
      </c>
      <c r="D1619">
        <f t="shared" ref="D1619" si="3423">_xlfn.NUMBERVALUE(LEFT(C1619,2))</f>
        <v>14</v>
      </c>
      <c r="E1619">
        <f t="shared" ref="E1619" si="3424">_xlfn.NUMBERVALUE(MID(C1619,4,2))</f>
        <v>12</v>
      </c>
      <c r="F1619">
        <f t="shared" ref="F1619" si="3425">_xlfn.NUMBERVALUE(RIGHT(C1619,4))</f>
        <v>2023</v>
      </c>
      <c r="G1619" t="s">
        <v>7</v>
      </c>
      <c r="H1619">
        <v>-2</v>
      </c>
      <c r="K1619" t="s">
        <v>9</v>
      </c>
      <c r="L1619" s="8">
        <f t="shared" si="3373"/>
        <v>-1</v>
      </c>
      <c r="M1619" t="s">
        <v>1777</v>
      </c>
    </row>
    <row r="1620" spans="1:13" x14ac:dyDescent="0.35">
      <c r="A1620">
        <f t="shared" si="2869"/>
        <v>1616</v>
      </c>
      <c r="B1620" s="9">
        <f t="shared" ref="B1620" si="3426">B1619+H1620+I1620+J1620</f>
        <v>47.100000000000009</v>
      </c>
      <c r="C1620" s="3" t="s">
        <v>1774</v>
      </c>
      <c r="D1620">
        <f t="shared" ref="D1620" si="3427">_xlfn.NUMBERVALUE(LEFT(C1620,2))</f>
        <v>14</v>
      </c>
      <c r="E1620">
        <f t="shared" ref="E1620" si="3428">_xlfn.NUMBERVALUE(MID(C1620,4,2))</f>
        <v>12</v>
      </c>
      <c r="F1620">
        <f t="shared" ref="F1620" si="3429">_xlfn.NUMBERVALUE(RIGHT(C1620,4))</f>
        <v>2023</v>
      </c>
      <c r="G1620" t="s">
        <v>7</v>
      </c>
      <c r="H1620">
        <v>-2</v>
      </c>
      <c r="I1620">
        <v>6</v>
      </c>
      <c r="K1620" t="s">
        <v>10</v>
      </c>
      <c r="L1620" s="8">
        <f t="shared" si="3373"/>
        <v>2</v>
      </c>
      <c r="M1620" t="s">
        <v>1778</v>
      </c>
    </row>
    <row r="1621" spans="1:13" x14ac:dyDescent="0.35">
      <c r="A1621">
        <f t="shared" si="2869"/>
        <v>1617</v>
      </c>
      <c r="B1621" s="9">
        <f t="shared" ref="B1621" si="3430">B1620+H1621+I1621+J1621</f>
        <v>45.100000000000009</v>
      </c>
      <c r="C1621" s="3" t="s">
        <v>1774</v>
      </c>
      <c r="D1621">
        <f t="shared" ref="D1621" si="3431">_xlfn.NUMBERVALUE(LEFT(C1621,2))</f>
        <v>14</v>
      </c>
      <c r="E1621">
        <f t="shared" ref="E1621" si="3432">_xlfn.NUMBERVALUE(MID(C1621,4,2))</f>
        <v>12</v>
      </c>
      <c r="F1621">
        <f t="shared" ref="F1621" si="3433">_xlfn.NUMBERVALUE(RIGHT(C1621,4))</f>
        <v>2023</v>
      </c>
      <c r="G1621" t="s">
        <v>7</v>
      </c>
      <c r="H1621">
        <v>-2</v>
      </c>
      <c r="K1621" t="s">
        <v>9</v>
      </c>
      <c r="L1621" s="8">
        <f t="shared" si="3373"/>
        <v>-1</v>
      </c>
      <c r="M1621" t="s">
        <v>1779</v>
      </c>
    </row>
    <row r="1622" spans="1:13" x14ac:dyDescent="0.35">
      <c r="A1622">
        <f t="shared" si="2869"/>
        <v>1618</v>
      </c>
      <c r="B1622" s="9">
        <f t="shared" ref="B1622" si="3434">B1621+H1622+I1622+J1622</f>
        <v>43.100000000000009</v>
      </c>
      <c r="C1622" s="3" t="s">
        <v>1774</v>
      </c>
      <c r="D1622">
        <f t="shared" ref="D1622" si="3435">_xlfn.NUMBERVALUE(LEFT(C1622,2))</f>
        <v>14</v>
      </c>
      <c r="E1622">
        <f t="shared" ref="E1622" si="3436">_xlfn.NUMBERVALUE(MID(C1622,4,2))</f>
        <v>12</v>
      </c>
      <c r="F1622">
        <f t="shared" ref="F1622" si="3437">_xlfn.NUMBERVALUE(RIGHT(C1622,4))</f>
        <v>2023</v>
      </c>
      <c r="G1622" t="s">
        <v>7</v>
      </c>
      <c r="H1622">
        <v>-2</v>
      </c>
      <c r="K1622" t="s">
        <v>9</v>
      </c>
      <c r="L1622" s="8">
        <f t="shared" si="3373"/>
        <v>-1</v>
      </c>
      <c r="M1622" t="s">
        <v>1780</v>
      </c>
    </row>
    <row r="1623" spans="1:13" x14ac:dyDescent="0.35">
      <c r="A1623">
        <f t="shared" si="2869"/>
        <v>1619</v>
      </c>
      <c r="B1623" s="9">
        <f t="shared" ref="B1623" si="3438">B1622+H1623+I1623+J1623</f>
        <v>47.100000000000009</v>
      </c>
      <c r="C1623" s="3" t="s">
        <v>1782</v>
      </c>
      <c r="D1623">
        <f t="shared" ref="D1623" si="3439">_xlfn.NUMBERVALUE(LEFT(C1623,2))</f>
        <v>15</v>
      </c>
      <c r="E1623">
        <f t="shared" ref="E1623" si="3440">_xlfn.NUMBERVALUE(MID(C1623,4,2))</f>
        <v>12</v>
      </c>
      <c r="F1623">
        <f t="shared" ref="F1623" si="3441">_xlfn.NUMBERVALUE(RIGHT(C1623,4))</f>
        <v>2023</v>
      </c>
      <c r="G1623" t="s">
        <v>7</v>
      </c>
      <c r="H1623">
        <v>-2</v>
      </c>
      <c r="I1623">
        <v>6</v>
      </c>
      <c r="K1623" t="s">
        <v>10</v>
      </c>
      <c r="L1623" s="8">
        <f t="shared" si="3373"/>
        <v>2</v>
      </c>
      <c r="M1623" t="s">
        <v>1781</v>
      </c>
    </row>
    <row r="1624" spans="1:13" x14ac:dyDescent="0.35">
      <c r="A1624">
        <f t="shared" si="2869"/>
        <v>1620</v>
      </c>
      <c r="B1624" s="9">
        <f t="shared" ref="B1624" si="3442">B1623+H1624+I1624+J1624</f>
        <v>45.100000000000009</v>
      </c>
      <c r="C1624" s="3" t="s">
        <v>1782</v>
      </c>
      <c r="D1624">
        <f t="shared" ref="D1624" si="3443">_xlfn.NUMBERVALUE(LEFT(C1624,2))</f>
        <v>15</v>
      </c>
      <c r="E1624">
        <f t="shared" ref="E1624" si="3444">_xlfn.NUMBERVALUE(MID(C1624,4,2))</f>
        <v>12</v>
      </c>
      <c r="F1624">
        <f t="shared" ref="F1624" si="3445">_xlfn.NUMBERVALUE(RIGHT(C1624,4))</f>
        <v>2023</v>
      </c>
      <c r="G1624" t="s">
        <v>7</v>
      </c>
      <c r="H1624">
        <v>-2</v>
      </c>
      <c r="K1624" t="s">
        <v>9</v>
      </c>
      <c r="L1624" s="8">
        <f t="shared" si="3373"/>
        <v>-1</v>
      </c>
      <c r="M1624" t="s">
        <v>1783</v>
      </c>
    </row>
    <row r="1625" spans="1:13" x14ac:dyDescent="0.35">
      <c r="A1625">
        <f t="shared" si="2869"/>
        <v>1621</v>
      </c>
      <c r="B1625" s="9">
        <f t="shared" ref="B1625" si="3446">B1624+H1625+I1625+J1625</f>
        <v>43.100000000000009</v>
      </c>
      <c r="C1625" s="3" t="s">
        <v>1782</v>
      </c>
      <c r="D1625">
        <f t="shared" ref="D1625" si="3447">_xlfn.NUMBERVALUE(LEFT(C1625,2))</f>
        <v>15</v>
      </c>
      <c r="E1625">
        <f t="shared" ref="E1625" si="3448">_xlfn.NUMBERVALUE(MID(C1625,4,2))</f>
        <v>12</v>
      </c>
      <c r="F1625">
        <f t="shared" ref="F1625" si="3449">_xlfn.NUMBERVALUE(RIGHT(C1625,4))</f>
        <v>2023</v>
      </c>
      <c r="G1625" t="s">
        <v>7</v>
      </c>
      <c r="H1625">
        <v>-2</v>
      </c>
      <c r="K1625" t="s">
        <v>9</v>
      </c>
      <c r="L1625" s="8">
        <f t="shared" si="3373"/>
        <v>-1</v>
      </c>
      <c r="M1625" t="s">
        <v>1784</v>
      </c>
    </row>
    <row r="1626" spans="1:13" x14ac:dyDescent="0.35">
      <c r="A1626">
        <f t="shared" si="2869"/>
        <v>1622</v>
      </c>
      <c r="B1626" s="9">
        <f t="shared" ref="B1626" si="3450">B1625+H1626+I1626+J1626</f>
        <v>45.100000000000009</v>
      </c>
      <c r="C1626" s="3" t="s">
        <v>1782</v>
      </c>
      <c r="D1626">
        <f t="shared" ref="D1626" si="3451">_xlfn.NUMBERVALUE(LEFT(C1626,2))</f>
        <v>15</v>
      </c>
      <c r="E1626">
        <f t="shared" ref="E1626" si="3452">_xlfn.NUMBERVALUE(MID(C1626,4,2))</f>
        <v>12</v>
      </c>
      <c r="F1626">
        <f t="shared" ref="F1626" si="3453">_xlfn.NUMBERVALUE(RIGHT(C1626,4))</f>
        <v>2023</v>
      </c>
      <c r="G1626" t="s">
        <v>7</v>
      </c>
      <c r="H1626">
        <v>-2</v>
      </c>
      <c r="I1626">
        <v>4</v>
      </c>
      <c r="K1626" t="s">
        <v>10</v>
      </c>
      <c r="L1626" s="8">
        <f t="shared" si="3373"/>
        <v>1</v>
      </c>
      <c r="M1626" t="s">
        <v>1785</v>
      </c>
    </row>
    <row r="1627" spans="1:13" x14ac:dyDescent="0.35">
      <c r="A1627">
        <f t="shared" si="2869"/>
        <v>1623</v>
      </c>
      <c r="B1627" s="9">
        <f t="shared" ref="B1627" si="3454">B1626+H1627+I1627+J1627</f>
        <v>43.100000000000009</v>
      </c>
      <c r="C1627" s="3" t="s">
        <v>1782</v>
      </c>
      <c r="D1627">
        <f t="shared" ref="D1627" si="3455">_xlfn.NUMBERVALUE(LEFT(C1627,2))</f>
        <v>15</v>
      </c>
      <c r="E1627">
        <f t="shared" ref="E1627" si="3456">_xlfn.NUMBERVALUE(MID(C1627,4,2))</f>
        <v>12</v>
      </c>
      <c r="F1627">
        <f t="shared" ref="F1627" si="3457">_xlfn.NUMBERVALUE(RIGHT(C1627,4))</f>
        <v>2023</v>
      </c>
      <c r="G1627" t="s">
        <v>7</v>
      </c>
      <c r="H1627">
        <v>-2</v>
      </c>
      <c r="K1627" t="s">
        <v>9</v>
      </c>
      <c r="L1627" s="8">
        <f t="shared" si="3373"/>
        <v>-1</v>
      </c>
      <c r="M1627" t="s">
        <v>1786</v>
      </c>
    </row>
    <row r="1628" spans="1:13" x14ac:dyDescent="0.35">
      <c r="A1628">
        <f t="shared" si="2869"/>
        <v>1624</v>
      </c>
      <c r="B1628" s="9">
        <f t="shared" ref="B1628" si="3458">B1627+H1628+I1628+J1628</f>
        <v>41.100000000000009</v>
      </c>
      <c r="C1628" s="3" t="s">
        <v>1782</v>
      </c>
      <c r="D1628">
        <f t="shared" ref="D1628" si="3459">_xlfn.NUMBERVALUE(LEFT(C1628,2))</f>
        <v>15</v>
      </c>
      <c r="E1628">
        <f t="shared" ref="E1628" si="3460">_xlfn.NUMBERVALUE(MID(C1628,4,2))</f>
        <v>12</v>
      </c>
      <c r="F1628">
        <f t="shared" ref="F1628" si="3461">_xlfn.NUMBERVALUE(RIGHT(C1628,4))</f>
        <v>2023</v>
      </c>
      <c r="G1628" t="s">
        <v>7</v>
      </c>
      <c r="H1628">
        <v>-2</v>
      </c>
      <c r="K1628" t="s">
        <v>9</v>
      </c>
      <c r="L1628" s="8">
        <f t="shared" si="3373"/>
        <v>-1</v>
      </c>
      <c r="M1628" t="s">
        <v>1787</v>
      </c>
    </row>
    <row r="1629" spans="1:13" x14ac:dyDescent="0.35">
      <c r="A1629">
        <f t="shared" si="2869"/>
        <v>1625</v>
      </c>
      <c r="B1629" s="9">
        <f t="shared" ref="B1629" si="3462">B1628+H1629+I1629+J1629</f>
        <v>39.100000000000009</v>
      </c>
      <c r="C1629" s="3" t="s">
        <v>1782</v>
      </c>
      <c r="D1629">
        <f t="shared" ref="D1629" si="3463">_xlfn.NUMBERVALUE(LEFT(C1629,2))</f>
        <v>15</v>
      </c>
      <c r="E1629">
        <f t="shared" ref="E1629" si="3464">_xlfn.NUMBERVALUE(MID(C1629,4,2))</f>
        <v>12</v>
      </c>
      <c r="F1629">
        <f t="shared" ref="F1629" si="3465">_xlfn.NUMBERVALUE(RIGHT(C1629,4))</f>
        <v>2023</v>
      </c>
      <c r="G1629" t="s">
        <v>7</v>
      </c>
      <c r="H1629">
        <v>-2</v>
      </c>
      <c r="K1629" t="s">
        <v>9</v>
      </c>
      <c r="L1629" s="8">
        <f t="shared" si="3373"/>
        <v>-1</v>
      </c>
      <c r="M1629" t="s">
        <v>1788</v>
      </c>
    </row>
    <row r="1630" spans="1:13" x14ac:dyDescent="0.35">
      <c r="A1630">
        <f t="shared" si="2869"/>
        <v>1626</v>
      </c>
      <c r="B1630" s="9">
        <f t="shared" ref="B1630:B1632" si="3466">B1629+H1630+I1630+J1630</f>
        <v>37.100000000000009</v>
      </c>
      <c r="C1630" s="3" t="s">
        <v>1782</v>
      </c>
      <c r="D1630">
        <f t="shared" ref="D1630" si="3467">_xlfn.NUMBERVALUE(LEFT(C1630,2))</f>
        <v>15</v>
      </c>
      <c r="E1630">
        <f t="shared" ref="E1630" si="3468">_xlfn.NUMBERVALUE(MID(C1630,4,2))</f>
        <v>12</v>
      </c>
      <c r="F1630">
        <f t="shared" ref="F1630" si="3469">_xlfn.NUMBERVALUE(RIGHT(C1630,4))</f>
        <v>2023</v>
      </c>
      <c r="G1630" t="s">
        <v>7</v>
      </c>
      <c r="H1630">
        <v>-2</v>
      </c>
      <c r="K1630" t="s">
        <v>9</v>
      </c>
      <c r="L1630" s="8">
        <f t="shared" si="3373"/>
        <v>-1</v>
      </c>
      <c r="M1630" t="s">
        <v>1789</v>
      </c>
    </row>
    <row r="1631" spans="1:13" x14ac:dyDescent="0.35">
      <c r="A1631">
        <f t="shared" si="2869"/>
        <v>1627</v>
      </c>
      <c r="B1631" s="9">
        <f t="shared" si="3466"/>
        <v>35.100000000000009</v>
      </c>
      <c r="C1631" s="3" t="s">
        <v>1782</v>
      </c>
      <c r="D1631">
        <f t="shared" ref="D1631" si="3470">_xlfn.NUMBERVALUE(LEFT(C1631,2))</f>
        <v>15</v>
      </c>
      <c r="E1631">
        <f t="shared" ref="E1631" si="3471">_xlfn.NUMBERVALUE(MID(C1631,4,2))</f>
        <v>12</v>
      </c>
      <c r="F1631">
        <f t="shared" ref="F1631" si="3472">_xlfn.NUMBERVALUE(RIGHT(C1631,4))</f>
        <v>2023</v>
      </c>
      <c r="G1631" t="s">
        <v>7</v>
      </c>
      <c r="H1631">
        <v>-2</v>
      </c>
      <c r="K1631" t="s">
        <v>9</v>
      </c>
      <c r="L1631" s="8">
        <f t="shared" si="3373"/>
        <v>-1</v>
      </c>
      <c r="M1631" t="s">
        <v>1790</v>
      </c>
    </row>
    <row r="1632" spans="1:13" x14ac:dyDescent="0.35">
      <c r="A1632">
        <f t="shared" si="2869"/>
        <v>1628</v>
      </c>
      <c r="B1632" s="9">
        <f t="shared" si="3466"/>
        <v>33.100000000000009</v>
      </c>
      <c r="C1632" s="3" t="s">
        <v>1782</v>
      </c>
      <c r="D1632">
        <f t="shared" ref="D1632" si="3473">_xlfn.NUMBERVALUE(LEFT(C1632,2))</f>
        <v>15</v>
      </c>
      <c r="E1632">
        <f t="shared" ref="E1632" si="3474">_xlfn.NUMBERVALUE(MID(C1632,4,2))</f>
        <v>12</v>
      </c>
      <c r="F1632">
        <f t="shared" ref="F1632" si="3475">_xlfn.NUMBERVALUE(RIGHT(C1632,4))</f>
        <v>2023</v>
      </c>
      <c r="G1632" t="s">
        <v>7</v>
      </c>
      <c r="H1632">
        <v>-2</v>
      </c>
      <c r="K1632" t="s">
        <v>9</v>
      </c>
      <c r="L1632" s="8">
        <f t="shared" si="3373"/>
        <v>-1</v>
      </c>
      <c r="M1632" t="s">
        <v>1791</v>
      </c>
    </row>
    <row r="1633" spans="1:13" x14ac:dyDescent="0.35">
      <c r="A1633">
        <f t="shared" si="2869"/>
        <v>1629</v>
      </c>
      <c r="B1633" s="9">
        <f t="shared" ref="B1633" si="3476">B1632+H1633+I1633+J1633</f>
        <v>31.100000000000009</v>
      </c>
      <c r="C1633" s="3" t="s">
        <v>1782</v>
      </c>
      <c r="D1633">
        <f t="shared" ref="D1633" si="3477">_xlfn.NUMBERVALUE(LEFT(C1633,2))</f>
        <v>15</v>
      </c>
      <c r="E1633">
        <f t="shared" ref="E1633" si="3478">_xlfn.NUMBERVALUE(MID(C1633,4,2))</f>
        <v>12</v>
      </c>
      <c r="F1633">
        <f t="shared" ref="F1633" si="3479">_xlfn.NUMBERVALUE(RIGHT(C1633,4))</f>
        <v>2023</v>
      </c>
      <c r="G1633" t="s">
        <v>7</v>
      </c>
      <c r="H1633">
        <v>-2</v>
      </c>
      <c r="K1633" t="s">
        <v>9</v>
      </c>
      <c r="L1633" s="8">
        <f t="shared" si="3373"/>
        <v>-1</v>
      </c>
      <c r="M1633" t="s">
        <v>1792</v>
      </c>
    </row>
    <row r="1634" spans="1:13" x14ac:dyDescent="0.35">
      <c r="A1634">
        <f t="shared" si="2869"/>
        <v>1630</v>
      </c>
      <c r="B1634" s="9">
        <f t="shared" ref="B1634" si="3480">B1633+H1634+I1634+J1634</f>
        <v>29.100000000000009</v>
      </c>
      <c r="C1634" s="3" t="s">
        <v>1782</v>
      </c>
      <c r="D1634">
        <f t="shared" ref="D1634" si="3481">_xlfn.NUMBERVALUE(LEFT(C1634,2))</f>
        <v>15</v>
      </c>
      <c r="E1634">
        <f t="shared" ref="E1634" si="3482">_xlfn.NUMBERVALUE(MID(C1634,4,2))</f>
        <v>12</v>
      </c>
      <c r="F1634">
        <f t="shared" ref="F1634" si="3483">_xlfn.NUMBERVALUE(RIGHT(C1634,4))</f>
        <v>2023</v>
      </c>
      <c r="G1634" t="s">
        <v>7</v>
      </c>
      <c r="H1634">
        <v>-2</v>
      </c>
      <c r="K1634" t="s">
        <v>9</v>
      </c>
      <c r="L1634" s="8">
        <f t="shared" si="3373"/>
        <v>-1</v>
      </c>
      <c r="M1634" t="s">
        <v>1793</v>
      </c>
    </row>
    <row r="1635" spans="1:13" x14ac:dyDescent="0.35">
      <c r="A1635">
        <f t="shared" si="2869"/>
        <v>1631</v>
      </c>
      <c r="B1635" s="9">
        <f t="shared" ref="B1635" si="3484">B1634+H1635+I1635+J1635</f>
        <v>27.100000000000009</v>
      </c>
      <c r="C1635" s="3" t="s">
        <v>1782</v>
      </c>
      <c r="D1635">
        <f t="shared" ref="D1635" si="3485">_xlfn.NUMBERVALUE(LEFT(C1635,2))</f>
        <v>15</v>
      </c>
      <c r="E1635">
        <f t="shared" ref="E1635" si="3486">_xlfn.NUMBERVALUE(MID(C1635,4,2))</f>
        <v>12</v>
      </c>
      <c r="F1635">
        <f t="shared" ref="F1635" si="3487">_xlfn.NUMBERVALUE(RIGHT(C1635,4))</f>
        <v>2023</v>
      </c>
      <c r="G1635" t="s">
        <v>7</v>
      </c>
      <c r="H1635">
        <v>-2</v>
      </c>
      <c r="K1635" t="s">
        <v>9</v>
      </c>
      <c r="L1635" s="8">
        <f t="shared" si="3373"/>
        <v>-1</v>
      </c>
      <c r="M1635" t="s">
        <v>1794</v>
      </c>
    </row>
    <row r="1636" spans="1:13" x14ac:dyDescent="0.35">
      <c r="A1636">
        <f t="shared" si="2869"/>
        <v>1632</v>
      </c>
      <c r="B1636" s="9">
        <f t="shared" ref="B1636" si="3488">B1635+H1636+I1636+J1636</f>
        <v>25.100000000000009</v>
      </c>
      <c r="C1636" s="3" t="s">
        <v>1782</v>
      </c>
      <c r="D1636">
        <f t="shared" ref="D1636" si="3489">_xlfn.NUMBERVALUE(LEFT(C1636,2))</f>
        <v>15</v>
      </c>
      <c r="E1636">
        <f t="shared" ref="E1636" si="3490">_xlfn.NUMBERVALUE(MID(C1636,4,2))</f>
        <v>12</v>
      </c>
      <c r="F1636">
        <f t="shared" ref="F1636" si="3491">_xlfn.NUMBERVALUE(RIGHT(C1636,4))</f>
        <v>2023</v>
      </c>
      <c r="G1636" t="s">
        <v>7</v>
      </c>
      <c r="H1636">
        <v>-2</v>
      </c>
      <c r="K1636" t="s">
        <v>9</v>
      </c>
      <c r="L1636" s="8">
        <f t="shared" si="3373"/>
        <v>-1</v>
      </c>
      <c r="M1636" t="s">
        <v>1795</v>
      </c>
    </row>
    <row r="1637" spans="1:13" x14ac:dyDescent="0.35">
      <c r="A1637">
        <f t="shared" si="2869"/>
        <v>1633</v>
      </c>
      <c r="B1637" s="9">
        <f t="shared" ref="B1637" si="3492">B1636+H1637+I1637+J1637</f>
        <v>23.100000000000009</v>
      </c>
      <c r="C1637" s="3" t="s">
        <v>1782</v>
      </c>
      <c r="D1637">
        <f t="shared" ref="D1637" si="3493">_xlfn.NUMBERVALUE(LEFT(C1637,2))</f>
        <v>15</v>
      </c>
      <c r="E1637">
        <f t="shared" ref="E1637" si="3494">_xlfn.NUMBERVALUE(MID(C1637,4,2))</f>
        <v>12</v>
      </c>
      <c r="F1637">
        <f t="shared" ref="F1637" si="3495">_xlfn.NUMBERVALUE(RIGHT(C1637,4))</f>
        <v>2023</v>
      </c>
      <c r="G1637" t="s">
        <v>7</v>
      </c>
      <c r="H1637">
        <v>-2</v>
      </c>
      <c r="K1637" t="s">
        <v>9</v>
      </c>
      <c r="L1637" s="8">
        <f t="shared" si="3373"/>
        <v>-1</v>
      </c>
      <c r="M1637" t="s">
        <v>1796</v>
      </c>
    </row>
    <row r="1638" spans="1:13" x14ac:dyDescent="0.35">
      <c r="A1638">
        <f t="shared" si="2869"/>
        <v>1634</v>
      </c>
      <c r="B1638" s="9">
        <f t="shared" ref="B1638" si="3496">B1637+H1638+I1638+J1638</f>
        <v>27.100000000000009</v>
      </c>
      <c r="C1638" s="3" t="s">
        <v>1782</v>
      </c>
      <c r="D1638">
        <f t="shared" ref="D1638" si="3497">_xlfn.NUMBERVALUE(LEFT(C1638,2))</f>
        <v>15</v>
      </c>
      <c r="E1638">
        <f t="shared" ref="E1638" si="3498">_xlfn.NUMBERVALUE(MID(C1638,4,2))</f>
        <v>12</v>
      </c>
      <c r="F1638">
        <f t="shared" ref="F1638" si="3499">_xlfn.NUMBERVALUE(RIGHT(C1638,4))</f>
        <v>2023</v>
      </c>
      <c r="G1638" t="s">
        <v>7</v>
      </c>
      <c r="H1638">
        <v>-2</v>
      </c>
      <c r="I1638">
        <v>6</v>
      </c>
      <c r="K1638" t="s">
        <v>10</v>
      </c>
      <c r="L1638" s="8">
        <f t="shared" si="3373"/>
        <v>2</v>
      </c>
      <c r="M1638" t="s">
        <v>1797</v>
      </c>
    </row>
    <row r="1639" spans="1:13" x14ac:dyDescent="0.35">
      <c r="A1639">
        <f t="shared" si="2869"/>
        <v>1635</v>
      </c>
      <c r="B1639" s="9">
        <f t="shared" ref="B1639" si="3500">B1638+H1639+I1639+J1639</f>
        <v>25.100000000000009</v>
      </c>
      <c r="C1639" s="3" t="s">
        <v>1782</v>
      </c>
      <c r="D1639">
        <f t="shared" ref="D1639" si="3501">_xlfn.NUMBERVALUE(LEFT(C1639,2))</f>
        <v>15</v>
      </c>
      <c r="E1639">
        <f t="shared" ref="E1639" si="3502">_xlfn.NUMBERVALUE(MID(C1639,4,2))</f>
        <v>12</v>
      </c>
      <c r="F1639">
        <f t="shared" ref="F1639" si="3503">_xlfn.NUMBERVALUE(RIGHT(C1639,4))</f>
        <v>2023</v>
      </c>
      <c r="G1639" t="s">
        <v>7</v>
      </c>
      <c r="H1639">
        <v>-2</v>
      </c>
      <c r="K1639" t="s">
        <v>9</v>
      </c>
      <c r="L1639" s="8">
        <f t="shared" si="3373"/>
        <v>-1</v>
      </c>
      <c r="M1639" t="s">
        <v>1798</v>
      </c>
    </row>
    <row r="1640" spans="1:13" x14ac:dyDescent="0.35">
      <c r="A1640">
        <f t="shared" si="2869"/>
        <v>1636</v>
      </c>
      <c r="B1640" s="9">
        <f t="shared" ref="B1640" si="3504">B1639+H1640+I1640+J1640</f>
        <v>29.100000000000009</v>
      </c>
      <c r="C1640" s="3" t="s">
        <v>1782</v>
      </c>
      <c r="D1640">
        <f t="shared" ref="D1640" si="3505">_xlfn.NUMBERVALUE(LEFT(C1640,2))</f>
        <v>15</v>
      </c>
      <c r="E1640">
        <f t="shared" ref="E1640" si="3506">_xlfn.NUMBERVALUE(MID(C1640,4,2))</f>
        <v>12</v>
      </c>
      <c r="F1640">
        <f t="shared" ref="F1640" si="3507">_xlfn.NUMBERVALUE(RIGHT(C1640,4))</f>
        <v>2023</v>
      </c>
      <c r="G1640" t="s">
        <v>7</v>
      </c>
      <c r="H1640">
        <v>-2</v>
      </c>
      <c r="I1640">
        <v>6</v>
      </c>
      <c r="K1640" t="s">
        <v>10</v>
      </c>
      <c r="L1640" s="8">
        <f t="shared" si="3373"/>
        <v>2</v>
      </c>
      <c r="M1640" t="s">
        <v>1799</v>
      </c>
    </row>
    <row r="1641" spans="1:13" x14ac:dyDescent="0.35">
      <c r="A1641">
        <f t="shared" si="2869"/>
        <v>1637</v>
      </c>
      <c r="B1641" s="9">
        <f t="shared" ref="B1641" si="3508">B1640+H1641+I1641+J1641</f>
        <v>27.100000000000009</v>
      </c>
      <c r="C1641" s="3" t="s">
        <v>1782</v>
      </c>
      <c r="D1641">
        <f t="shared" ref="D1641" si="3509">_xlfn.NUMBERVALUE(LEFT(C1641,2))</f>
        <v>15</v>
      </c>
      <c r="E1641">
        <f t="shared" ref="E1641" si="3510">_xlfn.NUMBERVALUE(MID(C1641,4,2))</f>
        <v>12</v>
      </c>
      <c r="F1641">
        <f t="shared" ref="F1641" si="3511">_xlfn.NUMBERVALUE(RIGHT(C1641,4))</f>
        <v>2023</v>
      </c>
      <c r="G1641" t="s">
        <v>7</v>
      </c>
      <c r="H1641">
        <v>-2</v>
      </c>
      <c r="K1641" t="s">
        <v>9</v>
      </c>
      <c r="L1641" s="8">
        <f t="shared" si="3373"/>
        <v>-1</v>
      </c>
      <c r="M1641" t="s">
        <v>1800</v>
      </c>
    </row>
    <row r="1642" spans="1:13" x14ac:dyDescent="0.35">
      <c r="A1642">
        <f t="shared" si="2869"/>
        <v>1638</v>
      </c>
      <c r="B1642" s="9">
        <f t="shared" ref="B1642" si="3512">B1641+H1642+I1642+J1642</f>
        <v>31.100000000000009</v>
      </c>
      <c r="C1642" s="3" t="s">
        <v>1782</v>
      </c>
      <c r="D1642">
        <f t="shared" ref="D1642" si="3513">_xlfn.NUMBERVALUE(LEFT(C1642,2))</f>
        <v>15</v>
      </c>
      <c r="E1642">
        <f t="shared" ref="E1642" si="3514">_xlfn.NUMBERVALUE(MID(C1642,4,2))</f>
        <v>12</v>
      </c>
      <c r="F1642">
        <f t="shared" ref="F1642" si="3515">_xlfn.NUMBERVALUE(RIGHT(C1642,4))</f>
        <v>2023</v>
      </c>
      <c r="G1642" t="s">
        <v>7</v>
      </c>
      <c r="H1642">
        <v>-2</v>
      </c>
      <c r="I1642">
        <v>6</v>
      </c>
      <c r="K1642" t="s">
        <v>10</v>
      </c>
      <c r="L1642" s="8">
        <f t="shared" si="3373"/>
        <v>2</v>
      </c>
      <c r="M1642" t="s">
        <v>1801</v>
      </c>
    </row>
    <row r="1643" spans="1:13" x14ac:dyDescent="0.35">
      <c r="A1643">
        <f t="shared" si="2869"/>
        <v>1639</v>
      </c>
      <c r="B1643" s="9">
        <f t="shared" ref="B1643" si="3516">B1642+H1643+I1643+J1643</f>
        <v>35.100000000000009</v>
      </c>
      <c r="C1643" s="3" t="s">
        <v>1802</v>
      </c>
      <c r="D1643">
        <f t="shared" ref="D1643" si="3517">_xlfn.NUMBERVALUE(LEFT(C1643,2))</f>
        <v>16</v>
      </c>
      <c r="E1643">
        <f t="shared" ref="E1643" si="3518">_xlfn.NUMBERVALUE(MID(C1643,4,2))</f>
        <v>12</v>
      </c>
      <c r="F1643">
        <f t="shared" ref="F1643" si="3519">_xlfn.NUMBERVALUE(RIGHT(C1643,4))</f>
        <v>2023</v>
      </c>
      <c r="G1643" t="s">
        <v>7</v>
      </c>
      <c r="H1643">
        <v>-2</v>
      </c>
      <c r="I1643">
        <v>6</v>
      </c>
      <c r="K1643" t="s">
        <v>10</v>
      </c>
      <c r="L1643" s="8">
        <f t="shared" si="3373"/>
        <v>2</v>
      </c>
      <c r="M1643" t="s">
        <v>1803</v>
      </c>
    </row>
    <row r="1644" spans="1:13" x14ac:dyDescent="0.35">
      <c r="A1644">
        <f t="shared" si="2869"/>
        <v>1640</v>
      </c>
      <c r="B1644" s="9">
        <f t="shared" ref="B1644" si="3520">B1643+H1644+I1644+J1644</f>
        <v>39.100000000000009</v>
      </c>
      <c r="C1644" s="3" t="s">
        <v>1802</v>
      </c>
      <c r="D1644">
        <f t="shared" ref="D1644" si="3521">_xlfn.NUMBERVALUE(LEFT(C1644,2))</f>
        <v>16</v>
      </c>
      <c r="E1644">
        <f t="shared" ref="E1644" si="3522">_xlfn.NUMBERVALUE(MID(C1644,4,2))</f>
        <v>12</v>
      </c>
      <c r="F1644">
        <f t="shared" ref="F1644" si="3523">_xlfn.NUMBERVALUE(RIGHT(C1644,4))</f>
        <v>2023</v>
      </c>
      <c r="G1644" t="s">
        <v>7</v>
      </c>
      <c r="H1644">
        <v>-2</v>
      </c>
      <c r="I1644">
        <v>6</v>
      </c>
      <c r="K1644" t="s">
        <v>10</v>
      </c>
      <c r="L1644" s="8">
        <f t="shared" si="3373"/>
        <v>2</v>
      </c>
      <c r="M1644" t="s">
        <v>1804</v>
      </c>
    </row>
    <row r="1645" spans="1:13" x14ac:dyDescent="0.35">
      <c r="A1645">
        <f t="shared" si="2869"/>
        <v>1641</v>
      </c>
      <c r="B1645" s="9">
        <f t="shared" ref="B1645" si="3524">B1644+H1645+I1645+J1645</f>
        <v>37.100000000000009</v>
      </c>
      <c r="C1645" s="3" t="s">
        <v>1802</v>
      </c>
      <c r="D1645">
        <f t="shared" ref="D1645" si="3525">_xlfn.NUMBERVALUE(LEFT(C1645,2))</f>
        <v>16</v>
      </c>
      <c r="E1645">
        <f t="shared" ref="E1645" si="3526">_xlfn.NUMBERVALUE(MID(C1645,4,2))</f>
        <v>12</v>
      </c>
      <c r="F1645">
        <f t="shared" ref="F1645" si="3527">_xlfn.NUMBERVALUE(RIGHT(C1645,4))</f>
        <v>2023</v>
      </c>
      <c r="G1645" t="s">
        <v>7</v>
      </c>
      <c r="H1645">
        <v>-2</v>
      </c>
      <c r="K1645" t="s">
        <v>9</v>
      </c>
      <c r="L1645" s="8">
        <f t="shared" si="3373"/>
        <v>-1</v>
      </c>
      <c r="M1645" t="s">
        <v>1805</v>
      </c>
    </row>
    <row r="1646" spans="1:13" x14ac:dyDescent="0.35">
      <c r="A1646">
        <f t="shared" si="2869"/>
        <v>1642</v>
      </c>
      <c r="B1646" s="9">
        <f t="shared" ref="B1646" si="3528">B1645+H1646+I1646+J1646</f>
        <v>35.100000000000009</v>
      </c>
      <c r="C1646" s="3" t="s">
        <v>1802</v>
      </c>
      <c r="D1646">
        <f t="shared" ref="D1646" si="3529">_xlfn.NUMBERVALUE(LEFT(C1646,2))</f>
        <v>16</v>
      </c>
      <c r="E1646">
        <f t="shared" ref="E1646" si="3530">_xlfn.NUMBERVALUE(MID(C1646,4,2))</f>
        <v>12</v>
      </c>
      <c r="F1646">
        <f t="shared" ref="F1646" si="3531">_xlfn.NUMBERVALUE(RIGHT(C1646,4))</f>
        <v>2023</v>
      </c>
      <c r="G1646" t="s">
        <v>7</v>
      </c>
      <c r="H1646">
        <v>-2</v>
      </c>
      <c r="K1646" t="s">
        <v>9</v>
      </c>
      <c r="L1646" s="8">
        <f t="shared" si="3373"/>
        <v>-1</v>
      </c>
      <c r="M1646" t="s">
        <v>1806</v>
      </c>
    </row>
    <row r="1647" spans="1:13" x14ac:dyDescent="0.35">
      <c r="A1647">
        <f t="shared" si="2869"/>
        <v>1643</v>
      </c>
      <c r="B1647" s="9">
        <f t="shared" ref="B1647" si="3532">B1646+H1647+I1647+J1647</f>
        <v>33.100000000000009</v>
      </c>
      <c r="C1647" s="3" t="s">
        <v>1802</v>
      </c>
      <c r="D1647">
        <f t="shared" ref="D1647" si="3533">_xlfn.NUMBERVALUE(LEFT(C1647,2))</f>
        <v>16</v>
      </c>
      <c r="E1647">
        <f t="shared" ref="E1647" si="3534">_xlfn.NUMBERVALUE(MID(C1647,4,2))</f>
        <v>12</v>
      </c>
      <c r="F1647">
        <f t="shared" ref="F1647" si="3535">_xlfn.NUMBERVALUE(RIGHT(C1647,4))</f>
        <v>2023</v>
      </c>
      <c r="G1647" t="s">
        <v>7</v>
      </c>
      <c r="H1647">
        <v>-2</v>
      </c>
      <c r="K1647" t="s">
        <v>9</v>
      </c>
      <c r="L1647" s="8">
        <f t="shared" si="3373"/>
        <v>-1</v>
      </c>
      <c r="M1647" t="s">
        <v>1807</v>
      </c>
    </row>
    <row r="1648" spans="1:13" x14ac:dyDescent="0.35">
      <c r="A1648">
        <f t="shared" si="2869"/>
        <v>1644</v>
      </c>
      <c r="B1648" s="9">
        <f t="shared" ref="B1648" si="3536">B1647+H1648+I1648+J1648</f>
        <v>37.100000000000009</v>
      </c>
      <c r="C1648" s="3" t="s">
        <v>1802</v>
      </c>
      <c r="D1648">
        <f t="shared" ref="D1648" si="3537">_xlfn.NUMBERVALUE(LEFT(C1648,2))</f>
        <v>16</v>
      </c>
      <c r="E1648">
        <f t="shared" ref="E1648" si="3538">_xlfn.NUMBERVALUE(MID(C1648,4,2))</f>
        <v>12</v>
      </c>
      <c r="F1648">
        <f t="shared" ref="F1648" si="3539">_xlfn.NUMBERVALUE(RIGHT(C1648,4))</f>
        <v>2023</v>
      </c>
      <c r="G1648" t="s">
        <v>7</v>
      </c>
      <c r="H1648">
        <v>-2</v>
      </c>
      <c r="I1648">
        <v>6</v>
      </c>
      <c r="K1648" t="s">
        <v>10</v>
      </c>
      <c r="L1648" s="8">
        <f t="shared" si="3373"/>
        <v>2</v>
      </c>
      <c r="M1648" t="s">
        <v>1808</v>
      </c>
    </row>
    <row r="1649" spans="1:13" x14ac:dyDescent="0.35">
      <c r="A1649">
        <f t="shared" si="2869"/>
        <v>1645</v>
      </c>
      <c r="B1649" s="9">
        <f t="shared" ref="B1649" si="3540">B1648+H1649+I1649+J1649</f>
        <v>35.100000000000009</v>
      </c>
      <c r="C1649" s="3" t="s">
        <v>1802</v>
      </c>
      <c r="D1649">
        <f t="shared" ref="D1649" si="3541">_xlfn.NUMBERVALUE(LEFT(C1649,2))</f>
        <v>16</v>
      </c>
      <c r="E1649">
        <f t="shared" ref="E1649" si="3542">_xlfn.NUMBERVALUE(MID(C1649,4,2))</f>
        <v>12</v>
      </c>
      <c r="F1649">
        <f t="shared" ref="F1649" si="3543">_xlfn.NUMBERVALUE(RIGHT(C1649,4))</f>
        <v>2023</v>
      </c>
      <c r="G1649" t="s">
        <v>7</v>
      </c>
      <c r="H1649">
        <v>-2</v>
      </c>
      <c r="K1649" t="s">
        <v>9</v>
      </c>
      <c r="L1649" s="8">
        <f t="shared" si="3373"/>
        <v>-1</v>
      </c>
      <c r="M1649" t="s">
        <v>1809</v>
      </c>
    </row>
    <row r="1650" spans="1:13" x14ac:dyDescent="0.35">
      <c r="A1650">
        <f t="shared" si="2869"/>
        <v>1646</v>
      </c>
      <c r="B1650" s="9">
        <f t="shared" ref="B1650" si="3544">B1649+H1650+I1650+J1650</f>
        <v>33.100000000000009</v>
      </c>
      <c r="C1650" s="3" t="s">
        <v>1802</v>
      </c>
      <c r="D1650">
        <f t="shared" ref="D1650" si="3545">_xlfn.NUMBERVALUE(LEFT(C1650,2))</f>
        <v>16</v>
      </c>
      <c r="E1650">
        <f t="shared" ref="E1650" si="3546">_xlfn.NUMBERVALUE(MID(C1650,4,2))</f>
        <v>12</v>
      </c>
      <c r="F1650">
        <f t="shared" ref="F1650" si="3547">_xlfn.NUMBERVALUE(RIGHT(C1650,4))</f>
        <v>2023</v>
      </c>
      <c r="G1650" t="s">
        <v>7</v>
      </c>
      <c r="H1650">
        <v>-2</v>
      </c>
      <c r="K1650" t="s">
        <v>9</v>
      </c>
      <c r="L1650" s="8">
        <f t="shared" si="3373"/>
        <v>-1</v>
      </c>
      <c r="M1650" t="s">
        <v>1810</v>
      </c>
    </row>
    <row r="1651" spans="1:13" x14ac:dyDescent="0.35">
      <c r="A1651">
        <f t="shared" si="2869"/>
        <v>1647</v>
      </c>
      <c r="B1651" s="9">
        <f t="shared" ref="B1651" si="3548">B1650+H1651+I1651+J1651</f>
        <v>35.100000000000009</v>
      </c>
      <c r="C1651" s="3" t="s">
        <v>1802</v>
      </c>
      <c r="D1651">
        <f t="shared" ref="D1651" si="3549">_xlfn.NUMBERVALUE(LEFT(C1651,2))</f>
        <v>16</v>
      </c>
      <c r="E1651">
        <f t="shared" ref="E1651" si="3550">_xlfn.NUMBERVALUE(MID(C1651,4,2))</f>
        <v>12</v>
      </c>
      <c r="F1651">
        <f t="shared" ref="F1651" si="3551">_xlfn.NUMBERVALUE(RIGHT(C1651,4))</f>
        <v>2023</v>
      </c>
      <c r="G1651" t="s">
        <v>7</v>
      </c>
      <c r="H1651">
        <v>-2</v>
      </c>
      <c r="I1651">
        <v>4</v>
      </c>
      <c r="K1651" t="s">
        <v>10</v>
      </c>
      <c r="L1651" s="8">
        <f t="shared" si="3373"/>
        <v>1</v>
      </c>
      <c r="M1651" t="s">
        <v>1811</v>
      </c>
    </row>
    <row r="1652" spans="1:13" x14ac:dyDescent="0.35">
      <c r="A1652">
        <f t="shared" si="2869"/>
        <v>1648</v>
      </c>
      <c r="B1652" s="9">
        <f t="shared" ref="B1652" si="3552">B1651+H1652+I1652+J1652</f>
        <v>33.100000000000009</v>
      </c>
      <c r="C1652" s="3" t="s">
        <v>1802</v>
      </c>
      <c r="D1652">
        <f t="shared" ref="D1652" si="3553">_xlfn.NUMBERVALUE(LEFT(C1652,2))</f>
        <v>16</v>
      </c>
      <c r="E1652">
        <f t="shared" ref="E1652" si="3554">_xlfn.NUMBERVALUE(MID(C1652,4,2))</f>
        <v>12</v>
      </c>
      <c r="F1652">
        <f t="shared" ref="F1652" si="3555">_xlfn.NUMBERVALUE(RIGHT(C1652,4))</f>
        <v>2023</v>
      </c>
      <c r="G1652" t="s">
        <v>7</v>
      </c>
      <c r="H1652">
        <v>-2</v>
      </c>
      <c r="K1652" t="s">
        <v>9</v>
      </c>
      <c r="L1652" s="8">
        <f t="shared" si="3373"/>
        <v>-1</v>
      </c>
      <c r="M1652" t="s">
        <v>1812</v>
      </c>
    </row>
    <row r="1653" spans="1:13" x14ac:dyDescent="0.35">
      <c r="A1653">
        <f t="shared" si="2869"/>
        <v>1649</v>
      </c>
      <c r="B1653" s="9">
        <f t="shared" ref="B1653" si="3556">B1652+H1653+I1653+J1653</f>
        <v>35.100000000000009</v>
      </c>
      <c r="C1653" s="3" t="s">
        <v>1802</v>
      </c>
      <c r="D1653">
        <f t="shared" ref="D1653" si="3557">_xlfn.NUMBERVALUE(LEFT(C1653,2))</f>
        <v>16</v>
      </c>
      <c r="E1653">
        <f t="shared" ref="E1653" si="3558">_xlfn.NUMBERVALUE(MID(C1653,4,2))</f>
        <v>12</v>
      </c>
      <c r="F1653">
        <f t="shared" ref="F1653" si="3559">_xlfn.NUMBERVALUE(RIGHT(C1653,4))</f>
        <v>2023</v>
      </c>
      <c r="G1653" t="s">
        <v>7</v>
      </c>
      <c r="H1653">
        <v>-2</v>
      </c>
      <c r="I1653">
        <v>4</v>
      </c>
      <c r="K1653" t="s">
        <v>10</v>
      </c>
      <c r="L1653" s="8">
        <f t="shared" si="3373"/>
        <v>1</v>
      </c>
      <c r="M1653" t="s">
        <v>1813</v>
      </c>
    </row>
    <row r="1654" spans="1:13" x14ac:dyDescent="0.35">
      <c r="A1654">
        <f t="shared" si="2869"/>
        <v>1650</v>
      </c>
      <c r="B1654" s="9">
        <f t="shared" ref="B1654" si="3560">B1653+H1654+I1654+J1654</f>
        <v>37.100000000000009</v>
      </c>
      <c r="C1654" s="3" t="s">
        <v>1802</v>
      </c>
      <c r="D1654">
        <f t="shared" ref="D1654" si="3561">_xlfn.NUMBERVALUE(LEFT(C1654,2))</f>
        <v>16</v>
      </c>
      <c r="E1654">
        <f t="shared" ref="E1654" si="3562">_xlfn.NUMBERVALUE(MID(C1654,4,2))</f>
        <v>12</v>
      </c>
      <c r="F1654">
        <f t="shared" ref="F1654" si="3563">_xlfn.NUMBERVALUE(RIGHT(C1654,4))</f>
        <v>2023</v>
      </c>
      <c r="G1654" t="s">
        <v>7</v>
      </c>
      <c r="H1654">
        <v>-2</v>
      </c>
      <c r="I1654">
        <v>4</v>
      </c>
      <c r="K1654" t="s">
        <v>10</v>
      </c>
      <c r="L1654" s="8">
        <f t="shared" si="3373"/>
        <v>1</v>
      </c>
      <c r="M1654" t="s">
        <v>1814</v>
      </c>
    </row>
    <row r="1655" spans="1:13" x14ac:dyDescent="0.35">
      <c r="A1655">
        <f t="shared" si="2869"/>
        <v>1651</v>
      </c>
      <c r="B1655" s="9">
        <f t="shared" ref="B1655" si="3564">B1654+H1655+I1655+J1655</f>
        <v>43.100000000000009</v>
      </c>
      <c r="C1655" s="3" t="s">
        <v>1802</v>
      </c>
      <c r="D1655">
        <f t="shared" ref="D1655" si="3565">_xlfn.NUMBERVALUE(LEFT(C1655,2))</f>
        <v>16</v>
      </c>
      <c r="E1655">
        <f t="shared" ref="E1655" si="3566">_xlfn.NUMBERVALUE(MID(C1655,4,2))</f>
        <v>12</v>
      </c>
      <c r="F1655">
        <f t="shared" ref="F1655" si="3567">_xlfn.NUMBERVALUE(RIGHT(C1655,4))</f>
        <v>2023</v>
      </c>
      <c r="G1655" t="s">
        <v>7</v>
      </c>
      <c r="H1655">
        <v>-2</v>
      </c>
      <c r="I1655">
        <v>8</v>
      </c>
      <c r="K1655" t="s">
        <v>10</v>
      </c>
      <c r="L1655" s="8">
        <f t="shared" si="3373"/>
        <v>3</v>
      </c>
      <c r="M1655" t="s">
        <v>1815</v>
      </c>
    </row>
    <row r="1656" spans="1:13" x14ac:dyDescent="0.35">
      <c r="A1656">
        <f t="shared" si="2869"/>
        <v>1652</v>
      </c>
      <c r="B1656" s="9">
        <f t="shared" ref="B1656" si="3568">B1655+H1656+I1656+J1656</f>
        <v>41.100000000000009</v>
      </c>
      <c r="C1656" s="3" t="s">
        <v>1817</v>
      </c>
      <c r="D1656">
        <f t="shared" ref="D1656" si="3569">_xlfn.NUMBERVALUE(LEFT(C1656,2))</f>
        <v>17</v>
      </c>
      <c r="E1656">
        <f t="shared" ref="E1656" si="3570">_xlfn.NUMBERVALUE(MID(C1656,4,2))</f>
        <v>12</v>
      </c>
      <c r="F1656">
        <f t="shared" ref="F1656" si="3571">_xlfn.NUMBERVALUE(RIGHT(C1656,4))</f>
        <v>2023</v>
      </c>
      <c r="G1656" t="s">
        <v>7</v>
      </c>
      <c r="H1656">
        <v>-2</v>
      </c>
      <c r="K1656" t="s">
        <v>9</v>
      </c>
      <c r="L1656" s="8">
        <f t="shared" si="3373"/>
        <v>-1</v>
      </c>
      <c r="M1656" t="s">
        <v>1816</v>
      </c>
    </row>
    <row r="1657" spans="1:13" x14ac:dyDescent="0.35">
      <c r="A1657">
        <f t="shared" si="2869"/>
        <v>1653</v>
      </c>
      <c r="B1657" s="9">
        <f t="shared" ref="B1657" si="3572">B1656+H1657+I1657+J1657</f>
        <v>45.100000000000009</v>
      </c>
      <c r="C1657" s="3" t="s">
        <v>1817</v>
      </c>
      <c r="D1657">
        <f t="shared" ref="D1657" si="3573">_xlfn.NUMBERVALUE(LEFT(C1657,2))</f>
        <v>17</v>
      </c>
      <c r="E1657">
        <f t="shared" ref="E1657" si="3574">_xlfn.NUMBERVALUE(MID(C1657,4,2))</f>
        <v>12</v>
      </c>
      <c r="F1657">
        <f t="shared" ref="F1657" si="3575">_xlfn.NUMBERVALUE(RIGHT(C1657,4))</f>
        <v>2023</v>
      </c>
      <c r="G1657" t="s">
        <v>7</v>
      </c>
      <c r="H1657">
        <v>-2</v>
      </c>
      <c r="I1657">
        <v>6</v>
      </c>
      <c r="K1657" t="s">
        <v>10</v>
      </c>
      <c r="L1657" s="8">
        <f t="shared" si="3373"/>
        <v>2</v>
      </c>
      <c r="M1657" t="s">
        <v>1818</v>
      </c>
    </row>
    <row r="1658" spans="1:13" x14ac:dyDescent="0.35">
      <c r="A1658">
        <f t="shared" si="2869"/>
        <v>1654</v>
      </c>
      <c r="B1658" s="9">
        <f t="shared" ref="B1658" si="3576">B1657+H1658+I1658+J1658</f>
        <v>43.100000000000009</v>
      </c>
      <c r="C1658" s="3" t="s">
        <v>1819</v>
      </c>
      <c r="D1658">
        <f t="shared" ref="D1658" si="3577">_xlfn.NUMBERVALUE(LEFT(C1658,2))</f>
        <v>18</v>
      </c>
      <c r="E1658">
        <f t="shared" ref="E1658" si="3578">_xlfn.NUMBERVALUE(MID(C1658,4,2))</f>
        <v>12</v>
      </c>
      <c r="F1658">
        <f t="shared" ref="F1658" si="3579">_xlfn.NUMBERVALUE(RIGHT(C1658,4))</f>
        <v>2023</v>
      </c>
      <c r="G1658" t="s">
        <v>7</v>
      </c>
      <c r="H1658">
        <v>-2</v>
      </c>
      <c r="K1658" t="s">
        <v>9</v>
      </c>
      <c r="L1658" s="8">
        <f t="shared" si="3373"/>
        <v>-1</v>
      </c>
      <c r="M1658" t="s">
        <v>1820</v>
      </c>
    </row>
    <row r="1659" spans="1:13" x14ac:dyDescent="0.35">
      <c r="A1659">
        <f t="shared" si="2869"/>
        <v>1655</v>
      </c>
      <c r="B1659" s="9">
        <f t="shared" ref="B1659" si="3580">B1658+H1659+I1659+J1659</f>
        <v>41.100000000000009</v>
      </c>
      <c r="C1659" s="3" t="s">
        <v>1819</v>
      </c>
      <c r="D1659">
        <f t="shared" ref="D1659" si="3581">_xlfn.NUMBERVALUE(LEFT(C1659,2))</f>
        <v>18</v>
      </c>
      <c r="E1659">
        <f t="shared" ref="E1659" si="3582">_xlfn.NUMBERVALUE(MID(C1659,4,2))</f>
        <v>12</v>
      </c>
      <c r="F1659">
        <f t="shared" ref="F1659" si="3583">_xlfn.NUMBERVALUE(RIGHT(C1659,4))</f>
        <v>2023</v>
      </c>
      <c r="G1659" t="s">
        <v>7</v>
      </c>
      <c r="H1659">
        <v>-2</v>
      </c>
      <c r="K1659" t="s">
        <v>9</v>
      </c>
      <c r="L1659" s="8">
        <f t="shared" si="3373"/>
        <v>-1</v>
      </c>
      <c r="M1659" t="s">
        <v>1821</v>
      </c>
    </row>
    <row r="1660" spans="1:13" x14ac:dyDescent="0.35">
      <c r="A1660">
        <f t="shared" si="2869"/>
        <v>1656</v>
      </c>
      <c r="B1660" s="9">
        <f t="shared" ref="B1660" si="3584">B1659+H1660+I1660+J1660</f>
        <v>39.100000000000009</v>
      </c>
      <c r="C1660" s="3" t="s">
        <v>1819</v>
      </c>
      <c r="D1660">
        <f t="shared" ref="D1660" si="3585">_xlfn.NUMBERVALUE(LEFT(C1660,2))</f>
        <v>18</v>
      </c>
      <c r="E1660">
        <f t="shared" ref="E1660" si="3586">_xlfn.NUMBERVALUE(MID(C1660,4,2))</f>
        <v>12</v>
      </c>
      <c r="F1660">
        <f t="shared" ref="F1660" si="3587">_xlfn.NUMBERVALUE(RIGHT(C1660,4))</f>
        <v>2023</v>
      </c>
      <c r="G1660" t="s">
        <v>7</v>
      </c>
      <c r="H1660">
        <v>-2</v>
      </c>
      <c r="K1660" t="s">
        <v>9</v>
      </c>
      <c r="L1660" s="8">
        <f t="shared" si="3373"/>
        <v>-1</v>
      </c>
      <c r="M1660" t="s">
        <v>1822</v>
      </c>
    </row>
    <row r="1661" spans="1:13" x14ac:dyDescent="0.35">
      <c r="A1661">
        <f t="shared" si="2869"/>
        <v>1657</v>
      </c>
      <c r="B1661" s="9">
        <f t="shared" ref="B1661" si="3588">B1660+H1661+I1661+J1661</f>
        <v>41.100000000000009</v>
      </c>
      <c r="C1661" s="3" t="s">
        <v>1819</v>
      </c>
      <c r="D1661">
        <f t="shared" ref="D1661" si="3589">_xlfn.NUMBERVALUE(LEFT(C1661,2))</f>
        <v>18</v>
      </c>
      <c r="E1661">
        <f t="shared" ref="E1661" si="3590">_xlfn.NUMBERVALUE(MID(C1661,4,2))</f>
        <v>12</v>
      </c>
      <c r="F1661">
        <f t="shared" ref="F1661" si="3591">_xlfn.NUMBERVALUE(RIGHT(C1661,4))</f>
        <v>2023</v>
      </c>
      <c r="G1661" t="s">
        <v>7</v>
      </c>
      <c r="H1661">
        <v>-2</v>
      </c>
      <c r="I1661">
        <v>4</v>
      </c>
      <c r="K1661" t="s">
        <v>10</v>
      </c>
      <c r="L1661" s="8">
        <f t="shared" si="3373"/>
        <v>1</v>
      </c>
      <c r="M1661" t="s">
        <v>1823</v>
      </c>
    </row>
    <row r="1662" spans="1:13" x14ac:dyDescent="0.35">
      <c r="A1662">
        <f t="shared" si="2869"/>
        <v>1658</v>
      </c>
      <c r="B1662" s="9">
        <f t="shared" ref="B1662" si="3592">B1661+H1662+I1662+J1662</f>
        <v>39.100000000000009</v>
      </c>
      <c r="C1662" s="3" t="s">
        <v>1819</v>
      </c>
      <c r="D1662">
        <f t="shared" ref="D1662" si="3593">_xlfn.NUMBERVALUE(LEFT(C1662,2))</f>
        <v>18</v>
      </c>
      <c r="E1662">
        <f t="shared" ref="E1662" si="3594">_xlfn.NUMBERVALUE(MID(C1662,4,2))</f>
        <v>12</v>
      </c>
      <c r="F1662">
        <f t="shared" ref="F1662" si="3595">_xlfn.NUMBERVALUE(RIGHT(C1662,4))</f>
        <v>2023</v>
      </c>
      <c r="G1662" t="s">
        <v>7</v>
      </c>
      <c r="H1662">
        <v>-2</v>
      </c>
      <c r="K1662" t="s">
        <v>9</v>
      </c>
      <c r="L1662" s="8">
        <f t="shared" si="3373"/>
        <v>-1</v>
      </c>
      <c r="M1662" t="s">
        <v>1824</v>
      </c>
    </row>
    <row r="1663" spans="1:13" x14ac:dyDescent="0.35">
      <c r="A1663">
        <f t="shared" si="2869"/>
        <v>1659</v>
      </c>
      <c r="B1663" s="9">
        <f t="shared" ref="B1663" si="3596">B1662+H1663+I1663+J1663</f>
        <v>37.100000000000009</v>
      </c>
      <c r="C1663" s="3" t="s">
        <v>1819</v>
      </c>
      <c r="D1663">
        <f t="shared" ref="D1663" si="3597">_xlfn.NUMBERVALUE(LEFT(C1663,2))</f>
        <v>18</v>
      </c>
      <c r="E1663">
        <f t="shared" ref="E1663" si="3598">_xlfn.NUMBERVALUE(MID(C1663,4,2))</f>
        <v>12</v>
      </c>
      <c r="F1663">
        <f t="shared" ref="F1663" si="3599">_xlfn.NUMBERVALUE(RIGHT(C1663,4))</f>
        <v>2023</v>
      </c>
      <c r="G1663" t="s">
        <v>7</v>
      </c>
      <c r="H1663">
        <v>-2</v>
      </c>
      <c r="K1663" t="s">
        <v>9</v>
      </c>
      <c r="L1663" s="8">
        <f t="shared" si="3373"/>
        <v>-1</v>
      </c>
      <c r="M1663" t="s">
        <v>1825</v>
      </c>
    </row>
    <row r="1664" spans="1:13" x14ac:dyDescent="0.35">
      <c r="A1664">
        <f t="shared" si="2869"/>
        <v>1660</v>
      </c>
      <c r="B1664" s="9">
        <f t="shared" ref="B1664" si="3600">B1663+H1664+I1664+J1664</f>
        <v>35.100000000000009</v>
      </c>
      <c r="C1664" s="3" t="s">
        <v>1819</v>
      </c>
      <c r="D1664">
        <f t="shared" ref="D1664" si="3601">_xlfn.NUMBERVALUE(LEFT(C1664,2))</f>
        <v>18</v>
      </c>
      <c r="E1664">
        <f t="shared" ref="E1664" si="3602">_xlfn.NUMBERVALUE(MID(C1664,4,2))</f>
        <v>12</v>
      </c>
      <c r="F1664">
        <f t="shared" ref="F1664" si="3603">_xlfn.NUMBERVALUE(RIGHT(C1664,4))</f>
        <v>2023</v>
      </c>
      <c r="G1664" t="s">
        <v>7</v>
      </c>
      <c r="H1664">
        <v>-2</v>
      </c>
      <c r="K1664" t="s">
        <v>9</v>
      </c>
      <c r="L1664" s="8">
        <f t="shared" si="3373"/>
        <v>-1</v>
      </c>
      <c r="M1664" t="s">
        <v>1826</v>
      </c>
    </row>
    <row r="1665" spans="1:13" x14ac:dyDescent="0.35">
      <c r="A1665">
        <f t="shared" si="2869"/>
        <v>1661</v>
      </c>
      <c r="B1665" s="9">
        <f t="shared" ref="B1665" si="3604">B1664+H1665+I1665+J1665</f>
        <v>33.100000000000009</v>
      </c>
      <c r="C1665" s="3" t="s">
        <v>1827</v>
      </c>
      <c r="D1665">
        <f t="shared" ref="D1665" si="3605">_xlfn.NUMBERVALUE(LEFT(C1665,2))</f>
        <v>19</v>
      </c>
      <c r="E1665">
        <f t="shared" ref="E1665" si="3606">_xlfn.NUMBERVALUE(MID(C1665,4,2))</f>
        <v>12</v>
      </c>
      <c r="F1665">
        <f t="shared" ref="F1665" si="3607">_xlfn.NUMBERVALUE(RIGHT(C1665,4))</f>
        <v>2023</v>
      </c>
      <c r="G1665" t="s">
        <v>7</v>
      </c>
      <c r="H1665">
        <v>-2</v>
      </c>
      <c r="K1665" t="s">
        <v>9</v>
      </c>
      <c r="L1665" s="8">
        <f t="shared" si="3373"/>
        <v>-1</v>
      </c>
      <c r="M1665" t="s">
        <v>1828</v>
      </c>
    </row>
    <row r="1666" spans="1:13" x14ac:dyDescent="0.35">
      <c r="A1666">
        <f t="shared" si="2869"/>
        <v>1662</v>
      </c>
      <c r="B1666" s="9">
        <f t="shared" ref="B1666" si="3608">B1665+H1666+I1666+J1666</f>
        <v>31.100000000000009</v>
      </c>
      <c r="C1666" s="3" t="s">
        <v>1827</v>
      </c>
      <c r="D1666">
        <f t="shared" ref="D1666" si="3609">_xlfn.NUMBERVALUE(LEFT(C1666,2))</f>
        <v>19</v>
      </c>
      <c r="E1666">
        <f t="shared" ref="E1666" si="3610">_xlfn.NUMBERVALUE(MID(C1666,4,2))</f>
        <v>12</v>
      </c>
      <c r="F1666">
        <f t="shared" ref="F1666" si="3611">_xlfn.NUMBERVALUE(RIGHT(C1666,4))</f>
        <v>2023</v>
      </c>
      <c r="G1666" t="s">
        <v>7</v>
      </c>
      <c r="H1666">
        <v>-2</v>
      </c>
      <c r="K1666" t="s">
        <v>9</v>
      </c>
      <c r="L1666" s="8">
        <f t="shared" si="3373"/>
        <v>-1</v>
      </c>
      <c r="M1666" t="s">
        <v>1829</v>
      </c>
    </row>
    <row r="1667" spans="1:13" x14ac:dyDescent="0.35">
      <c r="A1667">
        <f t="shared" si="2869"/>
        <v>1663</v>
      </c>
      <c r="B1667" s="9">
        <f t="shared" ref="B1667" si="3612">B1666+H1667+I1667+J1667</f>
        <v>35.100000000000009</v>
      </c>
      <c r="C1667" s="3" t="s">
        <v>1827</v>
      </c>
      <c r="D1667">
        <f t="shared" ref="D1667" si="3613">_xlfn.NUMBERVALUE(LEFT(C1667,2))</f>
        <v>19</v>
      </c>
      <c r="E1667">
        <f t="shared" ref="E1667" si="3614">_xlfn.NUMBERVALUE(MID(C1667,4,2))</f>
        <v>12</v>
      </c>
      <c r="F1667">
        <f t="shared" ref="F1667" si="3615">_xlfn.NUMBERVALUE(RIGHT(C1667,4))</f>
        <v>2023</v>
      </c>
      <c r="G1667" t="s">
        <v>7</v>
      </c>
      <c r="H1667">
        <v>-2</v>
      </c>
      <c r="I1667">
        <v>6</v>
      </c>
      <c r="K1667" t="s">
        <v>10</v>
      </c>
      <c r="L1667" s="8">
        <f t="shared" si="3373"/>
        <v>2</v>
      </c>
      <c r="M1667" t="s">
        <v>1830</v>
      </c>
    </row>
    <row r="1668" spans="1:13" x14ac:dyDescent="0.35">
      <c r="A1668">
        <f t="shared" si="2869"/>
        <v>1664</v>
      </c>
      <c r="B1668" s="9">
        <f t="shared" ref="B1668" si="3616">B1667+H1668+I1668+J1668</f>
        <v>33.100000000000009</v>
      </c>
      <c r="C1668" s="3" t="s">
        <v>1827</v>
      </c>
      <c r="D1668">
        <f t="shared" ref="D1668" si="3617">_xlfn.NUMBERVALUE(LEFT(C1668,2))</f>
        <v>19</v>
      </c>
      <c r="E1668">
        <f t="shared" ref="E1668" si="3618">_xlfn.NUMBERVALUE(MID(C1668,4,2))</f>
        <v>12</v>
      </c>
      <c r="F1668">
        <f t="shared" ref="F1668" si="3619">_xlfn.NUMBERVALUE(RIGHT(C1668,4))</f>
        <v>2023</v>
      </c>
      <c r="G1668" t="s">
        <v>7</v>
      </c>
      <c r="H1668">
        <v>-2</v>
      </c>
      <c r="K1668" t="s">
        <v>9</v>
      </c>
      <c r="L1668" s="8">
        <f t="shared" si="3373"/>
        <v>-1</v>
      </c>
      <c r="M1668" t="s">
        <v>1831</v>
      </c>
    </row>
    <row r="1669" spans="1:13" x14ac:dyDescent="0.35">
      <c r="A1669">
        <f t="shared" si="2869"/>
        <v>1665</v>
      </c>
      <c r="B1669" s="9">
        <f t="shared" ref="B1669" si="3620">B1668+H1669+I1669+J1669</f>
        <v>31.100000000000009</v>
      </c>
      <c r="C1669" s="3" t="s">
        <v>1827</v>
      </c>
      <c r="D1669">
        <f t="shared" ref="D1669" si="3621">_xlfn.NUMBERVALUE(LEFT(C1669,2))</f>
        <v>19</v>
      </c>
      <c r="E1669">
        <f t="shared" ref="E1669" si="3622">_xlfn.NUMBERVALUE(MID(C1669,4,2))</f>
        <v>12</v>
      </c>
      <c r="F1669">
        <f t="shared" ref="F1669" si="3623">_xlfn.NUMBERVALUE(RIGHT(C1669,4))</f>
        <v>2023</v>
      </c>
      <c r="G1669" t="s">
        <v>7</v>
      </c>
      <c r="H1669">
        <v>-2</v>
      </c>
      <c r="K1669" t="s">
        <v>9</v>
      </c>
      <c r="L1669" s="8">
        <f t="shared" si="3373"/>
        <v>-1</v>
      </c>
      <c r="M1669" t="s">
        <v>1832</v>
      </c>
    </row>
    <row r="1670" spans="1:13" x14ac:dyDescent="0.35">
      <c r="A1670">
        <f t="shared" si="2869"/>
        <v>1666</v>
      </c>
      <c r="B1670" s="9">
        <f t="shared" ref="B1670" si="3624">B1669+H1670+I1670+J1670</f>
        <v>35.100000000000009</v>
      </c>
      <c r="C1670" s="3" t="s">
        <v>1827</v>
      </c>
      <c r="D1670">
        <f t="shared" ref="D1670" si="3625">_xlfn.NUMBERVALUE(LEFT(C1670,2))</f>
        <v>19</v>
      </c>
      <c r="E1670">
        <f t="shared" ref="E1670" si="3626">_xlfn.NUMBERVALUE(MID(C1670,4,2))</f>
        <v>12</v>
      </c>
      <c r="F1670">
        <f t="shared" ref="F1670" si="3627">_xlfn.NUMBERVALUE(RIGHT(C1670,4))</f>
        <v>2023</v>
      </c>
      <c r="G1670" t="s">
        <v>7</v>
      </c>
      <c r="H1670">
        <v>-2</v>
      </c>
      <c r="I1670">
        <v>6</v>
      </c>
      <c r="K1670" t="s">
        <v>10</v>
      </c>
      <c r="L1670" s="8">
        <f t="shared" ref="L1670:L1733" si="3628">IF(H1670="",0,(SUM(I1670:J1670)/-H1670)-1)</f>
        <v>2</v>
      </c>
      <c r="M1670" t="s">
        <v>1833</v>
      </c>
    </row>
    <row r="1671" spans="1:13" x14ac:dyDescent="0.35">
      <c r="A1671">
        <f t="shared" si="2869"/>
        <v>1667</v>
      </c>
      <c r="B1671" s="9">
        <f t="shared" ref="B1671" si="3629">B1670+H1671+I1671+J1671</f>
        <v>37.100000000000009</v>
      </c>
      <c r="C1671" s="3" t="s">
        <v>1827</v>
      </c>
      <c r="D1671">
        <f t="shared" ref="D1671" si="3630">_xlfn.NUMBERVALUE(LEFT(C1671,2))</f>
        <v>19</v>
      </c>
      <c r="E1671">
        <f t="shared" ref="E1671" si="3631">_xlfn.NUMBERVALUE(MID(C1671,4,2))</f>
        <v>12</v>
      </c>
      <c r="F1671">
        <f t="shared" ref="F1671" si="3632">_xlfn.NUMBERVALUE(RIGHT(C1671,4))</f>
        <v>2023</v>
      </c>
      <c r="G1671" t="s">
        <v>7</v>
      </c>
      <c r="H1671">
        <v>-2</v>
      </c>
      <c r="I1671">
        <v>4</v>
      </c>
      <c r="K1671" t="s">
        <v>10</v>
      </c>
      <c r="L1671" s="8">
        <f t="shared" si="3628"/>
        <v>1</v>
      </c>
      <c r="M1671" t="s">
        <v>1834</v>
      </c>
    </row>
    <row r="1672" spans="1:13" x14ac:dyDescent="0.35">
      <c r="A1672">
        <f t="shared" si="2869"/>
        <v>1668</v>
      </c>
      <c r="B1672" s="9">
        <f t="shared" ref="B1672" si="3633">B1671+H1672+I1672+J1672</f>
        <v>41.100000000000009</v>
      </c>
      <c r="C1672" s="3" t="s">
        <v>1827</v>
      </c>
      <c r="D1672">
        <f t="shared" ref="D1672" si="3634">_xlfn.NUMBERVALUE(LEFT(C1672,2))</f>
        <v>19</v>
      </c>
      <c r="E1672">
        <f t="shared" ref="E1672" si="3635">_xlfn.NUMBERVALUE(MID(C1672,4,2))</f>
        <v>12</v>
      </c>
      <c r="F1672">
        <f t="shared" ref="F1672" si="3636">_xlfn.NUMBERVALUE(RIGHT(C1672,4))</f>
        <v>2023</v>
      </c>
      <c r="G1672" t="s">
        <v>7</v>
      </c>
      <c r="H1672">
        <v>-2</v>
      </c>
      <c r="I1672">
        <v>6</v>
      </c>
      <c r="K1672" t="s">
        <v>10</v>
      </c>
      <c r="L1672" s="8">
        <f t="shared" si="3628"/>
        <v>2</v>
      </c>
      <c r="M1672" t="s">
        <v>1835</v>
      </c>
    </row>
    <row r="1673" spans="1:13" x14ac:dyDescent="0.35">
      <c r="A1673">
        <f t="shared" si="2869"/>
        <v>1669</v>
      </c>
      <c r="B1673" s="9">
        <f t="shared" ref="B1673" si="3637">B1672+H1673+I1673+J1673</f>
        <v>39.100000000000009</v>
      </c>
      <c r="C1673" s="3" t="s">
        <v>1827</v>
      </c>
      <c r="D1673">
        <f t="shared" ref="D1673" si="3638">_xlfn.NUMBERVALUE(LEFT(C1673,2))</f>
        <v>19</v>
      </c>
      <c r="E1673">
        <f t="shared" ref="E1673" si="3639">_xlfn.NUMBERVALUE(MID(C1673,4,2))</f>
        <v>12</v>
      </c>
      <c r="F1673">
        <f t="shared" ref="F1673" si="3640">_xlfn.NUMBERVALUE(RIGHT(C1673,4))</f>
        <v>2023</v>
      </c>
      <c r="G1673" t="s">
        <v>7</v>
      </c>
      <c r="H1673">
        <v>-2</v>
      </c>
      <c r="K1673" t="s">
        <v>9</v>
      </c>
      <c r="L1673" s="8">
        <f t="shared" si="3628"/>
        <v>-1</v>
      </c>
      <c r="M1673" t="s">
        <v>1836</v>
      </c>
    </row>
    <row r="1674" spans="1:13" x14ac:dyDescent="0.35">
      <c r="A1674">
        <f t="shared" si="2869"/>
        <v>1670</v>
      </c>
      <c r="B1674" s="9">
        <f t="shared" ref="B1674" si="3641">B1673+H1674+I1674+J1674</f>
        <v>43.100000000000009</v>
      </c>
      <c r="C1674" s="3" t="s">
        <v>1827</v>
      </c>
      <c r="D1674">
        <f t="shared" ref="D1674" si="3642">_xlfn.NUMBERVALUE(LEFT(C1674,2))</f>
        <v>19</v>
      </c>
      <c r="E1674">
        <f t="shared" ref="E1674" si="3643">_xlfn.NUMBERVALUE(MID(C1674,4,2))</f>
        <v>12</v>
      </c>
      <c r="F1674">
        <f t="shared" ref="F1674" si="3644">_xlfn.NUMBERVALUE(RIGHT(C1674,4))</f>
        <v>2023</v>
      </c>
      <c r="G1674" t="s">
        <v>7</v>
      </c>
      <c r="H1674">
        <v>-2</v>
      </c>
      <c r="I1674">
        <v>6</v>
      </c>
      <c r="K1674" t="s">
        <v>10</v>
      </c>
      <c r="L1674" s="8">
        <f t="shared" si="3628"/>
        <v>2</v>
      </c>
      <c r="M1674" t="s">
        <v>1837</v>
      </c>
    </row>
    <row r="1675" spans="1:13" x14ac:dyDescent="0.35">
      <c r="A1675">
        <f t="shared" si="2869"/>
        <v>1671</v>
      </c>
      <c r="B1675" s="9">
        <f t="shared" ref="B1675" si="3645">B1674+H1675+I1675+J1675</f>
        <v>47.100000000000009</v>
      </c>
      <c r="C1675" s="3" t="s">
        <v>1827</v>
      </c>
      <c r="D1675">
        <f t="shared" ref="D1675" si="3646">_xlfn.NUMBERVALUE(LEFT(C1675,2))</f>
        <v>19</v>
      </c>
      <c r="E1675">
        <f t="shared" ref="E1675" si="3647">_xlfn.NUMBERVALUE(MID(C1675,4,2))</f>
        <v>12</v>
      </c>
      <c r="F1675">
        <f t="shared" ref="F1675" si="3648">_xlfn.NUMBERVALUE(RIGHT(C1675,4))</f>
        <v>2023</v>
      </c>
      <c r="G1675" t="s">
        <v>7</v>
      </c>
      <c r="H1675">
        <v>-2</v>
      </c>
      <c r="I1675">
        <v>6</v>
      </c>
      <c r="K1675" t="s">
        <v>10</v>
      </c>
      <c r="L1675" s="8">
        <f t="shared" si="3628"/>
        <v>2</v>
      </c>
      <c r="M1675" t="s">
        <v>1838</v>
      </c>
    </row>
    <row r="1676" spans="1:13" x14ac:dyDescent="0.35">
      <c r="A1676">
        <f t="shared" si="2869"/>
        <v>1672</v>
      </c>
      <c r="B1676" s="9">
        <f t="shared" ref="B1676" si="3649">B1675+H1676+I1676+J1676</f>
        <v>45.100000000000009</v>
      </c>
      <c r="C1676" s="3" t="s">
        <v>1839</v>
      </c>
      <c r="D1676">
        <f t="shared" ref="D1676" si="3650">_xlfn.NUMBERVALUE(LEFT(C1676,2))</f>
        <v>20</v>
      </c>
      <c r="E1676">
        <f t="shared" ref="E1676" si="3651">_xlfn.NUMBERVALUE(MID(C1676,4,2))</f>
        <v>12</v>
      </c>
      <c r="F1676">
        <f t="shared" ref="F1676" si="3652">_xlfn.NUMBERVALUE(RIGHT(C1676,4))</f>
        <v>2023</v>
      </c>
      <c r="G1676" t="s">
        <v>7</v>
      </c>
      <c r="H1676">
        <v>-2</v>
      </c>
      <c r="K1676" t="s">
        <v>9</v>
      </c>
      <c r="L1676" s="8">
        <f t="shared" si="3628"/>
        <v>-1</v>
      </c>
      <c r="M1676" t="s">
        <v>1840</v>
      </c>
    </row>
    <row r="1677" spans="1:13" x14ac:dyDescent="0.35">
      <c r="A1677">
        <f t="shared" si="2869"/>
        <v>1673</v>
      </c>
      <c r="B1677" s="9">
        <f t="shared" ref="B1677" si="3653">B1676+H1677+I1677+J1677</f>
        <v>49.100000000000009</v>
      </c>
      <c r="C1677" s="3" t="s">
        <v>1839</v>
      </c>
      <c r="D1677">
        <f t="shared" ref="D1677" si="3654">_xlfn.NUMBERVALUE(LEFT(C1677,2))</f>
        <v>20</v>
      </c>
      <c r="E1677">
        <f t="shared" ref="E1677" si="3655">_xlfn.NUMBERVALUE(MID(C1677,4,2))</f>
        <v>12</v>
      </c>
      <c r="F1677">
        <f t="shared" ref="F1677" si="3656">_xlfn.NUMBERVALUE(RIGHT(C1677,4))</f>
        <v>2023</v>
      </c>
      <c r="G1677" t="s">
        <v>7</v>
      </c>
      <c r="H1677">
        <v>-2</v>
      </c>
      <c r="I1677">
        <v>6</v>
      </c>
      <c r="K1677" t="s">
        <v>10</v>
      </c>
      <c r="L1677" s="8">
        <f t="shared" si="3628"/>
        <v>2</v>
      </c>
      <c r="M1677" t="s">
        <v>1841</v>
      </c>
    </row>
    <row r="1678" spans="1:13" x14ac:dyDescent="0.35">
      <c r="A1678">
        <f t="shared" si="2869"/>
        <v>1674</v>
      </c>
      <c r="B1678" s="9">
        <f t="shared" ref="B1678" si="3657">B1677+H1678+I1678+J1678</f>
        <v>53.100000000000009</v>
      </c>
      <c r="C1678" s="3" t="s">
        <v>1839</v>
      </c>
      <c r="D1678">
        <f t="shared" ref="D1678" si="3658">_xlfn.NUMBERVALUE(LEFT(C1678,2))</f>
        <v>20</v>
      </c>
      <c r="E1678">
        <f t="shared" ref="E1678" si="3659">_xlfn.NUMBERVALUE(MID(C1678,4,2))</f>
        <v>12</v>
      </c>
      <c r="F1678">
        <f t="shared" ref="F1678" si="3660">_xlfn.NUMBERVALUE(RIGHT(C1678,4))</f>
        <v>2023</v>
      </c>
      <c r="G1678" t="s">
        <v>7</v>
      </c>
      <c r="H1678">
        <v>-2</v>
      </c>
      <c r="I1678">
        <v>6</v>
      </c>
      <c r="K1678" t="s">
        <v>10</v>
      </c>
      <c r="L1678" s="8">
        <f t="shared" si="3628"/>
        <v>2</v>
      </c>
      <c r="M1678" t="s">
        <v>1842</v>
      </c>
    </row>
    <row r="1679" spans="1:13" x14ac:dyDescent="0.35">
      <c r="A1679">
        <f t="shared" si="2869"/>
        <v>1675</v>
      </c>
      <c r="B1679" s="9">
        <f t="shared" ref="B1679" si="3661">B1678+H1679+I1679+J1679</f>
        <v>51.100000000000009</v>
      </c>
      <c r="C1679" s="3" t="s">
        <v>1839</v>
      </c>
      <c r="D1679">
        <f t="shared" ref="D1679" si="3662">_xlfn.NUMBERVALUE(LEFT(C1679,2))</f>
        <v>20</v>
      </c>
      <c r="E1679">
        <f t="shared" ref="E1679" si="3663">_xlfn.NUMBERVALUE(MID(C1679,4,2))</f>
        <v>12</v>
      </c>
      <c r="F1679">
        <f t="shared" ref="F1679" si="3664">_xlfn.NUMBERVALUE(RIGHT(C1679,4))</f>
        <v>2023</v>
      </c>
      <c r="G1679" t="s">
        <v>7</v>
      </c>
      <c r="H1679">
        <v>-2</v>
      </c>
      <c r="K1679" t="s">
        <v>9</v>
      </c>
      <c r="L1679" s="8">
        <f t="shared" si="3628"/>
        <v>-1</v>
      </c>
      <c r="M1679" t="s">
        <v>1843</v>
      </c>
    </row>
    <row r="1680" spans="1:13" x14ac:dyDescent="0.35">
      <c r="A1680">
        <f t="shared" si="2869"/>
        <v>1676</v>
      </c>
      <c r="B1680" s="9">
        <f t="shared" ref="B1680" si="3665">B1679+H1680+I1680+J1680</f>
        <v>49.100000000000009</v>
      </c>
      <c r="C1680" s="3" t="s">
        <v>1839</v>
      </c>
      <c r="D1680">
        <f t="shared" ref="D1680" si="3666">_xlfn.NUMBERVALUE(LEFT(C1680,2))</f>
        <v>20</v>
      </c>
      <c r="E1680">
        <f t="shared" ref="E1680" si="3667">_xlfn.NUMBERVALUE(MID(C1680,4,2))</f>
        <v>12</v>
      </c>
      <c r="F1680">
        <f t="shared" ref="F1680" si="3668">_xlfn.NUMBERVALUE(RIGHT(C1680,4))</f>
        <v>2023</v>
      </c>
      <c r="G1680" t="s">
        <v>7</v>
      </c>
      <c r="H1680">
        <v>-2</v>
      </c>
      <c r="K1680" t="s">
        <v>9</v>
      </c>
      <c r="L1680" s="8">
        <f t="shared" si="3628"/>
        <v>-1</v>
      </c>
      <c r="M1680" t="s">
        <v>1844</v>
      </c>
    </row>
    <row r="1681" spans="1:13" x14ac:dyDescent="0.35">
      <c r="A1681">
        <f t="shared" si="2869"/>
        <v>1677</v>
      </c>
      <c r="B1681" s="9">
        <f t="shared" ref="B1681" si="3669">B1680+H1681+I1681+J1681</f>
        <v>51.100000000000009</v>
      </c>
      <c r="C1681" s="3" t="s">
        <v>1839</v>
      </c>
      <c r="D1681">
        <f t="shared" ref="D1681" si="3670">_xlfn.NUMBERVALUE(LEFT(C1681,2))</f>
        <v>20</v>
      </c>
      <c r="E1681">
        <f t="shared" ref="E1681" si="3671">_xlfn.NUMBERVALUE(MID(C1681,4,2))</f>
        <v>12</v>
      </c>
      <c r="F1681">
        <f t="shared" ref="F1681" si="3672">_xlfn.NUMBERVALUE(RIGHT(C1681,4))</f>
        <v>2023</v>
      </c>
      <c r="G1681" t="s">
        <v>7</v>
      </c>
      <c r="H1681">
        <v>-2</v>
      </c>
      <c r="I1681">
        <v>4</v>
      </c>
      <c r="K1681" t="s">
        <v>10</v>
      </c>
      <c r="L1681" s="8">
        <f t="shared" si="3628"/>
        <v>1</v>
      </c>
      <c r="M1681" t="s">
        <v>1845</v>
      </c>
    </row>
    <row r="1682" spans="1:13" x14ac:dyDescent="0.35">
      <c r="A1682">
        <f t="shared" si="2869"/>
        <v>1678</v>
      </c>
      <c r="B1682" s="9">
        <f t="shared" ref="B1682" si="3673">B1681+H1682+I1682+J1682</f>
        <v>49.100000000000009</v>
      </c>
      <c r="C1682" s="3" t="s">
        <v>1839</v>
      </c>
      <c r="D1682">
        <f t="shared" ref="D1682" si="3674">_xlfn.NUMBERVALUE(LEFT(C1682,2))</f>
        <v>20</v>
      </c>
      <c r="E1682">
        <f t="shared" ref="E1682" si="3675">_xlfn.NUMBERVALUE(MID(C1682,4,2))</f>
        <v>12</v>
      </c>
      <c r="F1682">
        <f t="shared" ref="F1682" si="3676">_xlfn.NUMBERVALUE(RIGHT(C1682,4))</f>
        <v>2023</v>
      </c>
      <c r="G1682" t="s">
        <v>7</v>
      </c>
      <c r="H1682">
        <v>-2</v>
      </c>
      <c r="K1682" t="s">
        <v>9</v>
      </c>
      <c r="L1682" s="8">
        <f t="shared" si="3628"/>
        <v>-1</v>
      </c>
      <c r="M1682" t="s">
        <v>1846</v>
      </c>
    </row>
    <row r="1683" spans="1:13" x14ac:dyDescent="0.35">
      <c r="A1683">
        <f t="shared" si="2869"/>
        <v>1679</v>
      </c>
      <c r="B1683" s="9">
        <f t="shared" ref="B1683" si="3677">B1682+H1683+I1683+J1683</f>
        <v>47.100000000000009</v>
      </c>
      <c r="C1683" s="3" t="s">
        <v>1847</v>
      </c>
      <c r="D1683">
        <f t="shared" ref="D1683" si="3678">_xlfn.NUMBERVALUE(LEFT(C1683,2))</f>
        <v>21</v>
      </c>
      <c r="E1683">
        <f t="shared" ref="E1683" si="3679">_xlfn.NUMBERVALUE(MID(C1683,4,2))</f>
        <v>12</v>
      </c>
      <c r="F1683">
        <f t="shared" ref="F1683" si="3680">_xlfn.NUMBERVALUE(RIGHT(C1683,4))</f>
        <v>2023</v>
      </c>
      <c r="G1683" t="s">
        <v>7</v>
      </c>
      <c r="H1683">
        <v>-2</v>
      </c>
      <c r="K1683" t="s">
        <v>9</v>
      </c>
      <c r="L1683" s="8">
        <f t="shared" si="3628"/>
        <v>-1</v>
      </c>
      <c r="M1683" t="s">
        <v>1848</v>
      </c>
    </row>
    <row r="1684" spans="1:13" x14ac:dyDescent="0.35">
      <c r="A1684">
        <f t="shared" si="2869"/>
        <v>1680</v>
      </c>
      <c r="B1684" s="9">
        <f t="shared" ref="B1684" si="3681">B1683+H1684+I1684+J1684</f>
        <v>45.100000000000009</v>
      </c>
      <c r="C1684" s="3" t="s">
        <v>1847</v>
      </c>
      <c r="D1684">
        <f t="shared" ref="D1684" si="3682">_xlfn.NUMBERVALUE(LEFT(C1684,2))</f>
        <v>21</v>
      </c>
      <c r="E1684">
        <f t="shared" ref="E1684" si="3683">_xlfn.NUMBERVALUE(MID(C1684,4,2))</f>
        <v>12</v>
      </c>
      <c r="F1684">
        <f t="shared" ref="F1684" si="3684">_xlfn.NUMBERVALUE(RIGHT(C1684,4))</f>
        <v>2023</v>
      </c>
      <c r="G1684" t="s">
        <v>7</v>
      </c>
      <c r="H1684">
        <v>-2</v>
      </c>
      <c r="K1684" t="s">
        <v>9</v>
      </c>
      <c r="L1684" s="8">
        <f t="shared" si="3628"/>
        <v>-1</v>
      </c>
      <c r="M1684" t="s">
        <v>1849</v>
      </c>
    </row>
    <row r="1685" spans="1:13" x14ac:dyDescent="0.35">
      <c r="A1685">
        <f t="shared" si="2869"/>
        <v>1681</v>
      </c>
      <c r="B1685" s="9">
        <f t="shared" ref="B1685" si="3685">B1684+H1685+I1685+J1685</f>
        <v>43.100000000000009</v>
      </c>
      <c r="C1685" s="3" t="s">
        <v>1847</v>
      </c>
      <c r="D1685">
        <f t="shared" ref="D1685" si="3686">_xlfn.NUMBERVALUE(LEFT(C1685,2))</f>
        <v>21</v>
      </c>
      <c r="E1685">
        <f t="shared" ref="E1685" si="3687">_xlfn.NUMBERVALUE(MID(C1685,4,2))</f>
        <v>12</v>
      </c>
      <c r="F1685">
        <f t="shared" ref="F1685" si="3688">_xlfn.NUMBERVALUE(RIGHT(C1685,4))</f>
        <v>2023</v>
      </c>
      <c r="G1685" t="s">
        <v>7</v>
      </c>
      <c r="H1685">
        <v>-2</v>
      </c>
      <c r="K1685" t="s">
        <v>9</v>
      </c>
      <c r="L1685" s="8">
        <f t="shared" si="3628"/>
        <v>-1</v>
      </c>
      <c r="M1685" t="s">
        <v>1850</v>
      </c>
    </row>
    <row r="1686" spans="1:13" x14ac:dyDescent="0.35">
      <c r="A1686">
        <f t="shared" si="2869"/>
        <v>1682</v>
      </c>
      <c r="B1686" s="9">
        <f t="shared" ref="B1686" si="3689">B1685+H1686+I1686+J1686</f>
        <v>45.100000000000009</v>
      </c>
      <c r="C1686" s="3" t="s">
        <v>1847</v>
      </c>
      <c r="D1686">
        <f t="shared" ref="D1686" si="3690">_xlfn.NUMBERVALUE(LEFT(C1686,2))</f>
        <v>21</v>
      </c>
      <c r="E1686">
        <f t="shared" ref="E1686" si="3691">_xlfn.NUMBERVALUE(MID(C1686,4,2))</f>
        <v>12</v>
      </c>
      <c r="F1686">
        <f t="shared" ref="F1686" si="3692">_xlfn.NUMBERVALUE(RIGHT(C1686,4))</f>
        <v>2023</v>
      </c>
      <c r="G1686" t="s">
        <v>7</v>
      </c>
      <c r="H1686">
        <v>-2</v>
      </c>
      <c r="I1686">
        <v>4</v>
      </c>
      <c r="K1686" t="s">
        <v>10</v>
      </c>
      <c r="L1686" s="8">
        <f t="shared" si="3628"/>
        <v>1</v>
      </c>
      <c r="M1686" t="s">
        <v>1851</v>
      </c>
    </row>
    <row r="1687" spans="1:13" x14ac:dyDescent="0.35">
      <c r="A1687">
        <f t="shared" si="2869"/>
        <v>1683</v>
      </c>
      <c r="B1687" s="9">
        <f t="shared" ref="B1687" si="3693">B1686+H1687+I1687+J1687</f>
        <v>43.100000000000009</v>
      </c>
      <c r="C1687" s="3" t="s">
        <v>1847</v>
      </c>
      <c r="D1687">
        <f t="shared" ref="D1687" si="3694">_xlfn.NUMBERVALUE(LEFT(C1687,2))</f>
        <v>21</v>
      </c>
      <c r="E1687">
        <f t="shared" ref="E1687" si="3695">_xlfn.NUMBERVALUE(MID(C1687,4,2))</f>
        <v>12</v>
      </c>
      <c r="F1687">
        <f t="shared" ref="F1687" si="3696">_xlfn.NUMBERVALUE(RIGHT(C1687,4))</f>
        <v>2023</v>
      </c>
      <c r="G1687" t="s">
        <v>7</v>
      </c>
      <c r="H1687">
        <v>-2</v>
      </c>
      <c r="K1687" t="s">
        <v>9</v>
      </c>
      <c r="L1687" s="8">
        <f t="shared" si="3628"/>
        <v>-1</v>
      </c>
      <c r="M1687" t="s">
        <v>1852</v>
      </c>
    </row>
    <row r="1688" spans="1:13" x14ac:dyDescent="0.35">
      <c r="A1688">
        <f t="shared" si="2869"/>
        <v>1684</v>
      </c>
      <c r="B1688" s="9">
        <f t="shared" ref="B1688" si="3697">B1687+H1688+I1688+J1688</f>
        <v>45.100000000000009</v>
      </c>
      <c r="C1688" s="3" t="s">
        <v>1847</v>
      </c>
      <c r="D1688">
        <f t="shared" ref="D1688" si="3698">_xlfn.NUMBERVALUE(LEFT(C1688,2))</f>
        <v>21</v>
      </c>
      <c r="E1688">
        <f t="shared" ref="E1688" si="3699">_xlfn.NUMBERVALUE(MID(C1688,4,2))</f>
        <v>12</v>
      </c>
      <c r="F1688">
        <f t="shared" ref="F1688" si="3700">_xlfn.NUMBERVALUE(RIGHT(C1688,4))</f>
        <v>2023</v>
      </c>
      <c r="G1688" t="s">
        <v>7</v>
      </c>
      <c r="H1688">
        <v>-2</v>
      </c>
      <c r="I1688">
        <v>4</v>
      </c>
      <c r="K1688" t="s">
        <v>10</v>
      </c>
      <c r="L1688" s="8">
        <f t="shared" si="3628"/>
        <v>1</v>
      </c>
      <c r="M1688" t="s">
        <v>1853</v>
      </c>
    </row>
    <row r="1689" spans="1:13" x14ac:dyDescent="0.35">
      <c r="A1689">
        <f t="shared" si="2869"/>
        <v>1685</v>
      </c>
      <c r="B1689" s="9">
        <f t="shared" ref="B1689" si="3701">B1688+H1689+I1689+J1689</f>
        <v>43.100000000000009</v>
      </c>
      <c r="C1689" s="3" t="s">
        <v>1847</v>
      </c>
      <c r="D1689">
        <f t="shared" ref="D1689" si="3702">_xlfn.NUMBERVALUE(LEFT(C1689,2))</f>
        <v>21</v>
      </c>
      <c r="E1689">
        <f t="shared" ref="E1689" si="3703">_xlfn.NUMBERVALUE(MID(C1689,4,2))</f>
        <v>12</v>
      </c>
      <c r="F1689">
        <f t="shared" ref="F1689" si="3704">_xlfn.NUMBERVALUE(RIGHT(C1689,4))</f>
        <v>2023</v>
      </c>
      <c r="G1689" t="s">
        <v>7</v>
      </c>
      <c r="H1689">
        <v>-2</v>
      </c>
      <c r="K1689" t="s">
        <v>9</v>
      </c>
      <c r="L1689" s="8">
        <f t="shared" si="3628"/>
        <v>-1</v>
      </c>
      <c r="M1689" t="s">
        <v>1854</v>
      </c>
    </row>
    <row r="1690" spans="1:13" x14ac:dyDescent="0.35">
      <c r="A1690">
        <f t="shared" si="2869"/>
        <v>1686</v>
      </c>
      <c r="B1690" s="9">
        <f t="shared" ref="B1690" si="3705">B1689+H1690+I1690+J1690</f>
        <v>41.100000000000009</v>
      </c>
      <c r="C1690" s="3" t="s">
        <v>1847</v>
      </c>
      <c r="D1690">
        <f t="shared" ref="D1690" si="3706">_xlfn.NUMBERVALUE(LEFT(C1690,2))</f>
        <v>21</v>
      </c>
      <c r="E1690">
        <f t="shared" ref="E1690" si="3707">_xlfn.NUMBERVALUE(MID(C1690,4,2))</f>
        <v>12</v>
      </c>
      <c r="F1690">
        <f t="shared" ref="F1690" si="3708">_xlfn.NUMBERVALUE(RIGHT(C1690,4))</f>
        <v>2023</v>
      </c>
      <c r="G1690" t="s">
        <v>7</v>
      </c>
      <c r="H1690">
        <v>-2</v>
      </c>
      <c r="K1690" t="s">
        <v>9</v>
      </c>
      <c r="L1690" s="8">
        <f t="shared" si="3628"/>
        <v>-1</v>
      </c>
      <c r="M1690" t="s">
        <v>1855</v>
      </c>
    </row>
    <row r="1691" spans="1:13" x14ac:dyDescent="0.35">
      <c r="A1691">
        <f t="shared" si="2869"/>
        <v>1687</v>
      </c>
      <c r="B1691" s="9">
        <f t="shared" ref="B1691" si="3709">B1690+H1691+I1691+J1691</f>
        <v>39.100000000000009</v>
      </c>
      <c r="C1691" s="3" t="s">
        <v>1847</v>
      </c>
      <c r="D1691">
        <f t="shared" ref="D1691" si="3710">_xlfn.NUMBERVALUE(LEFT(C1691,2))</f>
        <v>21</v>
      </c>
      <c r="E1691">
        <f t="shared" ref="E1691" si="3711">_xlfn.NUMBERVALUE(MID(C1691,4,2))</f>
        <v>12</v>
      </c>
      <c r="F1691">
        <f t="shared" ref="F1691" si="3712">_xlfn.NUMBERVALUE(RIGHT(C1691,4))</f>
        <v>2023</v>
      </c>
      <c r="G1691" t="s">
        <v>7</v>
      </c>
      <c r="H1691">
        <v>-2</v>
      </c>
      <c r="K1691" t="s">
        <v>9</v>
      </c>
      <c r="L1691" s="8">
        <f t="shared" si="3628"/>
        <v>-1</v>
      </c>
      <c r="M1691" t="s">
        <v>1856</v>
      </c>
    </row>
    <row r="1692" spans="1:13" x14ac:dyDescent="0.35">
      <c r="A1692">
        <f t="shared" si="2869"/>
        <v>1688</v>
      </c>
      <c r="B1692" s="9">
        <f t="shared" ref="B1692" si="3713">B1691+H1692+I1692+J1692</f>
        <v>37.100000000000009</v>
      </c>
      <c r="C1692" s="3" t="s">
        <v>1847</v>
      </c>
      <c r="D1692">
        <f t="shared" ref="D1692" si="3714">_xlfn.NUMBERVALUE(LEFT(C1692,2))</f>
        <v>21</v>
      </c>
      <c r="E1692">
        <f t="shared" ref="E1692" si="3715">_xlfn.NUMBERVALUE(MID(C1692,4,2))</f>
        <v>12</v>
      </c>
      <c r="F1692">
        <f t="shared" ref="F1692" si="3716">_xlfn.NUMBERVALUE(RIGHT(C1692,4))</f>
        <v>2023</v>
      </c>
      <c r="G1692" t="s">
        <v>7</v>
      </c>
      <c r="H1692">
        <v>-2</v>
      </c>
      <c r="K1692" t="s">
        <v>9</v>
      </c>
      <c r="L1692" s="8">
        <f t="shared" si="3628"/>
        <v>-1</v>
      </c>
      <c r="M1692" t="s">
        <v>1857</v>
      </c>
    </row>
    <row r="1693" spans="1:13" x14ac:dyDescent="0.35">
      <c r="A1693">
        <f t="shared" si="2869"/>
        <v>1689</v>
      </c>
      <c r="B1693" s="9">
        <f t="shared" ref="B1693" si="3717">B1692+H1693+I1693+J1693</f>
        <v>35.100000000000009</v>
      </c>
      <c r="C1693" s="3" t="s">
        <v>1847</v>
      </c>
      <c r="D1693">
        <f t="shared" ref="D1693" si="3718">_xlfn.NUMBERVALUE(LEFT(C1693,2))</f>
        <v>21</v>
      </c>
      <c r="E1693">
        <f t="shared" ref="E1693" si="3719">_xlfn.NUMBERVALUE(MID(C1693,4,2))</f>
        <v>12</v>
      </c>
      <c r="F1693">
        <f t="shared" ref="F1693" si="3720">_xlfn.NUMBERVALUE(RIGHT(C1693,4))</f>
        <v>2023</v>
      </c>
      <c r="G1693" t="s">
        <v>7</v>
      </c>
      <c r="H1693">
        <v>-2</v>
      </c>
      <c r="K1693" t="s">
        <v>9</v>
      </c>
      <c r="L1693" s="8">
        <f t="shared" si="3628"/>
        <v>-1</v>
      </c>
      <c r="M1693" t="s">
        <v>1858</v>
      </c>
    </row>
    <row r="1694" spans="1:13" x14ac:dyDescent="0.35">
      <c r="A1694">
        <f t="shared" si="2869"/>
        <v>1690</v>
      </c>
      <c r="B1694" s="9">
        <f t="shared" ref="B1694" si="3721">B1693+H1694+I1694+J1694</f>
        <v>33.100000000000009</v>
      </c>
      <c r="C1694" s="3" t="s">
        <v>1847</v>
      </c>
      <c r="D1694">
        <f t="shared" ref="D1694" si="3722">_xlfn.NUMBERVALUE(LEFT(C1694,2))</f>
        <v>21</v>
      </c>
      <c r="E1694">
        <f t="shared" ref="E1694" si="3723">_xlfn.NUMBERVALUE(MID(C1694,4,2))</f>
        <v>12</v>
      </c>
      <c r="F1694">
        <f t="shared" ref="F1694" si="3724">_xlfn.NUMBERVALUE(RIGHT(C1694,4))</f>
        <v>2023</v>
      </c>
      <c r="G1694" t="s">
        <v>7</v>
      </c>
      <c r="H1694">
        <v>-2</v>
      </c>
      <c r="K1694" t="s">
        <v>9</v>
      </c>
      <c r="L1694" s="8">
        <f t="shared" si="3628"/>
        <v>-1</v>
      </c>
      <c r="M1694" t="s">
        <v>1859</v>
      </c>
    </row>
    <row r="1695" spans="1:13" x14ac:dyDescent="0.35">
      <c r="A1695">
        <f t="shared" si="2869"/>
        <v>1691</v>
      </c>
      <c r="B1695" s="9">
        <f t="shared" ref="B1695" si="3725">B1694+H1695+I1695+J1695</f>
        <v>31.100000000000009</v>
      </c>
      <c r="C1695" s="3" t="s">
        <v>1847</v>
      </c>
      <c r="D1695">
        <f t="shared" ref="D1695" si="3726">_xlfn.NUMBERVALUE(LEFT(C1695,2))</f>
        <v>21</v>
      </c>
      <c r="E1695">
        <f t="shared" ref="E1695" si="3727">_xlfn.NUMBERVALUE(MID(C1695,4,2))</f>
        <v>12</v>
      </c>
      <c r="F1695">
        <f t="shared" ref="F1695" si="3728">_xlfn.NUMBERVALUE(RIGHT(C1695,4))</f>
        <v>2023</v>
      </c>
      <c r="G1695" t="s">
        <v>7</v>
      </c>
      <c r="H1695">
        <v>-2</v>
      </c>
      <c r="K1695" t="s">
        <v>9</v>
      </c>
      <c r="L1695" s="8">
        <f t="shared" si="3628"/>
        <v>-1</v>
      </c>
      <c r="M1695" t="s">
        <v>1860</v>
      </c>
    </row>
    <row r="1696" spans="1:13" x14ac:dyDescent="0.35">
      <c r="A1696">
        <f t="shared" ref="A1696:A1701" si="3729">A1695+1</f>
        <v>1692</v>
      </c>
      <c r="B1696" s="9">
        <f t="shared" ref="B1696:B1701" si="3730">B1695+H1696+I1696+J1696</f>
        <v>33.100000000000009</v>
      </c>
      <c r="C1696" s="3" t="s">
        <v>1847</v>
      </c>
      <c r="D1696">
        <f t="shared" ref="D1696" si="3731">_xlfn.NUMBERVALUE(LEFT(C1696,2))</f>
        <v>21</v>
      </c>
      <c r="E1696">
        <f t="shared" ref="E1696" si="3732">_xlfn.NUMBERVALUE(MID(C1696,4,2))</f>
        <v>12</v>
      </c>
      <c r="F1696">
        <f t="shared" ref="F1696" si="3733">_xlfn.NUMBERVALUE(RIGHT(C1696,4))</f>
        <v>2023</v>
      </c>
      <c r="G1696" t="s">
        <v>7</v>
      </c>
      <c r="H1696">
        <v>-2</v>
      </c>
      <c r="I1696">
        <v>4</v>
      </c>
      <c r="K1696" t="s">
        <v>10</v>
      </c>
      <c r="L1696" s="8">
        <f t="shared" si="3628"/>
        <v>1</v>
      </c>
      <c r="M1696" t="s">
        <v>1861</v>
      </c>
    </row>
    <row r="1697" spans="1:13" x14ac:dyDescent="0.35">
      <c r="A1697">
        <f t="shared" si="3729"/>
        <v>1693</v>
      </c>
      <c r="B1697" s="9">
        <f t="shared" si="3730"/>
        <v>31.100000000000009</v>
      </c>
      <c r="C1697" s="3" t="s">
        <v>1847</v>
      </c>
      <c r="D1697">
        <f t="shared" ref="D1697:D1701" si="3734">_xlfn.NUMBERVALUE(LEFT(C1697,2))</f>
        <v>21</v>
      </c>
      <c r="E1697">
        <f t="shared" ref="E1697" si="3735">_xlfn.NUMBERVALUE(MID(C1697,4,2))</f>
        <v>12</v>
      </c>
      <c r="F1697">
        <f t="shared" ref="F1697" si="3736">_xlfn.NUMBERVALUE(RIGHT(C1697,4))</f>
        <v>2023</v>
      </c>
      <c r="G1697" t="s">
        <v>7</v>
      </c>
      <c r="H1697">
        <v>-2</v>
      </c>
      <c r="K1697" t="s">
        <v>9</v>
      </c>
      <c r="L1697" s="8">
        <f t="shared" si="3628"/>
        <v>-1</v>
      </c>
      <c r="M1697" t="s">
        <v>1862</v>
      </c>
    </row>
    <row r="1698" spans="1:13" x14ac:dyDescent="0.35">
      <c r="A1698">
        <f t="shared" si="3729"/>
        <v>1694</v>
      </c>
      <c r="B1698" s="9">
        <f t="shared" si="3730"/>
        <v>29.100000000000009</v>
      </c>
      <c r="C1698" s="3" t="s">
        <v>1847</v>
      </c>
      <c r="D1698">
        <f t="shared" si="3734"/>
        <v>21</v>
      </c>
      <c r="E1698">
        <f t="shared" ref="E1698" si="3737">_xlfn.NUMBERVALUE(MID(C1698,4,2))</f>
        <v>12</v>
      </c>
      <c r="F1698">
        <f t="shared" ref="F1698" si="3738">_xlfn.NUMBERVALUE(RIGHT(C1698,4))</f>
        <v>2023</v>
      </c>
      <c r="G1698" t="s">
        <v>7</v>
      </c>
      <c r="H1698">
        <v>-2</v>
      </c>
      <c r="K1698" t="s">
        <v>9</v>
      </c>
      <c r="L1698" s="8">
        <f t="shared" si="3628"/>
        <v>-1</v>
      </c>
      <c r="M1698" t="s">
        <v>1863</v>
      </c>
    </row>
    <row r="1699" spans="1:13" x14ac:dyDescent="0.35">
      <c r="A1699">
        <f t="shared" si="3729"/>
        <v>1695</v>
      </c>
      <c r="B1699" s="9">
        <f t="shared" si="3730"/>
        <v>27.100000000000009</v>
      </c>
      <c r="C1699" s="3" t="s">
        <v>1847</v>
      </c>
      <c r="D1699">
        <f t="shared" si="3734"/>
        <v>21</v>
      </c>
      <c r="E1699">
        <f t="shared" ref="E1699" si="3739">_xlfn.NUMBERVALUE(MID(C1699,4,2))</f>
        <v>12</v>
      </c>
      <c r="F1699">
        <f t="shared" ref="F1699" si="3740">_xlfn.NUMBERVALUE(RIGHT(C1699,4))</f>
        <v>2023</v>
      </c>
      <c r="G1699" t="s">
        <v>7</v>
      </c>
      <c r="H1699">
        <v>-2</v>
      </c>
      <c r="K1699" t="s">
        <v>9</v>
      </c>
      <c r="L1699" s="8">
        <f t="shared" si="3628"/>
        <v>-1</v>
      </c>
      <c r="M1699" t="s">
        <v>1864</v>
      </c>
    </row>
    <row r="1700" spans="1:13" x14ac:dyDescent="0.35">
      <c r="A1700">
        <f t="shared" si="3729"/>
        <v>1696</v>
      </c>
      <c r="B1700" s="9">
        <f t="shared" si="3730"/>
        <v>29.100000000000009</v>
      </c>
      <c r="C1700" s="3" t="s">
        <v>1847</v>
      </c>
      <c r="D1700">
        <f t="shared" si="3734"/>
        <v>21</v>
      </c>
      <c r="E1700">
        <f t="shared" ref="E1700:E1701" si="3741">_xlfn.NUMBERVALUE(MID(C1700,4,2))</f>
        <v>12</v>
      </c>
      <c r="F1700">
        <f t="shared" ref="F1700:F1701" si="3742">_xlfn.NUMBERVALUE(RIGHT(C1700,4))</f>
        <v>2023</v>
      </c>
      <c r="G1700" t="s">
        <v>7</v>
      </c>
      <c r="H1700">
        <v>-2</v>
      </c>
      <c r="I1700">
        <v>4</v>
      </c>
      <c r="K1700" t="s">
        <v>10</v>
      </c>
      <c r="L1700" s="8">
        <f t="shared" si="3628"/>
        <v>1</v>
      </c>
      <c r="M1700" t="s">
        <v>1865</v>
      </c>
    </row>
    <row r="1701" spans="1:13" ht="15" customHeight="1" x14ac:dyDescent="0.35">
      <c r="A1701">
        <f t="shared" si="3729"/>
        <v>1697</v>
      </c>
      <c r="B1701" s="9">
        <f t="shared" si="3730"/>
        <v>31.100000000000009</v>
      </c>
      <c r="C1701" s="3" t="s">
        <v>1866</v>
      </c>
      <c r="D1701">
        <f t="shared" si="3734"/>
        <v>22</v>
      </c>
      <c r="E1701">
        <f t="shared" si="3741"/>
        <v>12</v>
      </c>
      <c r="F1701">
        <f t="shared" si="3742"/>
        <v>2023</v>
      </c>
      <c r="G1701" t="s">
        <v>7</v>
      </c>
      <c r="H1701">
        <v>-2</v>
      </c>
      <c r="I1701">
        <v>4</v>
      </c>
      <c r="K1701" t="s">
        <v>10</v>
      </c>
      <c r="L1701" s="8">
        <f t="shared" si="3628"/>
        <v>1</v>
      </c>
      <c r="M1701" t="s">
        <v>1867</v>
      </c>
    </row>
    <row r="1702" spans="1:13" x14ac:dyDescent="0.35">
      <c r="A1702">
        <f t="shared" ref="A1702:A1956" si="3743">A1701+1</f>
        <v>1698</v>
      </c>
      <c r="B1702" s="9">
        <f t="shared" ref="B1702" si="3744">B1701+H1702+I1702+J1702</f>
        <v>35.100000000000009</v>
      </c>
      <c r="C1702" s="3" t="s">
        <v>1866</v>
      </c>
      <c r="D1702">
        <f t="shared" ref="D1702" si="3745">_xlfn.NUMBERVALUE(LEFT(C1702,2))</f>
        <v>22</v>
      </c>
      <c r="E1702">
        <f t="shared" ref="E1702" si="3746">_xlfn.NUMBERVALUE(MID(C1702,4,2))</f>
        <v>12</v>
      </c>
      <c r="F1702">
        <f t="shared" ref="F1702" si="3747">_xlfn.NUMBERVALUE(RIGHT(C1702,4))</f>
        <v>2023</v>
      </c>
      <c r="G1702" t="s">
        <v>7</v>
      </c>
      <c r="H1702">
        <v>-2</v>
      </c>
      <c r="I1702">
        <v>6</v>
      </c>
      <c r="K1702" t="s">
        <v>10</v>
      </c>
      <c r="L1702" s="8">
        <f t="shared" si="3628"/>
        <v>2</v>
      </c>
      <c r="M1702" t="s">
        <v>1868</v>
      </c>
    </row>
    <row r="1703" spans="1:13" x14ac:dyDescent="0.35">
      <c r="A1703">
        <f t="shared" si="3743"/>
        <v>1699</v>
      </c>
      <c r="B1703" s="9">
        <f t="shared" ref="B1703" si="3748">B1702+H1703+I1703+J1703</f>
        <v>37.100000000000009</v>
      </c>
      <c r="C1703" s="3" t="s">
        <v>1869</v>
      </c>
      <c r="D1703">
        <f t="shared" ref="D1703" si="3749">_xlfn.NUMBERVALUE(LEFT(C1703,2))</f>
        <v>23</v>
      </c>
      <c r="E1703">
        <f t="shared" ref="E1703" si="3750">_xlfn.NUMBERVALUE(MID(C1703,4,2))</f>
        <v>12</v>
      </c>
      <c r="F1703">
        <f t="shared" ref="F1703" si="3751">_xlfn.NUMBERVALUE(RIGHT(C1703,4))</f>
        <v>2023</v>
      </c>
      <c r="G1703" t="s">
        <v>7</v>
      </c>
      <c r="H1703">
        <v>-2</v>
      </c>
      <c r="I1703">
        <v>4</v>
      </c>
      <c r="K1703" t="s">
        <v>10</v>
      </c>
      <c r="L1703" s="8">
        <f t="shared" si="3628"/>
        <v>1</v>
      </c>
      <c r="M1703" t="s">
        <v>1870</v>
      </c>
    </row>
    <row r="1704" spans="1:13" x14ac:dyDescent="0.35">
      <c r="A1704">
        <f t="shared" si="3743"/>
        <v>1700</v>
      </c>
      <c r="B1704" s="9">
        <f t="shared" ref="B1704" si="3752">B1703+H1704+I1704+J1704</f>
        <v>41.100000000000009</v>
      </c>
      <c r="C1704" s="3" t="s">
        <v>1869</v>
      </c>
      <c r="D1704">
        <f t="shared" ref="D1704" si="3753">_xlfn.NUMBERVALUE(LEFT(C1704,2))</f>
        <v>23</v>
      </c>
      <c r="E1704">
        <f t="shared" ref="E1704" si="3754">_xlfn.NUMBERVALUE(MID(C1704,4,2))</f>
        <v>12</v>
      </c>
      <c r="F1704">
        <f t="shared" ref="F1704" si="3755">_xlfn.NUMBERVALUE(RIGHT(C1704,4))</f>
        <v>2023</v>
      </c>
      <c r="G1704" t="s">
        <v>7</v>
      </c>
      <c r="H1704">
        <v>-2</v>
      </c>
      <c r="I1704">
        <v>6</v>
      </c>
      <c r="K1704" t="s">
        <v>10</v>
      </c>
      <c r="L1704" s="8">
        <f t="shared" si="3628"/>
        <v>2</v>
      </c>
      <c r="M1704" t="s">
        <v>1871</v>
      </c>
    </row>
    <row r="1705" spans="1:13" x14ac:dyDescent="0.35">
      <c r="A1705">
        <f t="shared" si="3743"/>
        <v>1701</v>
      </c>
      <c r="B1705" s="9">
        <f t="shared" ref="B1705" si="3756">B1704+H1705+I1705+J1705</f>
        <v>43.100000000000009</v>
      </c>
      <c r="C1705" s="3" t="s">
        <v>1869</v>
      </c>
      <c r="D1705">
        <f t="shared" ref="D1705" si="3757">_xlfn.NUMBERVALUE(LEFT(C1705,2))</f>
        <v>23</v>
      </c>
      <c r="E1705">
        <f t="shared" ref="E1705" si="3758">_xlfn.NUMBERVALUE(MID(C1705,4,2))</f>
        <v>12</v>
      </c>
      <c r="F1705">
        <f t="shared" ref="F1705" si="3759">_xlfn.NUMBERVALUE(RIGHT(C1705,4))</f>
        <v>2023</v>
      </c>
      <c r="G1705" t="s">
        <v>7</v>
      </c>
      <c r="H1705">
        <v>-2</v>
      </c>
      <c r="I1705">
        <v>4</v>
      </c>
      <c r="K1705" t="s">
        <v>10</v>
      </c>
      <c r="L1705" s="8">
        <f t="shared" si="3628"/>
        <v>1</v>
      </c>
      <c r="M1705" t="s">
        <v>1872</v>
      </c>
    </row>
    <row r="1706" spans="1:13" x14ac:dyDescent="0.35">
      <c r="A1706">
        <f t="shared" si="3743"/>
        <v>1702</v>
      </c>
      <c r="B1706" s="9">
        <f t="shared" ref="B1706" si="3760">B1705+H1706+I1706+J1706</f>
        <v>41.100000000000009</v>
      </c>
      <c r="C1706" s="3" t="s">
        <v>1869</v>
      </c>
      <c r="D1706">
        <f t="shared" ref="D1706" si="3761">_xlfn.NUMBERVALUE(LEFT(C1706,2))</f>
        <v>23</v>
      </c>
      <c r="E1706">
        <f t="shared" ref="E1706" si="3762">_xlfn.NUMBERVALUE(MID(C1706,4,2))</f>
        <v>12</v>
      </c>
      <c r="F1706">
        <f t="shared" ref="F1706" si="3763">_xlfn.NUMBERVALUE(RIGHT(C1706,4))</f>
        <v>2023</v>
      </c>
      <c r="G1706" t="s">
        <v>7</v>
      </c>
      <c r="H1706">
        <v>-2</v>
      </c>
      <c r="K1706" t="s">
        <v>9</v>
      </c>
      <c r="L1706" s="8">
        <f t="shared" si="3628"/>
        <v>-1</v>
      </c>
      <c r="M1706" t="s">
        <v>1873</v>
      </c>
    </row>
    <row r="1707" spans="1:13" x14ac:dyDescent="0.35">
      <c r="A1707">
        <f t="shared" si="3743"/>
        <v>1703</v>
      </c>
      <c r="B1707" s="9">
        <f t="shared" ref="B1707" si="3764">B1706+H1707+I1707+J1707</f>
        <v>39.100000000000009</v>
      </c>
      <c r="C1707" s="3" t="s">
        <v>1874</v>
      </c>
      <c r="D1707">
        <f t="shared" ref="D1707" si="3765">_xlfn.NUMBERVALUE(LEFT(C1707,2))</f>
        <v>24</v>
      </c>
      <c r="E1707">
        <f t="shared" ref="E1707" si="3766">_xlfn.NUMBERVALUE(MID(C1707,4,2))</f>
        <v>12</v>
      </c>
      <c r="F1707">
        <f t="shared" ref="F1707" si="3767">_xlfn.NUMBERVALUE(RIGHT(C1707,4))</f>
        <v>2023</v>
      </c>
      <c r="G1707" t="s">
        <v>7</v>
      </c>
      <c r="H1707">
        <v>-2</v>
      </c>
      <c r="K1707" t="s">
        <v>9</v>
      </c>
      <c r="L1707" s="8">
        <f t="shared" si="3628"/>
        <v>-1</v>
      </c>
      <c r="M1707" t="s">
        <v>1875</v>
      </c>
    </row>
    <row r="1708" spans="1:13" x14ac:dyDescent="0.35">
      <c r="A1708">
        <f t="shared" si="3743"/>
        <v>1704</v>
      </c>
      <c r="B1708" s="9">
        <f t="shared" ref="B1708" si="3768">B1707+H1708+I1708+J1708</f>
        <v>37.100000000000009</v>
      </c>
      <c r="C1708" s="3" t="s">
        <v>1874</v>
      </c>
      <c r="D1708">
        <f t="shared" ref="D1708" si="3769">_xlfn.NUMBERVALUE(LEFT(C1708,2))</f>
        <v>24</v>
      </c>
      <c r="E1708">
        <f t="shared" ref="E1708" si="3770">_xlfn.NUMBERVALUE(MID(C1708,4,2))</f>
        <v>12</v>
      </c>
      <c r="F1708">
        <f t="shared" ref="F1708" si="3771">_xlfn.NUMBERVALUE(RIGHT(C1708,4))</f>
        <v>2023</v>
      </c>
      <c r="G1708" t="s">
        <v>7</v>
      </c>
      <c r="H1708">
        <v>-2</v>
      </c>
      <c r="K1708" t="s">
        <v>9</v>
      </c>
      <c r="L1708" s="8">
        <f t="shared" si="3628"/>
        <v>-1</v>
      </c>
      <c r="M1708" t="s">
        <v>1876</v>
      </c>
    </row>
    <row r="1709" spans="1:13" x14ac:dyDescent="0.35">
      <c r="A1709">
        <f t="shared" si="3743"/>
        <v>1705</v>
      </c>
      <c r="B1709" s="9">
        <f t="shared" ref="B1709" si="3772">B1708+H1709+I1709+J1709</f>
        <v>35.100000000000009</v>
      </c>
      <c r="C1709" s="3" t="s">
        <v>1874</v>
      </c>
      <c r="D1709">
        <f t="shared" ref="D1709" si="3773">_xlfn.NUMBERVALUE(LEFT(C1709,2))</f>
        <v>24</v>
      </c>
      <c r="E1709">
        <f t="shared" ref="E1709" si="3774">_xlfn.NUMBERVALUE(MID(C1709,4,2))</f>
        <v>12</v>
      </c>
      <c r="F1709">
        <f t="shared" ref="F1709" si="3775">_xlfn.NUMBERVALUE(RIGHT(C1709,4))</f>
        <v>2023</v>
      </c>
      <c r="G1709" t="s">
        <v>7</v>
      </c>
      <c r="H1709">
        <v>-2</v>
      </c>
      <c r="K1709" t="s">
        <v>9</v>
      </c>
      <c r="L1709" s="8">
        <f t="shared" si="3628"/>
        <v>-1</v>
      </c>
      <c r="M1709" t="s">
        <v>1877</v>
      </c>
    </row>
    <row r="1710" spans="1:13" x14ac:dyDescent="0.35">
      <c r="A1710">
        <f t="shared" si="3743"/>
        <v>1706</v>
      </c>
      <c r="B1710" s="9">
        <f t="shared" ref="B1710" si="3776">B1709+H1710+I1710+J1710</f>
        <v>41.100000000000009</v>
      </c>
      <c r="C1710" s="3" t="s">
        <v>1874</v>
      </c>
      <c r="D1710">
        <f t="shared" ref="D1710:D1715" si="3777">_xlfn.NUMBERVALUE(LEFT(C1710,2))</f>
        <v>24</v>
      </c>
      <c r="E1710">
        <f t="shared" ref="E1710" si="3778">_xlfn.NUMBERVALUE(MID(C1710,4,2))</f>
        <v>12</v>
      </c>
      <c r="F1710">
        <f t="shared" ref="F1710" si="3779">_xlfn.NUMBERVALUE(RIGHT(C1710,4))</f>
        <v>2023</v>
      </c>
      <c r="G1710" t="s">
        <v>7</v>
      </c>
      <c r="H1710">
        <v>-2</v>
      </c>
      <c r="I1710">
        <v>8</v>
      </c>
      <c r="K1710" t="s">
        <v>10</v>
      </c>
      <c r="L1710" s="8">
        <f t="shared" si="3628"/>
        <v>3</v>
      </c>
      <c r="M1710" t="s">
        <v>1878</v>
      </c>
    </row>
    <row r="1711" spans="1:13" x14ac:dyDescent="0.35">
      <c r="A1711">
        <f t="shared" si="3743"/>
        <v>1707</v>
      </c>
      <c r="B1711" s="9">
        <f t="shared" ref="B1711" si="3780">B1710+H1711+I1711+J1711</f>
        <v>43.100000000000009</v>
      </c>
      <c r="C1711" s="3" t="s">
        <v>1883</v>
      </c>
      <c r="D1711">
        <f t="shared" si="3777"/>
        <v>26</v>
      </c>
      <c r="E1711">
        <f t="shared" ref="E1711" si="3781">_xlfn.NUMBERVALUE(MID(C1711,4,2))</f>
        <v>12</v>
      </c>
      <c r="F1711">
        <f t="shared" ref="F1711" si="3782">_xlfn.NUMBERVALUE(RIGHT(C1711,4))</f>
        <v>2023</v>
      </c>
      <c r="G1711" t="s">
        <v>7</v>
      </c>
      <c r="H1711">
        <v>-2</v>
      </c>
      <c r="I1711">
        <v>4</v>
      </c>
      <c r="K1711" t="s">
        <v>10</v>
      </c>
      <c r="L1711" s="8">
        <f t="shared" si="3628"/>
        <v>1</v>
      </c>
      <c r="M1711" t="s">
        <v>1879</v>
      </c>
    </row>
    <row r="1712" spans="1:13" x14ac:dyDescent="0.35">
      <c r="A1712">
        <f t="shared" si="3743"/>
        <v>1708</v>
      </c>
      <c r="B1712" s="9">
        <f t="shared" ref="B1712" si="3783">B1711+H1712+I1712+J1712</f>
        <v>47.100000000000009</v>
      </c>
      <c r="C1712" s="3" t="s">
        <v>1883</v>
      </c>
      <c r="D1712">
        <f t="shared" si="3777"/>
        <v>26</v>
      </c>
      <c r="E1712">
        <f t="shared" ref="E1712" si="3784">_xlfn.NUMBERVALUE(MID(C1712,4,2))</f>
        <v>12</v>
      </c>
      <c r="F1712">
        <f t="shared" ref="F1712" si="3785">_xlfn.NUMBERVALUE(RIGHT(C1712,4))</f>
        <v>2023</v>
      </c>
      <c r="G1712" t="s">
        <v>7</v>
      </c>
      <c r="H1712">
        <v>-2</v>
      </c>
      <c r="I1712">
        <v>6</v>
      </c>
      <c r="K1712" t="s">
        <v>10</v>
      </c>
      <c r="L1712" s="8">
        <f t="shared" si="3628"/>
        <v>2</v>
      </c>
      <c r="M1712" t="s">
        <v>1880</v>
      </c>
    </row>
    <row r="1713" spans="1:13" x14ac:dyDescent="0.35">
      <c r="A1713">
        <f t="shared" si="3743"/>
        <v>1709</v>
      </c>
      <c r="B1713" s="9">
        <f t="shared" ref="B1713" si="3786">B1712+H1713+I1713+J1713</f>
        <v>51.100000000000009</v>
      </c>
      <c r="C1713" s="3" t="s">
        <v>1883</v>
      </c>
      <c r="D1713">
        <f t="shared" si="3777"/>
        <v>26</v>
      </c>
      <c r="E1713">
        <f t="shared" ref="E1713" si="3787">_xlfn.NUMBERVALUE(MID(C1713,4,2))</f>
        <v>12</v>
      </c>
      <c r="F1713">
        <f t="shared" ref="F1713" si="3788">_xlfn.NUMBERVALUE(RIGHT(C1713,4))</f>
        <v>2023</v>
      </c>
      <c r="G1713" t="s">
        <v>7</v>
      </c>
      <c r="H1713">
        <v>-2</v>
      </c>
      <c r="I1713">
        <v>6</v>
      </c>
      <c r="K1713" t="s">
        <v>10</v>
      </c>
      <c r="L1713" s="8">
        <f t="shared" si="3628"/>
        <v>2</v>
      </c>
      <c r="M1713" t="s">
        <v>1881</v>
      </c>
    </row>
    <row r="1714" spans="1:13" x14ac:dyDescent="0.35">
      <c r="A1714">
        <f t="shared" si="3743"/>
        <v>1710</v>
      </c>
      <c r="B1714" s="9">
        <f t="shared" ref="B1714" si="3789">B1713+H1714+I1714+J1714</f>
        <v>49.100000000000009</v>
      </c>
      <c r="C1714" s="3" t="s">
        <v>1883</v>
      </c>
      <c r="D1714">
        <f t="shared" si="3777"/>
        <v>26</v>
      </c>
      <c r="E1714">
        <f t="shared" ref="E1714" si="3790">_xlfn.NUMBERVALUE(MID(C1714,4,2))</f>
        <v>12</v>
      </c>
      <c r="F1714">
        <f t="shared" ref="F1714" si="3791">_xlfn.NUMBERVALUE(RIGHT(C1714,4))</f>
        <v>2023</v>
      </c>
      <c r="G1714" t="s">
        <v>7</v>
      </c>
      <c r="H1714">
        <v>-2</v>
      </c>
      <c r="K1714" t="s">
        <v>9</v>
      </c>
      <c r="L1714" s="8">
        <f t="shared" si="3628"/>
        <v>-1</v>
      </c>
      <c r="M1714" t="s">
        <v>1882</v>
      </c>
    </row>
    <row r="1715" spans="1:13" x14ac:dyDescent="0.35">
      <c r="A1715">
        <f t="shared" si="3743"/>
        <v>1711</v>
      </c>
      <c r="B1715" s="9">
        <f t="shared" ref="B1715" si="3792">B1714+H1715+I1715+J1715</f>
        <v>47.100000000000009</v>
      </c>
      <c r="C1715" s="3" t="s">
        <v>1883</v>
      </c>
      <c r="D1715">
        <f t="shared" si="3777"/>
        <v>26</v>
      </c>
      <c r="E1715">
        <f t="shared" ref="E1715" si="3793">_xlfn.NUMBERVALUE(MID(C1715,4,2))</f>
        <v>12</v>
      </c>
      <c r="F1715">
        <f t="shared" ref="F1715" si="3794">_xlfn.NUMBERVALUE(RIGHT(C1715,4))</f>
        <v>2023</v>
      </c>
      <c r="G1715" t="s">
        <v>7</v>
      </c>
      <c r="H1715">
        <v>-2</v>
      </c>
      <c r="K1715" t="s">
        <v>9</v>
      </c>
      <c r="L1715" s="8">
        <f t="shared" si="3628"/>
        <v>-1</v>
      </c>
      <c r="M1715" t="s">
        <v>1884</v>
      </c>
    </row>
    <row r="1716" spans="1:13" x14ac:dyDescent="0.35">
      <c r="A1716">
        <f t="shared" si="3743"/>
        <v>1712</v>
      </c>
      <c r="B1716" s="9">
        <f t="shared" ref="B1716" si="3795">B1715+H1716+I1716+J1716</f>
        <v>49.100000000000009</v>
      </c>
      <c r="C1716" s="3" t="s">
        <v>1883</v>
      </c>
      <c r="D1716">
        <f t="shared" ref="D1716" si="3796">_xlfn.NUMBERVALUE(LEFT(C1716,2))</f>
        <v>26</v>
      </c>
      <c r="E1716">
        <f t="shared" ref="E1716" si="3797">_xlfn.NUMBERVALUE(MID(C1716,4,2))</f>
        <v>12</v>
      </c>
      <c r="F1716">
        <f t="shared" ref="F1716" si="3798">_xlfn.NUMBERVALUE(RIGHT(C1716,4))</f>
        <v>2023</v>
      </c>
      <c r="G1716" t="s">
        <v>7</v>
      </c>
      <c r="H1716">
        <v>-2</v>
      </c>
      <c r="I1716">
        <v>4</v>
      </c>
      <c r="K1716" t="s">
        <v>10</v>
      </c>
      <c r="L1716" s="8">
        <f t="shared" si="3628"/>
        <v>1</v>
      </c>
      <c r="M1716" t="s">
        <v>1885</v>
      </c>
    </row>
    <row r="1717" spans="1:13" x14ac:dyDescent="0.35">
      <c r="A1717">
        <f t="shared" si="3743"/>
        <v>1713</v>
      </c>
      <c r="B1717" s="9">
        <f t="shared" ref="B1717" si="3799">B1716+H1717+I1717+J1717</f>
        <v>47.100000000000009</v>
      </c>
      <c r="C1717" s="3" t="s">
        <v>1886</v>
      </c>
      <c r="D1717">
        <f t="shared" ref="D1717" si="3800">_xlfn.NUMBERVALUE(LEFT(C1717,2))</f>
        <v>27</v>
      </c>
      <c r="E1717">
        <f t="shared" ref="E1717" si="3801">_xlfn.NUMBERVALUE(MID(C1717,4,2))</f>
        <v>12</v>
      </c>
      <c r="F1717">
        <f t="shared" ref="F1717" si="3802">_xlfn.NUMBERVALUE(RIGHT(C1717,4))</f>
        <v>2023</v>
      </c>
      <c r="G1717" t="s">
        <v>7</v>
      </c>
      <c r="H1717">
        <v>-2</v>
      </c>
      <c r="K1717" t="s">
        <v>9</v>
      </c>
      <c r="L1717" s="8">
        <f t="shared" si="3628"/>
        <v>-1</v>
      </c>
      <c r="M1717" t="s">
        <v>1887</v>
      </c>
    </row>
    <row r="1718" spans="1:13" x14ac:dyDescent="0.35">
      <c r="A1718">
        <f t="shared" si="3743"/>
        <v>1714</v>
      </c>
      <c r="B1718" s="9">
        <f t="shared" ref="B1718" si="3803">B1717+H1718+I1718+J1718</f>
        <v>51.100000000000009</v>
      </c>
      <c r="C1718" s="3" t="s">
        <v>1886</v>
      </c>
      <c r="D1718">
        <f t="shared" ref="D1718" si="3804">_xlfn.NUMBERVALUE(LEFT(C1718,2))</f>
        <v>27</v>
      </c>
      <c r="E1718">
        <f t="shared" ref="E1718" si="3805">_xlfn.NUMBERVALUE(MID(C1718,4,2))</f>
        <v>12</v>
      </c>
      <c r="F1718">
        <f t="shared" ref="F1718" si="3806">_xlfn.NUMBERVALUE(RIGHT(C1718,4))</f>
        <v>2023</v>
      </c>
      <c r="G1718" t="s">
        <v>7</v>
      </c>
      <c r="H1718">
        <v>-2</v>
      </c>
      <c r="I1718">
        <v>6</v>
      </c>
      <c r="K1718" t="s">
        <v>10</v>
      </c>
      <c r="L1718" s="8">
        <f t="shared" si="3628"/>
        <v>2</v>
      </c>
      <c r="M1718" t="s">
        <v>1888</v>
      </c>
    </row>
    <row r="1719" spans="1:13" x14ac:dyDescent="0.35">
      <c r="A1719">
        <f t="shared" si="3743"/>
        <v>1715</v>
      </c>
      <c r="B1719" s="9">
        <f t="shared" ref="B1719" si="3807">B1718+H1719+I1719+J1719</f>
        <v>49.100000000000009</v>
      </c>
      <c r="C1719" s="3" t="s">
        <v>1886</v>
      </c>
      <c r="D1719">
        <f t="shared" ref="D1719" si="3808">_xlfn.NUMBERVALUE(LEFT(C1719,2))</f>
        <v>27</v>
      </c>
      <c r="E1719">
        <f t="shared" ref="E1719" si="3809">_xlfn.NUMBERVALUE(MID(C1719,4,2))</f>
        <v>12</v>
      </c>
      <c r="F1719">
        <f t="shared" ref="F1719" si="3810">_xlfn.NUMBERVALUE(RIGHT(C1719,4))</f>
        <v>2023</v>
      </c>
      <c r="G1719" t="s">
        <v>7</v>
      </c>
      <c r="H1719">
        <v>-2</v>
      </c>
      <c r="K1719" t="s">
        <v>9</v>
      </c>
      <c r="L1719" s="8">
        <f t="shared" si="3628"/>
        <v>-1</v>
      </c>
      <c r="M1719" t="s">
        <v>1889</v>
      </c>
    </row>
    <row r="1720" spans="1:13" x14ac:dyDescent="0.35">
      <c r="A1720">
        <f t="shared" si="3743"/>
        <v>1716</v>
      </c>
      <c r="B1720" s="9">
        <f t="shared" ref="B1720" si="3811">B1719+H1720+I1720+J1720</f>
        <v>51.100000000000009</v>
      </c>
      <c r="C1720" s="3" t="s">
        <v>1886</v>
      </c>
      <c r="D1720">
        <f t="shared" ref="D1720" si="3812">_xlfn.NUMBERVALUE(LEFT(C1720,2))</f>
        <v>27</v>
      </c>
      <c r="E1720">
        <f t="shared" ref="E1720" si="3813">_xlfn.NUMBERVALUE(MID(C1720,4,2))</f>
        <v>12</v>
      </c>
      <c r="F1720">
        <f t="shared" ref="F1720" si="3814">_xlfn.NUMBERVALUE(RIGHT(C1720,4))</f>
        <v>2023</v>
      </c>
      <c r="G1720" t="s">
        <v>7</v>
      </c>
      <c r="H1720">
        <v>-2</v>
      </c>
      <c r="I1720">
        <v>4</v>
      </c>
      <c r="K1720" t="s">
        <v>10</v>
      </c>
      <c r="L1720" s="8">
        <f t="shared" si="3628"/>
        <v>1</v>
      </c>
      <c r="M1720" t="s">
        <v>1890</v>
      </c>
    </row>
    <row r="1721" spans="1:13" x14ac:dyDescent="0.35">
      <c r="A1721">
        <f t="shared" si="3743"/>
        <v>1717</v>
      </c>
      <c r="B1721" s="9">
        <f t="shared" ref="B1721" si="3815">B1720+H1721+I1721+J1721</f>
        <v>49.100000000000009</v>
      </c>
      <c r="C1721" s="3" t="s">
        <v>1886</v>
      </c>
      <c r="D1721">
        <f t="shared" ref="D1721" si="3816">_xlfn.NUMBERVALUE(LEFT(C1721,2))</f>
        <v>27</v>
      </c>
      <c r="E1721">
        <f t="shared" ref="E1721" si="3817">_xlfn.NUMBERVALUE(MID(C1721,4,2))</f>
        <v>12</v>
      </c>
      <c r="F1721">
        <f t="shared" ref="F1721" si="3818">_xlfn.NUMBERVALUE(RIGHT(C1721,4))</f>
        <v>2023</v>
      </c>
      <c r="G1721" t="s">
        <v>7</v>
      </c>
      <c r="H1721">
        <v>-2</v>
      </c>
      <c r="K1721" t="s">
        <v>9</v>
      </c>
      <c r="L1721" s="8">
        <f t="shared" si="3628"/>
        <v>-1</v>
      </c>
      <c r="M1721" t="s">
        <v>1891</v>
      </c>
    </row>
    <row r="1722" spans="1:13" x14ac:dyDescent="0.35">
      <c r="A1722">
        <f t="shared" si="3743"/>
        <v>1718</v>
      </c>
      <c r="B1722" s="9">
        <f t="shared" ref="B1722" si="3819">B1721+H1722+I1722+J1722</f>
        <v>51.100000000000009</v>
      </c>
      <c r="C1722" s="3" t="s">
        <v>1886</v>
      </c>
      <c r="D1722">
        <f t="shared" ref="D1722" si="3820">_xlfn.NUMBERVALUE(LEFT(C1722,2))</f>
        <v>27</v>
      </c>
      <c r="E1722">
        <f t="shared" ref="E1722" si="3821">_xlfn.NUMBERVALUE(MID(C1722,4,2))</f>
        <v>12</v>
      </c>
      <c r="F1722">
        <f t="shared" ref="F1722" si="3822">_xlfn.NUMBERVALUE(RIGHT(C1722,4))</f>
        <v>2023</v>
      </c>
      <c r="G1722" t="s">
        <v>7</v>
      </c>
      <c r="H1722">
        <v>-2</v>
      </c>
      <c r="I1722">
        <v>4</v>
      </c>
      <c r="K1722" t="s">
        <v>10</v>
      </c>
      <c r="L1722" s="8">
        <f t="shared" si="3628"/>
        <v>1</v>
      </c>
      <c r="M1722" t="s">
        <v>1892</v>
      </c>
    </row>
    <row r="1723" spans="1:13" x14ac:dyDescent="0.35">
      <c r="A1723">
        <f t="shared" si="3743"/>
        <v>1719</v>
      </c>
      <c r="B1723" s="9">
        <f t="shared" ref="B1723" si="3823">B1722+H1723+I1723+J1723</f>
        <v>49.100000000000009</v>
      </c>
      <c r="C1723" s="3" t="s">
        <v>1893</v>
      </c>
      <c r="D1723">
        <f t="shared" ref="D1723" si="3824">_xlfn.NUMBERVALUE(LEFT(C1723,2))</f>
        <v>28</v>
      </c>
      <c r="E1723">
        <f t="shared" ref="E1723" si="3825">_xlfn.NUMBERVALUE(MID(C1723,4,2))</f>
        <v>12</v>
      </c>
      <c r="F1723">
        <f t="shared" ref="F1723" si="3826">_xlfn.NUMBERVALUE(RIGHT(C1723,4))</f>
        <v>2023</v>
      </c>
      <c r="G1723" t="s">
        <v>7</v>
      </c>
      <c r="H1723">
        <v>-2</v>
      </c>
      <c r="K1723" t="s">
        <v>9</v>
      </c>
      <c r="L1723" s="8">
        <f t="shared" si="3628"/>
        <v>-1</v>
      </c>
      <c r="M1723" t="s">
        <v>1894</v>
      </c>
    </row>
    <row r="1724" spans="1:13" x14ac:dyDescent="0.35">
      <c r="A1724">
        <f t="shared" si="3743"/>
        <v>1720</v>
      </c>
      <c r="B1724" s="9">
        <f t="shared" ref="B1724" si="3827">B1723+H1724+I1724+J1724</f>
        <v>57.100000000000009</v>
      </c>
      <c r="C1724" s="3" t="s">
        <v>1893</v>
      </c>
      <c r="D1724">
        <f t="shared" ref="D1724" si="3828">_xlfn.NUMBERVALUE(LEFT(C1724,2))</f>
        <v>28</v>
      </c>
      <c r="E1724">
        <f t="shared" ref="E1724" si="3829">_xlfn.NUMBERVALUE(MID(C1724,4,2))</f>
        <v>12</v>
      </c>
      <c r="F1724">
        <f t="shared" ref="F1724" si="3830">_xlfn.NUMBERVALUE(RIGHT(C1724,4))</f>
        <v>2023</v>
      </c>
      <c r="G1724" t="s">
        <v>7</v>
      </c>
      <c r="H1724">
        <v>-2</v>
      </c>
      <c r="I1724">
        <v>10</v>
      </c>
      <c r="K1724" t="s">
        <v>10</v>
      </c>
      <c r="L1724" s="8">
        <f t="shared" si="3628"/>
        <v>4</v>
      </c>
      <c r="M1724" t="s">
        <v>1895</v>
      </c>
    </row>
    <row r="1725" spans="1:13" x14ac:dyDescent="0.35">
      <c r="A1725">
        <f t="shared" si="3743"/>
        <v>1721</v>
      </c>
      <c r="B1725" s="9">
        <f t="shared" ref="B1725" si="3831">B1724+H1725+I1725+J1725</f>
        <v>61.100000000000009</v>
      </c>
      <c r="C1725" s="3" t="s">
        <v>1893</v>
      </c>
      <c r="D1725">
        <f t="shared" ref="D1725" si="3832">_xlfn.NUMBERVALUE(LEFT(C1725,2))</f>
        <v>28</v>
      </c>
      <c r="E1725">
        <f t="shared" ref="E1725" si="3833">_xlfn.NUMBERVALUE(MID(C1725,4,2))</f>
        <v>12</v>
      </c>
      <c r="F1725">
        <f t="shared" ref="F1725" si="3834">_xlfn.NUMBERVALUE(RIGHT(C1725,4))</f>
        <v>2023</v>
      </c>
      <c r="G1725" t="s">
        <v>7</v>
      </c>
      <c r="H1725">
        <v>-2</v>
      </c>
      <c r="I1725">
        <v>6</v>
      </c>
      <c r="K1725" t="s">
        <v>10</v>
      </c>
      <c r="L1725" s="8">
        <f t="shared" si="3628"/>
        <v>2</v>
      </c>
      <c r="M1725" t="s">
        <v>1896</v>
      </c>
    </row>
    <row r="1726" spans="1:13" x14ac:dyDescent="0.35">
      <c r="A1726">
        <f t="shared" si="3743"/>
        <v>1722</v>
      </c>
      <c r="B1726" s="9">
        <f t="shared" ref="B1726" si="3835">B1725+H1726+I1726+J1726</f>
        <v>65.100000000000009</v>
      </c>
      <c r="C1726" s="3" t="s">
        <v>1893</v>
      </c>
      <c r="D1726">
        <f t="shared" ref="D1726" si="3836">_xlfn.NUMBERVALUE(LEFT(C1726,2))</f>
        <v>28</v>
      </c>
      <c r="E1726">
        <f t="shared" ref="E1726" si="3837">_xlfn.NUMBERVALUE(MID(C1726,4,2))</f>
        <v>12</v>
      </c>
      <c r="F1726">
        <f t="shared" ref="F1726" si="3838">_xlfn.NUMBERVALUE(RIGHT(C1726,4))</f>
        <v>2023</v>
      </c>
      <c r="G1726" t="s">
        <v>7</v>
      </c>
      <c r="H1726">
        <v>-2</v>
      </c>
      <c r="I1726">
        <v>6</v>
      </c>
      <c r="K1726" t="s">
        <v>10</v>
      </c>
      <c r="L1726" s="8">
        <f t="shared" si="3628"/>
        <v>2</v>
      </c>
      <c r="M1726" t="s">
        <v>1897</v>
      </c>
    </row>
    <row r="1727" spans="1:13" x14ac:dyDescent="0.35">
      <c r="A1727">
        <f t="shared" si="3743"/>
        <v>1723</v>
      </c>
      <c r="B1727" s="9">
        <f t="shared" ref="B1727" si="3839">B1726+H1727+I1727+J1727</f>
        <v>63.100000000000009</v>
      </c>
      <c r="C1727" s="3" t="s">
        <v>1893</v>
      </c>
      <c r="D1727">
        <f t="shared" ref="D1727" si="3840">_xlfn.NUMBERVALUE(LEFT(C1727,2))</f>
        <v>28</v>
      </c>
      <c r="E1727">
        <f t="shared" ref="E1727" si="3841">_xlfn.NUMBERVALUE(MID(C1727,4,2))</f>
        <v>12</v>
      </c>
      <c r="F1727">
        <f t="shared" ref="F1727" si="3842">_xlfn.NUMBERVALUE(RIGHT(C1727,4))</f>
        <v>2023</v>
      </c>
      <c r="G1727" t="s">
        <v>7</v>
      </c>
      <c r="H1727">
        <v>-2</v>
      </c>
      <c r="K1727" t="s">
        <v>9</v>
      </c>
      <c r="L1727" s="8">
        <f t="shared" si="3628"/>
        <v>-1</v>
      </c>
      <c r="M1727" t="s">
        <v>1898</v>
      </c>
    </row>
    <row r="1728" spans="1:13" x14ac:dyDescent="0.35">
      <c r="A1728">
        <f t="shared" si="3743"/>
        <v>1724</v>
      </c>
      <c r="B1728" s="9">
        <f t="shared" ref="B1728" si="3843">B1727+H1728+I1728+J1728</f>
        <v>61.100000000000009</v>
      </c>
      <c r="C1728" s="3" t="s">
        <v>1893</v>
      </c>
      <c r="D1728">
        <f t="shared" ref="D1728" si="3844">_xlfn.NUMBERVALUE(LEFT(C1728,2))</f>
        <v>28</v>
      </c>
      <c r="E1728">
        <f t="shared" ref="E1728" si="3845">_xlfn.NUMBERVALUE(MID(C1728,4,2))</f>
        <v>12</v>
      </c>
      <c r="F1728">
        <f t="shared" ref="F1728" si="3846">_xlfn.NUMBERVALUE(RIGHT(C1728,4))</f>
        <v>2023</v>
      </c>
      <c r="G1728" t="s">
        <v>7</v>
      </c>
      <c r="H1728">
        <v>-2</v>
      </c>
      <c r="K1728" t="s">
        <v>9</v>
      </c>
      <c r="L1728" s="8">
        <f t="shared" si="3628"/>
        <v>-1</v>
      </c>
      <c r="M1728" t="s">
        <v>1899</v>
      </c>
    </row>
    <row r="1729" spans="1:13" x14ac:dyDescent="0.35">
      <c r="A1729">
        <f t="shared" si="3743"/>
        <v>1725</v>
      </c>
      <c r="B1729" s="9">
        <f t="shared" ref="B1729" si="3847">B1728+H1729+I1729+J1729</f>
        <v>59.100000000000009</v>
      </c>
      <c r="C1729" s="3" t="s">
        <v>1893</v>
      </c>
      <c r="D1729">
        <f t="shared" ref="D1729" si="3848">_xlfn.NUMBERVALUE(LEFT(C1729,2))</f>
        <v>28</v>
      </c>
      <c r="E1729">
        <f t="shared" ref="E1729" si="3849">_xlfn.NUMBERVALUE(MID(C1729,4,2))</f>
        <v>12</v>
      </c>
      <c r="F1729">
        <f t="shared" ref="F1729" si="3850">_xlfn.NUMBERVALUE(RIGHT(C1729,4))</f>
        <v>2023</v>
      </c>
      <c r="G1729" t="s">
        <v>7</v>
      </c>
      <c r="H1729">
        <v>-2</v>
      </c>
      <c r="K1729" t="s">
        <v>9</v>
      </c>
      <c r="L1729" s="8">
        <f t="shared" si="3628"/>
        <v>-1</v>
      </c>
      <c r="M1729" t="s">
        <v>1900</v>
      </c>
    </row>
    <row r="1730" spans="1:13" x14ac:dyDescent="0.35">
      <c r="A1730">
        <f t="shared" si="3743"/>
        <v>1726</v>
      </c>
      <c r="B1730" s="9">
        <f t="shared" ref="B1730" si="3851">B1729+H1730+I1730+J1730</f>
        <v>57.100000000000009</v>
      </c>
      <c r="C1730" s="3" t="s">
        <v>1893</v>
      </c>
      <c r="D1730">
        <f t="shared" ref="D1730" si="3852">_xlfn.NUMBERVALUE(LEFT(C1730,2))</f>
        <v>28</v>
      </c>
      <c r="E1730">
        <f t="shared" ref="E1730" si="3853">_xlfn.NUMBERVALUE(MID(C1730,4,2))</f>
        <v>12</v>
      </c>
      <c r="F1730">
        <f t="shared" ref="F1730" si="3854">_xlfn.NUMBERVALUE(RIGHT(C1730,4))</f>
        <v>2023</v>
      </c>
      <c r="G1730" t="s">
        <v>7</v>
      </c>
      <c r="H1730">
        <v>-2</v>
      </c>
      <c r="K1730" t="s">
        <v>9</v>
      </c>
      <c r="L1730" s="8">
        <f t="shared" si="3628"/>
        <v>-1</v>
      </c>
      <c r="M1730" t="s">
        <v>1901</v>
      </c>
    </row>
    <row r="1731" spans="1:13" x14ac:dyDescent="0.35">
      <c r="A1731">
        <f t="shared" si="3743"/>
        <v>1727</v>
      </c>
      <c r="B1731" s="9">
        <f t="shared" ref="B1731" si="3855">B1730+H1731+I1731+J1731</f>
        <v>61.100000000000009</v>
      </c>
      <c r="C1731" s="3" t="s">
        <v>1902</v>
      </c>
      <c r="D1731">
        <f t="shared" ref="D1731" si="3856">_xlfn.NUMBERVALUE(LEFT(C1731,2))</f>
        <v>29</v>
      </c>
      <c r="E1731">
        <f t="shared" ref="E1731" si="3857">_xlfn.NUMBERVALUE(MID(C1731,4,2))</f>
        <v>12</v>
      </c>
      <c r="F1731">
        <f t="shared" ref="F1731" si="3858">_xlfn.NUMBERVALUE(RIGHT(C1731,4))</f>
        <v>2023</v>
      </c>
      <c r="G1731" t="s">
        <v>7</v>
      </c>
      <c r="H1731">
        <v>-2</v>
      </c>
      <c r="I1731">
        <v>6</v>
      </c>
      <c r="K1731" t="s">
        <v>10</v>
      </c>
      <c r="L1731" s="8">
        <f t="shared" si="3628"/>
        <v>2</v>
      </c>
      <c r="M1731" t="s">
        <v>1903</v>
      </c>
    </row>
    <row r="1732" spans="1:13" x14ac:dyDescent="0.35">
      <c r="A1732">
        <f t="shared" si="3743"/>
        <v>1728</v>
      </c>
      <c r="B1732" s="9">
        <f t="shared" ref="B1732" si="3859">B1731+H1732+I1732+J1732</f>
        <v>59.100000000000009</v>
      </c>
      <c r="C1732" s="3" t="s">
        <v>1902</v>
      </c>
      <c r="D1732">
        <f t="shared" ref="D1732" si="3860">_xlfn.NUMBERVALUE(LEFT(C1732,2))</f>
        <v>29</v>
      </c>
      <c r="E1732">
        <f t="shared" ref="E1732" si="3861">_xlfn.NUMBERVALUE(MID(C1732,4,2))</f>
        <v>12</v>
      </c>
      <c r="F1732">
        <f t="shared" ref="F1732" si="3862">_xlfn.NUMBERVALUE(RIGHT(C1732,4))</f>
        <v>2023</v>
      </c>
      <c r="G1732" t="s">
        <v>7</v>
      </c>
      <c r="H1732">
        <v>-2</v>
      </c>
      <c r="K1732" t="s">
        <v>9</v>
      </c>
      <c r="L1732" s="8">
        <f t="shared" si="3628"/>
        <v>-1</v>
      </c>
      <c r="M1732" t="s">
        <v>1904</v>
      </c>
    </row>
    <row r="1733" spans="1:13" x14ac:dyDescent="0.35">
      <c r="A1733">
        <f t="shared" si="3743"/>
        <v>1729</v>
      </c>
      <c r="B1733" s="9">
        <f t="shared" ref="B1733" si="3863">B1732+H1733+I1733+J1733</f>
        <v>65.100000000000009</v>
      </c>
      <c r="C1733" s="3" t="s">
        <v>1902</v>
      </c>
      <c r="D1733">
        <f t="shared" ref="D1733" si="3864">_xlfn.NUMBERVALUE(LEFT(C1733,2))</f>
        <v>29</v>
      </c>
      <c r="E1733">
        <f t="shared" ref="E1733" si="3865">_xlfn.NUMBERVALUE(MID(C1733,4,2))</f>
        <v>12</v>
      </c>
      <c r="F1733">
        <f t="shared" ref="F1733" si="3866">_xlfn.NUMBERVALUE(RIGHT(C1733,4))</f>
        <v>2023</v>
      </c>
      <c r="G1733" t="s">
        <v>7</v>
      </c>
      <c r="H1733">
        <v>-2</v>
      </c>
      <c r="I1733">
        <v>8</v>
      </c>
      <c r="K1733" t="s">
        <v>10</v>
      </c>
      <c r="L1733" s="8">
        <f t="shared" si="3628"/>
        <v>3</v>
      </c>
      <c r="M1733" t="s">
        <v>1905</v>
      </c>
    </row>
    <row r="1734" spans="1:13" x14ac:dyDescent="0.35">
      <c r="A1734">
        <f t="shared" si="3743"/>
        <v>1730</v>
      </c>
      <c r="B1734" s="9">
        <f t="shared" ref="B1734" si="3867">B1733+H1734+I1734+J1734</f>
        <v>63.100000000000009</v>
      </c>
      <c r="C1734" s="3" t="s">
        <v>1902</v>
      </c>
      <c r="D1734">
        <f t="shared" ref="D1734" si="3868">_xlfn.NUMBERVALUE(LEFT(C1734,2))</f>
        <v>29</v>
      </c>
      <c r="E1734">
        <f t="shared" ref="E1734" si="3869">_xlfn.NUMBERVALUE(MID(C1734,4,2))</f>
        <v>12</v>
      </c>
      <c r="F1734">
        <f t="shared" ref="F1734" si="3870">_xlfn.NUMBERVALUE(RIGHT(C1734,4))</f>
        <v>2023</v>
      </c>
      <c r="G1734" t="s">
        <v>7</v>
      </c>
      <c r="H1734">
        <v>-2</v>
      </c>
      <c r="K1734" t="s">
        <v>9</v>
      </c>
      <c r="L1734" s="8">
        <f t="shared" ref="L1734:L1797" si="3871">IF(H1734="",0,(SUM(I1734:J1734)/-H1734)-1)</f>
        <v>-1</v>
      </c>
      <c r="M1734" t="s">
        <v>1906</v>
      </c>
    </row>
    <row r="1735" spans="1:13" x14ac:dyDescent="0.35">
      <c r="A1735">
        <f t="shared" si="3743"/>
        <v>1731</v>
      </c>
      <c r="B1735" s="9">
        <f t="shared" ref="B1735" si="3872">B1734+H1735+I1735+J1735</f>
        <v>61.100000000000009</v>
      </c>
      <c r="C1735" s="3" t="s">
        <v>1902</v>
      </c>
      <c r="D1735">
        <f t="shared" ref="D1735" si="3873">_xlfn.NUMBERVALUE(LEFT(C1735,2))</f>
        <v>29</v>
      </c>
      <c r="E1735">
        <f t="shared" ref="E1735" si="3874">_xlfn.NUMBERVALUE(MID(C1735,4,2))</f>
        <v>12</v>
      </c>
      <c r="F1735">
        <f t="shared" ref="F1735" si="3875">_xlfn.NUMBERVALUE(RIGHT(C1735,4))</f>
        <v>2023</v>
      </c>
      <c r="G1735" t="s">
        <v>7</v>
      </c>
      <c r="H1735">
        <v>-2</v>
      </c>
      <c r="K1735" t="s">
        <v>9</v>
      </c>
      <c r="L1735" s="8">
        <f t="shared" si="3871"/>
        <v>-1</v>
      </c>
      <c r="M1735" t="s">
        <v>1907</v>
      </c>
    </row>
    <row r="1736" spans="1:13" x14ac:dyDescent="0.35">
      <c r="A1736">
        <f t="shared" si="3743"/>
        <v>1732</v>
      </c>
      <c r="B1736" s="9">
        <f t="shared" ref="B1736" si="3876">B1735+H1736+I1736+J1736</f>
        <v>59.100000000000009</v>
      </c>
      <c r="C1736" s="3" t="s">
        <v>1902</v>
      </c>
      <c r="D1736">
        <f t="shared" ref="D1736" si="3877">_xlfn.NUMBERVALUE(LEFT(C1736,2))</f>
        <v>29</v>
      </c>
      <c r="E1736">
        <f t="shared" ref="E1736" si="3878">_xlfn.NUMBERVALUE(MID(C1736,4,2))</f>
        <v>12</v>
      </c>
      <c r="F1736">
        <f t="shared" ref="F1736" si="3879">_xlfn.NUMBERVALUE(RIGHT(C1736,4))</f>
        <v>2023</v>
      </c>
      <c r="G1736" t="s">
        <v>7</v>
      </c>
      <c r="H1736">
        <v>-2</v>
      </c>
      <c r="K1736" t="s">
        <v>9</v>
      </c>
      <c r="L1736" s="8">
        <f t="shared" si="3871"/>
        <v>-1</v>
      </c>
      <c r="M1736" t="s">
        <v>1908</v>
      </c>
    </row>
    <row r="1737" spans="1:13" x14ac:dyDescent="0.35">
      <c r="A1737">
        <f t="shared" si="3743"/>
        <v>1733</v>
      </c>
      <c r="B1737" s="9">
        <f t="shared" ref="B1737" si="3880">B1736+H1737+I1737+J1737</f>
        <v>57.100000000000009</v>
      </c>
      <c r="C1737" s="3" t="s">
        <v>1902</v>
      </c>
      <c r="D1737">
        <f t="shared" ref="D1737" si="3881">_xlfn.NUMBERVALUE(LEFT(C1737,2))</f>
        <v>29</v>
      </c>
      <c r="E1737">
        <f t="shared" ref="E1737" si="3882">_xlfn.NUMBERVALUE(MID(C1737,4,2))</f>
        <v>12</v>
      </c>
      <c r="F1737">
        <f t="shared" ref="F1737" si="3883">_xlfn.NUMBERVALUE(RIGHT(C1737,4))</f>
        <v>2023</v>
      </c>
      <c r="G1737" t="s">
        <v>7</v>
      </c>
      <c r="H1737">
        <v>-2</v>
      </c>
      <c r="K1737" t="s">
        <v>9</v>
      </c>
      <c r="L1737" s="8">
        <f t="shared" si="3871"/>
        <v>-1</v>
      </c>
      <c r="M1737" t="s">
        <v>1909</v>
      </c>
    </row>
    <row r="1738" spans="1:13" x14ac:dyDescent="0.35">
      <c r="A1738">
        <f t="shared" si="3743"/>
        <v>1734</v>
      </c>
      <c r="B1738" s="9">
        <f t="shared" ref="B1738" si="3884">B1737+H1738+I1738+J1738</f>
        <v>55.100000000000009</v>
      </c>
      <c r="C1738" s="3" t="s">
        <v>1910</v>
      </c>
      <c r="D1738">
        <f t="shared" ref="D1738" si="3885">_xlfn.NUMBERVALUE(LEFT(C1738,2))</f>
        <v>30</v>
      </c>
      <c r="E1738">
        <f t="shared" ref="E1738" si="3886">_xlfn.NUMBERVALUE(MID(C1738,4,2))</f>
        <v>12</v>
      </c>
      <c r="F1738">
        <f t="shared" ref="F1738" si="3887">_xlfn.NUMBERVALUE(RIGHT(C1738,4))</f>
        <v>2023</v>
      </c>
      <c r="G1738" t="s">
        <v>7</v>
      </c>
      <c r="H1738">
        <v>-2</v>
      </c>
      <c r="K1738" t="s">
        <v>9</v>
      </c>
      <c r="L1738" s="8">
        <f t="shared" si="3871"/>
        <v>-1</v>
      </c>
      <c r="M1738" t="s">
        <v>1911</v>
      </c>
    </row>
    <row r="1739" spans="1:13" x14ac:dyDescent="0.35">
      <c r="A1739">
        <f t="shared" si="3743"/>
        <v>1735</v>
      </c>
      <c r="B1739" s="9">
        <f t="shared" ref="B1739" si="3888">B1738+H1739+I1739+J1739</f>
        <v>57.100000000000009</v>
      </c>
      <c r="C1739" s="3" t="s">
        <v>1910</v>
      </c>
      <c r="D1739">
        <f t="shared" ref="D1739" si="3889">_xlfn.NUMBERVALUE(LEFT(C1739,2))</f>
        <v>30</v>
      </c>
      <c r="E1739">
        <f t="shared" ref="E1739" si="3890">_xlfn.NUMBERVALUE(MID(C1739,4,2))</f>
        <v>12</v>
      </c>
      <c r="F1739">
        <f t="shared" ref="F1739" si="3891">_xlfn.NUMBERVALUE(RIGHT(C1739,4))</f>
        <v>2023</v>
      </c>
      <c r="G1739" t="s">
        <v>7</v>
      </c>
      <c r="H1739">
        <v>-2</v>
      </c>
      <c r="I1739">
        <v>4</v>
      </c>
      <c r="K1739" t="s">
        <v>10</v>
      </c>
      <c r="L1739" s="8">
        <f t="shared" si="3871"/>
        <v>1</v>
      </c>
      <c r="M1739" t="s">
        <v>1912</v>
      </c>
    </row>
    <row r="1740" spans="1:13" x14ac:dyDescent="0.35">
      <c r="A1740">
        <f t="shared" si="3743"/>
        <v>1736</v>
      </c>
      <c r="B1740" s="9">
        <f t="shared" ref="B1740" si="3892">B1739+H1740+I1740+J1740</f>
        <v>61.100000000000009</v>
      </c>
      <c r="C1740" s="3" t="s">
        <v>1910</v>
      </c>
      <c r="D1740">
        <f t="shared" ref="D1740" si="3893">_xlfn.NUMBERVALUE(LEFT(C1740,2))</f>
        <v>30</v>
      </c>
      <c r="E1740">
        <f t="shared" ref="E1740" si="3894">_xlfn.NUMBERVALUE(MID(C1740,4,2))</f>
        <v>12</v>
      </c>
      <c r="F1740">
        <f t="shared" ref="F1740" si="3895">_xlfn.NUMBERVALUE(RIGHT(C1740,4))</f>
        <v>2023</v>
      </c>
      <c r="G1740" t="s">
        <v>7</v>
      </c>
      <c r="H1740">
        <v>-2</v>
      </c>
      <c r="I1740">
        <v>6</v>
      </c>
      <c r="K1740" t="s">
        <v>10</v>
      </c>
      <c r="L1740" s="8">
        <f t="shared" si="3871"/>
        <v>2</v>
      </c>
      <c r="M1740" t="s">
        <v>1913</v>
      </c>
    </row>
    <row r="1741" spans="1:13" x14ac:dyDescent="0.35">
      <c r="A1741">
        <f t="shared" si="3743"/>
        <v>1737</v>
      </c>
      <c r="B1741" s="9">
        <f t="shared" ref="B1741" si="3896">B1740+H1741+I1741+J1741</f>
        <v>69.100000000000009</v>
      </c>
      <c r="C1741" s="3" t="s">
        <v>1910</v>
      </c>
      <c r="D1741">
        <f t="shared" ref="D1741" si="3897">_xlfn.NUMBERVALUE(LEFT(C1741,2))</f>
        <v>30</v>
      </c>
      <c r="E1741">
        <f t="shared" ref="E1741" si="3898">_xlfn.NUMBERVALUE(MID(C1741,4,2))</f>
        <v>12</v>
      </c>
      <c r="F1741">
        <f t="shared" ref="F1741" si="3899">_xlfn.NUMBERVALUE(RIGHT(C1741,4))</f>
        <v>2023</v>
      </c>
      <c r="G1741" t="s">
        <v>7</v>
      </c>
      <c r="H1741">
        <v>-2</v>
      </c>
      <c r="I1741">
        <v>10</v>
      </c>
      <c r="K1741" t="s">
        <v>10</v>
      </c>
      <c r="L1741" s="8">
        <f t="shared" si="3871"/>
        <v>4</v>
      </c>
      <c r="M1741" t="s">
        <v>1914</v>
      </c>
    </row>
    <row r="1742" spans="1:13" x14ac:dyDescent="0.35">
      <c r="A1742">
        <f t="shared" si="3743"/>
        <v>1738</v>
      </c>
      <c r="B1742" s="9">
        <f t="shared" ref="B1742" si="3900">B1741+H1742+I1742+J1742</f>
        <v>67.100000000000009</v>
      </c>
      <c r="C1742" s="3" t="s">
        <v>1910</v>
      </c>
      <c r="D1742">
        <f t="shared" ref="D1742" si="3901">_xlfn.NUMBERVALUE(LEFT(C1742,2))</f>
        <v>30</v>
      </c>
      <c r="E1742">
        <f t="shared" ref="E1742" si="3902">_xlfn.NUMBERVALUE(MID(C1742,4,2))</f>
        <v>12</v>
      </c>
      <c r="F1742">
        <f t="shared" ref="F1742" si="3903">_xlfn.NUMBERVALUE(RIGHT(C1742,4))</f>
        <v>2023</v>
      </c>
      <c r="G1742" t="s">
        <v>7</v>
      </c>
      <c r="H1742">
        <v>-2</v>
      </c>
      <c r="K1742" t="s">
        <v>9</v>
      </c>
      <c r="L1742" s="8">
        <f t="shared" si="3871"/>
        <v>-1</v>
      </c>
      <c r="M1742" t="s">
        <v>1915</v>
      </c>
    </row>
    <row r="1743" spans="1:13" x14ac:dyDescent="0.35">
      <c r="A1743">
        <f t="shared" si="3743"/>
        <v>1739</v>
      </c>
      <c r="B1743" s="9">
        <f t="shared" ref="B1743" si="3904">B1742+H1743+I1743+J1743</f>
        <v>65.100000000000009</v>
      </c>
      <c r="C1743" s="3" t="s">
        <v>1910</v>
      </c>
      <c r="D1743">
        <f t="shared" ref="D1743" si="3905">_xlfn.NUMBERVALUE(LEFT(C1743,2))</f>
        <v>30</v>
      </c>
      <c r="E1743">
        <f t="shared" ref="E1743" si="3906">_xlfn.NUMBERVALUE(MID(C1743,4,2))</f>
        <v>12</v>
      </c>
      <c r="F1743">
        <f t="shared" ref="F1743" si="3907">_xlfn.NUMBERVALUE(RIGHT(C1743,4))</f>
        <v>2023</v>
      </c>
      <c r="G1743" t="s">
        <v>7</v>
      </c>
      <c r="H1743">
        <v>-2</v>
      </c>
      <c r="K1743" t="s">
        <v>9</v>
      </c>
      <c r="L1743" s="8">
        <f t="shared" si="3871"/>
        <v>-1</v>
      </c>
      <c r="M1743" t="s">
        <v>1916</v>
      </c>
    </row>
    <row r="1744" spans="1:13" x14ac:dyDescent="0.35">
      <c r="A1744">
        <f t="shared" si="3743"/>
        <v>1740</v>
      </c>
      <c r="B1744" s="9">
        <f t="shared" ref="B1744" si="3908">B1743+H1744+I1744+J1744</f>
        <v>63.100000000000009</v>
      </c>
      <c r="C1744" s="3" t="s">
        <v>1917</v>
      </c>
      <c r="D1744">
        <f t="shared" ref="D1744" si="3909">_xlfn.NUMBERVALUE(LEFT(C1744,2))</f>
        <v>31</v>
      </c>
      <c r="E1744">
        <f t="shared" ref="E1744" si="3910">_xlfn.NUMBERVALUE(MID(C1744,4,2))</f>
        <v>12</v>
      </c>
      <c r="F1744">
        <f t="shared" ref="F1744" si="3911">_xlfn.NUMBERVALUE(RIGHT(C1744,4))</f>
        <v>2023</v>
      </c>
      <c r="G1744" t="s">
        <v>7</v>
      </c>
      <c r="H1744">
        <v>-2</v>
      </c>
      <c r="K1744" t="s">
        <v>9</v>
      </c>
      <c r="L1744" s="8">
        <f t="shared" si="3871"/>
        <v>-1</v>
      </c>
      <c r="M1744" t="s">
        <v>1918</v>
      </c>
    </row>
    <row r="1745" spans="1:13" x14ac:dyDescent="0.35">
      <c r="A1745">
        <f t="shared" si="3743"/>
        <v>1741</v>
      </c>
      <c r="B1745" s="9">
        <f t="shared" ref="B1745" si="3912">B1744+H1745+I1745+J1745</f>
        <v>61.100000000000009</v>
      </c>
      <c r="C1745" s="3" t="s">
        <v>1917</v>
      </c>
      <c r="D1745">
        <f t="shared" ref="D1745" si="3913">_xlfn.NUMBERVALUE(LEFT(C1745,2))</f>
        <v>31</v>
      </c>
      <c r="E1745">
        <f t="shared" ref="E1745" si="3914">_xlfn.NUMBERVALUE(MID(C1745,4,2))</f>
        <v>12</v>
      </c>
      <c r="F1745">
        <f t="shared" ref="F1745" si="3915">_xlfn.NUMBERVALUE(RIGHT(C1745,4))</f>
        <v>2023</v>
      </c>
      <c r="G1745" t="s">
        <v>7</v>
      </c>
      <c r="H1745">
        <v>-2</v>
      </c>
      <c r="K1745" t="s">
        <v>9</v>
      </c>
      <c r="L1745" s="8">
        <f t="shared" si="3871"/>
        <v>-1</v>
      </c>
      <c r="M1745" t="s">
        <v>1919</v>
      </c>
    </row>
    <row r="1746" spans="1:13" x14ac:dyDescent="0.35">
      <c r="A1746">
        <f t="shared" si="3743"/>
        <v>1742</v>
      </c>
      <c r="B1746" s="9">
        <f t="shared" ref="B1746" si="3916">B1745+H1746+I1746+J1746</f>
        <v>59.100000000000009</v>
      </c>
      <c r="C1746" s="3" t="s">
        <v>1917</v>
      </c>
      <c r="D1746">
        <f t="shared" ref="D1746" si="3917">_xlfn.NUMBERVALUE(LEFT(C1746,2))</f>
        <v>31</v>
      </c>
      <c r="E1746">
        <f t="shared" ref="E1746" si="3918">_xlfn.NUMBERVALUE(MID(C1746,4,2))</f>
        <v>12</v>
      </c>
      <c r="F1746">
        <f t="shared" ref="F1746" si="3919">_xlfn.NUMBERVALUE(RIGHT(C1746,4))</f>
        <v>2023</v>
      </c>
      <c r="G1746" t="s">
        <v>7</v>
      </c>
      <c r="H1746">
        <v>-2</v>
      </c>
      <c r="K1746" t="s">
        <v>9</v>
      </c>
      <c r="L1746" s="8">
        <f t="shared" si="3871"/>
        <v>-1</v>
      </c>
      <c r="M1746" t="s">
        <v>1920</v>
      </c>
    </row>
    <row r="1747" spans="1:13" x14ac:dyDescent="0.35">
      <c r="A1747">
        <f t="shared" si="3743"/>
        <v>1743</v>
      </c>
      <c r="B1747" s="9">
        <f t="shared" ref="B1747" si="3920">B1746+H1747+I1747+J1747</f>
        <v>61.100000000000009</v>
      </c>
      <c r="C1747" s="3" t="s">
        <v>1917</v>
      </c>
      <c r="D1747">
        <f t="shared" ref="D1747" si="3921">_xlfn.NUMBERVALUE(LEFT(C1747,2))</f>
        <v>31</v>
      </c>
      <c r="E1747">
        <f t="shared" ref="E1747" si="3922">_xlfn.NUMBERVALUE(MID(C1747,4,2))</f>
        <v>12</v>
      </c>
      <c r="F1747">
        <f t="shared" ref="F1747" si="3923">_xlfn.NUMBERVALUE(RIGHT(C1747,4))</f>
        <v>2023</v>
      </c>
      <c r="G1747" t="s">
        <v>7</v>
      </c>
      <c r="H1747">
        <v>-2</v>
      </c>
      <c r="I1747">
        <v>4</v>
      </c>
      <c r="K1747" t="s">
        <v>10</v>
      </c>
      <c r="L1747" s="8">
        <f t="shared" si="3871"/>
        <v>1</v>
      </c>
      <c r="M1747" t="s">
        <v>1921</v>
      </c>
    </row>
    <row r="1748" spans="1:13" x14ac:dyDescent="0.35">
      <c r="A1748">
        <f t="shared" si="3743"/>
        <v>1744</v>
      </c>
      <c r="B1748" s="9">
        <f t="shared" ref="B1748" si="3924">B1747+H1748+I1748+J1748</f>
        <v>59.100000000000009</v>
      </c>
      <c r="C1748" s="3" t="s">
        <v>1917</v>
      </c>
      <c r="D1748">
        <f t="shared" ref="D1748" si="3925">_xlfn.NUMBERVALUE(LEFT(C1748,2))</f>
        <v>31</v>
      </c>
      <c r="E1748">
        <f t="shared" ref="E1748" si="3926">_xlfn.NUMBERVALUE(MID(C1748,4,2))</f>
        <v>12</v>
      </c>
      <c r="F1748">
        <f t="shared" ref="F1748" si="3927">_xlfn.NUMBERVALUE(RIGHT(C1748,4))</f>
        <v>2023</v>
      </c>
      <c r="G1748" t="s">
        <v>7</v>
      </c>
      <c r="H1748">
        <v>-2</v>
      </c>
      <c r="K1748" t="s">
        <v>9</v>
      </c>
      <c r="L1748" s="8">
        <f t="shared" si="3871"/>
        <v>-1</v>
      </c>
      <c r="M1748" t="s">
        <v>1922</v>
      </c>
    </row>
    <row r="1749" spans="1:13" x14ac:dyDescent="0.35">
      <c r="A1749">
        <f t="shared" si="3743"/>
        <v>1745</v>
      </c>
      <c r="B1749" s="9">
        <f t="shared" ref="B1749" si="3928">B1748+H1749+I1749+J1749</f>
        <v>57.100000000000009</v>
      </c>
      <c r="C1749" s="3" t="s">
        <v>1917</v>
      </c>
      <c r="D1749">
        <f t="shared" ref="D1749" si="3929">_xlfn.NUMBERVALUE(LEFT(C1749,2))</f>
        <v>31</v>
      </c>
      <c r="E1749">
        <f t="shared" ref="E1749" si="3930">_xlfn.NUMBERVALUE(MID(C1749,4,2))</f>
        <v>12</v>
      </c>
      <c r="F1749">
        <f t="shared" ref="F1749" si="3931">_xlfn.NUMBERVALUE(RIGHT(C1749,4))</f>
        <v>2023</v>
      </c>
      <c r="G1749" t="s">
        <v>7</v>
      </c>
      <c r="H1749">
        <v>-2</v>
      </c>
      <c r="K1749" t="s">
        <v>9</v>
      </c>
      <c r="L1749" s="8">
        <f t="shared" si="3871"/>
        <v>-1</v>
      </c>
      <c r="M1749" t="s">
        <v>1923</v>
      </c>
    </row>
    <row r="1750" spans="1:13" x14ac:dyDescent="0.35">
      <c r="A1750">
        <f t="shared" si="3743"/>
        <v>1746</v>
      </c>
      <c r="B1750" s="9">
        <f t="shared" ref="B1750" si="3932">B1749+H1750+I1750+J1750</f>
        <v>61.100000000000009</v>
      </c>
      <c r="C1750" s="3" t="s">
        <v>1917</v>
      </c>
      <c r="D1750">
        <f t="shared" ref="D1750" si="3933">_xlfn.NUMBERVALUE(LEFT(C1750,2))</f>
        <v>31</v>
      </c>
      <c r="E1750">
        <f t="shared" ref="E1750" si="3934">_xlfn.NUMBERVALUE(MID(C1750,4,2))</f>
        <v>12</v>
      </c>
      <c r="F1750">
        <f t="shared" ref="F1750" si="3935">_xlfn.NUMBERVALUE(RIGHT(C1750,4))</f>
        <v>2023</v>
      </c>
      <c r="G1750" t="s">
        <v>7</v>
      </c>
      <c r="H1750">
        <v>-2</v>
      </c>
      <c r="I1750">
        <v>6</v>
      </c>
      <c r="K1750" t="s">
        <v>10</v>
      </c>
      <c r="L1750" s="8">
        <f t="shared" si="3871"/>
        <v>2</v>
      </c>
      <c r="M1750" t="s">
        <v>1924</v>
      </c>
    </row>
    <row r="1751" spans="1:13" x14ac:dyDescent="0.35">
      <c r="A1751">
        <f t="shared" si="3743"/>
        <v>1747</v>
      </c>
      <c r="B1751" s="9">
        <f t="shared" ref="B1751" si="3936">B1750+H1751+I1751+J1751</f>
        <v>59.100000000000009</v>
      </c>
      <c r="C1751" s="3" t="s">
        <v>1917</v>
      </c>
      <c r="D1751">
        <f t="shared" ref="D1751" si="3937">_xlfn.NUMBERVALUE(LEFT(C1751,2))</f>
        <v>31</v>
      </c>
      <c r="E1751">
        <f t="shared" ref="E1751" si="3938">_xlfn.NUMBERVALUE(MID(C1751,4,2))</f>
        <v>12</v>
      </c>
      <c r="F1751">
        <f t="shared" ref="F1751" si="3939">_xlfn.NUMBERVALUE(RIGHT(C1751,4))</f>
        <v>2023</v>
      </c>
      <c r="G1751" t="s">
        <v>7</v>
      </c>
      <c r="H1751">
        <v>-2</v>
      </c>
      <c r="K1751" t="s">
        <v>9</v>
      </c>
      <c r="L1751" s="8">
        <f t="shared" si="3871"/>
        <v>-1</v>
      </c>
      <c r="M1751" t="s">
        <v>1925</v>
      </c>
    </row>
    <row r="1752" spans="1:13" x14ac:dyDescent="0.35">
      <c r="A1752">
        <f t="shared" si="3743"/>
        <v>1748</v>
      </c>
      <c r="B1752" s="9">
        <f t="shared" ref="B1752" si="3940">B1751+H1752+I1752+J1752</f>
        <v>57.100000000000009</v>
      </c>
      <c r="C1752" s="3" t="s">
        <v>1917</v>
      </c>
      <c r="D1752">
        <f t="shared" ref="D1752" si="3941">_xlfn.NUMBERVALUE(LEFT(C1752,2))</f>
        <v>31</v>
      </c>
      <c r="E1752">
        <f t="shared" ref="E1752" si="3942">_xlfn.NUMBERVALUE(MID(C1752,4,2))</f>
        <v>12</v>
      </c>
      <c r="F1752">
        <f t="shared" ref="F1752" si="3943">_xlfn.NUMBERVALUE(RIGHT(C1752,4))</f>
        <v>2023</v>
      </c>
      <c r="G1752" t="s">
        <v>7</v>
      </c>
      <c r="H1752">
        <v>-2</v>
      </c>
      <c r="K1752" t="s">
        <v>9</v>
      </c>
      <c r="L1752" s="8">
        <f t="shared" si="3871"/>
        <v>-1</v>
      </c>
      <c r="M1752" t="s">
        <v>1926</v>
      </c>
    </row>
    <row r="1753" spans="1:13" x14ac:dyDescent="0.35">
      <c r="A1753">
        <f t="shared" si="3743"/>
        <v>1749</v>
      </c>
      <c r="B1753" s="9">
        <f t="shared" ref="B1753" si="3944">B1752+H1753+I1753+J1753</f>
        <v>55.100000000000009</v>
      </c>
      <c r="C1753" s="3" t="s">
        <v>1917</v>
      </c>
      <c r="D1753">
        <f t="shared" ref="D1753" si="3945">_xlfn.NUMBERVALUE(LEFT(C1753,2))</f>
        <v>31</v>
      </c>
      <c r="E1753">
        <f t="shared" ref="E1753" si="3946">_xlfn.NUMBERVALUE(MID(C1753,4,2))</f>
        <v>12</v>
      </c>
      <c r="F1753">
        <f t="shared" ref="F1753" si="3947">_xlfn.NUMBERVALUE(RIGHT(C1753,4))</f>
        <v>2023</v>
      </c>
      <c r="G1753" t="s">
        <v>7</v>
      </c>
      <c r="H1753">
        <v>-2</v>
      </c>
      <c r="K1753" t="s">
        <v>9</v>
      </c>
      <c r="L1753" s="8">
        <f t="shared" si="3871"/>
        <v>-1</v>
      </c>
      <c r="M1753" t="s">
        <v>1927</v>
      </c>
    </row>
    <row r="1754" spans="1:13" x14ac:dyDescent="0.35">
      <c r="A1754">
        <f t="shared" si="3743"/>
        <v>1750</v>
      </c>
      <c r="B1754" s="9">
        <f t="shared" ref="B1754" si="3948">B1753+H1754+I1754+J1754</f>
        <v>59.100000000000009</v>
      </c>
      <c r="C1754" s="3" t="s">
        <v>1917</v>
      </c>
      <c r="D1754">
        <f t="shared" ref="D1754" si="3949">_xlfn.NUMBERVALUE(LEFT(C1754,2))</f>
        <v>31</v>
      </c>
      <c r="E1754">
        <f t="shared" ref="E1754" si="3950">_xlfn.NUMBERVALUE(MID(C1754,4,2))</f>
        <v>12</v>
      </c>
      <c r="F1754">
        <f t="shared" ref="F1754" si="3951">_xlfn.NUMBERVALUE(RIGHT(C1754,4))</f>
        <v>2023</v>
      </c>
      <c r="G1754" t="s">
        <v>7</v>
      </c>
      <c r="H1754">
        <v>-2</v>
      </c>
      <c r="I1754">
        <v>6</v>
      </c>
      <c r="K1754" t="s">
        <v>10</v>
      </c>
      <c r="L1754" s="8">
        <f t="shared" si="3871"/>
        <v>2</v>
      </c>
      <c r="M1754" t="s">
        <v>1928</v>
      </c>
    </row>
    <row r="1755" spans="1:13" x14ac:dyDescent="0.35">
      <c r="A1755">
        <f t="shared" si="3743"/>
        <v>1751</v>
      </c>
      <c r="B1755" s="9">
        <f t="shared" ref="B1755" si="3952">B1754+H1755+I1755+J1755</f>
        <v>61.100000000000009</v>
      </c>
      <c r="C1755" s="3" t="s">
        <v>1917</v>
      </c>
      <c r="D1755">
        <f t="shared" ref="D1755" si="3953">_xlfn.NUMBERVALUE(LEFT(C1755,2))</f>
        <v>31</v>
      </c>
      <c r="E1755">
        <f t="shared" ref="E1755" si="3954">_xlfn.NUMBERVALUE(MID(C1755,4,2))</f>
        <v>12</v>
      </c>
      <c r="F1755">
        <f t="shared" ref="F1755" si="3955">_xlfn.NUMBERVALUE(RIGHT(C1755,4))</f>
        <v>2023</v>
      </c>
      <c r="G1755" t="s">
        <v>7</v>
      </c>
      <c r="H1755">
        <v>-2</v>
      </c>
      <c r="I1755">
        <v>4</v>
      </c>
      <c r="K1755" t="s">
        <v>10</v>
      </c>
      <c r="L1755" s="8">
        <f t="shared" si="3871"/>
        <v>1</v>
      </c>
      <c r="M1755" t="s">
        <v>1929</v>
      </c>
    </row>
    <row r="1756" spans="1:13" x14ac:dyDescent="0.35">
      <c r="A1756">
        <f t="shared" si="3743"/>
        <v>1752</v>
      </c>
      <c r="B1756" s="9">
        <f t="shared" ref="B1756" si="3956">B1755+H1756+I1756+J1756</f>
        <v>63.100000000000009</v>
      </c>
      <c r="C1756" s="3" t="s">
        <v>1917</v>
      </c>
      <c r="D1756">
        <f t="shared" ref="D1756" si="3957">_xlfn.NUMBERVALUE(LEFT(C1756,2))</f>
        <v>31</v>
      </c>
      <c r="E1756">
        <f t="shared" ref="E1756" si="3958">_xlfn.NUMBERVALUE(MID(C1756,4,2))</f>
        <v>12</v>
      </c>
      <c r="F1756">
        <f t="shared" ref="F1756" si="3959">_xlfn.NUMBERVALUE(RIGHT(C1756,4))</f>
        <v>2023</v>
      </c>
      <c r="G1756" t="s">
        <v>7</v>
      </c>
      <c r="H1756">
        <v>-2</v>
      </c>
      <c r="I1756">
        <v>4</v>
      </c>
      <c r="K1756" t="s">
        <v>10</v>
      </c>
      <c r="L1756" s="8">
        <f t="shared" si="3871"/>
        <v>1</v>
      </c>
      <c r="M1756" t="s">
        <v>1930</v>
      </c>
    </row>
    <row r="1757" spans="1:13" x14ac:dyDescent="0.35">
      <c r="A1757">
        <f t="shared" si="3743"/>
        <v>1753</v>
      </c>
      <c r="B1757" s="9">
        <f t="shared" ref="B1757" si="3960">B1756+H1757+I1757+J1757</f>
        <v>61.100000000000009</v>
      </c>
      <c r="C1757" s="3" t="s">
        <v>1917</v>
      </c>
      <c r="D1757">
        <f t="shared" ref="D1757" si="3961">_xlfn.NUMBERVALUE(LEFT(C1757,2))</f>
        <v>31</v>
      </c>
      <c r="E1757">
        <f t="shared" ref="E1757" si="3962">_xlfn.NUMBERVALUE(MID(C1757,4,2))</f>
        <v>12</v>
      </c>
      <c r="F1757">
        <f t="shared" ref="F1757" si="3963">_xlfn.NUMBERVALUE(RIGHT(C1757,4))</f>
        <v>2023</v>
      </c>
      <c r="G1757" t="s">
        <v>7</v>
      </c>
      <c r="H1757">
        <v>-2</v>
      </c>
      <c r="K1757" t="s">
        <v>9</v>
      </c>
      <c r="L1757" s="8">
        <f t="shared" si="3871"/>
        <v>-1</v>
      </c>
      <c r="M1757" t="s">
        <v>1931</v>
      </c>
    </row>
    <row r="1758" spans="1:13" x14ac:dyDescent="0.35">
      <c r="A1758">
        <f t="shared" si="3743"/>
        <v>1754</v>
      </c>
      <c r="B1758" s="9">
        <f t="shared" ref="B1758" si="3964">B1757+H1758+I1758+J1758</f>
        <v>59.100000000000009</v>
      </c>
      <c r="C1758" s="3" t="s">
        <v>1932</v>
      </c>
      <c r="D1758">
        <f t="shared" ref="D1758" si="3965">_xlfn.NUMBERVALUE(LEFT(C1758,2))</f>
        <v>1</v>
      </c>
      <c r="E1758">
        <f t="shared" ref="E1758" si="3966">_xlfn.NUMBERVALUE(MID(C1758,4,2))</f>
        <v>1</v>
      </c>
      <c r="F1758">
        <f t="shared" ref="F1758" si="3967">_xlfn.NUMBERVALUE(RIGHT(C1758,4))</f>
        <v>2024</v>
      </c>
      <c r="G1758" t="s">
        <v>7</v>
      </c>
      <c r="H1758">
        <v>-2</v>
      </c>
      <c r="K1758" t="s">
        <v>9</v>
      </c>
      <c r="L1758" s="8">
        <f t="shared" si="3871"/>
        <v>-1</v>
      </c>
      <c r="M1758" t="s">
        <v>1933</v>
      </c>
    </row>
    <row r="1759" spans="1:13" x14ac:dyDescent="0.35">
      <c r="A1759">
        <f t="shared" si="3743"/>
        <v>1755</v>
      </c>
      <c r="B1759" s="9">
        <f t="shared" ref="B1759" si="3968">B1758+H1759+I1759+J1759</f>
        <v>57.100000000000009</v>
      </c>
      <c r="C1759" s="3" t="s">
        <v>1932</v>
      </c>
      <c r="D1759">
        <f t="shared" ref="D1759" si="3969">_xlfn.NUMBERVALUE(LEFT(C1759,2))</f>
        <v>1</v>
      </c>
      <c r="E1759">
        <f t="shared" ref="E1759" si="3970">_xlfn.NUMBERVALUE(MID(C1759,4,2))</f>
        <v>1</v>
      </c>
      <c r="F1759">
        <f t="shared" ref="F1759" si="3971">_xlfn.NUMBERVALUE(RIGHT(C1759,4))</f>
        <v>2024</v>
      </c>
      <c r="G1759" t="s">
        <v>7</v>
      </c>
      <c r="H1759">
        <v>-2</v>
      </c>
      <c r="K1759" t="s">
        <v>9</v>
      </c>
      <c r="L1759" s="8">
        <f t="shared" si="3871"/>
        <v>-1</v>
      </c>
      <c r="M1759" t="s">
        <v>1934</v>
      </c>
    </row>
    <row r="1760" spans="1:13" x14ac:dyDescent="0.35">
      <c r="A1760">
        <f t="shared" si="3743"/>
        <v>1756</v>
      </c>
      <c r="B1760" s="9">
        <f t="shared" ref="B1760" si="3972">B1759+H1760+I1760+J1760</f>
        <v>55.100000000000009</v>
      </c>
      <c r="C1760" s="3" t="s">
        <v>1932</v>
      </c>
      <c r="D1760">
        <f t="shared" ref="D1760" si="3973">_xlfn.NUMBERVALUE(LEFT(C1760,2))</f>
        <v>1</v>
      </c>
      <c r="E1760">
        <f t="shared" ref="E1760" si="3974">_xlfn.NUMBERVALUE(MID(C1760,4,2))</f>
        <v>1</v>
      </c>
      <c r="F1760">
        <f t="shared" ref="F1760" si="3975">_xlfn.NUMBERVALUE(RIGHT(C1760,4))</f>
        <v>2024</v>
      </c>
      <c r="G1760" t="s">
        <v>7</v>
      </c>
      <c r="H1760">
        <v>-2</v>
      </c>
      <c r="K1760" t="s">
        <v>9</v>
      </c>
      <c r="L1760" s="8">
        <f t="shared" si="3871"/>
        <v>-1</v>
      </c>
      <c r="M1760" t="s">
        <v>1935</v>
      </c>
    </row>
    <row r="1761" spans="1:13" x14ac:dyDescent="0.35">
      <c r="A1761">
        <f t="shared" si="3743"/>
        <v>1757</v>
      </c>
      <c r="B1761" s="9">
        <f t="shared" ref="B1761" si="3976">B1760+H1761+I1761+J1761</f>
        <v>59.100000000000009</v>
      </c>
      <c r="C1761" s="3" t="s">
        <v>1932</v>
      </c>
      <c r="D1761">
        <f t="shared" ref="D1761" si="3977">_xlfn.NUMBERVALUE(LEFT(C1761,2))</f>
        <v>1</v>
      </c>
      <c r="E1761">
        <f t="shared" ref="E1761" si="3978">_xlfn.NUMBERVALUE(MID(C1761,4,2))</f>
        <v>1</v>
      </c>
      <c r="F1761">
        <f t="shared" ref="F1761" si="3979">_xlfn.NUMBERVALUE(RIGHT(C1761,4))</f>
        <v>2024</v>
      </c>
      <c r="G1761" t="s">
        <v>7</v>
      </c>
      <c r="H1761">
        <v>-2</v>
      </c>
      <c r="I1761">
        <v>6</v>
      </c>
      <c r="K1761" t="s">
        <v>10</v>
      </c>
      <c r="L1761" s="8">
        <f t="shared" si="3871"/>
        <v>2</v>
      </c>
      <c r="M1761" t="s">
        <v>1936</v>
      </c>
    </row>
    <row r="1762" spans="1:13" x14ac:dyDescent="0.35">
      <c r="A1762">
        <f t="shared" si="3743"/>
        <v>1758</v>
      </c>
      <c r="B1762" s="9">
        <f t="shared" ref="B1762" si="3980">B1761+H1762+I1762+J1762</f>
        <v>57.100000000000009</v>
      </c>
      <c r="C1762" s="3" t="s">
        <v>1932</v>
      </c>
      <c r="D1762">
        <f t="shared" ref="D1762" si="3981">_xlfn.NUMBERVALUE(LEFT(C1762,2))</f>
        <v>1</v>
      </c>
      <c r="E1762">
        <f t="shared" ref="E1762" si="3982">_xlfn.NUMBERVALUE(MID(C1762,4,2))</f>
        <v>1</v>
      </c>
      <c r="F1762">
        <f t="shared" ref="F1762" si="3983">_xlfn.NUMBERVALUE(RIGHT(C1762,4))</f>
        <v>2024</v>
      </c>
      <c r="G1762" t="s">
        <v>7</v>
      </c>
      <c r="H1762">
        <v>-2</v>
      </c>
      <c r="K1762" t="s">
        <v>9</v>
      </c>
      <c r="L1762" s="8">
        <f t="shared" si="3871"/>
        <v>-1</v>
      </c>
      <c r="M1762" t="s">
        <v>1937</v>
      </c>
    </row>
    <row r="1763" spans="1:13" x14ac:dyDescent="0.35">
      <c r="A1763">
        <f t="shared" si="3743"/>
        <v>1759</v>
      </c>
      <c r="B1763" s="9">
        <f t="shared" ref="B1763" si="3984">B1762+H1763+I1763+J1763</f>
        <v>59.100000000000009</v>
      </c>
      <c r="C1763" s="3" t="s">
        <v>1932</v>
      </c>
      <c r="D1763">
        <f t="shared" ref="D1763" si="3985">_xlfn.NUMBERVALUE(LEFT(C1763,2))</f>
        <v>1</v>
      </c>
      <c r="E1763">
        <f t="shared" ref="E1763" si="3986">_xlfn.NUMBERVALUE(MID(C1763,4,2))</f>
        <v>1</v>
      </c>
      <c r="F1763">
        <f t="shared" ref="F1763" si="3987">_xlfn.NUMBERVALUE(RIGHT(C1763,4))</f>
        <v>2024</v>
      </c>
      <c r="G1763" t="s">
        <v>7</v>
      </c>
      <c r="H1763">
        <v>-2</v>
      </c>
      <c r="I1763">
        <v>4</v>
      </c>
      <c r="K1763" t="s">
        <v>10</v>
      </c>
      <c r="L1763" s="8">
        <f t="shared" si="3871"/>
        <v>1</v>
      </c>
      <c r="M1763" t="s">
        <v>1938</v>
      </c>
    </row>
    <row r="1764" spans="1:13" x14ac:dyDescent="0.35">
      <c r="A1764">
        <f t="shared" si="3743"/>
        <v>1760</v>
      </c>
      <c r="B1764" s="9">
        <f t="shared" ref="B1764" si="3988">B1763+H1764+I1764+J1764</f>
        <v>57.100000000000009</v>
      </c>
      <c r="C1764" s="3" t="s">
        <v>1932</v>
      </c>
      <c r="D1764">
        <f t="shared" ref="D1764" si="3989">_xlfn.NUMBERVALUE(LEFT(C1764,2))</f>
        <v>1</v>
      </c>
      <c r="E1764">
        <f t="shared" ref="E1764" si="3990">_xlfn.NUMBERVALUE(MID(C1764,4,2))</f>
        <v>1</v>
      </c>
      <c r="F1764">
        <f t="shared" ref="F1764" si="3991">_xlfn.NUMBERVALUE(RIGHT(C1764,4))</f>
        <v>2024</v>
      </c>
      <c r="G1764" t="s">
        <v>7</v>
      </c>
      <c r="H1764">
        <v>-2</v>
      </c>
      <c r="K1764" t="s">
        <v>9</v>
      </c>
      <c r="L1764" s="8">
        <f t="shared" si="3871"/>
        <v>-1</v>
      </c>
      <c r="M1764" t="s">
        <v>1939</v>
      </c>
    </row>
    <row r="1765" spans="1:13" x14ac:dyDescent="0.35">
      <c r="A1765">
        <f t="shared" si="3743"/>
        <v>1761</v>
      </c>
      <c r="B1765" s="9">
        <f t="shared" ref="B1765" si="3992">B1764+H1765+I1765+J1765</f>
        <v>55.100000000000009</v>
      </c>
      <c r="C1765" s="3" t="s">
        <v>1932</v>
      </c>
      <c r="D1765">
        <f t="shared" ref="D1765" si="3993">_xlfn.NUMBERVALUE(LEFT(C1765,2))</f>
        <v>1</v>
      </c>
      <c r="E1765">
        <f t="shared" ref="E1765" si="3994">_xlfn.NUMBERVALUE(MID(C1765,4,2))</f>
        <v>1</v>
      </c>
      <c r="F1765">
        <f t="shared" ref="F1765" si="3995">_xlfn.NUMBERVALUE(RIGHT(C1765,4))</f>
        <v>2024</v>
      </c>
      <c r="G1765" t="s">
        <v>7</v>
      </c>
      <c r="H1765">
        <v>-2</v>
      </c>
      <c r="K1765" t="s">
        <v>9</v>
      </c>
      <c r="L1765" s="8">
        <f t="shared" si="3871"/>
        <v>-1</v>
      </c>
      <c r="M1765" t="s">
        <v>1940</v>
      </c>
    </row>
    <row r="1766" spans="1:13" x14ac:dyDescent="0.35">
      <c r="A1766">
        <f t="shared" si="3743"/>
        <v>1762</v>
      </c>
      <c r="B1766" s="9">
        <f t="shared" ref="B1766" si="3996">B1765+H1766+I1766+J1766</f>
        <v>53.100000000000009</v>
      </c>
      <c r="C1766" s="3" t="s">
        <v>1932</v>
      </c>
      <c r="D1766">
        <f t="shared" ref="D1766" si="3997">_xlfn.NUMBERVALUE(LEFT(C1766,2))</f>
        <v>1</v>
      </c>
      <c r="E1766">
        <f t="shared" ref="E1766" si="3998">_xlfn.NUMBERVALUE(MID(C1766,4,2))</f>
        <v>1</v>
      </c>
      <c r="F1766">
        <f t="shared" ref="F1766" si="3999">_xlfn.NUMBERVALUE(RIGHT(C1766,4))</f>
        <v>2024</v>
      </c>
      <c r="G1766" t="s">
        <v>7</v>
      </c>
      <c r="H1766">
        <v>-2</v>
      </c>
      <c r="K1766" t="s">
        <v>9</v>
      </c>
      <c r="L1766" s="8">
        <f t="shared" si="3871"/>
        <v>-1</v>
      </c>
      <c r="M1766" t="s">
        <v>1941</v>
      </c>
    </row>
    <row r="1767" spans="1:13" x14ac:dyDescent="0.35">
      <c r="A1767">
        <f t="shared" si="3743"/>
        <v>1763</v>
      </c>
      <c r="B1767" s="9">
        <f t="shared" ref="B1767" si="4000">B1766+H1767+I1767+J1767</f>
        <v>55.100000000000009</v>
      </c>
      <c r="C1767" s="3" t="s">
        <v>1932</v>
      </c>
      <c r="D1767">
        <f t="shared" ref="D1767" si="4001">_xlfn.NUMBERVALUE(LEFT(C1767,2))</f>
        <v>1</v>
      </c>
      <c r="E1767">
        <f t="shared" ref="E1767" si="4002">_xlfn.NUMBERVALUE(MID(C1767,4,2))</f>
        <v>1</v>
      </c>
      <c r="F1767">
        <f t="shared" ref="F1767" si="4003">_xlfn.NUMBERVALUE(RIGHT(C1767,4))</f>
        <v>2024</v>
      </c>
      <c r="G1767" t="s">
        <v>7</v>
      </c>
      <c r="H1767">
        <v>-2</v>
      </c>
      <c r="I1767">
        <v>4</v>
      </c>
      <c r="K1767" t="s">
        <v>10</v>
      </c>
      <c r="L1767" s="8">
        <f t="shared" si="3871"/>
        <v>1</v>
      </c>
      <c r="M1767" t="s">
        <v>1942</v>
      </c>
    </row>
    <row r="1768" spans="1:13" x14ac:dyDescent="0.35">
      <c r="A1768">
        <f t="shared" si="3743"/>
        <v>1764</v>
      </c>
      <c r="B1768" s="9">
        <f t="shared" ref="B1768" si="4004">B1767+H1768+I1768+J1768</f>
        <v>59.100000000000009</v>
      </c>
      <c r="C1768" s="3" t="s">
        <v>1932</v>
      </c>
      <c r="D1768">
        <f t="shared" ref="D1768" si="4005">_xlfn.NUMBERVALUE(LEFT(C1768,2))</f>
        <v>1</v>
      </c>
      <c r="E1768">
        <f t="shared" ref="E1768" si="4006">_xlfn.NUMBERVALUE(MID(C1768,4,2))</f>
        <v>1</v>
      </c>
      <c r="F1768">
        <f t="shared" ref="F1768" si="4007">_xlfn.NUMBERVALUE(RIGHT(C1768,4))</f>
        <v>2024</v>
      </c>
      <c r="G1768" t="s">
        <v>7</v>
      </c>
      <c r="H1768">
        <v>-2</v>
      </c>
      <c r="I1768">
        <v>6</v>
      </c>
      <c r="K1768" t="s">
        <v>10</v>
      </c>
      <c r="L1768" s="8">
        <f t="shared" si="3871"/>
        <v>2</v>
      </c>
      <c r="M1768" t="s">
        <v>1943</v>
      </c>
    </row>
    <row r="1769" spans="1:13" x14ac:dyDescent="0.35">
      <c r="A1769">
        <f t="shared" si="3743"/>
        <v>1765</v>
      </c>
      <c r="B1769" s="9">
        <f t="shared" ref="B1769" si="4008">B1768+H1769+I1769+J1769</f>
        <v>63.100000000000009</v>
      </c>
      <c r="C1769" s="3" t="s">
        <v>1932</v>
      </c>
      <c r="D1769">
        <f t="shared" ref="D1769" si="4009">_xlfn.NUMBERVALUE(LEFT(C1769,2))</f>
        <v>1</v>
      </c>
      <c r="E1769">
        <f t="shared" ref="E1769" si="4010">_xlfn.NUMBERVALUE(MID(C1769,4,2))</f>
        <v>1</v>
      </c>
      <c r="F1769">
        <f t="shared" ref="F1769" si="4011">_xlfn.NUMBERVALUE(RIGHT(C1769,4))</f>
        <v>2024</v>
      </c>
      <c r="G1769" t="s">
        <v>7</v>
      </c>
      <c r="H1769">
        <v>-2</v>
      </c>
      <c r="I1769">
        <v>6</v>
      </c>
      <c r="K1769" t="s">
        <v>10</v>
      </c>
      <c r="L1769" s="8">
        <f t="shared" si="3871"/>
        <v>2</v>
      </c>
      <c r="M1769" t="s">
        <v>1944</v>
      </c>
    </row>
    <row r="1770" spans="1:13" x14ac:dyDescent="0.35">
      <c r="A1770">
        <f t="shared" si="3743"/>
        <v>1766</v>
      </c>
      <c r="B1770" s="9">
        <f t="shared" ref="B1770" si="4012">B1769+H1770+I1770+J1770</f>
        <v>61.100000000000009</v>
      </c>
      <c r="C1770" s="3" t="s">
        <v>1932</v>
      </c>
      <c r="D1770">
        <f t="shared" ref="D1770" si="4013">_xlfn.NUMBERVALUE(LEFT(C1770,2))</f>
        <v>1</v>
      </c>
      <c r="E1770">
        <f t="shared" ref="E1770" si="4014">_xlfn.NUMBERVALUE(MID(C1770,4,2))</f>
        <v>1</v>
      </c>
      <c r="F1770">
        <f t="shared" ref="F1770" si="4015">_xlfn.NUMBERVALUE(RIGHT(C1770,4))</f>
        <v>2024</v>
      </c>
      <c r="G1770" t="s">
        <v>7</v>
      </c>
      <c r="H1770">
        <v>-2</v>
      </c>
      <c r="K1770" t="s">
        <v>9</v>
      </c>
      <c r="L1770" s="8">
        <f t="shared" si="3871"/>
        <v>-1</v>
      </c>
      <c r="M1770" t="s">
        <v>1945</v>
      </c>
    </row>
    <row r="1771" spans="1:13" x14ac:dyDescent="0.35">
      <c r="A1771">
        <f t="shared" si="3743"/>
        <v>1767</v>
      </c>
      <c r="B1771" s="9">
        <f t="shared" ref="B1771:B1772" si="4016">B1770+H1771+I1771+J1771</f>
        <v>65.540000000000006</v>
      </c>
      <c r="C1771" s="3" t="s">
        <v>1946</v>
      </c>
      <c r="D1771">
        <f t="shared" ref="D1771:D1772" si="4017">_xlfn.NUMBERVALUE(LEFT(C1771,2))</f>
        <v>2</v>
      </c>
      <c r="E1771">
        <f t="shared" ref="E1771:E1772" si="4018">_xlfn.NUMBERVALUE(MID(C1771,4,2))</f>
        <v>1</v>
      </c>
      <c r="F1771">
        <f t="shared" ref="F1771:F1772" si="4019">_xlfn.NUMBERVALUE(RIGHT(C1771,4))</f>
        <v>2024</v>
      </c>
      <c r="G1771" t="s">
        <v>44</v>
      </c>
      <c r="H1771">
        <v>-7.5</v>
      </c>
      <c r="I1771">
        <v>6.84</v>
      </c>
      <c r="J1771">
        <v>5.0999999999999996</v>
      </c>
      <c r="K1771" t="s">
        <v>10</v>
      </c>
      <c r="L1771" s="8">
        <f t="shared" si="3871"/>
        <v>0.59199999999999986</v>
      </c>
      <c r="M1771" t="s">
        <v>1947</v>
      </c>
    </row>
    <row r="1772" spans="1:13" x14ac:dyDescent="0.35">
      <c r="A1772">
        <f t="shared" si="3743"/>
        <v>1768</v>
      </c>
      <c r="B1772" s="9">
        <f t="shared" si="4016"/>
        <v>63.540000000000006</v>
      </c>
      <c r="C1772" s="3" t="s">
        <v>1948</v>
      </c>
      <c r="D1772">
        <f t="shared" si="4017"/>
        <v>3</v>
      </c>
      <c r="E1772">
        <f t="shared" si="4018"/>
        <v>1</v>
      </c>
      <c r="F1772">
        <f t="shared" si="4019"/>
        <v>2024</v>
      </c>
      <c r="G1772" t="s">
        <v>7</v>
      </c>
      <c r="H1772">
        <v>-2</v>
      </c>
      <c r="K1772" t="s">
        <v>9</v>
      </c>
      <c r="L1772" s="8">
        <f t="shared" si="3871"/>
        <v>-1</v>
      </c>
      <c r="M1772" t="s">
        <v>1949</v>
      </c>
    </row>
    <row r="1773" spans="1:13" x14ac:dyDescent="0.35">
      <c r="A1773">
        <f t="shared" si="3743"/>
        <v>1769</v>
      </c>
      <c r="B1773" s="9">
        <f t="shared" ref="B1773" si="4020">B1772+H1773+I1773+J1773</f>
        <v>61.540000000000006</v>
      </c>
      <c r="C1773" s="3" t="s">
        <v>1948</v>
      </c>
      <c r="D1773">
        <f t="shared" ref="D1773" si="4021">_xlfn.NUMBERVALUE(LEFT(C1773,2))</f>
        <v>3</v>
      </c>
      <c r="E1773">
        <f t="shared" ref="E1773" si="4022">_xlfn.NUMBERVALUE(MID(C1773,4,2))</f>
        <v>1</v>
      </c>
      <c r="F1773">
        <f t="shared" ref="F1773" si="4023">_xlfn.NUMBERVALUE(RIGHT(C1773,4))</f>
        <v>2024</v>
      </c>
      <c r="G1773" t="s">
        <v>7</v>
      </c>
      <c r="H1773">
        <v>-2</v>
      </c>
      <c r="K1773" t="s">
        <v>9</v>
      </c>
      <c r="L1773" s="8">
        <f t="shared" si="3871"/>
        <v>-1</v>
      </c>
      <c r="M1773" t="s">
        <v>1950</v>
      </c>
    </row>
    <row r="1774" spans="1:13" x14ac:dyDescent="0.35">
      <c r="A1774">
        <f t="shared" si="3743"/>
        <v>1770</v>
      </c>
      <c r="B1774" s="9">
        <f t="shared" ref="B1774" si="4024">B1773+H1774+I1774+J1774</f>
        <v>63.540000000000006</v>
      </c>
      <c r="C1774" s="3" t="s">
        <v>1948</v>
      </c>
      <c r="D1774">
        <f t="shared" ref="D1774" si="4025">_xlfn.NUMBERVALUE(LEFT(C1774,2))</f>
        <v>3</v>
      </c>
      <c r="E1774">
        <f t="shared" ref="E1774" si="4026">_xlfn.NUMBERVALUE(MID(C1774,4,2))</f>
        <v>1</v>
      </c>
      <c r="F1774">
        <f t="shared" ref="F1774" si="4027">_xlfn.NUMBERVALUE(RIGHT(C1774,4))</f>
        <v>2024</v>
      </c>
      <c r="G1774" t="s">
        <v>7</v>
      </c>
      <c r="H1774">
        <v>-2</v>
      </c>
      <c r="I1774">
        <v>4</v>
      </c>
      <c r="K1774" t="s">
        <v>10</v>
      </c>
      <c r="L1774" s="8">
        <f t="shared" si="3871"/>
        <v>1</v>
      </c>
      <c r="M1774" t="s">
        <v>1951</v>
      </c>
    </row>
    <row r="1775" spans="1:13" x14ac:dyDescent="0.35">
      <c r="A1775">
        <f t="shared" si="3743"/>
        <v>1771</v>
      </c>
      <c r="B1775" s="9">
        <f t="shared" ref="B1775" si="4028">B1774+H1775+I1775+J1775</f>
        <v>61.540000000000006</v>
      </c>
      <c r="C1775" s="3" t="s">
        <v>1948</v>
      </c>
      <c r="D1775">
        <f t="shared" ref="D1775" si="4029">_xlfn.NUMBERVALUE(LEFT(C1775,2))</f>
        <v>3</v>
      </c>
      <c r="E1775">
        <f t="shared" ref="E1775" si="4030">_xlfn.NUMBERVALUE(MID(C1775,4,2))</f>
        <v>1</v>
      </c>
      <c r="F1775">
        <f t="shared" ref="F1775" si="4031">_xlfn.NUMBERVALUE(RIGHT(C1775,4))</f>
        <v>2024</v>
      </c>
      <c r="G1775" t="s">
        <v>7</v>
      </c>
      <c r="H1775">
        <v>-2</v>
      </c>
      <c r="K1775" t="s">
        <v>9</v>
      </c>
      <c r="L1775" s="8">
        <f t="shared" si="3871"/>
        <v>-1</v>
      </c>
      <c r="M1775" t="s">
        <v>1952</v>
      </c>
    </row>
    <row r="1776" spans="1:13" x14ac:dyDescent="0.35">
      <c r="A1776">
        <f t="shared" si="3743"/>
        <v>1772</v>
      </c>
      <c r="B1776" s="9">
        <f t="shared" ref="B1776" si="4032">B1775+H1776+I1776+J1776</f>
        <v>63.540000000000006</v>
      </c>
      <c r="C1776" s="3" t="s">
        <v>1948</v>
      </c>
      <c r="D1776">
        <f t="shared" ref="D1776" si="4033">_xlfn.NUMBERVALUE(LEFT(C1776,2))</f>
        <v>3</v>
      </c>
      <c r="E1776">
        <f t="shared" ref="E1776" si="4034">_xlfn.NUMBERVALUE(MID(C1776,4,2))</f>
        <v>1</v>
      </c>
      <c r="F1776">
        <f t="shared" ref="F1776" si="4035">_xlfn.NUMBERVALUE(RIGHT(C1776,4))</f>
        <v>2024</v>
      </c>
      <c r="G1776" t="s">
        <v>7</v>
      </c>
      <c r="H1776">
        <v>-2</v>
      </c>
      <c r="I1776">
        <v>4</v>
      </c>
      <c r="K1776" t="s">
        <v>10</v>
      </c>
      <c r="L1776" s="8">
        <f t="shared" si="3871"/>
        <v>1</v>
      </c>
      <c r="M1776" t="s">
        <v>1953</v>
      </c>
    </row>
    <row r="1777" spans="1:13" x14ac:dyDescent="0.35">
      <c r="A1777">
        <f t="shared" si="3743"/>
        <v>1773</v>
      </c>
      <c r="B1777" s="9">
        <f t="shared" ref="B1777" si="4036">B1776+H1777+I1777+J1777</f>
        <v>61.540000000000006</v>
      </c>
      <c r="C1777" s="3" t="s">
        <v>1948</v>
      </c>
      <c r="D1777">
        <f t="shared" ref="D1777" si="4037">_xlfn.NUMBERVALUE(LEFT(C1777,2))</f>
        <v>3</v>
      </c>
      <c r="E1777">
        <f t="shared" ref="E1777" si="4038">_xlfn.NUMBERVALUE(MID(C1777,4,2))</f>
        <v>1</v>
      </c>
      <c r="F1777">
        <f t="shared" ref="F1777" si="4039">_xlfn.NUMBERVALUE(RIGHT(C1777,4))</f>
        <v>2024</v>
      </c>
      <c r="G1777" t="s">
        <v>7</v>
      </c>
      <c r="H1777">
        <v>-2</v>
      </c>
      <c r="K1777" t="s">
        <v>9</v>
      </c>
      <c r="L1777" s="8">
        <f t="shared" si="3871"/>
        <v>-1</v>
      </c>
      <c r="M1777" t="s">
        <v>1954</v>
      </c>
    </row>
    <row r="1778" spans="1:13" x14ac:dyDescent="0.35">
      <c r="A1778">
        <f t="shared" si="3743"/>
        <v>1774</v>
      </c>
      <c r="B1778" s="9">
        <f t="shared" ref="B1778" si="4040">B1777+H1778+I1778+J1778</f>
        <v>59.540000000000006</v>
      </c>
      <c r="C1778" s="3" t="s">
        <v>1955</v>
      </c>
      <c r="D1778">
        <f t="shared" ref="D1778" si="4041">_xlfn.NUMBERVALUE(LEFT(C1778,2))</f>
        <v>4</v>
      </c>
      <c r="E1778">
        <f t="shared" ref="E1778" si="4042">_xlfn.NUMBERVALUE(MID(C1778,4,2))</f>
        <v>1</v>
      </c>
      <c r="F1778">
        <f t="shared" ref="F1778" si="4043">_xlfn.NUMBERVALUE(RIGHT(C1778,4))</f>
        <v>2024</v>
      </c>
      <c r="G1778" t="s">
        <v>7</v>
      </c>
      <c r="H1778">
        <v>-2</v>
      </c>
      <c r="K1778" t="s">
        <v>9</v>
      </c>
      <c r="L1778" s="8">
        <f t="shared" si="3871"/>
        <v>-1</v>
      </c>
      <c r="M1778" t="s">
        <v>1956</v>
      </c>
    </row>
    <row r="1779" spans="1:13" x14ac:dyDescent="0.35">
      <c r="A1779">
        <f t="shared" si="3743"/>
        <v>1775</v>
      </c>
      <c r="B1779" s="9">
        <f t="shared" ref="B1779" si="4044">B1778+H1779+I1779+J1779</f>
        <v>57.540000000000006</v>
      </c>
      <c r="C1779" s="3" t="s">
        <v>1957</v>
      </c>
      <c r="D1779">
        <f t="shared" ref="D1779" si="4045">_xlfn.NUMBERVALUE(LEFT(C1779,2))</f>
        <v>5</v>
      </c>
      <c r="E1779">
        <f t="shared" ref="E1779" si="4046">_xlfn.NUMBERVALUE(MID(C1779,4,2))</f>
        <v>1</v>
      </c>
      <c r="F1779">
        <f t="shared" ref="F1779" si="4047">_xlfn.NUMBERVALUE(RIGHT(C1779,4))</f>
        <v>2024</v>
      </c>
      <c r="G1779" t="s">
        <v>7</v>
      </c>
      <c r="H1779">
        <v>-2</v>
      </c>
      <c r="K1779" t="s">
        <v>9</v>
      </c>
      <c r="L1779" s="8">
        <f t="shared" si="3871"/>
        <v>-1</v>
      </c>
      <c r="M1779" t="s">
        <v>1958</v>
      </c>
    </row>
    <row r="1780" spans="1:13" x14ac:dyDescent="0.35">
      <c r="A1780">
        <f t="shared" si="3743"/>
        <v>1776</v>
      </c>
      <c r="B1780" s="9">
        <f t="shared" ref="B1780" si="4048">B1779+H1780+I1780+J1780</f>
        <v>55.540000000000006</v>
      </c>
      <c r="C1780" s="3" t="s">
        <v>1957</v>
      </c>
      <c r="D1780">
        <f t="shared" ref="D1780" si="4049">_xlfn.NUMBERVALUE(LEFT(C1780,2))</f>
        <v>5</v>
      </c>
      <c r="E1780">
        <f t="shared" ref="E1780" si="4050">_xlfn.NUMBERVALUE(MID(C1780,4,2))</f>
        <v>1</v>
      </c>
      <c r="F1780">
        <f t="shared" ref="F1780" si="4051">_xlfn.NUMBERVALUE(RIGHT(C1780,4))</f>
        <v>2024</v>
      </c>
      <c r="G1780" t="s">
        <v>7</v>
      </c>
      <c r="H1780">
        <v>-2</v>
      </c>
      <c r="K1780" t="s">
        <v>9</v>
      </c>
      <c r="L1780" s="8">
        <f t="shared" si="3871"/>
        <v>-1</v>
      </c>
      <c r="M1780" t="s">
        <v>1959</v>
      </c>
    </row>
    <row r="1781" spans="1:13" x14ac:dyDescent="0.35">
      <c r="A1781">
        <f t="shared" si="3743"/>
        <v>1777</v>
      </c>
      <c r="B1781" s="9">
        <f t="shared" ref="B1781" si="4052">B1780+H1781+I1781+J1781</f>
        <v>53.540000000000006</v>
      </c>
      <c r="C1781" s="3" t="s">
        <v>1957</v>
      </c>
      <c r="D1781">
        <f t="shared" ref="D1781" si="4053">_xlfn.NUMBERVALUE(LEFT(C1781,2))</f>
        <v>5</v>
      </c>
      <c r="E1781">
        <f t="shared" ref="E1781" si="4054">_xlfn.NUMBERVALUE(MID(C1781,4,2))</f>
        <v>1</v>
      </c>
      <c r="F1781">
        <f t="shared" ref="F1781" si="4055">_xlfn.NUMBERVALUE(RIGHT(C1781,4))</f>
        <v>2024</v>
      </c>
      <c r="G1781" t="s">
        <v>7</v>
      </c>
      <c r="H1781">
        <v>-2</v>
      </c>
      <c r="K1781" t="s">
        <v>9</v>
      </c>
      <c r="L1781" s="8">
        <f t="shared" si="3871"/>
        <v>-1</v>
      </c>
      <c r="M1781" t="s">
        <v>1960</v>
      </c>
    </row>
    <row r="1782" spans="1:13" x14ac:dyDescent="0.35">
      <c r="A1782">
        <f t="shared" si="3743"/>
        <v>1778</v>
      </c>
      <c r="B1782" s="9">
        <f t="shared" ref="B1782" si="4056">B1781+H1782+I1782+J1782</f>
        <v>51.540000000000006</v>
      </c>
      <c r="C1782" s="3" t="s">
        <v>1957</v>
      </c>
      <c r="D1782">
        <f t="shared" ref="D1782" si="4057">_xlfn.NUMBERVALUE(LEFT(C1782,2))</f>
        <v>5</v>
      </c>
      <c r="E1782">
        <f t="shared" ref="E1782" si="4058">_xlfn.NUMBERVALUE(MID(C1782,4,2))</f>
        <v>1</v>
      </c>
      <c r="F1782">
        <f t="shared" ref="F1782" si="4059">_xlfn.NUMBERVALUE(RIGHT(C1782,4))</f>
        <v>2024</v>
      </c>
      <c r="G1782" t="s">
        <v>7</v>
      </c>
      <c r="H1782">
        <v>-2</v>
      </c>
      <c r="K1782" t="s">
        <v>9</v>
      </c>
      <c r="L1782" s="8">
        <f t="shared" si="3871"/>
        <v>-1</v>
      </c>
      <c r="M1782" t="s">
        <v>1961</v>
      </c>
    </row>
    <row r="1783" spans="1:13" x14ac:dyDescent="0.35">
      <c r="A1783">
        <f t="shared" si="3743"/>
        <v>1779</v>
      </c>
      <c r="B1783" s="9">
        <f t="shared" ref="B1783" si="4060">B1782+H1783+I1783+J1783</f>
        <v>49.540000000000006</v>
      </c>
      <c r="C1783" s="3" t="s">
        <v>1957</v>
      </c>
      <c r="D1783">
        <f t="shared" ref="D1783" si="4061">_xlfn.NUMBERVALUE(LEFT(C1783,2))</f>
        <v>5</v>
      </c>
      <c r="E1783">
        <f t="shared" ref="E1783" si="4062">_xlfn.NUMBERVALUE(MID(C1783,4,2))</f>
        <v>1</v>
      </c>
      <c r="F1783">
        <f t="shared" ref="F1783" si="4063">_xlfn.NUMBERVALUE(RIGHT(C1783,4))</f>
        <v>2024</v>
      </c>
      <c r="G1783" t="s">
        <v>7</v>
      </c>
      <c r="H1783">
        <v>-2</v>
      </c>
      <c r="K1783" t="s">
        <v>9</v>
      </c>
      <c r="L1783" s="8">
        <f t="shared" si="3871"/>
        <v>-1</v>
      </c>
      <c r="M1783" t="s">
        <v>1962</v>
      </c>
    </row>
    <row r="1784" spans="1:13" x14ac:dyDescent="0.35">
      <c r="A1784">
        <f t="shared" si="3743"/>
        <v>1780</v>
      </c>
      <c r="B1784" s="9">
        <f t="shared" ref="B1784" si="4064">B1783+H1784+I1784+J1784</f>
        <v>47.540000000000006</v>
      </c>
      <c r="C1784" s="3" t="s">
        <v>1957</v>
      </c>
      <c r="D1784">
        <f t="shared" ref="D1784" si="4065">_xlfn.NUMBERVALUE(LEFT(C1784,2))</f>
        <v>5</v>
      </c>
      <c r="E1784">
        <f t="shared" ref="E1784" si="4066">_xlfn.NUMBERVALUE(MID(C1784,4,2))</f>
        <v>1</v>
      </c>
      <c r="F1784">
        <f t="shared" ref="F1784" si="4067">_xlfn.NUMBERVALUE(RIGHT(C1784,4))</f>
        <v>2024</v>
      </c>
      <c r="G1784" t="s">
        <v>7</v>
      </c>
      <c r="H1784">
        <v>-2</v>
      </c>
      <c r="K1784" t="s">
        <v>9</v>
      </c>
      <c r="L1784" s="8">
        <f t="shared" si="3871"/>
        <v>-1</v>
      </c>
      <c r="M1784" t="s">
        <v>1963</v>
      </c>
    </row>
    <row r="1785" spans="1:13" x14ac:dyDescent="0.35">
      <c r="A1785">
        <f t="shared" si="3743"/>
        <v>1781</v>
      </c>
      <c r="B1785" s="9">
        <f t="shared" ref="B1785" si="4068">B1784+H1785+I1785+J1785</f>
        <v>45.540000000000006</v>
      </c>
      <c r="C1785" s="3" t="s">
        <v>1957</v>
      </c>
      <c r="D1785">
        <f t="shared" ref="D1785" si="4069">_xlfn.NUMBERVALUE(LEFT(C1785,2))</f>
        <v>5</v>
      </c>
      <c r="E1785">
        <f t="shared" ref="E1785" si="4070">_xlfn.NUMBERVALUE(MID(C1785,4,2))</f>
        <v>1</v>
      </c>
      <c r="F1785">
        <f t="shared" ref="F1785" si="4071">_xlfn.NUMBERVALUE(RIGHT(C1785,4))</f>
        <v>2024</v>
      </c>
      <c r="G1785" t="s">
        <v>7</v>
      </c>
      <c r="H1785">
        <v>-2</v>
      </c>
      <c r="K1785" t="s">
        <v>9</v>
      </c>
      <c r="L1785" s="8">
        <f t="shared" si="3871"/>
        <v>-1</v>
      </c>
      <c r="M1785" t="s">
        <v>1964</v>
      </c>
    </row>
    <row r="1786" spans="1:13" x14ac:dyDescent="0.35">
      <c r="A1786">
        <f t="shared" si="3743"/>
        <v>1782</v>
      </c>
      <c r="B1786" s="9">
        <f t="shared" ref="B1786" si="4072">B1785+H1786+I1786+J1786</f>
        <v>43.540000000000006</v>
      </c>
      <c r="C1786" s="3" t="s">
        <v>1957</v>
      </c>
      <c r="D1786">
        <f t="shared" ref="D1786" si="4073">_xlfn.NUMBERVALUE(LEFT(C1786,2))</f>
        <v>5</v>
      </c>
      <c r="E1786">
        <f t="shared" ref="E1786" si="4074">_xlfn.NUMBERVALUE(MID(C1786,4,2))</f>
        <v>1</v>
      </c>
      <c r="F1786">
        <f t="shared" ref="F1786" si="4075">_xlfn.NUMBERVALUE(RIGHT(C1786,4))</f>
        <v>2024</v>
      </c>
      <c r="G1786" t="s">
        <v>7</v>
      </c>
      <c r="H1786">
        <v>-2</v>
      </c>
      <c r="K1786" t="s">
        <v>9</v>
      </c>
      <c r="L1786" s="8">
        <f t="shared" si="3871"/>
        <v>-1</v>
      </c>
      <c r="M1786" t="s">
        <v>1965</v>
      </c>
    </row>
    <row r="1787" spans="1:13" x14ac:dyDescent="0.35">
      <c r="A1787">
        <f t="shared" si="3743"/>
        <v>1783</v>
      </c>
      <c r="B1787" s="9">
        <f t="shared" ref="B1787" si="4076">B1786+H1787+I1787+J1787</f>
        <v>41.540000000000006</v>
      </c>
      <c r="C1787" s="3" t="s">
        <v>1957</v>
      </c>
      <c r="D1787">
        <f t="shared" ref="D1787" si="4077">_xlfn.NUMBERVALUE(LEFT(C1787,2))</f>
        <v>5</v>
      </c>
      <c r="E1787">
        <f t="shared" ref="E1787" si="4078">_xlfn.NUMBERVALUE(MID(C1787,4,2))</f>
        <v>1</v>
      </c>
      <c r="F1787">
        <f t="shared" ref="F1787" si="4079">_xlfn.NUMBERVALUE(RIGHT(C1787,4))</f>
        <v>2024</v>
      </c>
      <c r="G1787" t="s">
        <v>7</v>
      </c>
      <c r="H1787">
        <v>-2</v>
      </c>
      <c r="K1787" t="s">
        <v>9</v>
      </c>
      <c r="L1787" s="8">
        <f t="shared" si="3871"/>
        <v>-1</v>
      </c>
      <c r="M1787" t="s">
        <v>1966</v>
      </c>
    </row>
    <row r="1788" spans="1:13" x14ac:dyDescent="0.35">
      <c r="A1788">
        <f t="shared" si="3743"/>
        <v>1784</v>
      </c>
      <c r="B1788" s="9">
        <f t="shared" ref="B1788" si="4080">B1787+H1788+I1788+J1788</f>
        <v>39.540000000000006</v>
      </c>
      <c r="C1788" s="3" t="s">
        <v>1957</v>
      </c>
      <c r="D1788">
        <f t="shared" ref="D1788" si="4081">_xlfn.NUMBERVALUE(LEFT(C1788,2))</f>
        <v>5</v>
      </c>
      <c r="E1788">
        <f t="shared" ref="E1788" si="4082">_xlfn.NUMBERVALUE(MID(C1788,4,2))</f>
        <v>1</v>
      </c>
      <c r="F1788">
        <f t="shared" ref="F1788" si="4083">_xlfn.NUMBERVALUE(RIGHT(C1788,4))</f>
        <v>2024</v>
      </c>
      <c r="G1788" t="s">
        <v>7</v>
      </c>
      <c r="H1788">
        <v>-2</v>
      </c>
      <c r="K1788" t="s">
        <v>9</v>
      </c>
      <c r="L1788" s="8">
        <f t="shared" si="3871"/>
        <v>-1</v>
      </c>
      <c r="M1788" t="s">
        <v>1967</v>
      </c>
    </row>
    <row r="1789" spans="1:13" x14ac:dyDescent="0.35">
      <c r="A1789">
        <f t="shared" si="3743"/>
        <v>1785</v>
      </c>
      <c r="B1789" s="9">
        <f t="shared" ref="B1789" si="4084">B1788+H1789+I1789+J1789</f>
        <v>37.540000000000006</v>
      </c>
      <c r="C1789" s="3" t="s">
        <v>1957</v>
      </c>
      <c r="D1789">
        <f t="shared" ref="D1789" si="4085">_xlfn.NUMBERVALUE(LEFT(C1789,2))</f>
        <v>5</v>
      </c>
      <c r="E1789">
        <f t="shared" ref="E1789" si="4086">_xlfn.NUMBERVALUE(MID(C1789,4,2))</f>
        <v>1</v>
      </c>
      <c r="F1789">
        <f t="shared" ref="F1789" si="4087">_xlfn.NUMBERVALUE(RIGHT(C1789,4))</f>
        <v>2024</v>
      </c>
      <c r="G1789" t="s">
        <v>7</v>
      </c>
      <c r="H1789">
        <v>-2</v>
      </c>
      <c r="K1789" t="s">
        <v>9</v>
      </c>
      <c r="L1789" s="8">
        <f t="shared" si="3871"/>
        <v>-1</v>
      </c>
      <c r="M1789" t="s">
        <v>1968</v>
      </c>
    </row>
    <row r="1790" spans="1:13" x14ac:dyDescent="0.35">
      <c r="A1790">
        <f t="shared" si="3743"/>
        <v>1786</v>
      </c>
      <c r="B1790" s="9">
        <f t="shared" ref="B1790" si="4088">B1789+H1790+I1790+J1790</f>
        <v>35.540000000000006</v>
      </c>
      <c r="C1790" s="3" t="s">
        <v>1957</v>
      </c>
      <c r="D1790">
        <f t="shared" ref="D1790" si="4089">_xlfn.NUMBERVALUE(LEFT(C1790,2))</f>
        <v>5</v>
      </c>
      <c r="E1790">
        <f t="shared" ref="E1790" si="4090">_xlfn.NUMBERVALUE(MID(C1790,4,2))</f>
        <v>1</v>
      </c>
      <c r="F1790">
        <f t="shared" ref="F1790" si="4091">_xlfn.NUMBERVALUE(RIGHT(C1790,4))</f>
        <v>2024</v>
      </c>
      <c r="G1790" t="s">
        <v>7</v>
      </c>
      <c r="H1790">
        <v>-2</v>
      </c>
      <c r="K1790" t="s">
        <v>9</v>
      </c>
      <c r="L1790" s="8">
        <f t="shared" si="3871"/>
        <v>-1</v>
      </c>
      <c r="M1790" t="s">
        <v>1969</v>
      </c>
    </row>
    <row r="1791" spans="1:13" x14ac:dyDescent="0.35">
      <c r="A1791">
        <f t="shared" si="3743"/>
        <v>1787</v>
      </c>
      <c r="B1791" s="9">
        <f t="shared" ref="B1791" si="4092">B1790+H1791+I1791+J1791</f>
        <v>33.540000000000006</v>
      </c>
      <c r="C1791" s="3" t="s">
        <v>1957</v>
      </c>
      <c r="D1791">
        <f t="shared" ref="D1791" si="4093">_xlfn.NUMBERVALUE(LEFT(C1791,2))</f>
        <v>5</v>
      </c>
      <c r="E1791">
        <f t="shared" ref="E1791" si="4094">_xlfn.NUMBERVALUE(MID(C1791,4,2))</f>
        <v>1</v>
      </c>
      <c r="F1791">
        <f t="shared" ref="F1791" si="4095">_xlfn.NUMBERVALUE(RIGHT(C1791,4))</f>
        <v>2024</v>
      </c>
      <c r="G1791" t="s">
        <v>7</v>
      </c>
      <c r="H1791">
        <v>-2</v>
      </c>
      <c r="K1791" t="s">
        <v>9</v>
      </c>
      <c r="L1791" s="8">
        <f t="shared" si="3871"/>
        <v>-1</v>
      </c>
      <c r="M1791" t="s">
        <v>1970</v>
      </c>
    </row>
    <row r="1792" spans="1:13" x14ac:dyDescent="0.35">
      <c r="A1792">
        <f t="shared" si="3743"/>
        <v>1788</v>
      </c>
      <c r="B1792" s="9">
        <f t="shared" ref="B1792" si="4096">B1791+H1792+I1792+J1792</f>
        <v>31.540000000000006</v>
      </c>
      <c r="C1792" s="3" t="s">
        <v>1957</v>
      </c>
      <c r="D1792">
        <f t="shared" ref="D1792" si="4097">_xlfn.NUMBERVALUE(LEFT(C1792,2))</f>
        <v>5</v>
      </c>
      <c r="E1792">
        <f t="shared" ref="E1792" si="4098">_xlfn.NUMBERVALUE(MID(C1792,4,2))</f>
        <v>1</v>
      </c>
      <c r="F1792">
        <f t="shared" ref="F1792" si="4099">_xlfn.NUMBERVALUE(RIGHT(C1792,4))</f>
        <v>2024</v>
      </c>
      <c r="G1792" t="s">
        <v>7</v>
      </c>
      <c r="H1792">
        <v>-2</v>
      </c>
      <c r="K1792" t="s">
        <v>9</v>
      </c>
      <c r="L1792" s="8">
        <f t="shared" si="3871"/>
        <v>-1</v>
      </c>
      <c r="M1792" t="s">
        <v>1971</v>
      </c>
    </row>
    <row r="1793" spans="1:13" x14ac:dyDescent="0.35">
      <c r="A1793">
        <f t="shared" si="3743"/>
        <v>1789</v>
      </c>
      <c r="B1793" s="9">
        <f t="shared" ref="B1793" si="4100">B1792+H1793+I1793+J1793</f>
        <v>26.540000000000006</v>
      </c>
      <c r="C1793" s="3" t="s">
        <v>1957</v>
      </c>
      <c r="D1793">
        <f t="shared" ref="D1793" si="4101">_xlfn.NUMBERVALUE(LEFT(C1793,2))</f>
        <v>5</v>
      </c>
      <c r="E1793">
        <f t="shared" ref="E1793" si="4102">_xlfn.NUMBERVALUE(MID(C1793,4,2))</f>
        <v>1</v>
      </c>
      <c r="F1793">
        <f t="shared" ref="F1793" si="4103">_xlfn.NUMBERVALUE(RIGHT(C1793,4))</f>
        <v>2024</v>
      </c>
      <c r="G1793" t="s">
        <v>7</v>
      </c>
      <c r="H1793">
        <v>-5</v>
      </c>
      <c r="K1793" t="s">
        <v>9</v>
      </c>
      <c r="L1793" s="8">
        <f t="shared" si="3871"/>
        <v>-1</v>
      </c>
      <c r="M1793" t="s">
        <v>1972</v>
      </c>
    </row>
    <row r="1794" spans="1:13" x14ac:dyDescent="0.35">
      <c r="A1794">
        <f t="shared" si="3743"/>
        <v>1790</v>
      </c>
      <c r="B1794" s="9">
        <f t="shared" ref="B1794" si="4104">B1793+H1794+I1794+J1794</f>
        <v>21.540000000000006</v>
      </c>
      <c r="C1794" s="3" t="s">
        <v>1957</v>
      </c>
      <c r="D1794">
        <f t="shared" ref="D1794" si="4105">_xlfn.NUMBERVALUE(LEFT(C1794,2))</f>
        <v>5</v>
      </c>
      <c r="E1794">
        <f t="shared" ref="E1794" si="4106">_xlfn.NUMBERVALUE(MID(C1794,4,2))</f>
        <v>1</v>
      </c>
      <c r="F1794">
        <f t="shared" ref="F1794" si="4107">_xlfn.NUMBERVALUE(RIGHT(C1794,4))</f>
        <v>2024</v>
      </c>
      <c r="G1794" t="s">
        <v>7</v>
      </c>
      <c r="H1794">
        <v>-5</v>
      </c>
      <c r="K1794" t="s">
        <v>9</v>
      </c>
      <c r="L1794" s="8">
        <f t="shared" si="3871"/>
        <v>-1</v>
      </c>
      <c r="M1794" t="s">
        <v>1973</v>
      </c>
    </row>
    <row r="1795" spans="1:13" x14ac:dyDescent="0.35">
      <c r="A1795">
        <f t="shared" si="3743"/>
        <v>1791</v>
      </c>
      <c r="B1795" s="9">
        <f t="shared" ref="B1795" si="4108">B1794+H1795+I1795+J1795</f>
        <v>26.540000000000006</v>
      </c>
      <c r="C1795" s="3" t="s">
        <v>1957</v>
      </c>
      <c r="D1795">
        <f t="shared" ref="D1795" si="4109">_xlfn.NUMBERVALUE(LEFT(C1795,2))</f>
        <v>5</v>
      </c>
      <c r="E1795">
        <f t="shared" ref="E1795" si="4110">_xlfn.NUMBERVALUE(MID(C1795,4,2))</f>
        <v>1</v>
      </c>
      <c r="F1795">
        <f t="shared" ref="F1795" si="4111">_xlfn.NUMBERVALUE(RIGHT(C1795,4))</f>
        <v>2024</v>
      </c>
      <c r="G1795" t="s">
        <v>7</v>
      </c>
      <c r="H1795">
        <v>-5</v>
      </c>
      <c r="I1795">
        <v>10</v>
      </c>
      <c r="K1795" t="s">
        <v>10</v>
      </c>
      <c r="L1795" s="8">
        <f t="shared" si="3871"/>
        <v>1</v>
      </c>
      <c r="M1795" t="s">
        <v>1974</v>
      </c>
    </row>
    <row r="1796" spans="1:13" x14ac:dyDescent="0.35">
      <c r="A1796">
        <f t="shared" si="3743"/>
        <v>1792</v>
      </c>
      <c r="B1796" s="9">
        <f t="shared" ref="B1796" si="4112">B1795+H1796+I1796+J1796</f>
        <v>41.540000000000006</v>
      </c>
      <c r="C1796" s="3" t="s">
        <v>1957</v>
      </c>
      <c r="D1796">
        <f t="shared" ref="D1796" si="4113">_xlfn.NUMBERVALUE(LEFT(C1796,2))</f>
        <v>5</v>
      </c>
      <c r="E1796">
        <f t="shared" ref="E1796" si="4114">_xlfn.NUMBERVALUE(MID(C1796,4,2))</f>
        <v>1</v>
      </c>
      <c r="F1796">
        <f t="shared" ref="F1796" si="4115">_xlfn.NUMBERVALUE(RIGHT(C1796,4))</f>
        <v>2024</v>
      </c>
      <c r="G1796" t="s">
        <v>7</v>
      </c>
      <c r="H1796">
        <v>-5</v>
      </c>
      <c r="I1796">
        <v>20</v>
      </c>
      <c r="K1796" t="s">
        <v>10</v>
      </c>
      <c r="L1796" s="8">
        <f t="shared" si="3871"/>
        <v>3</v>
      </c>
      <c r="M1796" t="s">
        <v>1975</v>
      </c>
    </row>
    <row r="1797" spans="1:13" x14ac:dyDescent="0.35">
      <c r="A1797">
        <f t="shared" si="3743"/>
        <v>1793</v>
      </c>
      <c r="B1797" s="9">
        <f t="shared" ref="B1797" si="4116">B1796+H1797+I1797+J1797</f>
        <v>36.540000000000006</v>
      </c>
      <c r="C1797" s="3" t="s">
        <v>1957</v>
      </c>
      <c r="D1797">
        <f t="shared" ref="D1797" si="4117">_xlfn.NUMBERVALUE(LEFT(C1797,2))</f>
        <v>5</v>
      </c>
      <c r="E1797">
        <f t="shared" ref="E1797" si="4118">_xlfn.NUMBERVALUE(MID(C1797,4,2))</f>
        <v>1</v>
      </c>
      <c r="F1797">
        <f t="shared" ref="F1797" si="4119">_xlfn.NUMBERVALUE(RIGHT(C1797,4))</f>
        <v>2024</v>
      </c>
      <c r="G1797" t="s">
        <v>7</v>
      </c>
      <c r="H1797">
        <v>-5</v>
      </c>
      <c r="K1797" t="s">
        <v>9</v>
      </c>
      <c r="L1797" s="8">
        <f t="shared" si="3871"/>
        <v>-1</v>
      </c>
      <c r="M1797" t="s">
        <v>1976</v>
      </c>
    </row>
    <row r="1798" spans="1:13" x14ac:dyDescent="0.35">
      <c r="A1798">
        <f t="shared" si="3743"/>
        <v>1794</v>
      </c>
      <c r="B1798" s="9">
        <f>B1797+H1798+I1798+J1798</f>
        <v>56.540000000000006</v>
      </c>
      <c r="C1798" s="3" t="s">
        <v>1957</v>
      </c>
      <c r="D1798">
        <f t="shared" ref="D1798" si="4120">_xlfn.NUMBERVALUE(LEFT(C1798,2))</f>
        <v>5</v>
      </c>
      <c r="E1798">
        <f t="shared" ref="E1798" si="4121">_xlfn.NUMBERVALUE(MID(C1798,4,2))</f>
        <v>1</v>
      </c>
      <c r="F1798">
        <f t="shared" ref="F1798" si="4122">_xlfn.NUMBERVALUE(RIGHT(C1798,4))</f>
        <v>2024</v>
      </c>
      <c r="G1798" t="s">
        <v>7</v>
      </c>
      <c r="I1798">
        <v>20</v>
      </c>
      <c r="K1798" t="s">
        <v>10</v>
      </c>
      <c r="L1798" s="8">
        <f t="shared" ref="L1798:L1861" si="4123">IF(H1798="",0,(SUM(I1798:J1798)/-H1798)-1)</f>
        <v>0</v>
      </c>
      <c r="M1798" t="s">
        <v>1977</v>
      </c>
    </row>
    <row r="1799" spans="1:13" x14ac:dyDescent="0.35">
      <c r="A1799">
        <f t="shared" si="3743"/>
        <v>1795</v>
      </c>
      <c r="B1799" s="9">
        <f>B1798+H1799+I1799+J1799</f>
        <v>54.540000000000006</v>
      </c>
      <c r="C1799" s="3" t="s">
        <v>1957</v>
      </c>
      <c r="D1799">
        <f t="shared" ref="D1799" si="4124">_xlfn.NUMBERVALUE(LEFT(C1799,2))</f>
        <v>5</v>
      </c>
      <c r="E1799">
        <f t="shared" ref="E1799" si="4125">_xlfn.NUMBERVALUE(MID(C1799,4,2))</f>
        <v>1</v>
      </c>
      <c r="F1799">
        <f t="shared" ref="F1799" si="4126">_xlfn.NUMBERVALUE(RIGHT(C1799,4))</f>
        <v>2024</v>
      </c>
      <c r="G1799" t="s">
        <v>7</v>
      </c>
      <c r="H1799">
        <v>-2</v>
      </c>
      <c r="K1799" t="s">
        <v>9</v>
      </c>
      <c r="L1799" s="8">
        <f t="shared" si="4123"/>
        <v>-1</v>
      </c>
      <c r="M1799" t="s">
        <v>1978</v>
      </c>
    </row>
    <row r="1800" spans="1:13" x14ac:dyDescent="0.35">
      <c r="A1800">
        <f t="shared" si="3743"/>
        <v>1796</v>
      </c>
      <c r="B1800" s="9">
        <f t="shared" ref="B1800" si="4127">B1799+H1800+I1800+J1800</f>
        <v>52.540000000000006</v>
      </c>
      <c r="C1800" s="3" t="s">
        <v>1957</v>
      </c>
      <c r="D1800">
        <f t="shared" ref="D1800" si="4128">_xlfn.NUMBERVALUE(LEFT(C1800,2))</f>
        <v>5</v>
      </c>
      <c r="E1800">
        <f t="shared" ref="E1800" si="4129">_xlfn.NUMBERVALUE(MID(C1800,4,2))</f>
        <v>1</v>
      </c>
      <c r="F1800">
        <f t="shared" ref="F1800" si="4130">_xlfn.NUMBERVALUE(RIGHT(C1800,4))</f>
        <v>2024</v>
      </c>
      <c r="G1800" t="s">
        <v>7</v>
      </c>
      <c r="H1800">
        <v>-2</v>
      </c>
      <c r="K1800" t="s">
        <v>9</v>
      </c>
      <c r="L1800" s="8">
        <f t="shared" si="4123"/>
        <v>-1</v>
      </c>
      <c r="M1800" t="s">
        <v>1979</v>
      </c>
    </row>
    <row r="1801" spans="1:13" x14ac:dyDescent="0.35">
      <c r="A1801">
        <f t="shared" si="3743"/>
        <v>1797</v>
      </c>
      <c r="B1801" s="9">
        <f t="shared" ref="B1801" si="4131">B1800+H1801+I1801+J1801</f>
        <v>54.540000000000006</v>
      </c>
      <c r="C1801" s="3" t="s">
        <v>1957</v>
      </c>
      <c r="D1801">
        <f t="shared" ref="D1801" si="4132">_xlfn.NUMBERVALUE(LEFT(C1801,2))</f>
        <v>5</v>
      </c>
      <c r="E1801">
        <f t="shared" ref="E1801" si="4133">_xlfn.NUMBERVALUE(MID(C1801,4,2))</f>
        <v>1</v>
      </c>
      <c r="F1801">
        <f t="shared" ref="F1801" si="4134">_xlfn.NUMBERVALUE(RIGHT(C1801,4))</f>
        <v>2024</v>
      </c>
      <c r="G1801" t="s">
        <v>7</v>
      </c>
      <c r="H1801">
        <v>-2</v>
      </c>
      <c r="I1801">
        <v>4</v>
      </c>
      <c r="K1801" t="s">
        <v>10</v>
      </c>
      <c r="L1801" s="8">
        <f t="shared" si="4123"/>
        <v>1</v>
      </c>
      <c r="M1801" t="s">
        <v>1980</v>
      </c>
    </row>
    <row r="1802" spans="1:13" x14ac:dyDescent="0.35">
      <c r="A1802">
        <f t="shared" si="3743"/>
        <v>1798</v>
      </c>
      <c r="B1802" s="9">
        <f t="shared" ref="B1802" si="4135">B1801+H1802+I1802+J1802</f>
        <v>52.540000000000006</v>
      </c>
      <c r="C1802" s="3" t="s">
        <v>1957</v>
      </c>
      <c r="D1802">
        <f t="shared" ref="D1802" si="4136">_xlfn.NUMBERVALUE(LEFT(C1802,2))</f>
        <v>5</v>
      </c>
      <c r="E1802">
        <f t="shared" ref="E1802" si="4137">_xlfn.NUMBERVALUE(MID(C1802,4,2))</f>
        <v>1</v>
      </c>
      <c r="F1802">
        <f t="shared" ref="F1802" si="4138">_xlfn.NUMBERVALUE(RIGHT(C1802,4))</f>
        <v>2024</v>
      </c>
      <c r="G1802" t="s">
        <v>7</v>
      </c>
      <c r="H1802">
        <v>-2</v>
      </c>
      <c r="K1802" t="s">
        <v>9</v>
      </c>
      <c r="L1802" s="8">
        <f t="shared" si="4123"/>
        <v>-1</v>
      </c>
      <c r="M1802" t="s">
        <v>1981</v>
      </c>
    </row>
    <row r="1803" spans="1:13" x14ac:dyDescent="0.35">
      <c r="A1803">
        <f t="shared" si="3743"/>
        <v>1799</v>
      </c>
      <c r="B1803" s="9">
        <f t="shared" ref="B1803" si="4139">B1802+H1803+I1803+J1803</f>
        <v>50.540000000000006</v>
      </c>
      <c r="C1803" s="3" t="s">
        <v>1957</v>
      </c>
      <c r="D1803">
        <f t="shared" ref="D1803" si="4140">_xlfn.NUMBERVALUE(LEFT(C1803,2))</f>
        <v>5</v>
      </c>
      <c r="E1803">
        <f t="shared" ref="E1803" si="4141">_xlfn.NUMBERVALUE(MID(C1803,4,2))</f>
        <v>1</v>
      </c>
      <c r="F1803">
        <f t="shared" ref="F1803" si="4142">_xlfn.NUMBERVALUE(RIGHT(C1803,4))</f>
        <v>2024</v>
      </c>
      <c r="G1803" t="s">
        <v>7</v>
      </c>
      <c r="H1803">
        <v>-2</v>
      </c>
      <c r="K1803" t="s">
        <v>9</v>
      </c>
      <c r="L1803" s="8">
        <f t="shared" si="4123"/>
        <v>-1</v>
      </c>
      <c r="M1803" t="s">
        <v>1982</v>
      </c>
    </row>
    <row r="1804" spans="1:13" x14ac:dyDescent="0.35">
      <c r="A1804">
        <f t="shared" si="3743"/>
        <v>1800</v>
      </c>
      <c r="B1804" s="9">
        <f t="shared" ref="B1804" si="4143">B1803+H1804+I1804+J1804</f>
        <v>48.540000000000006</v>
      </c>
      <c r="C1804" s="3" t="s">
        <v>1957</v>
      </c>
      <c r="D1804">
        <f t="shared" ref="D1804" si="4144">_xlfn.NUMBERVALUE(LEFT(C1804,2))</f>
        <v>5</v>
      </c>
      <c r="E1804">
        <f t="shared" ref="E1804" si="4145">_xlfn.NUMBERVALUE(MID(C1804,4,2))</f>
        <v>1</v>
      </c>
      <c r="F1804">
        <f t="shared" ref="F1804" si="4146">_xlfn.NUMBERVALUE(RIGHT(C1804,4))</f>
        <v>2024</v>
      </c>
      <c r="G1804" t="s">
        <v>7</v>
      </c>
      <c r="H1804">
        <v>-2</v>
      </c>
      <c r="K1804" t="s">
        <v>9</v>
      </c>
      <c r="L1804" s="8">
        <f t="shared" si="4123"/>
        <v>-1</v>
      </c>
      <c r="M1804" t="s">
        <v>1983</v>
      </c>
    </row>
    <row r="1805" spans="1:13" x14ac:dyDescent="0.35">
      <c r="A1805">
        <f t="shared" si="3743"/>
        <v>1801</v>
      </c>
      <c r="B1805" s="9">
        <f t="shared" ref="B1805" si="4147">B1804+H1805+I1805+J1805</f>
        <v>52.540000000000006</v>
      </c>
      <c r="C1805" s="3" t="s">
        <v>1957</v>
      </c>
      <c r="D1805">
        <f t="shared" ref="D1805" si="4148">_xlfn.NUMBERVALUE(LEFT(C1805,2))</f>
        <v>5</v>
      </c>
      <c r="E1805">
        <f t="shared" ref="E1805" si="4149">_xlfn.NUMBERVALUE(MID(C1805,4,2))</f>
        <v>1</v>
      </c>
      <c r="F1805">
        <f t="shared" ref="F1805" si="4150">_xlfn.NUMBERVALUE(RIGHT(C1805,4))</f>
        <v>2024</v>
      </c>
      <c r="G1805" t="s">
        <v>7</v>
      </c>
      <c r="H1805">
        <v>-2</v>
      </c>
      <c r="I1805">
        <v>6</v>
      </c>
      <c r="K1805" t="s">
        <v>10</v>
      </c>
      <c r="L1805" s="8">
        <f t="shared" si="4123"/>
        <v>2</v>
      </c>
      <c r="M1805" t="s">
        <v>1984</v>
      </c>
    </row>
    <row r="1806" spans="1:13" x14ac:dyDescent="0.35">
      <c r="A1806">
        <f t="shared" si="3743"/>
        <v>1802</v>
      </c>
      <c r="B1806" s="9">
        <f t="shared" ref="B1806" si="4151">B1805+H1806+I1806+J1806</f>
        <v>54.540000000000006</v>
      </c>
      <c r="C1806" s="3" t="s">
        <v>1957</v>
      </c>
      <c r="D1806">
        <f t="shared" ref="D1806" si="4152">_xlfn.NUMBERVALUE(LEFT(C1806,2))</f>
        <v>5</v>
      </c>
      <c r="E1806">
        <f t="shared" ref="E1806" si="4153">_xlfn.NUMBERVALUE(MID(C1806,4,2))</f>
        <v>1</v>
      </c>
      <c r="F1806">
        <f t="shared" ref="F1806" si="4154">_xlfn.NUMBERVALUE(RIGHT(C1806,4))</f>
        <v>2024</v>
      </c>
      <c r="G1806" t="s">
        <v>7</v>
      </c>
      <c r="H1806">
        <v>-2</v>
      </c>
      <c r="I1806">
        <v>4</v>
      </c>
      <c r="K1806" t="s">
        <v>10</v>
      </c>
      <c r="L1806" s="8">
        <f t="shared" si="4123"/>
        <v>1</v>
      </c>
      <c r="M1806" t="s">
        <v>1985</v>
      </c>
    </row>
    <row r="1807" spans="1:13" x14ac:dyDescent="0.35">
      <c r="A1807">
        <f t="shared" si="3743"/>
        <v>1803</v>
      </c>
      <c r="B1807" s="9">
        <f t="shared" ref="B1807" si="4155">B1806+H1807+I1807+J1807</f>
        <v>56.540000000000006</v>
      </c>
      <c r="C1807" s="3" t="s">
        <v>1957</v>
      </c>
      <c r="D1807">
        <f t="shared" ref="D1807" si="4156">_xlfn.NUMBERVALUE(LEFT(C1807,2))</f>
        <v>5</v>
      </c>
      <c r="E1807">
        <f t="shared" ref="E1807" si="4157">_xlfn.NUMBERVALUE(MID(C1807,4,2))</f>
        <v>1</v>
      </c>
      <c r="F1807">
        <f t="shared" ref="F1807" si="4158">_xlfn.NUMBERVALUE(RIGHT(C1807,4))</f>
        <v>2024</v>
      </c>
      <c r="G1807" t="s">
        <v>7</v>
      </c>
      <c r="H1807">
        <v>-2</v>
      </c>
      <c r="I1807">
        <v>4</v>
      </c>
      <c r="K1807" t="s">
        <v>10</v>
      </c>
      <c r="L1807" s="8">
        <f t="shared" si="4123"/>
        <v>1</v>
      </c>
      <c r="M1807" t="s">
        <v>1986</v>
      </c>
    </row>
    <row r="1808" spans="1:13" x14ac:dyDescent="0.35">
      <c r="A1808">
        <f t="shared" si="3743"/>
        <v>1804</v>
      </c>
      <c r="B1808" s="9">
        <f t="shared" ref="B1808" si="4159">B1807+H1808+I1808+J1808</f>
        <v>60.540000000000006</v>
      </c>
      <c r="C1808" s="3" t="s">
        <v>1957</v>
      </c>
      <c r="D1808">
        <f t="shared" ref="D1808" si="4160">_xlfn.NUMBERVALUE(LEFT(C1808,2))</f>
        <v>5</v>
      </c>
      <c r="E1808">
        <f t="shared" ref="E1808" si="4161">_xlfn.NUMBERVALUE(MID(C1808,4,2))</f>
        <v>1</v>
      </c>
      <c r="F1808">
        <f t="shared" ref="F1808" si="4162">_xlfn.NUMBERVALUE(RIGHT(C1808,4))</f>
        <v>2024</v>
      </c>
      <c r="G1808" t="s">
        <v>7</v>
      </c>
      <c r="H1808">
        <v>-2</v>
      </c>
      <c r="I1808">
        <v>6</v>
      </c>
      <c r="K1808" t="s">
        <v>10</v>
      </c>
      <c r="L1808" s="8">
        <f t="shared" si="4123"/>
        <v>2</v>
      </c>
      <c r="M1808" t="s">
        <v>1987</v>
      </c>
    </row>
    <row r="1809" spans="1:13" x14ac:dyDescent="0.35">
      <c r="A1809">
        <f t="shared" si="3743"/>
        <v>1805</v>
      </c>
      <c r="B1809" s="9">
        <f t="shared" ref="B1809" si="4163">B1808+H1809+I1809+J1809</f>
        <v>58.540000000000006</v>
      </c>
      <c r="C1809" s="3" t="s">
        <v>1957</v>
      </c>
      <c r="D1809">
        <f t="shared" ref="D1809" si="4164">_xlfn.NUMBERVALUE(LEFT(C1809,2))</f>
        <v>5</v>
      </c>
      <c r="E1809">
        <f t="shared" ref="E1809" si="4165">_xlfn.NUMBERVALUE(MID(C1809,4,2))</f>
        <v>1</v>
      </c>
      <c r="F1809">
        <f t="shared" ref="F1809" si="4166">_xlfn.NUMBERVALUE(RIGHT(C1809,4))</f>
        <v>2024</v>
      </c>
      <c r="G1809" t="s">
        <v>7</v>
      </c>
      <c r="H1809">
        <v>-2</v>
      </c>
      <c r="K1809" t="s">
        <v>9</v>
      </c>
      <c r="L1809" s="8">
        <f t="shared" si="4123"/>
        <v>-1</v>
      </c>
      <c r="M1809" t="s">
        <v>1988</v>
      </c>
    </row>
    <row r="1810" spans="1:13" x14ac:dyDescent="0.35">
      <c r="A1810">
        <f t="shared" si="3743"/>
        <v>1806</v>
      </c>
      <c r="B1810" s="9">
        <f t="shared" ref="B1810" si="4167">B1809+H1810+I1810+J1810</f>
        <v>56.540000000000006</v>
      </c>
      <c r="C1810" s="3" t="s">
        <v>1957</v>
      </c>
      <c r="D1810">
        <f t="shared" ref="D1810" si="4168">_xlfn.NUMBERVALUE(LEFT(C1810,2))</f>
        <v>5</v>
      </c>
      <c r="E1810">
        <f t="shared" ref="E1810" si="4169">_xlfn.NUMBERVALUE(MID(C1810,4,2))</f>
        <v>1</v>
      </c>
      <c r="F1810">
        <f t="shared" ref="F1810" si="4170">_xlfn.NUMBERVALUE(RIGHT(C1810,4))</f>
        <v>2024</v>
      </c>
      <c r="G1810" t="s">
        <v>7</v>
      </c>
      <c r="H1810">
        <v>-2</v>
      </c>
      <c r="K1810" t="s">
        <v>9</v>
      </c>
      <c r="L1810" s="8">
        <f t="shared" si="4123"/>
        <v>-1</v>
      </c>
      <c r="M1810" t="s">
        <v>1989</v>
      </c>
    </row>
    <row r="1811" spans="1:13" x14ac:dyDescent="0.35">
      <c r="A1811">
        <f t="shared" si="3743"/>
        <v>1807</v>
      </c>
      <c r="B1811" s="9">
        <f t="shared" ref="B1811" si="4171">B1810+H1811+I1811+J1811</f>
        <v>58.540000000000006</v>
      </c>
      <c r="C1811" s="3" t="s">
        <v>1957</v>
      </c>
      <c r="D1811">
        <f t="shared" ref="D1811" si="4172">_xlfn.NUMBERVALUE(LEFT(C1811,2))</f>
        <v>5</v>
      </c>
      <c r="E1811">
        <f t="shared" ref="E1811" si="4173">_xlfn.NUMBERVALUE(MID(C1811,4,2))</f>
        <v>1</v>
      </c>
      <c r="F1811">
        <f t="shared" ref="F1811" si="4174">_xlfn.NUMBERVALUE(RIGHT(C1811,4))</f>
        <v>2024</v>
      </c>
      <c r="G1811" t="s">
        <v>7</v>
      </c>
      <c r="H1811">
        <v>-2</v>
      </c>
      <c r="I1811">
        <v>4</v>
      </c>
      <c r="K1811" t="s">
        <v>10</v>
      </c>
      <c r="L1811" s="8">
        <f t="shared" si="4123"/>
        <v>1</v>
      </c>
      <c r="M1811" t="s">
        <v>1990</v>
      </c>
    </row>
    <row r="1812" spans="1:13" x14ac:dyDescent="0.35">
      <c r="A1812">
        <f t="shared" si="3743"/>
        <v>1808</v>
      </c>
      <c r="B1812" s="9">
        <f t="shared" ref="B1812" si="4175">B1811+H1812+I1812+J1812</f>
        <v>56.540000000000006</v>
      </c>
      <c r="C1812" s="3" t="s">
        <v>1957</v>
      </c>
      <c r="D1812">
        <f t="shared" ref="D1812" si="4176">_xlfn.NUMBERVALUE(LEFT(C1812,2))</f>
        <v>5</v>
      </c>
      <c r="E1812">
        <f t="shared" ref="E1812" si="4177">_xlfn.NUMBERVALUE(MID(C1812,4,2))</f>
        <v>1</v>
      </c>
      <c r="F1812">
        <f t="shared" ref="F1812" si="4178">_xlfn.NUMBERVALUE(RIGHT(C1812,4))</f>
        <v>2024</v>
      </c>
      <c r="G1812" t="s">
        <v>7</v>
      </c>
      <c r="H1812">
        <v>-2</v>
      </c>
      <c r="K1812" t="s">
        <v>9</v>
      </c>
      <c r="L1812" s="8">
        <f t="shared" si="4123"/>
        <v>-1</v>
      </c>
      <c r="M1812" t="s">
        <v>1991</v>
      </c>
    </row>
    <row r="1813" spans="1:13" x14ac:dyDescent="0.35">
      <c r="A1813">
        <f t="shared" si="3743"/>
        <v>1809</v>
      </c>
      <c r="B1813" s="9">
        <f t="shared" ref="B1813" si="4179">B1812+H1813+I1813+J1813</f>
        <v>54.540000000000006</v>
      </c>
      <c r="C1813" s="3" t="s">
        <v>1957</v>
      </c>
      <c r="D1813">
        <f t="shared" ref="D1813" si="4180">_xlfn.NUMBERVALUE(LEFT(C1813,2))</f>
        <v>5</v>
      </c>
      <c r="E1813">
        <f t="shared" ref="E1813" si="4181">_xlfn.NUMBERVALUE(MID(C1813,4,2))</f>
        <v>1</v>
      </c>
      <c r="F1813">
        <f t="shared" ref="F1813" si="4182">_xlfn.NUMBERVALUE(RIGHT(C1813,4))</f>
        <v>2024</v>
      </c>
      <c r="G1813" t="s">
        <v>7</v>
      </c>
      <c r="H1813">
        <v>-2</v>
      </c>
      <c r="K1813" t="s">
        <v>9</v>
      </c>
      <c r="L1813" s="8">
        <f t="shared" si="4123"/>
        <v>-1</v>
      </c>
      <c r="M1813" t="s">
        <v>1992</v>
      </c>
    </row>
    <row r="1814" spans="1:13" x14ac:dyDescent="0.35">
      <c r="A1814">
        <f t="shared" si="3743"/>
        <v>1810</v>
      </c>
      <c r="B1814" s="9">
        <f t="shared" ref="B1814" si="4183">B1813+H1814+I1814+J1814</f>
        <v>52.540000000000006</v>
      </c>
      <c r="C1814" s="3" t="s">
        <v>1957</v>
      </c>
      <c r="D1814">
        <f t="shared" ref="D1814" si="4184">_xlfn.NUMBERVALUE(LEFT(C1814,2))</f>
        <v>5</v>
      </c>
      <c r="E1814">
        <f t="shared" ref="E1814" si="4185">_xlfn.NUMBERVALUE(MID(C1814,4,2))</f>
        <v>1</v>
      </c>
      <c r="F1814">
        <f t="shared" ref="F1814" si="4186">_xlfn.NUMBERVALUE(RIGHT(C1814,4))</f>
        <v>2024</v>
      </c>
      <c r="G1814" t="s">
        <v>7</v>
      </c>
      <c r="H1814">
        <v>-2</v>
      </c>
      <c r="K1814" t="s">
        <v>9</v>
      </c>
      <c r="L1814" s="8">
        <f t="shared" si="4123"/>
        <v>-1</v>
      </c>
      <c r="M1814" t="s">
        <v>1993</v>
      </c>
    </row>
    <row r="1815" spans="1:13" x14ac:dyDescent="0.35">
      <c r="A1815">
        <f t="shared" si="3743"/>
        <v>1811</v>
      </c>
      <c r="B1815" s="9">
        <f t="shared" ref="B1815" si="4187">B1814+H1815+I1815+J1815</f>
        <v>50.540000000000006</v>
      </c>
      <c r="C1815" s="3" t="s">
        <v>1957</v>
      </c>
      <c r="D1815">
        <f t="shared" ref="D1815" si="4188">_xlfn.NUMBERVALUE(LEFT(C1815,2))</f>
        <v>5</v>
      </c>
      <c r="E1815">
        <f t="shared" ref="E1815" si="4189">_xlfn.NUMBERVALUE(MID(C1815,4,2))</f>
        <v>1</v>
      </c>
      <c r="F1815">
        <f t="shared" ref="F1815" si="4190">_xlfn.NUMBERVALUE(RIGHT(C1815,4))</f>
        <v>2024</v>
      </c>
      <c r="G1815" t="s">
        <v>7</v>
      </c>
      <c r="H1815">
        <v>-2</v>
      </c>
      <c r="K1815" t="s">
        <v>9</v>
      </c>
      <c r="L1815" s="8">
        <f t="shared" si="4123"/>
        <v>-1</v>
      </c>
      <c r="M1815" t="s">
        <v>1994</v>
      </c>
    </row>
    <row r="1816" spans="1:13" x14ac:dyDescent="0.35">
      <c r="A1816">
        <f t="shared" si="3743"/>
        <v>1812</v>
      </c>
      <c r="B1816" s="9">
        <f t="shared" ref="B1816:B1817" si="4191">B1815+H1816+I1816+J1816</f>
        <v>45.040000000000006</v>
      </c>
      <c r="C1816" s="3" t="s">
        <v>1995</v>
      </c>
      <c r="D1816">
        <f t="shared" ref="D1816:D1817" si="4192">_xlfn.NUMBERVALUE(LEFT(C1816,2))</f>
        <v>6</v>
      </c>
      <c r="E1816">
        <f t="shared" ref="E1816:E1817" si="4193">_xlfn.NUMBERVALUE(MID(C1816,4,2))</f>
        <v>1</v>
      </c>
      <c r="F1816">
        <f t="shared" ref="F1816:F1817" si="4194">_xlfn.NUMBERVALUE(RIGHT(C1816,4))</f>
        <v>2024</v>
      </c>
      <c r="G1816" t="s">
        <v>44</v>
      </c>
      <c r="H1816">
        <v>-5.5</v>
      </c>
      <c r="K1816" t="s">
        <v>9</v>
      </c>
      <c r="L1816" s="8">
        <f t="shared" si="4123"/>
        <v>-1</v>
      </c>
      <c r="M1816" t="s">
        <v>1996</v>
      </c>
    </row>
    <row r="1817" spans="1:13" x14ac:dyDescent="0.35">
      <c r="A1817">
        <f t="shared" si="3743"/>
        <v>1813</v>
      </c>
      <c r="B1817" s="9">
        <f t="shared" si="4191"/>
        <v>49.040000000000006</v>
      </c>
      <c r="C1817" s="3" t="s">
        <v>1995</v>
      </c>
      <c r="D1817">
        <f t="shared" si="4192"/>
        <v>6</v>
      </c>
      <c r="E1817">
        <f t="shared" si="4193"/>
        <v>1</v>
      </c>
      <c r="F1817">
        <f t="shared" si="4194"/>
        <v>2024</v>
      </c>
      <c r="G1817" t="s">
        <v>7</v>
      </c>
      <c r="H1817">
        <v>-2</v>
      </c>
      <c r="I1817">
        <v>6</v>
      </c>
      <c r="K1817" t="s">
        <v>10</v>
      </c>
      <c r="L1817" s="8">
        <f t="shared" si="4123"/>
        <v>2</v>
      </c>
      <c r="M1817" t="s">
        <v>1997</v>
      </c>
    </row>
    <row r="1818" spans="1:13" x14ac:dyDescent="0.35">
      <c r="A1818">
        <f t="shared" si="3743"/>
        <v>1814</v>
      </c>
      <c r="B1818" s="9">
        <f t="shared" ref="B1818" si="4195">B1817+H1818+I1818+J1818</f>
        <v>47.040000000000006</v>
      </c>
      <c r="C1818" s="3" t="s">
        <v>1995</v>
      </c>
      <c r="D1818">
        <f t="shared" ref="D1818" si="4196">_xlfn.NUMBERVALUE(LEFT(C1818,2))</f>
        <v>6</v>
      </c>
      <c r="E1818">
        <f t="shared" ref="E1818" si="4197">_xlfn.NUMBERVALUE(MID(C1818,4,2))</f>
        <v>1</v>
      </c>
      <c r="F1818">
        <f t="shared" ref="F1818" si="4198">_xlfn.NUMBERVALUE(RIGHT(C1818,4))</f>
        <v>2024</v>
      </c>
      <c r="G1818" t="s">
        <v>7</v>
      </c>
      <c r="H1818">
        <v>-2</v>
      </c>
      <c r="K1818" t="s">
        <v>9</v>
      </c>
      <c r="L1818" s="8">
        <f t="shared" si="4123"/>
        <v>-1</v>
      </c>
      <c r="M1818" t="s">
        <v>1998</v>
      </c>
    </row>
    <row r="1819" spans="1:13" x14ac:dyDescent="0.35">
      <c r="A1819">
        <f t="shared" si="3743"/>
        <v>1815</v>
      </c>
      <c r="B1819" s="9">
        <f t="shared" ref="B1819" si="4199">B1818+H1819+I1819+J1819</f>
        <v>45.040000000000006</v>
      </c>
      <c r="C1819" s="3" t="s">
        <v>1995</v>
      </c>
      <c r="D1819">
        <f t="shared" ref="D1819" si="4200">_xlfn.NUMBERVALUE(LEFT(C1819,2))</f>
        <v>6</v>
      </c>
      <c r="E1819">
        <f t="shared" ref="E1819" si="4201">_xlfn.NUMBERVALUE(MID(C1819,4,2))</f>
        <v>1</v>
      </c>
      <c r="F1819">
        <f t="shared" ref="F1819" si="4202">_xlfn.NUMBERVALUE(RIGHT(C1819,4))</f>
        <v>2024</v>
      </c>
      <c r="G1819" t="s">
        <v>7</v>
      </c>
      <c r="H1819">
        <v>-2</v>
      </c>
      <c r="K1819" t="s">
        <v>9</v>
      </c>
      <c r="L1819" s="8">
        <f t="shared" si="4123"/>
        <v>-1</v>
      </c>
      <c r="M1819" t="s">
        <v>1999</v>
      </c>
    </row>
    <row r="1820" spans="1:13" x14ac:dyDescent="0.35">
      <c r="A1820">
        <f t="shared" si="3743"/>
        <v>1816</v>
      </c>
      <c r="B1820" s="9">
        <f t="shared" ref="B1820" si="4203">B1819+H1820+I1820+J1820</f>
        <v>43.040000000000006</v>
      </c>
      <c r="C1820" s="3" t="s">
        <v>1995</v>
      </c>
      <c r="D1820">
        <f t="shared" ref="D1820" si="4204">_xlfn.NUMBERVALUE(LEFT(C1820,2))</f>
        <v>6</v>
      </c>
      <c r="E1820">
        <f t="shared" ref="E1820" si="4205">_xlfn.NUMBERVALUE(MID(C1820,4,2))</f>
        <v>1</v>
      </c>
      <c r="F1820">
        <f t="shared" ref="F1820" si="4206">_xlfn.NUMBERVALUE(RIGHT(C1820,4))</f>
        <v>2024</v>
      </c>
      <c r="G1820" t="s">
        <v>7</v>
      </c>
      <c r="H1820">
        <v>-2</v>
      </c>
      <c r="K1820" t="s">
        <v>9</v>
      </c>
      <c r="L1820" s="8">
        <f t="shared" si="4123"/>
        <v>-1</v>
      </c>
      <c r="M1820" t="s">
        <v>2000</v>
      </c>
    </row>
    <row r="1821" spans="1:13" x14ac:dyDescent="0.35">
      <c r="A1821">
        <f t="shared" si="3743"/>
        <v>1817</v>
      </c>
      <c r="B1821" s="9">
        <f t="shared" ref="B1821" si="4207">B1820+H1821+I1821+J1821</f>
        <v>45.040000000000006</v>
      </c>
      <c r="C1821" s="3" t="s">
        <v>1995</v>
      </c>
      <c r="D1821">
        <f t="shared" ref="D1821" si="4208">_xlfn.NUMBERVALUE(LEFT(C1821,2))</f>
        <v>6</v>
      </c>
      <c r="E1821">
        <f t="shared" ref="E1821" si="4209">_xlfn.NUMBERVALUE(MID(C1821,4,2))</f>
        <v>1</v>
      </c>
      <c r="F1821">
        <f t="shared" ref="F1821" si="4210">_xlfn.NUMBERVALUE(RIGHT(C1821,4))</f>
        <v>2024</v>
      </c>
      <c r="G1821" t="s">
        <v>7</v>
      </c>
      <c r="H1821">
        <v>-2</v>
      </c>
      <c r="I1821">
        <v>4</v>
      </c>
      <c r="K1821" t="s">
        <v>10</v>
      </c>
      <c r="L1821" s="8">
        <f t="shared" si="4123"/>
        <v>1</v>
      </c>
      <c r="M1821" t="s">
        <v>2001</v>
      </c>
    </row>
    <row r="1822" spans="1:13" x14ac:dyDescent="0.35">
      <c r="A1822">
        <f t="shared" si="3743"/>
        <v>1818</v>
      </c>
      <c r="B1822" s="9">
        <f t="shared" ref="B1822" si="4211">B1821+H1822+I1822+J1822</f>
        <v>47.040000000000006</v>
      </c>
      <c r="C1822" s="3" t="s">
        <v>2002</v>
      </c>
      <c r="D1822">
        <f t="shared" ref="D1822" si="4212">_xlfn.NUMBERVALUE(LEFT(C1822,2))</f>
        <v>7</v>
      </c>
      <c r="E1822">
        <f t="shared" ref="E1822" si="4213">_xlfn.NUMBERVALUE(MID(C1822,4,2))</f>
        <v>1</v>
      </c>
      <c r="F1822">
        <f t="shared" ref="F1822" si="4214">_xlfn.NUMBERVALUE(RIGHT(C1822,4))</f>
        <v>2024</v>
      </c>
      <c r="G1822" t="s">
        <v>7</v>
      </c>
      <c r="H1822">
        <v>-2</v>
      </c>
      <c r="I1822">
        <v>4</v>
      </c>
      <c r="K1822" t="s">
        <v>10</v>
      </c>
      <c r="L1822" s="8">
        <f t="shared" si="4123"/>
        <v>1</v>
      </c>
      <c r="M1822" t="s">
        <v>2003</v>
      </c>
    </row>
    <row r="1823" spans="1:13" x14ac:dyDescent="0.35">
      <c r="A1823">
        <f t="shared" si="3743"/>
        <v>1819</v>
      </c>
      <c r="B1823" s="9">
        <f t="shared" ref="B1823" si="4215">B1822+H1823+I1823+J1823</f>
        <v>45.040000000000006</v>
      </c>
      <c r="C1823" s="3" t="s">
        <v>2002</v>
      </c>
      <c r="D1823">
        <f t="shared" ref="D1823" si="4216">_xlfn.NUMBERVALUE(LEFT(C1823,2))</f>
        <v>7</v>
      </c>
      <c r="E1823">
        <f t="shared" ref="E1823" si="4217">_xlfn.NUMBERVALUE(MID(C1823,4,2))</f>
        <v>1</v>
      </c>
      <c r="F1823">
        <f t="shared" ref="F1823" si="4218">_xlfn.NUMBERVALUE(RIGHT(C1823,4))</f>
        <v>2024</v>
      </c>
      <c r="G1823" t="s">
        <v>7</v>
      </c>
      <c r="H1823">
        <v>-2</v>
      </c>
      <c r="K1823" t="s">
        <v>9</v>
      </c>
      <c r="L1823" s="8">
        <f t="shared" si="4123"/>
        <v>-1</v>
      </c>
      <c r="M1823" t="s">
        <v>2004</v>
      </c>
    </row>
    <row r="1824" spans="1:13" x14ac:dyDescent="0.35">
      <c r="A1824">
        <f t="shared" si="3743"/>
        <v>1820</v>
      </c>
      <c r="B1824" s="9">
        <f t="shared" ref="B1824" si="4219">B1823+H1824+I1824+J1824</f>
        <v>47.040000000000006</v>
      </c>
      <c r="C1824" s="3" t="s">
        <v>2002</v>
      </c>
      <c r="D1824">
        <f t="shared" ref="D1824" si="4220">_xlfn.NUMBERVALUE(LEFT(C1824,2))</f>
        <v>7</v>
      </c>
      <c r="E1824">
        <f t="shared" ref="E1824" si="4221">_xlfn.NUMBERVALUE(MID(C1824,4,2))</f>
        <v>1</v>
      </c>
      <c r="F1824">
        <f t="shared" ref="F1824" si="4222">_xlfn.NUMBERVALUE(RIGHT(C1824,4))</f>
        <v>2024</v>
      </c>
      <c r="G1824" t="s">
        <v>7</v>
      </c>
      <c r="H1824">
        <v>-2</v>
      </c>
      <c r="I1824">
        <v>4</v>
      </c>
      <c r="K1824" t="s">
        <v>10</v>
      </c>
      <c r="L1824" s="8">
        <f t="shared" si="4123"/>
        <v>1</v>
      </c>
      <c r="M1824" t="s">
        <v>2005</v>
      </c>
    </row>
    <row r="1825" spans="1:13" x14ac:dyDescent="0.35">
      <c r="A1825">
        <f t="shared" si="3743"/>
        <v>1821</v>
      </c>
      <c r="B1825" s="9">
        <f t="shared" ref="B1825" si="4223">B1824+H1825+I1825+J1825</f>
        <v>45.040000000000006</v>
      </c>
      <c r="C1825" s="3" t="s">
        <v>2002</v>
      </c>
      <c r="D1825">
        <f t="shared" ref="D1825" si="4224">_xlfn.NUMBERVALUE(LEFT(C1825,2))</f>
        <v>7</v>
      </c>
      <c r="E1825">
        <f t="shared" ref="E1825" si="4225">_xlfn.NUMBERVALUE(MID(C1825,4,2))</f>
        <v>1</v>
      </c>
      <c r="F1825">
        <f t="shared" ref="F1825" si="4226">_xlfn.NUMBERVALUE(RIGHT(C1825,4))</f>
        <v>2024</v>
      </c>
      <c r="G1825" t="s">
        <v>7</v>
      </c>
      <c r="H1825">
        <v>-2</v>
      </c>
      <c r="K1825" t="s">
        <v>9</v>
      </c>
      <c r="L1825" s="8">
        <f t="shared" si="4123"/>
        <v>-1</v>
      </c>
      <c r="M1825" t="s">
        <v>2006</v>
      </c>
    </row>
    <row r="1826" spans="1:13" x14ac:dyDescent="0.35">
      <c r="A1826">
        <f t="shared" si="3743"/>
        <v>1822</v>
      </c>
      <c r="B1826" s="9">
        <f t="shared" ref="B1826" si="4227">B1825+H1826+I1826+J1826</f>
        <v>43.040000000000006</v>
      </c>
      <c r="C1826" s="3" t="s">
        <v>2002</v>
      </c>
      <c r="D1826">
        <f t="shared" ref="D1826" si="4228">_xlfn.NUMBERVALUE(LEFT(C1826,2))</f>
        <v>7</v>
      </c>
      <c r="E1826">
        <f t="shared" ref="E1826" si="4229">_xlfn.NUMBERVALUE(MID(C1826,4,2))</f>
        <v>1</v>
      </c>
      <c r="F1826">
        <f t="shared" ref="F1826" si="4230">_xlfn.NUMBERVALUE(RIGHT(C1826,4))</f>
        <v>2024</v>
      </c>
      <c r="G1826" t="s">
        <v>7</v>
      </c>
      <c r="H1826">
        <v>-2</v>
      </c>
      <c r="K1826" t="s">
        <v>9</v>
      </c>
      <c r="L1826" s="8">
        <f t="shared" si="4123"/>
        <v>-1</v>
      </c>
      <c r="M1826" t="s">
        <v>2007</v>
      </c>
    </row>
    <row r="1827" spans="1:13" x14ac:dyDescent="0.35">
      <c r="A1827">
        <f t="shared" si="3743"/>
        <v>1823</v>
      </c>
      <c r="B1827" s="9">
        <f t="shared" ref="B1827" si="4231">B1826+H1827+I1827+J1827</f>
        <v>41.040000000000006</v>
      </c>
      <c r="C1827" s="3" t="s">
        <v>2002</v>
      </c>
      <c r="D1827">
        <f t="shared" ref="D1827" si="4232">_xlfn.NUMBERVALUE(LEFT(C1827,2))</f>
        <v>7</v>
      </c>
      <c r="E1827">
        <f t="shared" ref="E1827" si="4233">_xlfn.NUMBERVALUE(MID(C1827,4,2))</f>
        <v>1</v>
      </c>
      <c r="F1827">
        <f t="shared" ref="F1827" si="4234">_xlfn.NUMBERVALUE(RIGHT(C1827,4))</f>
        <v>2024</v>
      </c>
      <c r="G1827" t="s">
        <v>7</v>
      </c>
      <c r="H1827">
        <v>-2</v>
      </c>
      <c r="K1827" t="s">
        <v>9</v>
      </c>
      <c r="L1827" s="8">
        <f t="shared" si="4123"/>
        <v>-1</v>
      </c>
      <c r="M1827" t="s">
        <v>2008</v>
      </c>
    </row>
    <row r="1828" spans="1:13" x14ac:dyDescent="0.35">
      <c r="A1828">
        <f t="shared" si="3743"/>
        <v>1824</v>
      </c>
      <c r="B1828" s="9">
        <f t="shared" ref="B1828" si="4235">B1827+H1828+I1828+J1828</f>
        <v>39.040000000000006</v>
      </c>
      <c r="C1828" s="3" t="s">
        <v>2009</v>
      </c>
      <c r="D1828">
        <f t="shared" ref="D1828" si="4236">_xlfn.NUMBERVALUE(LEFT(C1828,2))</f>
        <v>8</v>
      </c>
      <c r="E1828">
        <f t="shared" ref="E1828" si="4237">_xlfn.NUMBERVALUE(MID(C1828,4,2))</f>
        <v>1</v>
      </c>
      <c r="F1828">
        <f t="shared" ref="F1828" si="4238">_xlfn.NUMBERVALUE(RIGHT(C1828,4))</f>
        <v>2024</v>
      </c>
      <c r="G1828" t="s">
        <v>7</v>
      </c>
      <c r="H1828">
        <v>-2</v>
      </c>
      <c r="K1828" t="s">
        <v>9</v>
      </c>
      <c r="L1828" s="8">
        <f t="shared" si="4123"/>
        <v>-1</v>
      </c>
      <c r="M1828" t="s">
        <v>2010</v>
      </c>
    </row>
    <row r="1829" spans="1:13" x14ac:dyDescent="0.35">
      <c r="A1829">
        <f t="shared" si="3743"/>
        <v>1825</v>
      </c>
      <c r="B1829" s="9">
        <f t="shared" ref="B1829" si="4239">B1828+H1829+I1829+J1829</f>
        <v>37.040000000000006</v>
      </c>
      <c r="C1829" s="3" t="s">
        <v>2009</v>
      </c>
      <c r="D1829">
        <f t="shared" ref="D1829" si="4240">_xlfn.NUMBERVALUE(LEFT(C1829,2))</f>
        <v>8</v>
      </c>
      <c r="E1829">
        <f t="shared" ref="E1829" si="4241">_xlfn.NUMBERVALUE(MID(C1829,4,2))</f>
        <v>1</v>
      </c>
      <c r="F1829">
        <f t="shared" ref="F1829" si="4242">_xlfn.NUMBERVALUE(RIGHT(C1829,4))</f>
        <v>2024</v>
      </c>
      <c r="G1829" t="s">
        <v>7</v>
      </c>
      <c r="H1829">
        <v>-2</v>
      </c>
      <c r="K1829" t="s">
        <v>9</v>
      </c>
      <c r="L1829" s="8">
        <f t="shared" si="4123"/>
        <v>-1</v>
      </c>
      <c r="M1829" t="s">
        <v>2011</v>
      </c>
    </row>
    <row r="1830" spans="1:13" x14ac:dyDescent="0.35">
      <c r="A1830">
        <f t="shared" si="3743"/>
        <v>1826</v>
      </c>
      <c r="B1830" s="9">
        <f t="shared" ref="B1830" si="4243">B1829+H1830+I1830+J1830</f>
        <v>35.040000000000006</v>
      </c>
      <c r="C1830" s="3" t="s">
        <v>2009</v>
      </c>
      <c r="D1830">
        <f t="shared" ref="D1830" si="4244">_xlfn.NUMBERVALUE(LEFT(C1830,2))</f>
        <v>8</v>
      </c>
      <c r="E1830">
        <f t="shared" ref="E1830" si="4245">_xlfn.NUMBERVALUE(MID(C1830,4,2))</f>
        <v>1</v>
      </c>
      <c r="F1830">
        <f t="shared" ref="F1830" si="4246">_xlfn.NUMBERVALUE(RIGHT(C1830,4))</f>
        <v>2024</v>
      </c>
      <c r="G1830" t="s">
        <v>7</v>
      </c>
      <c r="H1830">
        <v>-2</v>
      </c>
      <c r="K1830" t="s">
        <v>9</v>
      </c>
      <c r="L1830" s="8">
        <f t="shared" si="4123"/>
        <v>-1</v>
      </c>
      <c r="M1830" t="s">
        <v>2012</v>
      </c>
    </row>
    <row r="1831" spans="1:13" x14ac:dyDescent="0.35">
      <c r="A1831">
        <f t="shared" si="3743"/>
        <v>1827</v>
      </c>
      <c r="B1831" s="9">
        <f t="shared" ref="B1831" si="4247">B1830+H1831+I1831+J1831</f>
        <v>33.040000000000006</v>
      </c>
      <c r="C1831" s="3" t="s">
        <v>2013</v>
      </c>
      <c r="D1831">
        <f t="shared" ref="D1831" si="4248">_xlfn.NUMBERVALUE(LEFT(C1831,2))</f>
        <v>9</v>
      </c>
      <c r="E1831">
        <f t="shared" ref="E1831" si="4249">_xlfn.NUMBERVALUE(MID(C1831,4,2))</f>
        <v>1</v>
      </c>
      <c r="F1831">
        <f t="shared" ref="F1831" si="4250">_xlfn.NUMBERVALUE(RIGHT(C1831,4))</f>
        <v>2024</v>
      </c>
      <c r="G1831" t="s">
        <v>7</v>
      </c>
      <c r="H1831">
        <v>-2</v>
      </c>
      <c r="K1831" t="s">
        <v>9</v>
      </c>
      <c r="L1831" s="8">
        <f t="shared" si="4123"/>
        <v>-1</v>
      </c>
      <c r="M1831" t="s">
        <v>2014</v>
      </c>
    </row>
    <row r="1832" spans="1:13" x14ac:dyDescent="0.35">
      <c r="A1832">
        <f t="shared" si="3743"/>
        <v>1828</v>
      </c>
      <c r="B1832" s="9">
        <f t="shared" ref="B1832" si="4251">B1831+H1832+I1832+J1832</f>
        <v>37.040000000000006</v>
      </c>
      <c r="C1832" s="3" t="s">
        <v>2013</v>
      </c>
      <c r="D1832">
        <f t="shared" ref="D1832" si="4252">_xlfn.NUMBERVALUE(LEFT(C1832,2))</f>
        <v>9</v>
      </c>
      <c r="E1832">
        <f t="shared" ref="E1832" si="4253">_xlfn.NUMBERVALUE(MID(C1832,4,2))</f>
        <v>1</v>
      </c>
      <c r="F1832">
        <f t="shared" ref="F1832" si="4254">_xlfn.NUMBERVALUE(RIGHT(C1832,4))</f>
        <v>2024</v>
      </c>
      <c r="G1832" t="s">
        <v>7</v>
      </c>
      <c r="H1832">
        <v>-2</v>
      </c>
      <c r="I1832">
        <v>6</v>
      </c>
      <c r="K1832" t="s">
        <v>10</v>
      </c>
      <c r="L1832" s="8">
        <f t="shared" si="4123"/>
        <v>2</v>
      </c>
      <c r="M1832" t="s">
        <v>2015</v>
      </c>
    </row>
    <row r="1833" spans="1:13" x14ac:dyDescent="0.35">
      <c r="A1833">
        <f t="shared" si="3743"/>
        <v>1829</v>
      </c>
      <c r="B1833" s="9">
        <f t="shared" ref="B1833" si="4255">B1832+H1833+I1833+J1833</f>
        <v>35.040000000000006</v>
      </c>
      <c r="C1833" s="3" t="s">
        <v>2013</v>
      </c>
      <c r="D1833">
        <f t="shared" ref="D1833" si="4256">_xlfn.NUMBERVALUE(LEFT(C1833,2))</f>
        <v>9</v>
      </c>
      <c r="E1833">
        <f t="shared" ref="E1833" si="4257">_xlfn.NUMBERVALUE(MID(C1833,4,2))</f>
        <v>1</v>
      </c>
      <c r="F1833">
        <f t="shared" ref="F1833" si="4258">_xlfn.NUMBERVALUE(RIGHT(C1833,4))</f>
        <v>2024</v>
      </c>
      <c r="G1833" t="s">
        <v>7</v>
      </c>
      <c r="H1833">
        <v>-2</v>
      </c>
      <c r="K1833" t="s">
        <v>9</v>
      </c>
      <c r="L1833" s="8">
        <f t="shared" si="4123"/>
        <v>-1</v>
      </c>
      <c r="M1833" t="s">
        <v>2016</v>
      </c>
    </row>
    <row r="1834" spans="1:13" x14ac:dyDescent="0.35">
      <c r="A1834">
        <f t="shared" si="3743"/>
        <v>1830</v>
      </c>
      <c r="B1834" s="9">
        <f t="shared" ref="B1834" si="4259">B1833+H1834+I1834+J1834</f>
        <v>33.040000000000006</v>
      </c>
      <c r="C1834" s="3" t="s">
        <v>2013</v>
      </c>
      <c r="D1834">
        <f t="shared" ref="D1834" si="4260">_xlfn.NUMBERVALUE(LEFT(C1834,2))</f>
        <v>9</v>
      </c>
      <c r="E1834">
        <f t="shared" ref="E1834" si="4261">_xlfn.NUMBERVALUE(MID(C1834,4,2))</f>
        <v>1</v>
      </c>
      <c r="F1834">
        <f t="shared" ref="F1834" si="4262">_xlfn.NUMBERVALUE(RIGHT(C1834,4))</f>
        <v>2024</v>
      </c>
      <c r="G1834" t="s">
        <v>7</v>
      </c>
      <c r="H1834">
        <v>-2</v>
      </c>
      <c r="K1834" t="s">
        <v>9</v>
      </c>
      <c r="L1834" s="8">
        <f t="shared" si="4123"/>
        <v>-1</v>
      </c>
      <c r="M1834" t="s">
        <v>2017</v>
      </c>
    </row>
    <row r="1835" spans="1:13" x14ac:dyDescent="0.35">
      <c r="A1835">
        <f t="shared" si="3743"/>
        <v>1831</v>
      </c>
      <c r="B1835" s="9">
        <f t="shared" ref="B1835" si="4263">B1834+H1835+I1835+J1835</f>
        <v>31.040000000000006</v>
      </c>
      <c r="C1835" s="3" t="s">
        <v>2013</v>
      </c>
      <c r="D1835">
        <f t="shared" ref="D1835" si="4264">_xlfn.NUMBERVALUE(LEFT(C1835,2))</f>
        <v>9</v>
      </c>
      <c r="E1835">
        <f t="shared" ref="E1835" si="4265">_xlfn.NUMBERVALUE(MID(C1835,4,2))</f>
        <v>1</v>
      </c>
      <c r="F1835">
        <f t="shared" ref="F1835" si="4266">_xlfn.NUMBERVALUE(RIGHT(C1835,4))</f>
        <v>2024</v>
      </c>
      <c r="G1835" t="s">
        <v>7</v>
      </c>
      <c r="H1835">
        <v>-2</v>
      </c>
      <c r="K1835" t="s">
        <v>9</v>
      </c>
      <c r="L1835" s="8">
        <f t="shared" si="4123"/>
        <v>-1</v>
      </c>
      <c r="M1835" t="s">
        <v>2018</v>
      </c>
    </row>
    <row r="1836" spans="1:13" x14ac:dyDescent="0.35">
      <c r="A1836">
        <f t="shared" si="3743"/>
        <v>1832</v>
      </c>
      <c r="B1836" s="9">
        <f t="shared" ref="B1836" si="4267">B1835+H1836+I1836+J1836</f>
        <v>29.040000000000006</v>
      </c>
      <c r="C1836" s="3" t="s">
        <v>2013</v>
      </c>
      <c r="D1836">
        <f t="shared" ref="D1836" si="4268">_xlfn.NUMBERVALUE(LEFT(C1836,2))</f>
        <v>9</v>
      </c>
      <c r="E1836">
        <f t="shared" ref="E1836" si="4269">_xlfn.NUMBERVALUE(MID(C1836,4,2))</f>
        <v>1</v>
      </c>
      <c r="F1836">
        <f t="shared" ref="F1836" si="4270">_xlfn.NUMBERVALUE(RIGHT(C1836,4))</f>
        <v>2024</v>
      </c>
      <c r="G1836" t="s">
        <v>7</v>
      </c>
      <c r="H1836">
        <v>-2</v>
      </c>
      <c r="K1836" t="s">
        <v>9</v>
      </c>
      <c r="L1836" s="8">
        <f t="shared" si="4123"/>
        <v>-1</v>
      </c>
      <c r="M1836" t="s">
        <v>2019</v>
      </c>
    </row>
    <row r="1837" spans="1:13" x14ac:dyDescent="0.35">
      <c r="A1837">
        <f t="shared" si="3743"/>
        <v>1833</v>
      </c>
      <c r="B1837" s="9">
        <f t="shared" ref="B1837" si="4271">B1836+H1837+I1837+J1837</f>
        <v>27.040000000000006</v>
      </c>
      <c r="C1837" s="3" t="s">
        <v>2013</v>
      </c>
      <c r="D1837">
        <f t="shared" ref="D1837" si="4272">_xlfn.NUMBERVALUE(LEFT(C1837,2))</f>
        <v>9</v>
      </c>
      <c r="E1837">
        <f t="shared" ref="E1837" si="4273">_xlfn.NUMBERVALUE(MID(C1837,4,2))</f>
        <v>1</v>
      </c>
      <c r="F1837">
        <f t="shared" ref="F1837" si="4274">_xlfn.NUMBERVALUE(RIGHT(C1837,4))</f>
        <v>2024</v>
      </c>
      <c r="G1837" t="s">
        <v>7</v>
      </c>
      <c r="H1837">
        <v>-2</v>
      </c>
      <c r="K1837" t="s">
        <v>9</v>
      </c>
      <c r="L1837" s="8">
        <f t="shared" si="4123"/>
        <v>-1</v>
      </c>
      <c r="M1837" t="s">
        <v>2020</v>
      </c>
    </row>
    <row r="1838" spans="1:13" x14ac:dyDescent="0.35">
      <c r="A1838">
        <f t="shared" si="3743"/>
        <v>1834</v>
      </c>
      <c r="B1838" s="9">
        <f t="shared" ref="B1838" si="4275">B1837+H1838+I1838+J1838</f>
        <v>25.040000000000006</v>
      </c>
      <c r="C1838" s="3" t="s">
        <v>2013</v>
      </c>
      <c r="D1838">
        <f t="shared" ref="D1838" si="4276">_xlfn.NUMBERVALUE(LEFT(C1838,2))</f>
        <v>9</v>
      </c>
      <c r="E1838">
        <f t="shared" ref="E1838" si="4277">_xlfn.NUMBERVALUE(MID(C1838,4,2))</f>
        <v>1</v>
      </c>
      <c r="F1838">
        <f t="shared" ref="F1838" si="4278">_xlfn.NUMBERVALUE(RIGHT(C1838,4))</f>
        <v>2024</v>
      </c>
      <c r="G1838" t="s">
        <v>7</v>
      </c>
      <c r="H1838">
        <v>-2</v>
      </c>
      <c r="K1838" t="s">
        <v>9</v>
      </c>
      <c r="L1838" s="8">
        <f t="shared" si="4123"/>
        <v>-1</v>
      </c>
      <c r="M1838" t="s">
        <v>2021</v>
      </c>
    </row>
    <row r="1839" spans="1:13" x14ac:dyDescent="0.35">
      <c r="A1839">
        <f t="shared" si="3743"/>
        <v>1835</v>
      </c>
      <c r="B1839" s="9">
        <f t="shared" ref="B1839" si="4279">B1838+H1839+I1839+J1839</f>
        <v>23.040000000000006</v>
      </c>
      <c r="C1839" s="3" t="s">
        <v>2013</v>
      </c>
      <c r="D1839">
        <f t="shared" ref="D1839" si="4280">_xlfn.NUMBERVALUE(LEFT(C1839,2))</f>
        <v>9</v>
      </c>
      <c r="E1839">
        <f t="shared" ref="E1839" si="4281">_xlfn.NUMBERVALUE(MID(C1839,4,2))</f>
        <v>1</v>
      </c>
      <c r="F1839">
        <f t="shared" ref="F1839" si="4282">_xlfn.NUMBERVALUE(RIGHT(C1839,4))</f>
        <v>2024</v>
      </c>
      <c r="G1839" t="s">
        <v>7</v>
      </c>
      <c r="H1839">
        <v>-2</v>
      </c>
      <c r="K1839" t="s">
        <v>9</v>
      </c>
      <c r="L1839" s="8">
        <f t="shared" si="4123"/>
        <v>-1</v>
      </c>
      <c r="M1839" t="s">
        <v>2022</v>
      </c>
    </row>
    <row r="1840" spans="1:13" x14ac:dyDescent="0.35">
      <c r="A1840">
        <f t="shared" si="3743"/>
        <v>1836</v>
      </c>
      <c r="B1840" s="9">
        <f t="shared" ref="B1840" si="4283">B1839+H1840+I1840+J1840</f>
        <v>25.040000000000006</v>
      </c>
      <c r="C1840" s="3" t="s">
        <v>2023</v>
      </c>
      <c r="D1840">
        <f t="shared" ref="D1840" si="4284">_xlfn.NUMBERVALUE(LEFT(C1840,2))</f>
        <v>10</v>
      </c>
      <c r="E1840">
        <f t="shared" ref="E1840" si="4285">_xlfn.NUMBERVALUE(MID(C1840,4,2))</f>
        <v>1</v>
      </c>
      <c r="F1840">
        <f t="shared" ref="F1840" si="4286">_xlfn.NUMBERVALUE(RIGHT(C1840,4))</f>
        <v>2024</v>
      </c>
      <c r="G1840" t="s">
        <v>7</v>
      </c>
      <c r="H1840">
        <v>-2</v>
      </c>
      <c r="I1840">
        <v>4</v>
      </c>
      <c r="K1840" t="s">
        <v>10</v>
      </c>
      <c r="L1840" s="8">
        <f t="shared" si="4123"/>
        <v>1</v>
      </c>
      <c r="M1840" t="s">
        <v>2024</v>
      </c>
    </row>
    <row r="1841" spans="1:13" x14ac:dyDescent="0.35">
      <c r="A1841">
        <f t="shared" si="3743"/>
        <v>1837</v>
      </c>
      <c r="B1841" s="9">
        <f t="shared" ref="B1841" si="4287">B1840+H1841+I1841+J1841</f>
        <v>23.040000000000006</v>
      </c>
      <c r="C1841" s="3" t="s">
        <v>2023</v>
      </c>
      <c r="D1841">
        <f t="shared" ref="D1841" si="4288">_xlfn.NUMBERVALUE(LEFT(C1841,2))</f>
        <v>10</v>
      </c>
      <c r="E1841">
        <f t="shared" ref="E1841" si="4289">_xlfn.NUMBERVALUE(MID(C1841,4,2))</f>
        <v>1</v>
      </c>
      <c r="F1841">
        <f t="shared" ref="F1841" si="4290">_xlfn.NUMBERVALUE(RIGHT(C1841,4))</f>
        <v>2024</v>
      </c>
      <c r="G1841" t="s">
        <v>7</v>
      </c>
      <c r="H1841">
        <v>-2</v>
      </c>
      <c r="K1841" t="s">
        <v>9</v>
      </c>
      <c r="L1841" s="8">
        <f t="shared" si="4123"/>
        <v>-1</v>
      </c>
      <c r="M1841" t="s">
        <v>2025</v>
      </c>
    </row>
    <row r="1842" spans="1:13" x14ac:dyDescent="0.35">
      <c r="A1842">
        <f t="shared" si="3743"/>
        <v>1838</v>
      </c>
      <c r="B1842" s="9">
        <f t="shared" ref="B1842" si="4291">B1841+H1842+I1842+J1842</f>
        <v>27.040000000000006</v>
      </c>
      <c r="C1842" s="3" t="s">
        <v>2023</v>
      </c>
      <c r="D1842">
        <f t="shared" ref="D1842" si="4292">_xlfn.NUMBERVALUE(LEFT(C1842,2))</f>
        <v>10</v>
      </c>
      <c r="E1842">
        <f t="shared" ref="E1842" si="4293">_xlfn.NUMBERVALUE(MID(C1842,4,2))</f>
        <v>1</v>
      </c>
      <c r="F1842">
        <f t="shared" ref="F1842" si="4294">_xlfn.NUMBERVALUE(RIGHT(C1842,4))</f>
        <v>2024</v>
      </c>
      <c r="G1842" t="s">
        <v>7</v>
      </c>
      <c r="H1842">
        <v>-2</v>
      </c>
      <c r="I1842">
        <v>6</v>
      </c>
      <c r="K1842" t="s">
        <v>10</v>
      </c>
      <c r="L1842" s="8">
        <f t="shared" si="4123"/>
        <v>2</v>
      </c>
      <c r="M1842" t="s">
        <v>2026</v>
      </c>
    </row>
    <row r="1843" spans="1:13" x14ac:dyDescent="0.35">
      <c r="A1843">
        <f t="shared" si="3743"/>
        <v>1839</v>
      </c>
      <c r="B1843" s="9">
        <f t="shared" ref="B1843" si="4295">B1842+H1843+I1843+J1843</f>
        <v>25.040000000000006</v>
      </c>
      <c r="C1843" s="3" t="s">
        <v>2027</v>
      </c>
      <c r="D1843">
        <f t="shared" ref="D1843" si="4296">_xlfn.NUMBERVALUE(LEFT(C1843,2))</f>
        <v>11</v>
      </c>
      <c r="E1843">
        <f t="shared" ref="E1843" si="4297">_xlfn.NUMBERVALUE(MID(C1843,4,2))</f>
        <v>1</v>
      </c>
      <c r="F1843">
        <f t="shared" ref="F1843" si="4298">_xlfn.NUMBERVALUE(RIGHT(C1843,4))</f>
        <v>2024</v>
      </c>
      <c r="G1843" t="s">
        <v>7</v>
      </c>
      <c r="H1843">
        <v>-2</v>
      </c>
      <c r="K1843" t="s">
        <v>9</v>
      </c>
      <c r="L1843" s="8">
        <f t="shared" si="4123"/>
        <v>-1</v>
      </c>
      <c r="M1843" t="s">
        <v>2028</v>
      </c>
    </row>
    <row r="1844" spans="1:13" x14ac:dyDescent="0.35">
      <c r="A1844">
        <f t="shared" si="3743"/>
        <v>1840</v>
      </c>
      <c r="B1844" s="9">
        <f t="shared" ref="B1844" si="4299">B1843+H1844+I1844+J1844</f>
        <v>27.040000000000006</v>
      </c>
      <c r="C1844" s="3" t="s">
        <v>2027</v>
      </c>
      <c r="D1844">
        <f t="shared" ref="D1844" si="4300">_xlfn.NUMBERVALUE(LEFT(C1844,2))</f>
        <v>11</v>
      </c>
      <c r="E1844">
        <f t="shared" ref="E1844" si="4301">_xlfn.NUMBERVALUE(MID(C1844,4,2))</f>
        <v>1</v>
      </c>
      <c r="F1844">
        <f t="shared" ref="F1844" si="4302">_xlfn.NUMBERVALUE(RIGHT(C1844,4))</f>
        <v>2024</v>
      </c>
      <c r="G1844" t="s">
        <v>7</v>
      </c>
      <c r="H1844">
        <v>-2</v>
      </c>
      <c r="I1844">
        <v>4</v>
      </c>
      <c r="K1844" t="s">
        <v>10</v>
      </c>
      <c r="L1844" s="8">
        <f t="shared" si="4123"/>
        <v>1</v>
      </c>
      <c r="M1844" t="s">
        <v>2029</v>
      </c>
    </row>
    <row r="1845" spans="1:13" x14ac:dyDescent="0.35">
      <c r="A1845">
        <f t="shared" si="3743"/>
        <v>1841</v>
      </c>
      <c r="B1845" s="9">
        <f t="shared" ref="B1845" si="4303">B1844+H1845+I1845+J1845</f>
        <v>25.040000000000006</v>
      </c>
      <c r="C1845" s="3" t="s">
        <v>2027</v>
      </c>
      <c r="D1845">
        <f t="shared" ref="D1845" si="4304">_xlfn.NUMBERVALUE(LEFT(C1845,2))</f>
        <v>11</v>
      </c>
      <c r="E1845">
        <f t="shared" ref="E1845" si="4305">_xlfn.NUMBERVALUE(MID(C1845,4,2))</f>
        <v>1</v>
      </c>
      <c r="F1845">
        <f t="shared" ref="F1845" si="4306">_xlfn.NUMBERVALUE(RIGHT(C1845,4))</f>
        <v>2024</v>
      </c>
      <c r="G1845" t="s">
        <v>7</v>
      </c>
      <c r="H1845">
        <v>-2</v>
      </c>
      <c r="K1845" t="s">
        <v>9</v>
      </c>
      <c r="L1845" s="8">
        <f t="shared" si="4123"/>
        <v>-1</v>
      </c>
      <c r="M1845" t="s">
        <v>2030</v>
      </c>
    </row>
    <row r="1846" spans="1:13" x14ac:dyDescent="0.35">
      <c r="A1846">
        <f t="shared" si="3743"/>
        <v>1842</v>
      </c>
      <c r="B1846" s="9">
        <f t="shared" ref="B1846" si="4307">B1845+H1846+I1846+J1846</f>
        <v>23.040000000000006</v>
      </c>
      <c r="C1846" s="3" t="s">
        <v>2027</v>
      </c>
      <c r="D1846">
        <f t="shared" ref="D1846" si="4308">_xlfn.NUMBERVALUE(LEFT(C1846,2))</f>
        <v>11</v>
      </c>
      <c r="E1846">
        <f t="shared" ref="E1846" si="4309">_xlfn.NUMBERVALUE(MID(C1846,4,2))</f>
        <v>1</v>
      </c>
      <c r="F1846">
        <f t="shared" ref="F1846" si="4310">_xlfn.NUMBERVALUE(RIGHT(C1846,4))</f>
        <v>2024</v>
      </c>
      <c r="G1846" t="s">
        <v>7</v>
      </c>
      <c r="H1846">
        <v>-2</v>
      </c>
      <c r="K1846" t="s">
        <v>9</v>
      </c>
      <c r="L1846" s="8">
        <f t="shared" si="4123"/>
        <v>-1</v>
      </c>
      <c r="M1846" t="s">
        <v>2031</v>
      </c>
    </row>
    <row r="1847" spans="1:13" x14ac:dyDescent="0.35">
      <c r="A1847">
        <f t="shared" si="3743"/>
        <v>1843</v>
      </c>
      <c r="B1847" s="9">
        <f t="shared" ref="B1847" si="4311">B1846+H1847+I1847+J1847</f>
        <v>27.040000000000006</v>
      </c>
      <c r="C1847" s="3" t="s">
        <v>2027</v>
      </c>
      <c r="D1847">
        <f t="shared" ref="D1847" si="4312">_xlfn.NUMBERVALUE(LEFT(C1847,2))</f>
        <v>11</v>
      </c>
      <c r="E1847">
        <f t="shared" ref="E1847" si="4313">_xlfn.NUMBERVALUE(MID(C1847,4,2))</f>
        <v>1</v>
      </c>
      <c r="F1847">
        <f t="shared" ref="F1847" si="4314">_xlfn.NUMBERVALUE(RIGHT(C1847,4))</f>
        <v>2024</v>
      </c>
      <c r="G1847" t="s">
        <v>7</v>
      </c>
      <c r="H1847">
        <v>-2</v>
      </c>
      <c r="I1847">
        <v>6</v>
      </c>
      <c r="K1847" t="s">
        <v>10</v>
      </c>
      <c r="L1847" s="8">
        <f t="shared" si="4123"/>
        <v>2</v>
      </c>
      <c r="M1847" t="s">
        <v>2032</v>
      </c>
    </row>
    <row r="1848" spans="1:13" x14ac:dyDescent="0.35">
      <c r="A1848">
        <f t="shared" si="3743"/>
        <v>1844</v>
      </c>
      <c r="B1848" s="9">
        <f t="shared" ref="B1848" si="4315">B1847+H1848+I1848+J1848</f>
        <v>29.040000000000006</v>
      </c>
      <c r="C1848" s="3" t="s">
        <v>2027</v>
      </c>
      <c r="D1848">
        <f t="shared" ref="D1848" si="4316">_xlfn.NUMBERVALUE(LEFT(C1848,2))</f>
        <v>11</v>
      </c>
      <c r="E1848">
        <f t="shared" ref="E1848" si="4317">_xlfn.NUMBERVALUE(MID(C1848,4,2))</f>
        <v>1</v>
      </c>
      <c r="F1848">
        <f t="shared" ref="F1848" si="4318">_xlfn.NUMBERVALUE(RIGHT(C1848,4))</f>
        <v>2024</v>
      </c>
      <c r="G1848" t="s">
        <v>7</v>
      </c>
      <c r="H1848">
        <v>-2</v>
      </c>
      <c r="I1848">
        <v>4</v>
      </c>
      <c r="K1848" t="s">
        <v>10</v>
      </c>
      <c r="L1848" s="8">
        <f t="shared" si="4123"/>
        <v>1</v>
      </c>
      <c r="M1848" t="s">
        <v>2033</v>
      </c>
    </row>
    <row r="1849" spans="1:13" x14ac:dyDescent="0.35">
      <c r="A1849">
        <f t="shared" si="3743"/>
        <v>1845</v>
      </c>
      <c r="B1849" s="9">
        <f t="shared" ref="B1849" si="4319">B1848+H1849+I1849+J1849</f>
        <v>27.040000000000006</v>
      </c>
      <c r="C1849" s="3" t="s">
        <v>2027</v>
      </c>
      <c r="D1849">
        <f t="shared" ref="D1849" si="4320">_xlfn.NUMBERVALUE(LEFT(C1849,2))</f>
        <v>11</v>
      </c>
      <c r="E1849">
        <f t="shared" ref="E1849" si="4321">_xlfn.NUMBERVALUE(MID(C1849,4,2))</f>
        <v>1</v>
      </c>
      <c r="F1849">
        <f t="shared" ref="F1849" si="4322">_xlfn.NUMBERVALUE(RIGHT(C1849,4))</f>
        <v>2024</v>
      </c>
      <c r="G1849" t="s">
        <v>7</v>
      </c>
      <c r="H1849">
        <v>-2</v>
      </c>
      <c r="K1849" t="s">
        <v>9</v>
      </c>
      <c r="L1849" s="8">
        <f t="shared" si="4123"/>
        <v>-1</v>
      </c>
      <c r="M1849" t="s">
        <v>2034</v>
      </c>
    </row>
    <row r="1850" spans="1:13" x14ac:dyDescent="0.35">
      <c r="A1850">
        <f t="shared" si="3743"/>
        <v>1846</v>
      </c>
      <c r="B1850" s="9">
        <f t="shared" ref="B1850" si="4323">B1849+H1850+I1850+J1850</f>
        <v>31.040000000000006</v>
      </c>
      <c r="C1850" s="3" t="s">
        <v>2027</v>
      </c>
      <c r="D1850">
        <f t="shared" ref="D1850" si="4324">_xlfn.NUMBERVALUE(LEFT(C1850,2))</f>
        <v>11</v>
      </c>
      <c r="E1850">
        <f t="shared" ref="E1850" si="4325">_xlfn.NUMBERVALUE(MID(C1850,4,2))</f>
        <v>1</v>
      </c>
      <c r="F1850">
        <f t="shared" ref="F1850" si="4326">_xlfn.NUMBERVALUE(RIGHT(C1850,4))</f>
        <v>2024</v>
      </c>
      <c r="G1850" t="s">
        <v>7</v>
      </c>
      <c r="H1850">
        <v>-2</v>
      </c>
      <c r="I1850">
        <v>6</v>
      </c>
      <c r="K1850" t="s">
        <v>10</v>
      </c>
      <c r="L1850" s="8">
        <f t="shared" si="4123"/>
        <v>2</v>
      </c>
      <c r="M1850" t="s">
        <v>2035</v>
      </c>
    </row>
    <row r="1851" spans="1:13" x14ac:dyDescent="0.35">
      <c r="A1851">
        <f t="shared" si="3743"/>
        <v>1847</v>
      </c>
      <c r="B1851" s="9">
        <f t="shared" ref="B1851" si="4327">B1850+H1851+I1851+J1851</f>
        <v>29.040000000000006</v>
      </c>
      <c r="C1851" s="3" t="s">
        <v>2027</v>
      </c>
      <c r="D1851">
        <f t="shared" ref="D1851" si="4328">_xlfn.NUMBERVALUE(LEFT(C1851,2))</f>
        <v>11</v>
      </c>
      <c r="E1851">
        <f t="shared" ref="E1851" si="4329">_xlfn.NUMBERVALUE(MID(C1851,4,2))</f>
        <v>1</v>
      </c>
      <c r="F1851">
        <f t="shared" ref="F1851" si="4330">_xlfn.NUMBERVALUE(RIGHT(C1851,4))</f>
        <v>2024</v>
      </c>
      <c r="G1851" t="s">
        <v>7</v>
      </c>
      <c r="H1851">
        <v>-2</v>
      </c>
      <c r="K1851" t="s">
        <v>9</v>
      </c>
      <c r="L1851" s="8">
        <f t="shared" si="4123"/>
        <v>-1</v>
      </c>
      <c r="M1851" t="s">
        <v>2036</v>
      </c>
    </row>
    <row r="1852" spans="1:13" x14ac:dyDescent="0.35">
      <c r="A1852">
        <f t="shared" si="3743"/>
        <v>1848</v>
      </c>
      <c r="B1852" s="9">
        <f t="shared" ref="B1852" si="4331">B1851+H1852+I1852+J1852</f>
        <v>27.040000000000006</v>
      </c>
      <c r="C1852" s="3" t="s">
        <v>2027</v>
      </c>
      <c r="D1852">
        <f t="shared" ref="D1852" si="4332">_xlfn.NUMBERVALUE(LEFT(C1852,2))</f>
        <v>11</v>
      </c>
      <c r="E1852">
        <f t="shared" ref="E1852" si="4333">_xlfn.NUMBERVALUE(MID(C1852,4,2))</f>
        <v>1</v>
      </c>
      <c r="F1852">
        <f t="shared" ref="F1852" si="4334">_xlfn.NUMBERVALUE(RIGHT(C1852,4))</f>
        <v>2024</v>
      </c>
      <c r="G1852" t="s">
        <v>7</v>
      </c>
      <c r="H1852">
        <v>-2</v>
      </c>
      <c r="K1852" t="s">
        <v>9</v>
      </c>
      <c r="L1852" s="8">
        <f t="shared" si="4123"/>
        <v>-1</v>
      </c>
      <c r="M1852" t="s">
        <v>2037</v>
      </c>
    </row>
    <row r="1853" spans="1:13" x14ac:dyDescent="0.35">
      <c r="A1853">
        <f t="shared" si="3743"/>
        <v>1849</v>
      </c>
      <c r="B1853" s="9">
        <f t="shared" ref="B1853" si="4335">B1852+H1853+I1853+J1853</f>
        <v>25.040000000000006</v>
      </c>
      <c r="C1853" s="3" t="s">
        <v>2027</v>
      </c>
      <c r="D1853">
        <f t="shared" ref="D1853" si="4336">_xlfn.NUMBERVALUE(LEFT(C1853,2))</f>
        <v>11</v>
      </c>
      <c r="E1853">
        <f t="shared" ref="E1853" si="4337">_xlfn.NUMBERVALUE(MID(C1853,4,2))</f>
        <v>1</v>
      </c>
      <c r="F1853">
        <f t="shared" ref="F1853" si="4338">_xlfn.NUMBERVALUE(RIGHT(C1853,4))</f>
        <v>2024</v>
      </c>
      <c r="G1853" t="s">
        <v>7</v>
      </c>
      <c r="H1853">
        <v>-2</v>
      </c>
      <c r="K1853" t="s">
        <v>9</v>
      </c>
      <c r="L1853" s="8">
        <f t="shared" si="4123"/>
        <v>-1</v>
      </c>
      <c r="M1853" t="s">
        <v>2038</v>
      </c>
    </row>
    <row r="1854" spans="1:13" x14ac:dyDescent="0.35">
      <c r="A1854">
        <f t="shared" si="3743"/>
        <v>1850</v>
      </c>
      <c r="B1854" s="9">
        <f t="shared" ref="B1854" si="4339">B1853+H1854+I1854+J1854</f>
        <v>23.040000000000006</v>
      </c>
      <c r="C1854" s="3" t="s">
        <v>2027</v>
      </c>
      <c r="D1854">
        <f t="shared" ref="D1854" si="4340">_xlfn.NUMBERVALUE(LEFT(C1854,2))</f>
        <v>11</v>
      </c>
      <c r="E1854">
        <f t="shared" ref="E1854" si="4341">_xlfn.NUMBERVALUE(MID(C1854,4,2))</f>
        <v>1</v>
      </c>
      <c r="F1854">
        <f t="shared" ref="F1854" si="4342">_xlfn.NUMBERVALUE(RIGHT(C1854,4))</f>
        <v>2024</v>
      </c>
      <c r="G1854" t="s">
        <v>7</v>
      </c>
      <c r="H1854">
        <v>-2</v>
      </c>
      <c r="K1854" t="s">
        <v>9</v>
      </c>
      <c r="L1854" s="8">
        <f t="shared" si="4123"/>
        <v>-1</v>
      </c>
      <c r="M1854" t="s">
        <v>2039</v>
      </c>
    </row>
    <row r="1855" spans="1:13" x14ac:dyDescent="0.35">
      <c r="A1855">
        <f t="shared" si="3743"/>
        <v>1851</v>
      </c>
      <c r="B1855" s="9">
        <f t="shared" ref="B1855" si="4343">B1854+H1855+I1855+J1855</f>
        <v>21.040000000000006</v>
      </c>
      <c r="C1855" s="3" t="s">
        <v>2027</v>
      </c>
      <c r="D1855">
        <f t="shared" ref="D1855" si="4344">_xlfn.NUMBERVALUE(LEFT(C1855,2))</f>
        <v>11</v>
      </c>
      <c r="E1855">
        <f t="shared" ref="E1855" si="4345">_xlfn.NUMBERVALUE(MID(C1855,4,2))</f>
        <v>1</v>
      </c>
      <c r="F1855">
        <f t="shared" ref="F1855" si="4346">_xlfn.NUMBERVALUE(RIGHT(C1855,4))</f>
        <v>2024</v>
      </c>
      <c r="G1855" t="s">
        <v>7</v>
      </c>
      <c r="H1855">
        <v>-2</v>
      </c>
      <c r="K1855" t="s">
        <v>9</v>
      </c>
      <c r="L1855" s="8">
        <f t="shared" si="4123"/>
        <v>-1</v>
      </c>
      <c r="M1855" t="s">
        <v>2040</v>
      </c>
    </row>
    <row r="1856" spans="1:13" x14ac:dyDescent="0.35">
      <c r="A1856">
        <f t="shared" si="3743"/>
        <v>1852</v>
      </c>
      <c r="B1856" s="9">
        <f t="shared" ref="B1856" si="4347">B1855+H1856+I1856+J1856</f>
        <v>25.040000000000006</v>
      </c>
      <c r="C1856" s="3" t="s">
        <v>2027</v>
      </c>
      <c r="D1856">
        <f t="shared" ref="D1856" si="4348">_xlfn.NUMBERVALUE(LEFT(C1856,2))</f>
        <v>11</v>
      </c>
      <c r="E1856">
        <f t="shared" ref="E1856" si="4349">_xlfn.NUMBERVALUE(MID(C1856,4,2))</f>
        <v>1</v>
      </c>
      <c r="F1856">
        <f t="shared" ref="F1856" si="4350">_xlfn.NUMBERVALUE(RIGHT(C1856,4))</f>
        <v>2024</v>
      </c>
      <c r="G1856" t="s">
        <v>7</v>
      </c>
      <c r="H1856">
        <v>-2</v>
      </c>
      <c r="I1856">
        <v>6</v>
      </c>
      <c r="K1856" t="s">
        <v>10</v>
      </c>
      <c r="L1856" s="8">
        <f t="shared" si="4123"/>
        <v>2</v>
      </c>
      <c r="M1856" t="s">
        <v>2041</v>
      </c>
    </row>
    <row r="1857" spans="1:13" x14ac:dyDescent="0.35">
      <c r="A1857">
        <f t="shared" si="3743"/>
        <v>1853</v>
      </c>
      <c r="B1857" s="9">
        <f t="shared" ref="B1857" si="4351">B1856+H1857+I1857+J1857</f>
        <v>29.040000000000006</v>
      </c>
      <c r="C1857" s="3" t="s">
        <v>2027</v>
      </c>
      <c r="D1857">
        <f t="shared" ref="D1857" si="4352">_xlfn.NUMBERVALUE(LEFT(C1857,2))</f>
        <v>11</v>
      </c>
      <c r="E1857">
        <f t="shared" ref="E1857" si="4353">_xlfn.NUMBERVALUE(MID(C1857,4,2))</f>
        <v>1</v>
      </c>
      <c r="F1857">
        <f t="shared" ref="F1857" si="4354">_xlfn.NUMBERVALUE(RIGHT(C1857,4))</f>
        <v>2024</v>
      </c>
      <c r="G1857" t="s">
        <v>7</v>
      </c>
      <c r="H1857">
        <v>-2</v>
      </c>
      <c r="I1857">
        <v>6</v>
      </c>
      <c r="K1857" t="s">
        <v>10</v>
      </c>
      <c r="L1857" s="8">
        <f t="shared" si="4123"/>
        <v>2</v>
      </c>
      <c r="M1857" t="s">
        <v>2042</v>
      </c>
    </row>
    <row r="1858" spans="1:13" x14ac:dyDescent="0.35">
      <c r="A1858">
        <f t="shared" si="3743"/>
        <v>1854</v>
      </c>
      <c r="B1858" s="9">
        <f t="shared" ref="B1858" si="4355">B1857+H1858+I1858+J1858</f>
        <v>31.040000000000006</v>
      </c>
      <c r="C1858" s="3" t="s">
        <v>2027</v>
      </c>
      <c r="D1858">
        <f t="shared" ref="D1858" si="4356">_xlfn.NUMBERVALUE(LEFT(C1858,2))</f>
        <v>11</v>
      </c>
      <c r="E1858">
        <f t="shared" ref="E1858" si="4357">_xlfn.NUMBERVALUE(MID(C1858,4,2))</f>
        <v>1</v>
      </c>
      <c r="F1858">
        <f t="shared" ref="F1858" si="4358">_xlfn.NUMBERVALUE(RIGHT(C1858,4))</f>
        <v>2024</v>
      </c>
      <c r="G1858" t="s">
        <v>7</v>
      </c>
      <c r="H1858">
        <v>-2</v>
      </c>
      <c r="I1858">
        <v>4</v>
      </c>
      <c r="K1858" t="s">
        <v>10</v>
      </c>
      <c r="L1858" s="8">
        <f t="shared" si="4123"/>
        <v>1</v>
      </c>
      <c r="M1858" t="s">
        <v>2043</v>
      </c>
    </row>
    <row r="1859" spans="1:13" x14ac:dyDescent="0.35">
      <c r="A1859">
        <f t="shared" si="3743"/>
        <v>1855</v>
      </c>
      <c r="B1859" s="9">
        <f t="shared" ref="B1859" si="4359">B1858+H1859+I1859+J1859</f>
        <v>29.040000000000006</v>
      </c>
      <c r="C1859" s="3" t="s">
        <v>2044</v>
      </c>
      <c r="D1859">
        <f t="shared" ref="D1859" si="4360">_xlfn.NUMBERVALUE(LEFT(C1859,2))</f>
        <v>12</v>
      </c>
      <c r="E1859">
        <f t="shared" ref="E1859" si="4361">_xlfn.NUMBERVALUE(MID(C1859,4,2))</f>
        <v>1</v>
      </c>
      <c r="F1859">
        <f t="shared" ref="F1859" si="4362">_xlfn.NUMBERVALUE(RIGHT(C1859,4))</f>
        <v>2024</v>
      </c>
      <c r="G1859" t="s">
        <v>7</v>
      </c>
      <c r="H1859">
        <v>-2</v>
      </c>
      <c r="K1859" t="s">
        <v>9</v>
      </c>
      <c r="L1859" s="8">
        <f t="shared" si="4123"/>
        <v>-1</v>
      </c>
      <c r="M1859" t="s">
        <v>2045</v>
      </c>
    </row>
    <row r="1860" spans="1:13" x14ac:dyDescent="0.35">
      <c r="A1860">
        <f t="shared" si="3743"/>
        <v>1856</v>
      </c>
      <c r="B1860" s="9">
        <f t="shared" ref="B1860" si="4363">B1859+H1860+I1860+J1860</f>
        <v>33.040000000000006</v>
      </c>
      <c r="C1860" s="3" t="s">
        <v>2044</v>
      </c>
      <c r="D1860">
        <f t="shared" ref="D1860" si="4364">_xlfn.NUMBERVALUE(LEFT(C1860,2))</f>
        <v>12</v>
      </c>
      <c r="E1860">
        <f t="shared" ref="E1860" si="4365">_xlfn.NUMBERVALUE(MID(C1860,4,2))</f>
        <v>1</v>
      </c>
      <c r="F1860">
        <f t="shared" ref="F1860" si="4366">_xlfn.NUMBERVALUE(RIGHT(C1860,4))</f>
        <v>2024</v>
      </c>
      <c r="G1860" t="s">
        <v>7</v>
      </c>
      <c r="H1860">
        <v>-2</v>
      </c>
      <c r="I1860">
        <v>6</v>
      </c>
      <c r="K1860" t="s">
        <v>10</v>
      </c>
      <c r="L1860" s="8">
        <f t="shared" si="4123"/>
        <v>2</v>
      </c>
      <c r="M1860" t="s">
        <v>2046</v>
      </c>
    </row>
    <row r="1861" spans="1:13" x14ac:dyDescent="0.35">
      <c r="A1861">
        <f t="shared" si="3743"/>
        <v>1857</v>
      </c>
      <c r="B1861" s="9">
        <f t="shared" ref="B1861" si="4367">B1860+H1861+I1861+J1861</f>
        <v>31.040000000000006</v>
      </c>
      <c r="C1861" s="3" t="s">
        <v>2044</v>
      </c>
      <c r="D1861">
        <f t="shared" ref="D1861" si="4368">_xlfn.NUMBERVALUE(LEFT(C1861,2))</f>
        <v>12</v>
      </c>
      <c r="E1861">
        <f t="shared" ref="E1861" si="4369">_xlfn.NUMBERVALUE(MID(C1861,4,2))</f>
        <v>1</v>
      </c>
      <c r="F1861">
        <f t="shared" ref="F1861" si="4370">_xlfn.NUMBERVALUE(RIGHT(C1861,4))</f>
        <v>2024</v>
      </c>
      <c r="G1861" t="s">
        <v>7</v>
      </c>
      <c r="H1861">
        <v>-2</v>
      </c>
      <c r="K1861" t="s">
        <v>9</v>
      </c>
      <c r="L1861" s="8">
        <f t="shared" si="4123"/>
        <v>-1</v>
      </c>
      <c r="M1861" t="s">
        <v>2047</v>
      </c>
    </row>
    <row r="1862" spans="1:13" x14ac:dyDescent="0.35">
      <c r="A1862">
        <f t="shared" si="3743"/>
        <v>1858</v>
      </c>
      <c r="B1862" s="9">
        <f t="shared" ref="B1862" si="4371">B1861+H1862+I1862+J1862</f>
        <v>29.040000000000006</v>
      </c>
      <c r="C1862" s="3" t="s">
        <v>2044</v>
      </c>
      <c r="D1862">
        <f t="shared" ref="D1862" si="4372">_xlfn.NUMBERVALUE(LEFT(C1862,2))</f>
        <v>12</v>
      </c>
      <c r="E1862">
        <f t="shared" ref="E1862" si="4373">_xlfn.NUMBERVALUE(MID(C1862,4,2))</f>
        <v>1</v>
      </c>
      <c r="F1862">
        <f t="shared" ref="F1862" si="4374">_xlfn.NUMBERVALUE(RIGHT(C1862,4))</f>
        <v>2024</v>
      </c>
      <c r="G1862" t="s">
        <v>7</v>
      </c>
      <c r="H1862">
        <v>-2</v>
      </c>
      <c r="K1862" t="s">
        <v>9</v>
      </c>
      <c r="L1862" s="8">
        <f t="shared" ref="L1862:L1925" si="4375">IF(H1862="",0,(SUM(I1862:J1862)/-H1862)-1)</f>
        <v>-1</v>
      </c>
      <c r="M1862" t="s">
        <v>2048</v>
      </c>
    </row>
    <row r="1863" spans="1:13" x14ac:dyDescent="0.35">
      <c r="A1863">
        <f t="shared" si="3743"/>
        <v>1859</v>
      </c>
      <c r="B1863" s="9">
        <f t="shared" ref="B1863" si="4376">B1862+H1863+I1863+J1863</f>
        <v>27.040000000000006</v>
      </c>
      <c r="C1863" s="3" t="s">
        <v>2044</v>
      </c>
      <c r="D1863">
        <f t="shared" ref="D1863" si="4377">_xlfn.NUMBERVALUE(LEFT(C1863,2))</f>
        <v>12</v>
      </c>
      <c r="E1863">
        <f t="shared" ref="E1863" si="4378">_xlfn.NUMBERVALUE(MID(C1863,4,2))</f>
        <v>1</v>
      </c>
      <c r="F1863">
        <f t="shared" ref="F1863" si="4379">_xlfn.NUMBERVALUE(RIGHT(C1863,4))</f>
        <v>2024</v>
      </c>
      <c r="G1863" t="s">
        <v>7</v>
      </c>
      <c r="H1863">
        <v>-2</v>
      </c>
      <c r="K1863" t="s">
        <v>9</v>
      </c>
      <c r="L1863" s="8">
        <f t="shared" si="4375"/>
        <v>-1</v>
      </c>
      <c r="M1863" t="s">
        <v>2049</v>
      </c>
    </row>
    <row r="1864" spans="1:13" x14ac:dyDescent="0.35">
      <c r="A1864">
        <f t="shared" si="3743"/>
        <v>1860</v>
      </c>
      <c r="B1864" s="9">
        <f t="shared" ref="B1864" si="4380">B1863+H1864+I1864+J1864</f>
        <v>25.040000000000006</v>
      </c>
      <c r="C1864" s="3" t="s">
        <v>2050</v>
      </c>
      <c r="D1864">
        <f t="shared" ref="D1864" si="4381">_xlfn.NUMBERVALUE(LEFT(C1864,2))</f>
        <v>13</v>
      </c>
      <c r="E1864">
        <f t="shared" ref="E1864" si="4382">_xlfn.NUMBERVALUE(MID(C1864,4,2))</f>
        <v>1</v>
      </c>
      <c r="F1864">
        <f t="shared" ref="F1864" si="4383">_xlfn.NUMBERVALUE(RIGHT(C1864,4))</f>
        <v>2024</v>
      </c>
      <c r="G1864" t="s">
        <v>7</v>
      </c>
      <c r="H1864">
        <v>-2</v>
      </c>
      <c r="K1864" t="s">
        <v>9</v>
      </c>
      <c r="L1864" s="8">
        <f t="shared" si="4375"/>
        <v>-1</v>
      </c>
      <c r="M1864" t="s">
        <v>2051</v>
      </c>
    </row>
    <row r="1865" spans="1:13" x14ac:dyDescent="0.35">
      <c r="A1865">
        <f t="shared" si="3743"/>
        <v>1861</v>
      </c>
      <c r="B1865" s="9">
        <f t="shared" ref="B1865" si="4384">B1864+H1865+I1865+J1865</f>
        <v>29.040000000000006</v>
      </c>
      <c r="C1865" s="3" t="s">
        <v>2050</v>
      </c>
      <c r="D1865">
        <f t="shared" ref="D1865" si="4385">_xlfn.NUMBERVALUE(LEFT(C1865,2))</f>
        <v>13</v>
      </c>
      <c r="E1865">
        <f t="shared" ref="E1865" si="4386">_xlfn.NUMBERVALUE(MID(C1865,4,2))</f>
        <v>1</v>
      </c>
      <c r="F1865">
        <f t="shared" ref="F1865" si="4387">_xlfn.NUMBERVALUE(RIGHT(C1865,4))</f>
        <v>2024</v>
      </c>
      <c r="G1865" t="s">
        <v>7</v>
      </c>
      <c r="H1865">
        <v>-2</v>
      </c>
      <c r="I1865">
        <v>6</v>
      </c>
      <c r="K1865" t="s">
        <v>10</v>
      </c>
      <c r="L1865" s="8">
        <f t="shared" si="4375"/>
        <v>2</v>
      </c>
      <c r="M1865" t="s">
        <v>2052</v>
      </c>
    </row>
    <row r="1866" spans="1:13" x14ac:dyDescent="0.35">
      <c r="A1866">
        <f t="shared" si="3743"/>
        <v>1862</v>
      </c>
      <c r="B1866" s="9">
        <f t="shared" ref="B1866" si="4388">B1865+H1866+I1866+J1866</f>
        <v>31.040000000000006</v>
      </c>
      <c r="C1866" s="3" t="s">
        <v>2050</v>
      </c>
      <c r="D1866">
        <f t="shared" ref="D1866" si="4389">_xlfn.NUMBERVALUE(LEFT(C1866,2))</f>
        <v>13</v>
      </c>
      <c r="E1866">
        <f t="shared" ref="E1866" si="4390">_xlfn.NUMBERVALUE(MID(C1866,4,2))</f>
        <v>1</v>
      </c>
      <c r="F1866">
        <f t="shared" ref="F1866" si="4391">_xlfn.NUMBERVALUE(RIGHT(C1866,4))</f>
        <v>2024</v>
      </c>
      <c r="G1866" t="s">
        <v>7</v>
      </c>
      <c r="H1866">
        <v>-2</v>
      </c>
      <c r="I1866">
        <v>4</v>
      </c>
      <c r="K1866" t="s">
        <v>10</v>
      </c>
      <c r="L1866" s="8">
        <f t="shared" si="4375"/>
        <v>1</v>
      </c>
      <c r="M1866" t="s">
        <v>2053</v>
      </c>
    </row>
    <row r="1867" spans="1:13" x14ac:dyDescent="0.35">
      <c r="A1867">
        <f t="shared" si="3743"/>
        <v>1863</v>
      </c>
      <c r="B1867" s="9">
        <f t="shared" ref="B1867" si="4392">B1866+H1867+I1867+J1867</f>
        <v>29.040000000000006</v>
      </c>
      <c r="C1867" s="3" t="s">
        <v>2050</v>
      </c>
      <c r="D1867">
        <f t="shared" ref="D1867" si="4393">_xlfn.NUMBERVALUE(LEFT(C1867,2))</f>
        <v>13</v>
      </c>
      <c r="E1867">
        <f t="shared" ref="E1867" si="4394">_xlfn.NUMBERVALUE(MID(C1867,4,2))</f>
        <v>1</v>
      </c>
      <c r="F1867">
        <f t="shared" ref="F1867" si="4395">_xlfn.NUMBERVALUE(RIGHT(C1867,4))</f>
        <v>2024</v>
      </c>
      <c r="G1867" t="s">
        <v>7</v>
      </c>
      <c r="H1867">
        <v>-2</v>
      </c>
      <c r="K1867" t="s">
        <v>9</v>
      </c>
      <c r="L1867" s="8">
        <f t="shared" si="4375"/>
        <v>-1</v>
      </c>
      <c r="M1867" t="s">
        <v>2054</v>
      </c>
    </row>
    <row r="1868" spans="1:13" x14ac:dyDescent="0.35">
      <c r="A1868">
        <f t="shared" si="3743"/>
        <v>1864</v>
      </c>
      <c r="B1868" s="9">
        <f t="shared" ref="B1868" si="4396">B1867+H1868+I1868+J1868</f>
        <v>27.040000000000006</v>
      </c>
      <c r="C1868" s="3" t="s">
        <v>2050</v>
      </c>
      <c r="D1868">
        <f t="shared" ref="D1868" si="4397">_xlfn.NUMBERVALUE(LEFT(C1868,2))</f>
        <v>13</v>
      </c>
      <c r="E1868">
        <f t="shared" ref="E1868" si="4398">_xlfn.NUMBERVALUE(MID(C1868,4,2))</f>
        <v>1</v>
      </c>
      <c r="F1868">
        <f t="shared" ref="F1868" si="4399">_xlfn.NUMBERVALUE(RIGHT(C1868,4))</f>
        <v>2024</v>
      </c>
      <c r="G1868" t="s">
        <v>7</v>
      </c>
      <c r="H1868">
        <v>-2</v>
      </c>
      <c r="K1868" t="s">
        <v>9</v>
      </c>
      <c r="L1868" s="8">
        <f t="shared" si="4375"/>
        <v>-1</v>
      </c>
      <c r="M1868" t="s">
        <v>2055</v>
      </c>
    </row>
    <row r="1869" spans="1:13" x14ac:dyDescent="0.35">
      <c r="A1869">
        <f t="shared" si="3743"/>
        <v>1865</v>
      </c>
      <c r="B1869" s="9">
        <f t="shared" ref="B1869" si="4400">B1868+H1869+I1869+J1869</f>
        <v>25.040000000000006</v>
      </c>
      <c r="C1869" s="3" t="s">
        <v>2050</v>
      </c>
      <c r="D1869">
        <f t="shared" ref="D1869" si="4401">_xlfn.NUMBERVALUE(LEFT(C1869,2))</f>
        <v>13</v>
      </c>
      <c r="E1869">
        <f t="shared" ref="E1869" si="4402">_xlfn.NUMBERVALUE(MID(C1869,4,2))</f>
        <v>1</v>
      </c>
      <c r="F1869">
        <f t="shared" ref="F1869" si="4403">_xlfn.NUMBERVALUE(RIGHT(C1869,4))</f>
        <v>2024</v>
      </c>
      <c r="G1869" t="s">
        <v>7</v>
      </c>
      <c r="H1869">
        <v>-2</v>
      </c>
      <c r="K1869" t="s">
        <v>9</v>
      </c>
      <c r="L1869" s="8">
        <f t="shared" si="4375"/>
        <v>-1</v>
      </c>
      <c r="M1869" t="s">
        <v>2056</v>
      </c>
    </row>
    <row r="1870" spans="1:13" x14ac:dyDescent="0.35">
      <c r="A1870">
        <f t="shared" si="3743"/>
        <v>1866</v>
      </c>
      <c r="B1870" s="9">
        <f t="shared" ref="B1870" si="4404">B1869+H1870+I1870+J1870</f>
        <v>29.040000000000006</v>
      </c>
      <c r="C1870" s="3" t="s">
        <v>2050</v>
      </c>
      <c r="D1870">
        <f t="shared" ref="D1870" si="4405">_xlfn.NUMBERVALUE(LEFT(C1870,2))</f>
        <v>13</v>
      </c>
      <c r="E1870">
        <f t="shared" ref="E1870" si="4406">_xlfn.NUMBERVALUE(MID(C1870,4,2))</f>
        <v>1</v>
      </c>
      <c r="F1870">
        <f t="shared" ref="F1870" si="4407">_xlfn.NUMBERVALUE(RIGHT(C1870,4))</f>
        <v>2024</v>
      </c>
      <c r="G1870" t="s">
        <v>7</v>
      </c>
      <c r="H1870">
        <v>-2</v>
      </c>
      <c r="I1870">
        <v>6</v>
      </c>
      <c r="K1870" t="s">
        <v>10</v>
      </c>
      <c r="L1870" s="8">
        <f t="shared" si="4375"/>
        <v>2</v>
      </c>
      <c r="M1870" t="s">
        <v>2057</v>
      </c>
    </row>
    <row r="1871" spans="1:13" x14ac:dyDescent="0.35">
      <c r="A1871">
        <f t="shared" si="3743"/>
        <v>1867</v>
      </c>
      <c r="B1871" s="9">
        <f t="shared" ref="B1871" si="4408">B1870+H1871+I1871+J1871</f>
        <v>27.040000000000006</v>
      </c>
      <c r="C1871" s="3" t="s">
        <v>2050</v>
      </c>
      <c r="D1871">
        <f t="shared" ref="D1871" si="4409">_xlfn.NUMBERVALUE(LEFT(C1871,2))</f>
        <v>13</v>
      </c>
      <c r="E1871">
        <f t="shared" ref="E1871" si="4410">_xlfn.NUMBERVALUE(MID(C1871,4,2))</f>
        <v>1</v>
      </c>
      <c r="F1871">
        <f t="shared" ref="F1871" si="4411">_xlfn.NUMBERVALUE(RIGHT(C1871,4))</f>
        <v>2024</v>
      </c>
      <c r="G1871" t="s">
        <v>7</v>
      </c>
      <c r="H1871">
        <v>-2</v>
      </c>
      <c r="K1871" t="s">
        <v>9</v>
      </c>
      <c r="L1871" s="8">
        <f t="shared" si="4375"/>
        <v>-1</v>
      </c>
      <c r="M1871" t="s">
        <v>2058</v>
      </c>
    </row>
    <row r="1872" spans="1:13" x14ac:dyDescent="0.35">
      <c r="A1872">
        <f t="shared" si="3743"/>
        <v>1868</v>
      </c>
      <c r="B1872" s="9">
        <f t="shared" ref="B1872" si="4412">B1871+H1872+I1872+J1872</f>
        <v>41.040000000000006</v>
      </c>
      <c r="C1872" s="3" t="s">
        <v>2059</v>
      </c>
      <c r="D1872">
        <f t="shared" ref="D1872" si="4413">_xlfn.NUMBERVALUE(LEFT(C1872,2))</f>
        <v>14</v>
      </c>
      <c r="E1872">
        <f t="shared" ref="E1872" si="4414">_xlfn.NUMBERVALUE(MID(C1872,4,2))</f>
        <v>1</v>
      </c>
      <c r="F1872">
        <f t="shared" ref="F1872" si="4415">_xlfn.NUMBERVALUE(RIGHT(C1872,4))</f>
        <v>2024</v>
      </c>
      <c r="G1872" t="s">
        <v>7</v>
      </c>
      <c r="H1872">
        <v>-2</v>
      </c>
      <c r="I1872">
        <v>16</v>
      </c>
      <c r="K1872" t="s">
        <v>10</v>
      </c>
      <c r="L1872" s="8">
        <f t="shared" si="4375"/>
        <v>7</v>
      </c>
      <c r="M1872" t="s">
        <v>2060</v>
      </c>
    </row>
    <row r="1873" spans="1:13" x14ac:dyDescent="0.35">
      <c r="A1873">
        <f t="shared" si="3743"/>
        <v>1869</v>
      </c>
      <c r="B1873" s="9">
        <f t="shared" ref="B1873" si="4416">B1872+H1873+I1873+J1873</f>
        <v>39.040000000000006</v>
      </c>
      <c r="C1873" s="3" t="s">
        <v>2059</v>
      </c>
      <c r="D1873">
        <f t="shared" ref="D1873" si="4417">_xlfn.NUMBERVALUE(LEFT(C1873,2))</f>
        <v>14</v>
      </c>
      <c r="E1873">
        <f t="shared" ref="E1873" si="4418">_xlfn.NUMBERVALUE(MID(C1873,4,2))</f>
        <v>1</v>
      </c>
      <c r="F1873">
        <f t="shared" ref="F1873" si="4419">_xlfn.NUMBERVALUE(RIGHT(C1873,4))</f>
        <v>2024</v>
      </c>
      <c r="G1873" t="s">
        <v>7</v>
      </c>
      <c r="H1873">
        <v>-2</v>
      </c>
      <c r="K1873" t="s">
        <v>9</v>
      </c>
      <c r="L1873" s="8">
        <f t="shared" si="4375"/>
        <v>-1</v>
      </c>
      <c r="M1873" t="s">
        <v>2061</v>
      </c>
    </row>
    <row r="1874" spans="1:13" x14ac:dyDescent="0.35">
      <c r="A1874">
        <f t="shared" si="3743"/>
        <v>1870</v>
      </c>
      <c r="B1874" s="9">
        <f t="shared" ref="B1874" si="4420">B1873+H1874+I1874+J1874</f>
        <v>37.040000000000006</v>
      </c>
      <c r="C1874" s="3" t="s">
        <v>2059</v>
      </c>
      <c r="D1874">
        <f t="shared" ref="D1874" si="4421">_xlfn.NUMBERVALUE(LEFT(C1874,2))</f>
        <v>14</v>
      </c>
      <c r="E1874">
        <f t="shared" ref="E1874" si="4422">_xlfn.NUMBERVALUE(MID(C1874,4,2))</f>
        <v>1</v>
      </c>
      <c r="F1874">
        <f t="shared" ref="F1874" si="4423">_xlfn.NUMBERVALUE(RIGHT(C1874,4))</f>
        <v>2024</v>
      </c>
      <c r="G1874" t="s">
        <v>7</v>
      </c>
      <c r="H1874">
        <v>-2</v>
      </c>
      <c r="K1874" t="s">
        <v>9</v>
      </c>
      <c r="L1874" s="8">
        <f t="shared" si="4375"/>
        <v>-1</v>
      </c>
      <c r="M1874" t="s">
        <v>2062</v>
      </c>
    </row>
    <row r="1875" spans="1:13" x14ac:dyDescent="0.35">
      <c r="A1875">
        <f t="shared" si="3743"/>
        <v>1871</v>
      </c>
      <c r="B1875" s="9">
        <f t="shared" ref="B1875" si="4424">B1874+H1875+I1875+J1875</f>
        <v>41.040000000000006</v>
      </c>
      <c r="C1875" s="3" t="s">
        <v>2059</v>
      </c>
      <c r="D1875">
        <f t="shared" ref="D1875" si="4425">_xlfn.NUMBERVALUE(LEFT(C1875,2))</f>
        <v>14</v>
      </c>
      <c r="E1875">
        <f t="shared" ref="E1875" si="4426">_xlfn.NUMBERVALUE(MID(C1875,4,2))</f>
        <v>1</v>
      </c>
      <c r="F1875">
        <f t="shared" ref="F1875" si="4427">_xlfn.NUMBERVALUE(RIGHT(C1875,4))</f>
        <v>2024</v>
      </c>
      <c r="G1875" t="s">
        <v>7</v>
      </c>
      <c r="H1875">
        <v>-2</v>
      </c>
      <c r="I1875">
        <v>6</v>
      </c>
      <c r="K1875" t="s">
        <v>10</v>
      </c>
      <c r="L1875" s="8">
        <f t="shared" si="4375"/>
        <v>2</v>
      </c>
      <c r="M1875" t="s">
        <v>2063</v>
      </c>
    </row>
    <row r="1876" spans="1:13" x14ac:dyDescent="0.35">
      <c r="A1876">
        <f t="shared" si="3743"/>
        <v>1872</v>
      </c>
      <c r="B1876" s="9">
        <f t="shared" ref="B1876" si="4428">B1875+H1876+I1876+J1876</f>
        <v>45.040000000000006</v>
      </c>
      <c r="C1876" s="3" t="s">
        <v>2059</v>
      </c>
      <c r="D1876">
        <f t="shared" ref="D1876" si="4429">_xlfn.NUMBERVALUE(LEFT(C1876,2))</f>
        <v>14</v>
      </c>
      <c r="E1876">
        <f t="shared" ref="E1876" si="4430">_xlfn.NUMBERVALUE(MID(C1876,4,2))</f>
        <v>1</v>
      </c>
      <c r="F1876">
        <f t="shared" ref="F1876" si="4431">_xlfn.NUMBERVALUE(RIGHT(C1876,4))</f>
        <v>2024</v>
      </c>
      <c r="G1876" t="s">
        <v>7</v>
      </c>
      <c r="H1876">
        <v>-2</v>
      </c>
      <c r="I1876">
        <v>6</v>
      </c>
      <c r="K1876" t="s">
        <v>10</v>
      </c>
      <c r="L1876" s="8">
        <f t="shared" si="4375"/>
        <v>2</v>
      </c>
      <c r="M1876" t="s">
        <v>2064</v>
      </c>
    </row>
    <row r="1877" spans="1:13" x14ac:dyDescent="0.35">
      <c r="A1877">
        <f t="shared" si="3743"/>
        <v>1873</v>
      </c>
      <c r="B1877" s="9">
        <f t="shared" ref="B1877" si="4432">B1876+H1877+I1877+J1877</f>
        <v>43.040000000000006</v>
      </c>
      <c r="C1877" s="3" t="s">
        <v>2059</v>
      </c>
      <c r="D1877">
        <f t="shared" ref="D1877" si="4433">_xlfn.NUMBERVALUE(LEFT(C1877,2))</f>
        <v>14</v>
      </c>
      <c r="E1877">
        <f t="shared" ref="E1877" si="4434">_xlfn.NUMBERVALUE(MID(C1877,4,2))</f>
        <v>1</v>
      </c>
      <c r="F1877">
        <f t="shared" ref="F1877" si="4435">_xlfn.NUMBERVALUE(RIGHT(C1877,4))</f>
        <v>2024</v>
      </c>
      <c r="G1877" t="s">
        <v>7</v>
      </c>
      <c r="H1877">
        <v>-2</v>
      </c>
      <c r="K1877" t="s">
        <v>9</v>
      </c>
      <c r="L1877" s="8">
        <f t="shared" si="4375"/>
        <v>-1</v>
      </c>
      <c r="M1877" t="s">
        <v>2065</v>
      </c>
    </row>
    <row r="1878" spans="1:13" x14ac:dyDescent="0.35">
      <c r="A1878">
        <f t="shared" si="3743"/>
        <v>1874</v>
      </c>
      <c r="B1878" s="9">
        <f t="shared" ref="B1878" si="4436">B1877+H1878+I1878+J1878</f>
        <v>41.040000000000006</v>
      </c>
      <c r="C1878" s="3" t="s">
        <v>2059</v>
      </c>
      <c r="D1878">
        <f t="shared" ref="D1878" si="4437">_xlfn.NUMBERVALUE(LEFT(C1878,2))</f>
        <v>14</v>
      </c>
      <c r="E1878">
        <f t="shared" ref="E1878" si="4438">_xlfn.NUMBERVALUE(MID(C1878,4,2))</f>
        <v>1</v>
      </c>
      <c r="F1878">
        <f t="shared" ref="F1878" si="4439">_xlfn.NUMBERVALUE(RIGHT(C1878,4))</f>
        <v>2024</v>
      </c>
      <c r="G1878" t="s">
        <v>7</v>
      </c>
      <c r="H1878">
        <v>-2</v>
      </c>
      <c r="K1878" t="s">
        <v>9</v>
      </c>
      <c r="L1878" s="8">
        <f t="shared" si="4375"/>
        <v>-1</v>
      </c>
      <c r="M1878" t="s">
        <v>2066</v>
      </c>
    </row>
    <row r="1879" spans="1:13" x14ac:dyDescent="0.35">
      <c r="A1879">
        <f t="shared" si="3743"/>
        <v>1875</v>
      </c>
      <c r="B1879" s="9">
        <f t="shared" ref="B1879" si="4440">B1878+H1879+I1879+J1879</f>
        <v>39.040000000000006</v>
      </c>
      <c r="C1879" s="3" t="s">
        <v>2059</v>
      </c>
      <c r="D1879">
        <f t="shared" ref="D1879" si="4441">_xlfn.NUMBERVALUE(LEFT(C1879,2))</f>
        <v>14</v>
      </c>
      <c r="E1879">
        <f t="shared" ref="E1879" si="4442">_xlfn.NUMBERVALUE(MID(C1879,4,2))</f>
        <v>1</v>
      </c>
      <c r="F1879">
        <f t="shared" ref="F1879" si="4443">_xlfn.NUMBERVALUE(RIGHT(C1879,4))</f>
        <v>2024</v>
      </c>
      <c r="G1879" t="s">
        <v>7</v>
      </c>
      <c r="H1879">
        <v>-2</v>
      </c>
      <c r="K1879" t="s">
        <v>9</v>
      </c>
      <c r="L1879" s="8">
        <f t="shared" si="4375"/>
        <v>-1</v>
      </c>
      <c r="M1879" t="s">
        <v>2067</v>
      </c>
    </row>
    <row r="1880" spans="1:13" x14ac:dyDescent="0.35">
      <c r="A1880">
        <f t="shared" si="3743"/>
        <v>1876</v>
      </c>
      <c r="B1880" s="9">
        <f t="shared" ref="B1880" si="4444">B1879+H1880+I1880+J1880</f>
        <v>41.040000000000006</v>
      </c>
      <c r="C1880" s="3" t="s">
        <v>2059</v>
      </c>
      <c r="D1880">
        <f t="shared" ref="D1880" si="4445">_xlfn.NUMBERVALUE(LEFT(C1880,2))</f>
        <v>14</v>
      </c>
      <c r="E1880">
        <f t="shared" ref="E1880" si="4446">_xlfn.NUMBERVALUE(MID(C1880,4,2))</f>
        <v>1</v>
      </c>
      <c r="F1880">
        <f t="shared" ref="F1880" si="4447">_xlfn.NUMBERVALUE(RIGHT(C1880,4))</f>
        <v>2024</v>
      </c>
      <c r="G1880" t="s">
        <v>7</v>
      </c>
      <c r="H1880">
        <v>-2</v>
      </c>
      <c r="I1880">
        <v>4</v>
      </c>
      <c r="K1880" t="s">
        <v>10</v>
      </c>
      <c r="L1880" s="8">
        <f t="shared" si="4375"/>
        <v>1</v>
      </c>
      <c r="M1880" t="s">
        <v>2068</v>
      </c>
    </row>
    <row r="1881" spans="1:13" x14ac:dyDescent="0.35">
      <c r="A1881">
        <f t="shared" si="3743"/>
        <v>1877</v>
      </c>
      <c r="B1881" s="9">
        <f t="shared" ref="B1881" si="4448">B1880+H1881+I1881+J1881</f>
        <v>39.040000000000006</v>
      </c>
      <c r="C1881" s="3" t="s">
        <v>2059</v>
      </c>
      <c r="D1881">
        <f t="shared" ref="D1881" si="4449">_xlfn.NUMBERVALUE(LEFT(C1881,2))</f>
        <v>14</v>
      </c>
      <c r="E1881">
        <f t="shared" ref="E1881" si="4450">_xlfn.NUMBERVALUE(MID(C1881,4,2))</f>
        <v>1</v>
      </c>
      <c r="F1881">
        <f t="shared" ref="F1881" si="4451">_xlfn.NUMBERVALUE(RIGHT(C1881,4))</f>
        <v>2024</v>
      </c>
      <c r="G1881" t="s">
        <v>7</v>
      </c>
      <c r="H1881">
        <v>-2</v>
      </c>
      <c r="K1881" t="s">
        <v>9</v>
      </c>
      <c r="L1881" s="8">
        <f t="shared" si="4375"/>
        <v>-1</v>
      </c>
      <c r="M1881" t="s">
        <v>2069</v>
      </c>
    </row>
    <row r="1882" spans="1:13" x14ac:dyDescent="0.35">
      <c r="A1882">
        <f t="shared" si="3743"/>
        <v>1878</v>
      </c>
      <c r="B1882" s="9">
        <f t="shared" ref="B1882" si="4452">B1881+H1882+I1882+J1882</f>
        <v>37.040000000000006</v>
      </c>
      <c r="C1882" s="3" t="s">
        <v>2059</v>
      </c>
      <c r="D1882">
        <f t="shared" ref="D1882" si="4453">_xlfn.NUMBERVALUE(LEFT(C1882,2))</f>
        <v>14</v>
      </c>
      <c r="E1882">
        <f t="shared" ref="E1882" si="4454">_xlfn.NUMBERVALUE(MID(C1882,4,2))</f>
        <v>1</v>
      </c>
      <c r="F1882">
        <f t="shared" ref="F1882" si="4455">_xlfn.NUMBERVALUE(RIGHT(C1882,4))</f>
        <v>2024</v>
      </c>
      <c r="G1882" t="s">
        <v>7</v>
      </c>
      <c r="H1882">
        <v>-2</v>
      </c>
      <c r="K1882" t="s">
        <v>9</v>
      </c>
      <c r="L1882" s="8">
        <f t="shared" si="4375"/>
        <v>-1</v>
      </c>
      <c r="M1882" t="s">
        <v>2070</v>
      </c>
    </row>
    <row r="1883" spans="1:13" x14ac:dyDescent="0.35">
      <c r="A1883">
        <f t="shared" si="3743"/>
        <v>1879</v>
      </c>
      <c r="B1883" s="9">
        <f t="shared" ref="B1883" si="4456">B1882+H1883+I1883+J1883</f>
        <v>35.040000000000006</v>
      </c>
      <c r="C1883" s="3" t="s">
        <v>2059</v>
      </c>
      <c r="D1883">
        <f t="shared" ref="D1883" si="4457">_xlfn.NUMBERVALUE(LEFT(C1883,2))</f>
        <v>14</v>
      </c>
      <c r="E1883">
        <f t="shared" ref="E1883" si="4458">_xlfn.NUMBERVALUE(MID(C1883,4,2))</f>
        <v>1</v>
      </c>
      <c r="F1883">
        <f t="shared" ref="F1883" si="4459">_xlfn.NUMBERVALUE(RIGHT(C1883,4))</f>
        <v>2024</v>
      </c>
      <c r="G1883" t="s">
        <v>7</v>
      </c>
      <c r="H1883">
        <v>-2</v>
      </c>
      <c r="K1883" t="s">
        <v>9</v>
      </c>
      <c r="L1883" s="8">
        <f t="shared" si="4375"/>
        <v>-1</v>
      </c>
      <c r="M1883" t="s">
        <v>2071</v>
      </c>
    </row>
    <row r="1884" spans="1:13" x14ac:dyDescent="0.35">
      <c r="A1884">
        <f t="shared" si="3743"/>
        <v>1880</v>
      </c>
      <c r="B1884" s="9">
        <f t="shared" ref="B1884" si="4460">B1883+H1884+I1884+J1884</f>
        <v>33.040000000000006</v>
      </c>
      <c r="C1884" s="3" t="s">
        <v>2059</v>
      </c>
      <c r="D1884">
        <f t="shared" ref="D1884" si="4461">_xlfn.NUMBERVALUE(LEFT(C1884,2))</f>
        <v>14</v>
      </c>
      <c r="E1884">
        <f t="shared" ref="E1884" si="4462">_xlfn.NUMBERVALUE(MID(C1884,4,2))</f>
        <v>1</v>
      </c>
      <c r="F1884">
        <f t="shared" ref="F1884" si="4463">_xlfn.NUMBERVALUE(RIGHT(C1884,4))</f>
        <v>2024</v>
      </c>
      <c r="G1884" t="s">
        <v>7</v>
      </c>
      <c r="H1884">
        <v>-2</v>
      </c>
      <c r="K1884" t="s">
        <v>9</v>
      </c>
      <c r="L1884" s="8">
        <f t="shared" si="4375"/>
        <v>-1</v>
      </c>
      <c r="M1884" t="s">
        <v>2072</v>
      </c>
    </row>
    <row r="1885" spans="1:13" x14ac:dyDescent="0.35">
      <c r="A1885">
        <f t="shared" si="3743"/>
        <v>1881</v>
      </c>
      <c r="B1885" s="9">
        <f t="shared" ref="B1885" si="4464">B1884+H1885+I1885+J1885</f>
        <v>31.040000000000006</v>
      </c>
      <c r="C1885" s="3" t="s">
        <v>2059</v>
      </c>
      <c r="D1885">
        <f t="shared" ref="D1885" si="4465">_xlfn.NUMBERVALUE(LEFT(C1885,2))</f>
        <v>14</v>
      </c>
      <c r="E1885">
        <f t="shared" ref="E1885" si="4466">_xlfn.NUMBERVALUE(MID(C1885,4,2))</f>
        <v>1</v>
      </c>
      <c r="F1885">
        <f t="shared" ref="F1885" si="4467">_xlfn.NUMBERVALUE(RIGHT(C1885,4))</f>
        <v>2024</v>
      </c>
      <c r="G1885" t="s">
        <v>7</v>
      </c>
      <c r="H1885">
        <v>-2</v>
      </c>
      <c r="K1885" t="s">
        <v>9</v>
      </c>
      <c r="L1885" s="8">
        <f t="shared" si="4375"/>
        <v>-1</v>
      </c>
      <c r="M1885" t="s">
        <v>2073</v>
      </c>
    </row>
    <row r="1886" spans="1:13" x14ac:dyDescent="0.35">
      <c r="A1886">
        <f t="shared" si="3743"/>
        <v>1882</v>
      </c>
      <c r="B1886" s="9">
        <f t="shared" ref="B1886" si="4468">B1885+H1886+I1886+J1886</f>
        <v>29.040000000000006</v>
      </c>
      <c r="C1886" s="3" t="s">
        <v>2059</v>
      </c>
      <c r="D1886">
        <f t="shared" ref="D1886" si="4469">_xlfn.NUMBERVALUE(LEFT(C1886,2))</f>
        <v>14</v>
      </c>
      <c r="E1886">
        <f t="shared" ref="E1886" si="4470">_xlfn.NUMBERVALUE(MID(C1886,4,2))</f>
        <v>1</v>
      </c>
      <c r="F1886">
        <f t="shared" ref="F1886" si="4471">_xlfn.NUMBERVALUE(RIGHT(C1886,4))</f>
        <v>2024</v>
      </c>
      <c r="G1886" t="s">
        <v>7</v>
      </c>
      <c r="H1886">
        <v>-2</v>
      </c>
      <c r="K1886" t="s">
        <v>9</v>
      </c>
      <c r="L1886" s="8">
        <f t="shared" si="4375"/>
        <v>-1</v>
      </c>
      <c r="M1886" t="s">
        <v>2074</v>
      </c>
    </row>
    <row r="1887" spans="1:13" x14ac:dyDescent="0.35">
      <c r="A1887">
        <f t="shared" si="3743"/>
        <v>1883</v>
      </c>
      <c r="B1887" s="9">
        <f t="shared" ref="B1887" si="4472">B1886+H1887+I1887+J1887</f>
        <v>27.040000000000006</v>
      </c>
      <c r="C1887" s="3" t="s">
        <v>2059</v>
      </c>
      <c r="D1887">
        <f t="shared" ref="D1887" si="4473">_xlfn.NUMBERVALUE(LEFT(C1887,2))</f>
        <v>14</v>
      </c>
      <c r="E1887">
        <f t="shared" ref="E1887" si="4474">_xlfn.NUMBERVALUE(MID(C1887,4,2))</f>
        <v>1</v>
      </c>
      <c r="F1887">
        <f t="shared" ref="F1887" si="4475">_xlfn.NUMBERVALUE(RIGHT(C1887,4))</f>
        <v>2024</v>
      </c>
      <c r="G1887" t="s">
        <v>7</v>
      </c>
      <c r="H1887">
        <v>-2</v>
      </c>
      <c r="K1887" t="s">
        <v>9</v>
      </c>
      <c r="L1887" s="8">
        <f t="shared" si="4375"/>
        <v>-1</v>
      </c>
      <c r="M1887" t="s">
        <v>2075</v>
      </c>
    </row>
    <row r="1888" spans="1:13" x14ac:dyDescent="0.35">
      <c r="A1888">
        <f t="shared" si="3743"/>
        <v>1884</v>
      </c>
      <c r="B1888" s="9">
        <f t="shared" ref="B1888" si="4476">B1887+H1888+I1888+J1888</f>
        <v>29.040000000000006</v>
      </c>
      <c r="C1888" s="3" t="s">
        <v>2059</v>
      </c>
      <c r="D1888">
        <f t="shared" ref="D1888" si="4477">_xlfn.NUMBERVALUE(LEFT(C1888,2))</f>
        <v>14</v>
      </c>
      <c r="E1888">
        <f t="shared" ref="E1888" si="4478">_xlfn.NUMBERVALUE(MID(C1888,4,2))</f>
        <v>1</v>
      </c>
      <c r="F1888">
        <f t="shared" ref="F1888" si="4479">_xlfn.NUMBERVALUE(RIGHT(C1888,4))</f>
        <v>2024</v>
      </c>
      <c r="G1888" t="s">
        <v>7</v>
      </c>
      <c r="H1888">
        <v>-2</v>
      </c>
      <c r="I1888">
        <v>4</v>
      </c>
      <c r="K1888" t="s">
        <v>10</v>
      </c>
      <c r="L1888" s="8">
        <f t="shared" si="4375"/>
        <v>1</v>
      </c>
      <c r="M1888" t="s">
        <v>2076</v>
      </c>
    </row>
    <row r="1889" spans="1:13" x14ac:dyDescent="0.35">
      <c r="A1889">
        <f t="shared" si="3743"/>
        <v>1885</v>
      </c>
      <c r="B1889" s="9">
        <f t="shared" ref="B1889:B1890" si="4480">B1888+H1889+I1889+J1889</f>
        <v>18.040000000000006</v>
      </c>
      <c r="C1889" s="3" t="s">
        <v>2059</v>
      </c>
      <c r="D1889">
        <f t="shared" ref="D1889:D1890" si="4481">_xlfn.NUMBERVALUE(LEFT(C1889,2))</f>
        <v>14</v>
      </c>
      <c r="E1889">
        <f t="shared" ref="E1889:E1890" si="4482">_xlfn.NUMBERVALUE(MID(C1889,4,2))</f>
        <v>1</v>
      </c>
      <c r="F1889">
        <f t="shared" ref="F1889:F1890" si="4483">_xlfn.NUMBERVALUE(RIGHT(C1889,4))</f>
        <v>2024</v>
      </c>
      <c r="G1889" t="s">
        <v>7</v>
      </c>
      <c r="H1889">
        <v>-11</v>
      </c>
      <c r="K1889" t="s">
        <v>9</v>
      </c>
      <c r="L1889" s="8">
        <f t="shared" si="4375"/>
        <v>-1</v>
      </c>
      <c r="M1889" t="s">
        <v>2077</v>
      </c>
    </row>
    <row r="1890" spans="1:13" x14ac:dyDescent="0.35">
      <c r="A1890">
        <f t="shared" si="3743"/>
        <v>1886</v>
      </c>
      <c r="B1890" s="9">
        <f t="shared" si="4480"/>
        <v>22.040000000000006</v>
      </c>
      <c r="C1890" s="3" t="s">
        <v>2059</v>
      </c>
      <c r="D1890">
        <f t="shared" si="4481"/>
        <v>14</v>
      </c>
      <c r="E1890">
        <f t="shared" si="4482"/>
        <v>1</v>
      </c>
      <c r="F1890">
        <f t="shared" si="4483"/>
        <v>2024</v>
      </c>
      <c r="G1890" t="s">
        <v>7</v>
      </c>
      <c r="H1890">
        <v>-2</v>
      </c>
      <c r="I1890">
        <v>6</v>
      </c>
      <c r="K1890" t="s">
        <v>10</v>
      </c>
      <c r="L1890" s="8">
        <f t="shared" si="4375"/>
        <v>2</v>
      </c>
      <c r="M1890" t="s">
        <v>2078</v>
      </c>
    </row>
    <row r="1891" spans="1:13" x14ac:dyDescent="0.35">
      <c r="A1891">
        <f t="shared" si="3743"/>
        <v>1887</v>
      </c>
      <c r="B1891" s="9">
        <f t="shared" ref="B1891" si="4484">B1890+H1891+I1891+J1891</f>
        <v>20.040000000000006</v>
      </c>
      <c r="C1891" s="3" t="s">
        <v>2059</v>
      </c>
      <c r="D1891">
        <f t="shared" ref="D1891" si="4485">_xlfn.NUMBERVALUE(LEFT(C1891,2))</f>
        <v>14</v>
      </c>
      <c r="E1891">
        <f t="shared" ref="E1891" si="4486">_xlfn.NUMBERVALUE(MID(C1891,4,2))</f>
        <v>1</v>
      </c>
      <c r="F1891">
        <f t="shared" ref="F1891" si="4487">_xlfn.NUMBERVALUE(RIGHT(C1891,4))</f>
        <v>2024</v>
      </c>
      <c r="G1891" t="s">
        <v>7</v>
      </c>
      <c r="H1891">
        <v>-2</v>
      </c>
      <c r="K1891" t="s">
        <v>9</v>
      </c>
      <c r="L1891" s="8">
        <f t="shared" si="4375"/>
        <v>-1</v>
      </c>
      <c r="M1891" t="s">
        <v>2079</v>
      </c>
    </row>
    <row r="1892" spans="1:13" x14ac:dyDescent="0.35">
      <c r="A1892">
        <f t="shared" si="3743"/>
        <v>1888</v>
      </c>
      <c r="B1892" s="9">
        <f t="shared" ref="B1892" si="4488">B1891+H1892+I1892+J1892</f>
        <v>26.040000000000006</v>
      </c>
      <c r="C1892" s="3" t="s">
        <v>2081</v>
      </c>
      <c r="D1892">
        <f t="shared" ref="D1892" si="4489">_xlfn.NUMBERVALUE(LEFT(C1892,2))</f>
        <v>15</v>
      </c>
      <c r="E1892">
        <f t="shared" ref="E1892" si="4490">_xlfn.NUMBERVALUE(MID(C1892,4,2))</f>
        <v>1</v>
      </c>
      <c r="F1892">
        <f t="shared" ref="F1892" si="4491">_xlfn.NUMBERVALUE(RIGHT(C1892,4))</f>
        <v>2024</v>
      </c>
      <c r="G1892" t="s">
        <v>7</v>
      </c>
      <c r="H1892">
        <v>-2</v>
      </c>
      <c r="I1892">
        <v>8</v>
      </c>
      <c r="K1892" t="s">
        <v>10</v>
      </c>
      <c r="L1892" s="8">
        <f t="shared" si="4375"/>
        <v>3</v>
      </c>
      <c r="M1892" t="s">
        <v>2080</v>
      </c>
    </row>
    <row r="1893" spans="1:13" x14ac:dyDescent="0.35">
      <c r="A1893">
        <f t="shared" si="3743"/>
        <v>1889</v>
      </c>
      <c r="B1893" s="9">
        <f t="shared" ref="B1893" si="4492">B1892+H1893+I1893+J1893</f>
        <v>24.040000000000006</v>
      </c>
      <c r="C1893" s="3" t="s">
        <v>2084</v>
      </c>
      <c r="D1893">
        <f t="shared" ref="D1893" si="4493">_xlfn.NUMBERVALUE(LEFT(C1893,2))</f>
        <v>16</v>
      </c>
      <c r="E1893">
        <f t="shared" ref="E1893" si="4494">_xlfn.NUMBERVALUE(MID(C1893,4,2))</f>
        <v>1</v>
      </c>
      <c r="F1893">
        <f t="shared" ref="F1893" si="4495">_xlfn.NUMBERVALUE(RIGHT(C1893,4))</f>
        <v>2024</v>
      </c>
      <c r="G1893" t="s">
        <v>7</v>
      </c>
      <c r="H1893">
        <v>-2</v>
      </c>
      <c r="K1893" t="s">
        <v>9</v>
      </c>
      <c r="L1893" s="8">
        <f t="shared" si="4375"/>
        <v>-1</v>
      </c>
      <c r="M1893" t="s">
        <v>2082</v>
      </c>
    </row>
    <row r="1894" spans="1:13" x14ac:dyDescent="0.35">
      <c r="A1894">
        <f t="shared" si="3743"/>
        <v>1890</v>
      </c>
      <c r="B1894" s="9">
        <f t="shared" ref="B1894" si="4496">B1893+H1894+I1894+J1894</f>
        <v>26.040000000000006</v>
      </c>
      <c r="C1894" s="3" t="s">
        <v>2084</v>
      </c>
      <c r="D1894">
        <f t="shared" ref="D1894" si="4497">_xlfn.NUMBERVALUE(LEFT(C1894,2))</f>
        <v>16</v>
      </c>
      <c r="E1894">
        <f t="shared" ref="E1894" si="4498">_xlfn.NUMBERVALUE(MID(C1894,4,2))</f>
        <v>1</v>
      </c>
      <c r="F1894">
        <f t="shared" ref="F1894" si="4499">_xlfn.NUMBERVALUE(RIGHT(C1894,4))</f>
        <v>2024</v>
      </c>
      <c r="G1894" t="s">
        <v>7</v>
      </c>
      <c r="H1894">
        <v>-2</v>
      </c>
      <c r="I1894">
        <v>4</v>
      </c>
      <c r="K1894" t="s">
        <v>10</v>
      </c>
      <c r="L1894" s="8">
        <f t="shared" si="4375"/>
        <v>1</v>
      </c>
      <c r="M1894" t="s">
        <v>2083</v>
      </c>
    </row>
    <row r="1895" spans="1:13" x14ac:dyDescent="0.35">
      <c r="A1895">
        <f t="shared" si="3743"/>
        <v>1891</v>
      </c>
      <c r="B1895" s="9">
        <f t="shared" ref="B1895" si="4500">B1894+H1895+I1895+J1895</f>
        <v>24.040000000000006</v>
      </c>
      <c r="C1895" s="3" t="s">
        <v>2085</v>
      </c>
      <c r="D1895">
        <f t="shared" ref="D1895" si="4501">_xlfn.NUMBERVALUE(LEFT(C1895,2))</f>
        <v>17</v>
      </c>
      <c r="E1895">
        <f t="shared" ref="E1895" si="4502">_xlfn.NUMBERVALUE(MID(C1895,4,2))</f>
        <v>1</v>
      </c>
      <c r="F1895">
        <f t="shared" ref="F1895" si="4503">_xlfn.NUMBERVALUE(RIGHT(C1895,4))</f>
        <v>2024</v>
      </c>
      <c r="G1895" t="s">
        <v>7</v>
      </c>
      <c r="H1895">
        <v>-2</v>
      </c>
      <c r="K1895" t="s">
        <v>9</v>
      </c>
      <c r="L1895" s="8">
        <f t="shared" si="4375"/>
        <v>-1</v>
      </c>
      <c r="M1895" t="s">
        <v>2086</v>
      </c>
    </row>
    <row r="1896" spans="1:13" x14ac:dyDescent="0.35">
      <c r="A1896">
        <f t="shared" si="3743"/>
        <v>1892</v>
      </c>
      <c r="B1896" s="9">
        <f t="shared" ref="B1896" si="4504">B1895+H1896+I1896+J1896</f>
        <v>28.040000000000006</v>
      </c>
      <c r="C1896" s="3" t="s">
        <v>2085</v>
      </c>
      <c r="D1896">
        <f t="shared" ref="D1896" si="4505">_xlfn.NUMBERVALUE(LEFT(C1896,2))</f>
        <v>17</v>
      </c>
      <c r="E1896">
        <f t="shared" ref="E1896" si="4506">_xlfn.NUMBERVALUE(MID(C1896,4,2))</f>
        <v>1</v>
      </c>
      <c r="F1896">
        <f t="shared" ref="F1896" si="4507">_xlfn.NUMBERVALUE(RIGHT(C1896,4))</f>
        <v>2024</v>
      </c>
      <c r="G1896" t="s">
        <v>7</v>
      </c>
      <c r="H1896">
        <v>-2</v>
      </c>
      <c r="I1896">
        <v>6</v>
      </c>
      <c r="K1896" t="s">
        <v>10</v>
      </c>
      <c r="L1896" s="8">
        <f t="shared" si="4375"/>
        <v>2</v>
      </c>
      <c r="M1896" t="s">
        <v>2087</v>
      </c>
    </row>
    <row r="1897" spans="1:13" x14ac:dyDescent="0.35">
      <c r="A1897">
        <f t="shared" si="3743"/>
        <v>1893</v>
      </c>
      <c r="B1897" s="9">
        <f t="shared" ref="B1897" si="4508">B1896+H1897+I1897+J1897</f>
        <v>30.040000000000006</v>
      </c>
      <c r="C1897" s="3" t="s">
        <v>2085</v>
      </c>
      <c r="D1897">
        <f t="shared" ref="D1897" si="4509">_xlfn.NUMBERVALUE(LEFT(C1897,2))</f>
        <v>17</v>
      </c>
      <c r="E1897">
        <f t="shared" ref="E1897" si="4510">_xlfn.NUMBERVALUE(MID(C1897,4,2))</f>
        <v>1</v>
      </c>
      <c r="F1897">
        <f t="shared" ref="F1897" si="4511">_xlfn.NUMBERVALUE(RIGHT(C1897,4))</f>
        <v>2024</v>
      </c>
      <c r="G1897" t="s">
        <v>7</v>
      </c>
      <c r="H1897">
        <v>-2</v>
      </c>
      <c r="I1897">
        <v>4</v>
      </c>
      <c r="K1897" t="s">
        <v>10</v>
      </c>
      <c r="L1897" s="8">
        <f t="shared" si="4375"/>
        <v>1</v>
      </c>
      <c r="M1897" t="s">
        <v>2088</v>
      </c>
    </row>
    <row r="1898" spans="1:13" x14ac:dyDescent="0.35">
      <c r="A1898">
        <f t="shared" si="3743"/>
        <v>1894</v>
      </c>
      <c r="B1898" s="9">
        <f t="shared" ref="B1898" si="4512">B1897+H1898+I1898+J1898</f>
        <v>32.040000000000006</v>
      </c>
      <c r="C1898" s="3" t="s">
        <v>2090</v>
      </c>
      <c r="D1898">
        <f t="shared" ref="D1898" si="4513">_xlfn.NUMBERVALUE(LEFT(C1898,2))</f>
        <v>18</v>
      </c>
      <c r="E1898">
        <f t="shared" ref="E1898" si="4514">_xlfn.NUMBERVALUE(MID(C1898,4,2))</f>
        <v>1</v>
      </c>
      <c r="F1898">
        <f t="shared" ref="F1898" si="4515">_xlfn.NUMBERVALUE(RIGHT(C1898,4))</f>
        <v>2024</v>
      </c>
      <c r="G1898" t="s">
        <v>7</v>
      </c>
      <c r="H1898">
        <v>-2</v>
      </c>
      <c r="I1898">
        <v>4</v>
      </c>
      <c r="K1898" t="s">
        <v>10</v>
      </c>
      <c r="L1898" s="8">
        <f t="shared" si="4375"/>
        <v>1</v>
      </c>
      <c r="M1898" t="s">
        <v>2089</v>
      </c>
    </row>
    <row r="1899" spans="1:13" x14ac:dyDescent="0.35">
      <c r="A1899">
        <f t="shared" si="3743"/>
        <v>1895</v>
      </c>
      <c r="B1899" s="9">
        <f t="shared" ref="B1899" si="4516">B1898+H1899+I1899+J1899</f>
        <v>36.040000000000006</v>
      </c>
      <c r="C1899" s="3" t="s">
        <v>2090</v>
      </c>
      <c r="D1899">
        <f t="shared" ref="D1899" si="4517">_xlfn.NUMBERVALUE(LEFT(C1899,2))</f>
        <v>18</v>
      </c>
      <c r="E1899">
        <f t="shared" ref="E1899" si="4518">_xlfn.NUMBERVALUE(MID(C1899,4,2))</f>
        <v>1</v>
      </c>
      <c r="F1899">
        <f t="shared" ref="F1899" si="4519">_xlfn.NUMBERVALUE(RIGHT(C1899,4))</f>
        <v>2024</v>
      </c>
      <c r="G1899" t="s">
        <v>7</v>
      </c>
      <c r="H1899">
        <v>-2</v>
      </c>
      <c r="I1899">
        <v>6</v>
      </c>
      <c r="K1899" t="s">
        <v>10</v>
      </c>
      <c r="L1899" s="8">
        <f t="shared" si="4375"/>
        <v>2</v>
      </c>
      <c r="M1899" t="s">
        <v>2091</v>
      </c>
    </row>
    <row r="1900" spans="1:13" x14ac:dyDescent="0.35">
      <c r="A1900">
        <f t="shared" si="3743"/>
        <v>1896</v>
      </c>
      <c r="B1900" s="9">
        <f t="shared" ref="B1900" si="4520">B1899+H1900+I1900+J1900</f>
        <v>34.040000000000006</v>
      </c>
      <c r="C1900" s="3" t="s">
        <v>2093</v>
      </c>
      <c r="D1900">
        <f t="shared" ref="D1900" si="4521">_xlfn.NUMBERVALUE(LEFT(C1900,2))</f>
        <v>20</v>
      </c>
      <c r="E1900">
        <f t="shared" ref="E1900" si="4522">_xlfn.NUMBERVALUE(MID(C1900,4,2))</f>
        <v>1</v>
      </c>
      <c r="F1900">
        <f t="shared" ref="F1900" si="4523">_xlfn.NUMBERVALUE(RIGHT(C1900,4))</f>
        <v>2024</v>
      </c>
      <c r="G1900" t="s">
        <v>7</v>
      </c>
      <c r="H1900">
        <v>-2</v>
      </c>
      <c r="K1900" t="s">
        <v>9</v>
      </c>
      <c r="L1900" s="8">
        <f t="shared" si="4375"/>
        <v>-1</v>
      </c>
      <c r="M1900" t="s">
        <v>2092</v>
      </c>
    </row>
    <row r="1901" spans="1:13" x14ac:dyDescent="0.35">
      <c r="A1901">
        <f t="shared" si="3743"/>
        <v>1897</v>
      </c>
      <c r="B1901" s="9">
        <f t="shared" ref="B1901" si="4524">B1900+H1901+I1901+J1901</f>
        <v>32.040000000000006</v>
      </c>
      <c r="C1901" s="3" t="s">
        <v>2093</v>
      </c>
      <c r="D1901">
        <f t="shared" ref="D1901" si="4525">_xlfn.NUMBERVALUE(LEFT(C1901,2))</f>
        <v>20</v>
      </c>
      <c r="E1901">
        <f t="shared" ref="E1901" si="4526">_xlfn.NUMBERVALUE(MID(C1901,4,2))</f>
        <v>1</v>
      </c>
      <c r="F1901">
        <f t="shared" ref="F1901" si="4527">_xlfn.NUMBERVALUE(RIGHT(C1901,4))</f>
        <v>2024</v>
      </c>
      <c r="G1901" t="s">
        <v>7</v>
      </c>
      <c r="H1901">
        <v>-2</v>
      </c>
      <c r="K1901" t="s">
        <v>9</v>
      </c>
      <c r="L1901" s="8">
        <f t="shared" si="4375"/>
        <v>-1</v>
      </c>
      <c r="M1901" t="s">
        <v>2094</v>
      </c>
    </row>
    <row r="1902" spans="1:13" x14ac:dyDescent="0.35">
      <c r="A1902">
        <f t="shared" si="3743"/>
        <v>1898</v>
      </c>
      <c r="B1902" s="9">
        <f t="shared" ref="B1902" si="4528">B1901+H1902+I1902+J1902</f>
        <v>34.040000000000006</v>
      </c>
      <c r="C1902" s="3" t="s">
        <v>2093</v>
      </c>
      <c r="D1902">
        <f t="shared" ref="D1902" si="4529">_xlfn.NUMBERVALUE(LEFT(C1902,2))</f>
        <v>20</v>
      </c>
      <c r="E1902">
        <f t="shared" ref="E1902" si="4530">_xlfn.NUMBERVALUE(MID(C1902,4,2))</f>
        <v>1</v>
      </c>
      <c r="F1902">
        <f t="shared" ref="F1902" si="4531">_xlfn.NUMBERVALUE(RIGHT(C1902,4))</f>
        <v>2024</v>
      </c>
      <c r="G1902" t="s">
        <v>7</v>
      </c>
      <c r="H1902">
        <v>-2</v>
      </c>
      <c r="I1902">
        <v>4</v>
      </c>
      <c r="K1902" t="s">
        <v>10</v>
      </c>
      <c r="L1902" s="8">
        <f t="shared" si="4375"/>
        <v>1</v>
      </c>
      <c r="M1902" t="s">
        <v>2095</v>
      </c>
    </row>
    <row r="1903" spans="1:13" x14ac:dyDescent="0.35">
      <c r="A1903">
        <f t="shared" si="3743"/>
        <v>1899</v>
      </c>
      <c r="B1903" s="9">
        <f t="shared" ref="B1903" si="4532">B1902+H1903+I1903+J1903</f>
        <v>32.040000000000006</v>
      </c>
      <c r="C1903" s="3" t="s">
        <v>2093</v>
      </c>
      <c r="D1903">
        <f t="shared" ref="D1903" si="4533">_xlfn.NUMBERVALUE(LEFT(C1903,2))</f>
        <v>20</v>
      </c>
      <c r="E1903">
        <f t="shared" ref="E1903" si="4534">_xlfn.NUMBERVALUE(MID(C1903,4,2))</f>
        <v>1</v>
      </c>
      <c r="F1903">
        <f t="shared" ref="F1903" si="4535">_xlfn.NUMBERVALUE(RIGHT(C1903,4))</f>
        <v>2024</v>
      </c>
      <c r="G1903" t="s">
        <v>7</v>
      </c>
      <c r="H1903">
        <v>-2</v>
      </c>
      <c r="K1903" t="s">
        <v>9</v>
      </c>
      <c r="L1903" s="8">
        <f t="shared" si="4375"/>
        <v>-1</v>
      </c>
      <c r="M1903" t="s">
        <v>2096</v>
      </c>
    </row>
    <row r="1904" spans="1:13" x14ac:dyDescent="0.35">
      <c r="A1904">
        <f t="shared" si="3743"/>
        <v>1900</v>
      </c>
      <c r="B1904" s="9">
        <f t="shared" ref="B1904" si="4536">B1903+H1904+I1904+J1904</f>
        <v>36.040000000000006</v>
      </c>
      <c r="C1904" s="3" t="s">
        <v>2093</v>
      </c>
      <c r="D1904">
        <f t="shared" ref="D1904" si="4537">_xlfn.NUMBERVALUE(LEFT(C1904,2))</f>
        <v>20</v>
      </c>
      <c r="E1904">
        <f t="shared" ref="E1904" si="4538">_xlfn.NUMBERVALUE(MID(C1904,4,2))</f>
        <v>1</v>
      </c>
      <c r="F1904">
        <f t="shared" ref="F1904" si="4539">_xlfn.NUMBERVALUE(RIGHT(C1904,4))</f>
        <v>2024</v>
      </c>
      <c r="G1904" t="s">
        <v>7</v>
      </c>
      <c r="H1904">
        <v>-2</v>
      </c>
      <c r="I1904">
        <v>6</v>
      </c>
      <c r="K1904" t="s">
        <v>10</v>
      </c>
      <c r="L1904" s="8">
        <f t="shared" si="4375"/>
        <v>2</v>
      </c>
      <c r="M1904" t="s">
        <v>2097</v>
      </c>
    </row>
    <row r="1905" spans="1:13" x14ac:dyDescent="0.35">
      <c r="A1905">
        <f t="shared" si="3743"/>
        <v>1901</v>
      </c>
      <c r="B1905" s="9">
        <f t="shared" ref="B1905" si="4540">B1904+H1905+I1905+J1905</f>
        <v>34.040000000000006</v>
      </c>
      <c r="C1905" s="3" t="s">
        <v>2093</v>
      </c>
      <c r="D1905">
        <f t="shared" ref="D1905" si="4541">_xlfn.NUMBERVALUE(LEFT(C1905,2))</f>
        <v>20</v>
      </c>
      <c r="E1905">
        <f t="shared" ref="E1905" si="4542">_xlfn.NUMBERVALUE(MID(C1905,4,2))</f>
        <v>1</v>
      </c>
      <c r="F1905">
        <f t="shared" ref="F1905" si="4543">_xlfn.NUMBERVALUE(RIGHT(C1905,4))</f>
        <v>2024</v>
      </c>
      <c r="G1905" t="s">
        <v>7</v>
      </c>
      <c r="H1905">
        <v>-2</v>
      </c>
      <c r="K1905" t="s">
        <v>9</v>
      </c>
      <c r="L1905" s="8">
        <f t="shared" si="4375"/>
        <v>-1</v>
      </c>
      <c r="M1905" t="s">
        <v>2098</v>
      </c>
    </row>
    <row r="1906" spans="1:13" x14ac:dyDescent="0.35">
      <c r="A1906">
        <f t="shared" si="3743"/>
        <v>1902</v>
      </c>
      <c r="B1906" s="9">
        <f t="shared" ref="B1906" si="4544">B1905+H1906+I1906+J1906</f>
        <v>32.040000000000006</v>
      </c>
      <c r="C1906" s="3" t="s">
        <v>2093</v>
      </c>
      <c r="D1906">
        <f t="shared" ref="D1906" si="4545">_xlfn.NUMBERVALUE(LEFT(C1906,2))</f>
        <v>20</v>
      </c>
      <c r="E1906">
        <f t="shared" ref="E1906" si="4546">_xlfn.NUMBERVALUE(MID(C1906,4,2))</f>
        <v>1</v>
      </c>
      <c r="F1906">
        <f t="shared" ref="F1906" si="4547">_xlfn.NUMBERVALUE(RIGHT(C1906,4))</f>
        <v>2024</v>
      </c>
      <c r="G1906" t="s">
        <v>7</v>
      </c>
      <c r="H1906">
        <v>-2</v>
      </c>
      <c r="K1906" t="s">
        <v>9</v>
      </c>
      <c r="L1906" s="8">
        <f t="shared" si="4375"/>
        <v>-1</v>
      </c>
      <c r="M1906" t="s">
        <v>2099</v>
      </c>
    </row>
    <row r="1907" spans="1:13" x14ac:dyDescent="0.35">
      <c r="A1907">
        <f t="shared" si="3743"/>
        <v>1903</v>
      </c>
      <c r="B1907" s="9">
        <f t="shared" ref="B1907" si="4548">B1906+H1907+I1907+J1907</f>
        <v>34.040000000000006</v>
      </c>
      <c r="C1907" s="3" t="s">
        <v>2093</v>
      </c>
      <c r="D1907">
        <f t="shared" ref="D1907" si="4549">_xlfn.NUMBERVALUE(LEFT(C1907,2))</f>
        <v>20</v>
      </c>
      <c r="E1907">
        <f t="shared" ref="E1907" si="4550">_xlfn.NUMBERVALUE(MID(C1907,4,2))</f>
        <v>1</v>
      </c>
      <c r="F1907">
        <f t="shared" ref="F1907" si="4551">_xlfn.NUMBERVALUE(RIGHT(C1907,4))</f>
        <v>2024</v>
      </c>
      <c r="G1907" t="s">
        <v>7</v>
      </c>
      <c r="H1907">
        <v>-2</v>
      </c>
      <c r="I1907">
        <v>4</v>
      </c>
      <c r="K1907" t="s">
        <v>10</v>
      </c>
      <c r="L1907" s="8">
        <f t="shared" si="4375"/>
        <v>1</v>
      </c>
      <c r="M1907" t="s">
        <v>2100</v>
      </c>
    </row>
    <row r="1908" spans="1:13" x14ac:dyDescent="0.35">
      <c r="A1908">
        <f t="shared" si="3743"/>
        <v>1904</v>
      </c>
      <c r="B1908" s="9">
        <f t="shared" ref="B1908:B1909" si="4552">B1907+H1908+I1908+J1908</f>
        <v>36.040000000000006</v>
      </c>
      <c r="C1908" s="3" t="s">
        <v>2093</v>
      </c>
      <c r="D1908">
        <f t="shared" ref="D1908:D1909" si="4553">_xlfn.NUMBERVALUE(LEFT(C1908,2))</f>
        <v>20</v>
      </c>
      <c r="E1908">
        <f t="shared" ref="E1908:E1909" si="4554">_xlfn.NUMBERVALUE(MID(C1908,4,2))</f>
        <v>1</v>
      </c>
      <c r="F1908">
        <f t="shared" ref="F1908:F1909" si="4555">_xlfn.NUMBERVALUE(RIGHT(C1908,4))</f>
        <v>2024</v>
      </c>
      <c r="G1908" t="s">
        <v>7</v>
      </c>
      <c r="H1908">
        <v>-2</v>
      </c>
      <c r="I1908">
        <v>4</v>
      </c>
      <c r="K1908" t="s">
        <v>10</v>
      </c>
      <c r="L1908" s="8">
        <f t="shared" si="4375"/>
        <v>1</v>
      </c>
      <c r="M1908" t="s">
        <v>2101</v>
      </c>
    </row>
    <row r="1909" spans="1:13" x14ac:dyDescent="0.35">
      <c r="A1909">
        <f t="shared" si="3743"/>
        <v>1905</v>
      </c>
      <c r="B1909" s="9">
        <f t="shared" si="4552"/>
        <v>28.540000000000006</v>
      </c>
      <c r="C1909" s="3" t="s">
        <v>2093</v>
      </c>
      <c r="D1909">
        <f t="shared" si="4553"/>
        <v>20</v>
      </c>
      <c r="E1909">
        <f t="shared" si="4554"/>
        <v>1</v>
      </c>
      <c r="F1909">
        <f t="shared" si="4555"/>
        <v>2024</v>
      </c>
      <c r="G1909" t="s">
        <v>44</v>
      </c>
      <c r="H1909">
        <v>-7.5</v>
      </c>
      <c r="K1909" t="s">
        <v>9</v>
      </c>
      <c r="L1909" s="8">
        <f t="shared" si="4375"/>
        <v>-1</v>
      </c>
      <c r="M1909" t="s">
        <v>2102</v>
      </c>
    </row>
    <row r="1910" spans="1:13" x14ac:dyDescent="0.35">
      <c r="A1910">
        <f t="shared" si="3743"/>
        <v>1906</v>
      </c>
      <c r="B1910" s="9">
        <f t="shared" ref="B1910" si="4556">B1909+H1910+I1910+J1910</f>
        <v>26.540000000000006</v>
      </c>
      <c r="C1910" s="3" t="s">
        <v>2093</v>
      </c>
      <c r="D1910">
        <f t="shared" ref="D1910" si="4557">_xlfn.NUMBERVALUE(LEFT(C1910,2))</f>
        <v>20</v>
      </c>
      <c r="E1910">
        <f t="shared" ref="E1910" si="4558">_xlfn.NUMBERVALUE(MID(C1910,4,2))</f>
        <v>1</v>
      </c>
      <c r="F1910">
        <f t="shared" ref="F1910" si="4559">_xlfn.NUMBERVALUE(RIGHT(C1910,4))</f>
        <v>2024</v>
      </c>
      <c r="G1910" t="s">
        <v>7</v>
      </c>
      <c r="H1910">
        <v>-2</v>
      </c>
      <c r="K1910" t="s">
        <v>9</v>
      </c>
      <c r="L1910" s="8">
        <f t="shared" si="4375"/>
        <v>-1</v>
      </c>
      <c r="M1910" t="s">
        <v>2103</v>
      </c>
    </row>
    <row r="1911" spans="1:13" x14ac:dyDescent="0.35">
      <c r="A1911">
        <f t="shared" si="3743"/>
        <v>1907</v>
      </c>
      <c r="B1911" s="9">
        <f t="shared" ref="B1911" si="4560">B1910+H1911+I1911+J1911</f>
        <v>30.540000000000006</v>
      </c>
      <c r="C1911" s="3" t="s">
        <v>2093</v>
      </c>
      <c r="D1911">
        <f t="shared" ref="D1911" si="4561">_xlfn.NUMBERVALUE(LEFT(C1911,2))</f>
        <v>20</v>
      </c>
      <c r="E1911">
        <f t="shared" ref="E1911" si="4562">_xlfn.NUMBERVALUE(MID(C1911,4,2))</f>
        <v>1</v>
      </c>
      <c r="F1911">
        <f t="shared" ref="F1911" si="4563">_xlfn.NUMBERVALUE(RIGHT(C1911,4))</f>
        <v>2024</v>
      </c>
      <c r="G1911" t="s">
        <v>7</v>
      </c>
      <c r="H1911">
        <v>-2</v>
      </c>
      <c r="I1911">
        <v>6</v>
      </c>
      <c r="K1911" t="s">
        <v>10</v>
      </c>
      <c r="L1911" s="8">
        <f t="shared" si="4375"/>
        <v>2</v>
      </c>
      <c r="M1911" t="s">
        <v>2104</v>
      </c>
    </row>
    <row r="1912" spans="1:13" x14ac:dyDescent="0.35">
      <c r="A1912">
        <f t="shared" si="3743"/>
        <v>1908</v>
      </c>
      <c r="B1912" s="9">
        <f t="shared" ref="B1912" si="4564">B1911+H1912+I1912+J1912</f>
        <v>28.540000000000006</v>
      </c>
      <c r="C1912" s="3" t="s">
        <v>2093</v>
      </c>
      <c r="D1912">
        <f t="shared" ref="D1912" si="4565">_xlfn.NUMBERVALUE(LEFT(C1912,2))</f>
        <v>20</v>
      </c>
      <c r="E1912">
        <f t="shared" ref="E1912" si="4566">_xlfn.NUMBERVALUE(MID(C1912,4,2))</f>
        <v>1</v>
      </c>
      <c r="F1912">
        <f t="shared" ref="F1912" si="4567">_xlfn.NUMBERVALUE(RIGHT(C1912,4))</f>
        <v>2024</v>
      </c>
      <c r="G1912" t="s">
        <v>7</v>
      </c>
      <c r="H1912">
        <v>-2</v>
      </c>
      <c r="K1912" t="s">
        <v>9</v>
      </c>
      <c r="L1912" s="8">
        <f t="shared" si="4375"/>
        <v>-1</v>
      </c>
      <c r="M1912" t="s">
        <v>2105</v>
      </c>
    </row>
    <row r="1913" spans="1:13" x14ac:dyDescent="0.35">
      <c r="A1913">
        <f t="shared" si="3743"/>
        <v>1909</v>
      </c>
      <c r="B1913" s="9">
        <f t="shared" ref="B1913" si="4568">B1912+H1913+I1913+J1913</f>
        <v>32.540000000000006</v>
      </c>
      <c r="C1913" s="3" t="s">
        <v>2093</v>
      </c>
      <c r="D1913">
        <f t="shared" ref="D1913" si="4569">_xlfn.NUMBERVALUE(LEFT(C1913,2))</f>
        <v>20</v>
      </c>
      <c r="E1913">
        <f t="shared" ref="E1913" si="4570">_xlfn.NUMBERVALUE(MID(C1913,4,2))</f>
        <v>1</v>
      </c>
      <c r="F1913">
        <f t="shared" ref="F1913" si="4571">_xlfn.NUMBERVALUE(RIGHT(C1913,4))</f>
        <v>2024</v>
      </c>
      <c r="G1913" t="s">
        <v>7</v>
      </c>
      <c r="H1913">
        <v>-2</v>
      </c>
      <c r="I1913">
        <v>6</v>
      </c>
      <c r="K1913" t="s">
        <v>10</v>
      </c>
      <c r="L1913" s="8">
        <f t="shared" si="4375"/>
        <v>2</v>
      </c>
      <c r="M1913" t="s">
        <v>2106</v>
      </c>
    </row>
    <row r="1914" spans="1:13" x14ac:dyDescent="0.35">
      <c r="A1914">
        <f t="shared" si="3743"/>
        <v>1910</v>
      </c>
      <c r="B1914" s="9">
        <f t="shared" ref="B1914" si="4572">B1913+H1914+I1914+J1914</f>
        <v>30.540000000000006</v>
      </c>
      <c r="C1914" s="3" t="s">
        <v>2093</v>
      </c>
      <c r="D1914">
        <f t="shared" ref="D1914" si="4573">_xlfn.NUMBERVALUE(LEFT(C1914,2))</f>
        <v>20</v>
      </c>
      <c r="E1914">
        <f t="shared" ref="E1914" si="4574">_xlfn.NUMBERVALUE(MID(C1914,4,2))</f>
        <v>1</v>
      </c>
      <c r="F1914">
        <f t="shared" ref="F1914" si="4575">_xlfn.NUMBERVALUE(RIGHT(C1914,4))</f>
        <v>2024</v>
      </c>
      <c r="G1914" t="s">
        <v>7</v>
      </c>
      <c r="H1914">
        <v>-2</v>
      </c>
      <c r="K1914" t="s">
        <v>9</v>
      </c>
      <c r="L1914" s="8">
        <f t="shared" si="4375"/>
        <v>-1</v>
      </c>
      <c r="M1914" t="s">
        <v>2107</v>
      </c>
    </row>
    <row r="1915" spans="1:13" x14ac:dyDescent="0.35">
      <c r="A1915">
        <f t="shared" si="3743"/>
        <v>1911</v>
      </c>
      <c r="B1915" s="9">
        <f t="shared" ref="B1915" si="4576">B1914+H1915+I1915+J1915</f>
        <v>28.540000000000006</v>
      </c>
      <c r="C1915" s="3" t="s">
        <v>2093</v>
      </c>
      <c r="D1915">
        <f t="shared" ref="D1915" si="4577">_xlfn.NUMBERVALUE(LEFT(C1915,2))</f>
        <v>20</v>
      </c>
      <c r="E1915">
        <f t="shared" ref="E1915" si="4578">_xlfn.NUMBERVALUE(MID(C1915,4,2))</f>
        <v>1</v>
      </c>
      <c r="F1915">
        <f t="shared" ref="F1915" si="4579">_xlfn.NUMBERVALUE(RIGHT(C1915,4))</f>
        <v>2024</v>
      </c>
      <c r="G1915" t="s">
        <v>7</v>
      </c>
      <c r="H1915">
        <v>-2</v>
      </c>
      <c r="K1915" t="s">
        <v>9</v>
      </c>
      <c r="L1915" s="8">
        <f t="shared" si="4375"/>
        <v>-1</v>
      </c>
      <c r="M1915" t="s">
        <v>2108</v>
      </c>
    </row>
    <row r="1916" spans="1:13" x14ac:dyDescent="0.35">
      <c r="A1916">
        <f t="shared" si="3743"/>
        <v>1912</v>
      </c>
      <c r="B1916" s="9">
        <f t="shared" ref="B1916" si="4580">B1915+H1916+I1916+J1916</f>
        <v>30.540000000000006</v>
      </c>
      <c r="C1916" s="3" t="s">
        <v>2093</v>
      </c>
      <c r="D1916">
        <f t="shared" ref="D1916" si="4581">_xlfn.NUMBERVALUE(LEFT(C1916,2))</f>
        <v>20</v>
      </c>
      <c r="E1916">
        <f t="shared" ref="E1916" si="4582">_xlfn.NUMBERVALUE(MID(C1916,4,2))</f>
        <v>1</v>
      </c>
      <c r="F1916">
        <f t="shared" ref="F1916" si="4583">_xlfn.NUMBERVALUE(RIGHT(C1916,4))</f>
        <v>2024</v>
      </c>
      <c r="G1916" t="s">
        <v>7</v>
      </c>
      <c r="H1916">
        <v>-2</v>
      </c>
      <c r="I1916">
        <v>4</v>
      </c>
      <c r="K1916" t="s">
        <v>10</v>
      </c>
      <c r="L1916" s="8">
        <f t="shared" si="4375"/>
        <v>1</v>
      </c>
      <c r="M1916" t="s">
        <v>2109</v>
      </c>
    </row>
    <row r="1917" spans="1:13" x14ac:dyDescent="0.35">
      <c r="A1917">
        <f t="shared" si="3743"/>
        <v>1913</v>
      </c>
      <c r="B1917" s="9">
        <f t="shared" ref="B1917" si="4584">B1916+H1917+I1917+J1917</f>
        <v>28.540000000000006</v>
      </c>
      <c r="C1917" s="3" t="s">
        <v>2093</v>
      </c>
      <c r="D1917">
        <f t="shared" ref="D1917" si="4585">_xlfn.NUMBERVALUE(LEFT(C1917,2))</f>
        <v>20</v>
      </c>
      <c r="E1917">
        <f t="shared" ref="E1917" si="4586">_xlfn.NUMBERVALUE(MID(C1917,4,2))</f>
        <v>1</v>
      </c>
      <c r="F1917">
        <f t="shared" ref="F1917" si="4587">_xlfn.NUMBERVALUE(RIGHT(C1917,4))</f>
        <v>2024</v>
      </c>
      <c r="G1917" t="s">
        <v>7</v>
      </c>
      <c r="H1917">
        <v>-2</v>
      </c>
      <c r="K1917" t="s">
        <v>9</v>
      </c>
      <c r="L1917" s="8">
        <f t="shared" si="4375"/>
        <v>-1</v>
      </c>
      <c r="M1917" t="s">
        <v>2110</v>
      </c>
    </row>
    <row r="1918" spans="1:13" x14ac:dyDescent="0.35">
      <c r="A1918">
        <f t="shared" si="3743"/>
        <v>1914</v>
      </c>
      <c r="B1918" s="9">
        <f t="shared" ref="B1918" si="4588">B1917+H1918+I1918+J1918</f>
        <v>34.540000000000006</v>
      </c>
      <c r="C1918" s="3" t="s">
        <v>2093</v>
      </c>
      <c r="D1918">
        <f t="shared" ref="D1918" si="4589">_xlfn.NUMBERVALUE(LEFT(C1918,2))</f>
        <v>20</v>
      </c>
      <c r="E1918">
        <f t="shared" ref="E1918" si="4590">_xlfn.NUMBERVALUE(MID(C1918,4,2))</f>
        <v>1</v>
      </c>
      <c r="F1918">
        <f t="shared" ref="F1918" si="4591">_xlfn.NUMBERVALUE(RIGHT(C1918,4))</f>
        <v>2024</v>
      </c>
      <c r="G1918" t="s">
        <v>7</v>
      </c>
      <c r="H1918">
        <v>-2</v>
      </c>
      <c r="I1918">
        <v>8</v>
      </c>
      <c r="K1918" t="s">
        <v>10</v>
      </c>
      <c r="L1918" s="8">
        <f t="shared" si="4375"/>
        <v>3</v>
      </c>
      <c r="M1918" t="s">
        <v>2111</v>
      </c>
    </row>
    <row r="1919" spans="1:13" x14ac:dyDescent="0.35">
      <c r="A1919">
        <f t="shared" si="3743"/>
        <v>1915</v>
      </c>
      <c r="B1919" s="9">
        <f t="shared" ref="B1919" si="4592">B1918+H1919+I1919+J1919</f>
        <v>36.540000000000006</v>
      </c>
      <c r="C1919" s="3" t="s">
        <v>2093</v>
      </c>
      <c r="D1919">
        <f t="shared" ref="D1919" si="4593">_xlfn.NUMBERVALUE(LEFT(C1919,2))</f>
        <v>20</v>
      </c>
      <c r="E1919">
        <f t="shared" ref="E1919" si="4594">_xlfn.NUMBERVALUE(MID(C1919,4,2))</f>
        <v>1</v>
      </c>
      <c r="F1919">
        <f t="shared" ref="F1919" si="4595">_xlfn.NUMBERVALUE(RIGHT(C1919,4))</f>
        <v>2024</v>
      </c>
      <c r="G1919" t="s">
        <v>7</v>
      </c>
      <c r="H1919">
        <v>-2</v>
      </c>
      <c r="I1919">
        <v>4</v>
      </c>
      <c r="K1919" t="s">
        <v>10</v>
      </c>
      <c r="L1919" s="8">
        <f t="shared" si="4375"/>
        <v>1</v>
      </c>
      <c r="M1919" t="s">
        <v>2112</v>
      </c>
    </row>
    <row r="1920" spans="1:13" x14ac:dyDescent="0.35">
      <c r="A1920">
        <f t="shared" si="3743"/>
        <v>1916</v>
      </c>
      <c r="B1920" s="9">
        <f t="shared" ref="B1920" si="4596">B1919+H1920+I1920+J1920</f>
        <v>38.540000000000006</v>
      </c>
      <c r="C1920" s="3" t="s">
        <v>2113</v>
      </c>
      <c r="D1920">
        <f t="shared" ref="D1920" si="4597">_xlfn.NUMBERVALUE(LEFT(C1920,2))</f>
        <v>21</v>
      </c>
      <c r="E1920">
        <f t="shared" ref="E1920" si="4598">_xlfn.NUMBERVALUE(MID(C1920,4,2))</f>
        <v>1</v>
      </c>
      <c r="F1920">
        <f t="shared" ref="F1920" si="4599">_xlfn.NUMBERVALUE(RIGHT(C1920,4))</f>
        <v>2024</v>
      </c>
      <c r="G1920" t="s">
        <v>7</v>
      </c>
      <c r="H1920">
        <v>-2</v>
      </c>
      <c r="I1920">
        <v>4</v>
      </c>
      <c r="K1920" t="s">
        <v>10</v>
      </c>
      <c r="L1920" s="8">
        <f t="shared" si="4375"/>
        <v>1</v>
      </c>
      <c r="M1920" t="s">
        <v>2114</v>
      </c>
    </row>
    <row r="1921" spans="1:13" x14ac:dyDescent="0.35">
      <c r="A1921">
        <f t="shared" si="3743"/>
        <v>1917</v>
      </c>
      <c r="B1921" s="9">
        <f t="shared" ref="B1921" si="4600">B1920+H1921+I1921+J1921</f>
        <v>36.540000000000006</v>
      </c>
      <c r="C1921" s="3" t="s">
        <v>2113</v>
      </c>
      <c r="D1921">
        <f t="shared" ref="D1921" si="4601">_xlfn.NUMBERVALUE(LEFT(C1921,2))</f>
        <v>21</v>
      </c>
      <c r="E1921">
        <f t="shared" ref="E1921" si="4602">_xlfn.NUMBERVALUE(MID(C1921,4,2))</f>
        <v>1</v>
      </c>
      <c r="F1921">
        <f t="shared" ref="F1921" si="4603">_xlfn.NUMBERVALUE(RIGHT(C1921,4))</f>
        <v>2024</v>
      </c>
      <c r="G1921" t="s">
        <v>7</v>
      </c>
      <c r="H1921">
        <v>-2</v>
      </c>
      <c r="K1921" t="s">
        <v>9</v>
      </c>
      <c r="L1921" s="8">
        <f t="shared" si="4375"/>
        <v>-1</v>
      </c>
      <c r="M1921" t="s">
        <v>2115</v>
      </c>
    </row>
    <row r="1922" spans="1:13" x14ac:dyDescent="0.35">
      <c r="A1922">
        <f t="shared" si="3743"/>
        <v>1918</v>
      </c>
      <c r="B1922" s="9">
        <f t="shared" ref="B1922" si="4604">B1921+H1922+I1922+J1922</f>
        <v>34.540000000000006</v>
      </c>
      <c r="C1922" s="3" t="s">
        <v>2113</v>
      </c>
      <c r="D1922">
        <f t="shared" ref="D1922" si="4605">_xlfn.NUMBERVALUE(LEFT(C1922,2))</f>
        <v>21</v>
      </c>
      <c r="E1922">
        <f t="shared" ref="E1922" si="4606">_xlfn.NUMBERVALUE(MID(C1922,4,2))</f>
        <v>1</v>
      </c>
      <c r="F1922">
        <f t="shared" ref="F1922" si="4607">_xlfn.NUMBERVALUE(RIGHT(C1922,4))</f>
        <v>2024</v>
      </c>
      <c r="G1922" t="s">
        <v>7</v>
      </c>
      <c r="H1922">
        <v>-2</v>
      </c>
      <c r="K1922" t="s">
        <v>9</v>
      </c>
      <c r="L1922" s="8">
        <f t="shared" si="4375"/>
        <v>-1</v>
      </c>
      <c r="M1922" t="s">
        <v>2116</v>
      </c>
    </row>
    <row r="1923" spans="1:13" x14ac:dyDescent="0.35">
      <c r="A1923">
        <f t="shared" si="3743"/>
        <v>1919</v>
      </c>
      <c r="B1923" s="9">
        <f t="shared" ref="B1923" si="4608">B1922+H1923+I1923+J1923</f>
        <v>36.540000000000006</v>
      </c>
      <c r="C1923" s="3" t="s">
        <v>2113</v>
      </c>
      <c r="D1923">
        <f t="shared" ref="D1923" si="4609">_xlfn.NUMBERVALUE(LEFT(C1923,2))</f>
        <v>21</v>
      </c>
      <c r="E1923">
        <f t="shared" ref="E1923" si="4610">_xlfn.NUMBERVALUE(MID(C1923,4,2))</f>
        <v>1</v>
      </c>
      <c r="F1923">
        <f t="shared" ref="F1923" si="4611">_xlfn.NUMBERVALUE(RIGHT(C1923,4))</f>
        <v>2024</v>
      </c>
      <c r="G1923" t="s">
        <v>7</v>
      </c>
      <c r="H1923">
        <v>-2</v>
      </c>
      <c r="I1923">
        <v>4</v>
      </c>
      <c r="K1923" t="s">
        <v>10</v>
      </c>
      <c r="L1923" s="8">
        <f t="shared" si="4375"/>
        <v>1</v>
      </c>
      <c r="M1923" t="s">
        <v>2117</v>
      </c>
    </row>
    <row r="1924" spans="1:13" x14ac:dyDescent="0.35">
      <c r="A1924">
        <f t="shared" si="3743"/>
        <v>1920</v>
      </c>
      <c r="B1924" s="9">
        <f t="shared" ref="B1924" si="4612">B1923+H1924+I1924+J1924</f>
        <v>34.540000000000006</v>
      </c>
      <c r="C1924" s="3" t="s">
        <v>2113</v>
      </c>
      <c r="D1924">
        <f t="shared" ref="D1924" si="4613">_xlfn.NUMBERVALUE(LEFT(C1924,2))</f>
        <v>21</v>
      </c>
      <c r="E1924">
        <f t="shared" ref="E1924" si="4614">_xlfn.NUMBERVALUE(MID(C1924,4,2))</f>
        <v>1</v>
      </c>
      <c r="F1924">
        <f t="shared" ref="F1924" si="4615">_xlfn.NUMBERVALUE(RIGHT(C1924,4))</f>
        <v>2024</v>
      </c>
      <c r="G1924" t="s">
        <v>7</v>
      </c>
      <c r="H1924">
        <v>-2</v>
      </c>
      <c r="K1924" t="s">
        <v>9</v>
      </c>
      <c r="L1924" s="8">
        <f t="shared" si="4375"/>
        <v>-1</v>
      </c>
      <c r="M1924" t="s">
        <v>2118</v>
      </c>
    </row>
    <row r="1925" spans="1:13" x14ac:dyDescent="0.35">
      <c r="A1925">
        <f t="shared" si="3743"/>
        <v>1921</v>
      </c>
      <c r="B1925" s="9">
        <f t="shared" ref="B1925" si="4616">B1924+H1925+I1925+J1925</f>
        <v>32.540000000000006</v>
      </c>
      <c r="C1925" s="3" t="s">
        <v>2113</v>
      </c>
      <c r="D1925">
        <f t="shared" ref="D1925" si="4617">_xlfn.NUMBERVALUE(LEFT(C1925,2))</f>
        <v>21</v>
      </c>
      <c r="E1925">
        <f t="shared" ref="E1925" si="4618">_xlfn.NUMBERVALUE(MID(C1925,4,2))</f>
        <v>1</v>
      </c>
      <c r="F1925">
        <f t="shared" ref="F1925" si="4619">_xlfn.NUMBERVALUE(RIGHT(C1925,4))</f>
        <v>2024</v>
      </c>
      <c r="G1925" t="s">
        <v>7</v>
      </c>
      <c r="H1925">
        <v>-2</v>
      </c>
      <c r="K1925" t="s">
        <v>9</v>
      </c>
      <c r="L1925" s="8">
        <f t="shared" si="4375"/>
        <v>-1</v>
      </c>
      <c r="M1925" t="s">
        <v>2119</v>
      </c>
    </row>
    <row r="1926" spans="1:13" x14ac:dyDescent="0.35">
      <c r="A1926">
        <f t="shared" si="3743"/>
        <v>1922</v>
      </c>
      <c r="B1926" s="9">
        <f t="shared" ref="B1926" si="4620">B1925+H1926+I1926+J1926</f>
        <v>30.540000000000006</v>
      </c>
      <c r="C1926" s="3" t="s">
        <v>2113</v>
      </c>
      <c r="D1926">
        <f t="shared" ref="D1926" si="4621">_xlfn.NUMBERVALUE(LEFT(C1926,2))</f>
        <v>21</v>
      </c>
      <c r="E1926">
        <f t="shared" ref="E1926" si="4622">_xlfn.NUMBERVALUE(MID(C1926,4,2))</f>
        <v>1</v>
      </c>
      <c r="F1926">
        <f t="shared" ref="F1926" si="4623">_xlfn.NUMBERVALUE(RIGHT(C1926,4))</f>
        <v>2024</v>
      </c>
      <c r="G1926" t="s">
        <v>7</v>
      </c>
      <c r="H1926">
        <v>-2</v>
      </c>
      <c r="K1926" t="s">
        <v>9</v>
      </c>
      <c r="L1926" s="8">
        <f t="shared" ref="L1926:L1989" si="4624">IF(H1926="",0,(SUM(I1926:J1926)/-H1926)-1)</f>
        <v>-1</v>
      </c>
      <c r="M1926" t="s">
        <v>2120</v>
      </c>
    </row>
    <row r="1927" spans="1:13" x14ac:dyDescent="0.35">
      <c r="A1927">
        <f t="shared" si="3743"/>
        <v>1923</v>
      </c>
      <c r="B1927" s="9">
        <f t="shared" ref="B1927" si="4625">B1926+H1927+I1927+J1927</f>
        <v>28.540000000000006</v>
      </c>
      <c r="C1927" s="3" t="s">
        <v>2113</v>
      </c>
      <c r="D1927">
        <f t="shared" ref="D1927" si="4626">_xlfn.NUMBERVALUE(LEFT(C1927,2))</f>
        <v>21</v>
      </c>
      <c r="E1927">
        <f t="shared" ref="E1927" si="4627">_xlfn.NUMBERVALUE(MID(C1927,4,2))</f>
        <v>1</v>
      </c>
      <c r="F1927">
        <f t="shared" ref="F1927" si="4628">_xlfn.NUMBERVALUE(RIGHT(C1927,4))</f>
        <v>2024</v>
      </c>
      <c r="G1927" t="s">
        <v>7</v>
      </c>
      <c r="H1927">
        <v>-2</v>
      </c>
      <c r="K1927" t="s">
        <v>9</v>
      </c>
      <c r="L1927" s="8">
        <f t="shared" si="4624"/>
        <v>-1</v>
      </c>
      <c r="M1927" t="s">
        <v>2121</v>
      </c>
    </row>
    <row r="1928" spans="1:13" x14ac:dyDescent="0.35">
      <c r="A1928">
        <f t="shared" si="3743"/>
        <v>1924</v>
      </c>
      <c r="B1928" s="9">
        <f t="shared" ref="B1928" si="4629">B1927+H1928+I1928+J1928</f>
        <v>30.540000000000006</v>
      </c>
      <c r="C1928" s="3" t="s">
        <v>2113</v>
      </c>
      <c r="D1928">
        <f t="shared" ref="D1928" si="4630">_xlfn.NUMBERVALUE(LEFT(C1928,2))</f>
        <v>21</v>
      </c>
      <c r="E1928">
        <f t="shared" ref="E1928" si="4631">_xlfn.NUMBERVALUE(MID(C1928,4,2))</f>
        <v>1</v>
      </c>
      <c r="F1928">
        <f t="shared" ref="F1928" si="4632">_xlfn.NUMBERVALUE(RIGHT(C1928,4))</f>
        <v>2024</v>
      </c>
      <c r="G1928" t="s">
        <v>7</v>
      </c>
      <c r="H1928">
        <v>-2</v>
      </c>
      <c r="I1928">
        <v>4</v>
      </c>
      <c r="K1928" t="s">
        <v>10</v>
      </c>
      <c r="L1928" s="8">
        <f t="shared" si="4624"/>
        <v>1</v>
      </c>
      <c r="M1928" t="s">
        <v>2122</v>
      </c>
    </row>
    <row r="1929" spans="1:13" x14ac:dyDescent="0.35">
      <c r="A1929">
        <f t="shared" si="3743"/>
        <v>1925</v>
      </c>
      <c r="B1929" s="9">
        <f t="shared" ref="B1929" si="4633">B1928+H1929+I1929+J1929</f>
        <v>28.540000000000006</v>
      </c>
      <c r="C1929" s="3" t="s">
        <v>2113</v>
      </c>
      <c r="D1929">
        <f t="shared" ref="D1929" si="4634">_xlfn.NUMBERVALUE(LEFT(C1929,2))</f>
        <v>21</v>
      </c>
      <c r="E1929">
        <f t="shared" ref="E1929" si="4635">_xlfn.NUMBERVALUE(MID(C1929,4,2))</f>
        <v>1</v>
      </c>
      <c r="F1929">
        <f t="shared" ref="F1929" si="4636">_xlfn.NUMBERVALUE(RIGHT(C1929,4))</f>
        <v>2024</v>
      </c>
      <c r="G1929" t="s">
        <v>7</v>
      </c>
      <c r="H1929">
        <v>-2</v>
      </c>
      <c r="K1929" t="s">
        <v>9</v>
      </c>
      <c r="L1929" s="8">
        <f t="shared" si="4624"/>
        <v>-1</v>
      </c>
      <c r="M1929" t="s">
        <v>2123</v>
      </c>
    </row>
    <row r="1930" spans="1:13" x14ac:dyDescent="0.35">
      <c r="A1930">
        <f t="shared" si="3743"/>
        <v>1926</v>
      </c>
      <c r="B1930" s="9">
        <f t="shared" ref="B1930" si="4637">B1929+H1930+I1930+J1930</f>
        <v>26.540000000000006</v>
      </c>
      <c r="C1930" s="3" t="s">
        <v>2113</v>
      </c>
      <c r="D1930">
        <f t="shared" ref="D1930" si="4638">_xlfn.NUMBERVALUE(LEFT(C1930,2))</f>
        <v>21</v>
      </c>
      <c r="E1930">
        <f t="shared" ref="E1930" si="4639">_xlfn.NUMBERVALUE(MID(C1930,4,2))</f>
        <v>1</v>
      </c>
      <c r="F1930">
        <f t="shared" ref="F1930" si="4640">_xlfn.NUMBERVALUE(RIGHT(C1930,4))</f>
        <v>2024</v>
      </c>
      <c r="G1930" t="s">
        <v>7</v>
      </c>
      <c r="H1930">
        <v>-2</v>
      </c>
      <c r="K1930" t="s">
        <v>9</v>
      </c>
      <c r="L1930" s="8">
        <f t="shared" si="4624"/>
        <v>-1</v>
      </c>
      <c r="M1930" t="s">
        <v>2124</v>
      </c>
    </row>
    <row r="1931" spans="1:13" x14ac:dyDescent="0.35">
      <c r="A1931">
        <f t="shared" si="3743"/>
        <v>1927</v>
      </c>
      <c r="B1931" s="9">
        <f t="shared" ref="B1931" si="4641">B1930+H1931+I1931+J1931</f>
        <v>28.540000000000006</v>
      </c>
      <c r="C1931" s="3" t="s">
        <v>2113</v>
      </c>
      <c r="D1931">
        <f t="shared" ref="D1931" si="4642">_xlfn.NUMBERVALUE(LEFT(C1931,2))</f>
        <v>21</v>
      </c>
      <c r="E1931">
        <f t="shared" ref="E1931" si="4643">_xlfn.NUMBERVALUE(MID(C1931,4,2))</f>
        <v>1</v>
      </c>
      <c r="F1931">
        <f t="shared" ref="F1931" si="4644">_xlfn.NUMBERVALUE(RIGHT(C1931,4))</f>
        <v>2024</v>
      </c>
      <c r="G1931" t="s">
        <v>7</v>
      </c>
      <c r="H1931">
        <v>-2</v>
      </c>
      <c r="I1931">
        <v>4</v>
      </c>
      <c r="K1931" t="s">
        <v>10</v>
      </c>
      <c r="L1931" s="8">
        <f t="shared" si="4624"/>
        <v>1</v>
      </c>
      <c r="M1931" t="s">
        <v>2125</v>
      </c>
    </row>
    <row r="1932" spans="1:13" x14ac:dyDescent="0.35">
      <c r="A1932">
        <f t="shared" si="3743"/>
        <v>1928</v>
      </c>
      <c r="B1932" s="9">
        <f t="shared" ref="B1932" si="4645">B1931+H1932+I1932+J1932</f>
        <v>26.540000000000006</v>
      </c>
      <c r="C1932" s="3" t="s">
        <v>2113</v>
      </c>
      <c r="D1932">
        <f t="shared" ref="D1932" si="4646">_xlfn.NUMBERVALUE(LEFT(C1932,2))</f>
        <v>21</v>
      </c>
      <c r="E1932">
        <f t="shared" ref="E1932" si="4647">_xlfn.NUMBERVALUE(MID(C1932,4,2))</f>
        <v>1</v>
      </c>
      <c r="F1932">
        <f t="shared" ref="F1932" si="4648">_xlfn.NUMBERVALUE(RIGHT(C1932,4))</f>
        <v>2024</v>
      </c>
      <c r="G1932" t="s">
        <v>7</v>
      </c>
      <c r="H1932">
        <v>-2</v>
      </c>
      <c r="K1932" t="s">
        <v>9</v>
      </c>
      <c r="L1932" s="8">
        <f t="shared" si="4624"/>
        <v>-1</v>
      </c>
      <c r="M1932" t="s">
        <v>2126</v>
      </c>
    </row>
    <row r="1933" spans="1:13" x14ac:dyDescent="0.35">
      <c r="A1933">
        <f t="shared" si="3743"/>
        <v>1929</v>
      </c>
      <c r="B1933" s="9">
        <f t="shared" ref="B1933" si="4649">B1932+H1933+I1933+J1933</f>
        <v>24.540000000000006</v>
      </c>
      <c r="C1933" s="3" t="s">
        <v>2113</v>
      </c>
      <c r="D1933">
        <f t="shared" ref="D1933" si="4650">_xlfn.NUMBERVALUE(LEFT(C1933,2))</f>
        <v>21</v>
      </c>
      <c r="E1933">
        <f t="shared" ref="E1933" si="4651">_xlfn.NUMBERVALUE(MID(C1933,4,2))</f>
        <v>1</v>
      </c>
      <c r="F1933">
        <f t="shared" ref="F1933" si="4652">_xlfn.NUMBERVALUE(RIGHT(C1933,4))</f>
        <v>2024</v>
      </c>
      <c r="G1933" t="s">
        <v>7</v>
      </c>
      <c r="H1933">
        <v>-2</v>
      </c>
      <c r="K1933" t="s">
        <v>9</v>
      </c>
      <c r="L1933" s="8">
        <f t="shared" si="4624"/>
        <v>-1</v>
      </c>
      <c r="M1933" t="s">
        <v>2127</v>
      </c>
    </row>
    <row r="1934" spans="1:13" x14ac:dyDescent="0.35">
      <c r="A1934">
        <f t="shared" si="3743"/>
        <v>1930</v>
      </c>
      <c r="B1934" s="9">
        <f t="shared" ref="B1934" si="4653">B1933+H1934+I1934+J1934</f>
        <v>22.540000000000006</v>
      </c>
      <c r="C1934" s="3" t="s">
        <v>2113</v>
      </c>
      <c r="D1934">
        <f t="shared" ref="D1934" si="4654">_xlfn.NUMBERVALUE(LEFT(C1934,2))</f>
        <v>21</v>
      </c>
      <c r="E1934">
        <f t="shared" ref="E1934" si="4655">_xlfn.NUMBERVALUE(MID(C1934,4,2))</f>
        <v>1</v>
      </c>
      <c r="F1934">
        <f t="shared" ref="F1934" si="4656">_xlfn.NUMBERVALUE(RIGHT(C1934,4))</f>
        <v>2024</v>
      </c>
      <c r="G1934" t="s">
        <v>7</v>
      </c>
      <c r="H1934">
        <v>-2</v>
      </c>
      <c r="K1934" t="s">
        <v>9</v>
      </c>
      <c r="L1934" s="8">
        <f t="shared" si="4624"/>
        <v>-1</v>
      </c>
      <c r="M1934" t="s">
        <v>2128</v>
      </c>
    </row>
    <row r="1935" spans="1:13" x14ac:dyDescent="0.35">
      <c r="A1935">
        <f t="shared" si="3743"/>
        <v>1931</v>
      </c>
      <c r="B1935" s="9">
        <f t="shared" ref="B1935" si="4657">B1934+H1935+I1935+J1935</f>
        <v>24.540000000000006</v>
      </c>
      <c r="C1935" s="3" t="s">
        <v>2113</v>
      </c>
      <c r="D1935">
        <f t="shared" ref="D1935" si="4658">_xlfn.NUMBERVALUE(LEFT(C1935,2))</f>
        <v>21</v>
      </c>
      <c r="E1935">
        <f t="shared" ref="E1935" si="4659">_xlfn.NUMBERVALUE(MID(C1935,4,2))</f>
        <v>1</v>
      </c>
      <c r="F1935">
        <f t="shared" ref="F1935" si="4660">_xlfn.NUMBERVALUE(RIGHT(C1935,4))</f>
        <v>2024</v>
      </c>
      <c r="G1935" t="s">
        <v>7</v>
      </c>
      <c r="H1935">
        <v>-2</v>
      </c>
      <c r="I1935">
        <v>4</v>
      </c>
      <c r="K1935" t="s">
        <v>10</v>
      </c>
      <c r="L1935" s="8">
        <f t="shared" si="4624"/>
        <v>1</v>
      </c>
      <c r="M1935" t="s">
        <v>2129</v>
      </c>
    </row>
    <row r="1936" spans="1:13" x14ac:dyDescent="0.35">
      <c r="A1936">
        <f t="shared" si="3743"/>
        <v>1932</v>
      </c>
      <c r="B1936" s="9">
        <f t="shared" ref="B1936" si="4661">B1935+H1936+I1936+J1936</f>
        <v>22.540000000000006</v>
      </c>
      <c r="C1936" s="3" t="s">
        <v>2113</v>
      </c>
      <c r="D1936">
        <f t="shared" ref="D1936" si="4662">_xlfn.NUMBERVALUE(LEFT(C1936,2))</f>
        <v>21</v>
      </c>
      <c r="E1936">
        <f t="shared" ref="E1936" si="4663">_xlfn.NUMBERVALUE(MID(C1936,4,2))</f>
        <v>1</v>
      </c>
      <c r="F1936">
        <f t="shared" ref="F1936" si="4664">_xlfn.NUMBERVALUE(RIGHT(C1936,4))</f>
        <v>2024</v>
      </c>
      <c r="G1936" t="s">
        <v>7</v>
      </c>
      <c r="H1936">
        <v>-2</v>
      </c>
      <c r="K1936" t="s">
        <v>9</v>
      </c>
      <c r="L1936" s="8">
        <f t="shared" si="4624"/>
        <v>-1</v>
      </c>
      <c r="M1936" t="s">
        <v>2130</v>
      </c>
    </row>
    <row r="1937" spans="1:13" x14ac:dyDescent="0.35">
      <c r="A1937">
        <f t="shared" si="3743"/>
        <v>1933</v>
      </c>
      <c r="B1937" s="9">
        <f t="shared" ref="B1937" si="4665">B1936+H1937+I1937+J1937</f>
        <v>26.540000000000006</v>
      </c>
      <c r="C1937" s="3" t="s">
        <v>2113</v>
      </c>
      <c r="D1937">
        <f t="shared" ref="D1937" si="4666">_xlfn.NUMBERVALUE(LEFT(C1937,2))</f>
        <v>21</v>
      </c>
      <c r="E1937">
        <f t="shared" ref="E1937" si="4667">_xlfn.NUMBERVALUE(MID(C1937,4,2))</f>
        <v>1</v>
      </c>
      <c r="F1937">
        <f t="shared" ref="F1937" si="4668">_xlfn.NUMBERVALUE(RIGHT(C1937,4))</f>
        <v>2024</v>
      </c>
      <c r="G1937" t="s">
        <v>7</v>
      </c>
      <c r="H1937">
        <v>-2</v>
      </c>
      <c r="I1937">
        <v>6</v>
      </c>
      <c r="K1937" t="s">
        <v>10</v>
      </c>
      <c r="L1937" s="8">
        <f t="shared" si="4624"/>
        <v>2</v>
      </c>
      <c r="M1937" t="s">
        <v>2131</v>
      </c>
    </row>
    <row r="1938" spans="1:13" x14ac:dyDescent="0.35">
      <c r="A1938">
        <f t="shared" si="3743"/>
        <v>1934</v>
      </c>
      <c r="B1938" s="9">
        <f t="shared" ref="B1938" si="4669">B1937+H1938+I1938+J1938</f>
        <v>24.540000000000006</v>
      </c>
      <c r="C1938" s="3" t="s">
        <v>2113</v>
      </c>
      <c r="D1938">
        <f t="shared" ref="D1938" si="4670">_xlfn.NUMBERVALUE(LEFT(C1938,2))</f>
        <v>21</v>
      </c>
      <c r="E1938">
        <f t="shared" ref="E1938" si="4671">_xlfn.NUMBERVALUE(MID(C1938,4,2))</f>
        <v>1</v>
      </c>
      <c r="F1938">
        <f t="shared" ref="F1938" si="4672">_xlfn.NUMBERVALUE(RIGHT(C1938,4))</f>
        <v>2024</v>
      </c>
      <c r="G1938" t="s">
        <v>7</v>
      </c>
      <c r="H1938">
        <v>-2</v>
      </c>
      <c r="K1938" t="s">
        <v>9</v>
      </c>
      <c r="L1938" s="8">
        <f t="shared" si="4624"/>
        <v>-1</v>
      </c>
      <c r="M1938" t="s">
        <v>2132</v>
      </c>
    </row>
    <row r="1939" spans="1:13" x14ac:dyDescent="0.35">
      <c r="A1939">
        <f t="shared" si="3743"/>
        <v>1935</v>
      </c>
      <c r="B1939" s="9">
        <f t="shared" ref="B1939" si="4673">B1938+H1939+I1939+J1939</f>
        <v>22.540000000000006</v>
      </c>
      <c r="C1939" s="3" t="s">
        <v>2113</v>
      </c>
      <c r="D1939">
        <f t="shared" ref="D1939" si="4674">_xlfn.NUMBERVALUE(LEFT(C1939,2))</f>
        <v>21</v>
      </c>
      <c r="E1939">
        <f t="shared" ref="E1939" si="4675">_xlfn.NUMBERVALUE(MID(C1939,4,2))</f>
        <v>1</v>
      </c>
      <c r="F1939">
        <f t="shared" ref="F1939" si="4676">_xlfn.NUMBERVALUE(RIGHT(C1939,4))</f>
        <v>2024</v>
      </c>
      <c r="G1939" t="s">
        <v>7</v>
      </c>
      <c r="H1939">
        <v>-2</v>
      </c>
      <c r="K1939" t="s">
        <v>9</v>
      </c>
      <c r="L1939" s="8">
        <f t="shared" si="4624"/>
        <v>-1</v>
      </c>
      <c r="M1939" t="s">
        <v>2133</v>
      </c>
    </row>
    <row r="1940" spans="1:13" x14ac:dyDescent="0.35">
      <c r="A1940">
        <f t="shared" si="3743"/>
        <v>1936</v>
      </c>
      <c r="B1940" s="9">
        <f t="shared" ref="B1940" si="4677">B1939+H1940+I1940+J1940</f>
        <v>20.540000000000006</v>
      </c>
      <c r="C1940" s="3" t="s">
        <v>2113</v>
      </c>
      <c r="D1940">
        <f t="shared" ref="D1940" si="4678">_xlfn.NUMBERVALUE(LEFT(C1940,2))</f>
        <v>21</v>
      </c>
      <c r="E1940">
        <f t="shared" ref="E1940" si="4679">_xlfn.NUMBERVALUE(MID(C1940,4,2))</f>
        <v>1</v>
      </c>
      <c r="F1940">
        <f t="shared" ref="F1940" si="4680">_xlfn.NUMBERVALUE(RIGHT(C1940,4))</f>
        <v>2024</v>
      </c>
      <c r="G1940" t="s">
        <v>7</v>
      </c>
      <c r="H1940">
        <v>-2</v>
      </c>
      <c r="K1940" t="s">
        <v>9</v>
      </c>
      <c r="L1940" s="8">
        <f t="shared" si="4624"/>
        <v>-1</v>
      </c>
      <c r="M1940" t="s">
        <v>2134</v>
      </c>
    </row>
    <row r="1941" spans="1:13" x14ac:dyDescent="0.35">
      <c r="A1941">
        <f t="shared" si="3743"/>
        <v>1937</v>
      </c>
      <c r="B1941" s="9">
        <f t="shared" ref="B1941" si="4681">B1940+H1941+I1941+J1941</f>
        <v>18.540000000000006</v>
      </c>
      <c r="C1941" s="3" t="s">
        <v>2113</v>
      </c>
      <c r="D1941">
        <f t="shared" ref="D1941" si="4682">_xlfn.NUMBERVALUE(LEFT(C1941,2))</f>
        <v>21</v>
      </c>
      <c r="E1941">
        <f t="shared" ref="E1941" si="4683">_xlfn.NUMBERVALUE(MID(C1941,4,2))</f>
        <v>1</v>
      </c>
      <c r="F1941">
        <f t="shared" ref="F1941" si="4684">_xlfn.NUMBERVALUE(RIGHT(C1941,4))</f>
        <v>2024</v>
      </c>
      <c r="G1941" t="s">
        <v>7</v>
      </c>
      <c r="H1941">
        <v>-2</v>
      </c>
      <c r="K1941" t="s">
        <v>9</v>
      </c>
      <c r="L1941" s="8">
        <f t="shared" si="4624"/>
        <v>-1</v>
      </c>
      <c r="M1941" t="s">
        <v>2135</v>
      </c>
    </row>
    <row r="1942" spans="1:13" x14ac:dyDescent="0.35">
      <c r="A1942">
        <f t="shared" si="3743"/>
        <v>1938</v>
      </c>
      <c r="B1942" s="9">
        <f t="shared" ref="B1942" si="4685">B1941+H1942+I1942+J1942</f>
        <v>16.540000000000006</v>
      </c>
      <c r="C1942" s="3" t="s">
        <v>2113</v>
      </c>
      <c r="D1942">
        <f t="shared" ref="D1942" si="4686">_xlfn.NUMBERVALUE(LEFT(C1942,2))</f>
        <v>21</v>
      </c>
      <c r="E1942">
        <f t="shared" ref="E1942" si="4687">_xlfn.NUMBERVALUE(MID(C1942,4,2))</f>
        <v>1</v>
      </c>
      <c r="F1942">
        <f t="shared" ref="F1942" si="4688">_xlfn.NUMBERVALUE(RIGHT(C1942,4))</f>
        <v>2024</v>
      </c>
      <c r="G1942" t="s">
        <v>7</v>
      </c>
      <c r="H1942">
        <v>-2</v>
      </c>
      <c r="K1942" t="s">
        <v>9</v>
      </c>
      <c r="L1942" s="8">
        <f t="shared" si="4624"/>
        <v>-1</v>
      </c>
      <c r="M1942" t="s">
        <v>2136</v>
      </c>
    </row>
    <row r="1943" spans="1:13" x14ac:dyDescent="0.35">
      <c r="A1943">
        <f t="shared" si="3743"/>
        <v>1939</v>
      </c>
      <c r="B1943" s="9">
        <f t="shared" ref="B1943" si="4689">B1942+H1943+I1943+J1943</f>
        <v>22.540000000000006</v>
      </c>
      <c r="C1943" s="3" t="s">
        <v>2113</v>
      </c>
      <c r="D1943">
        <f t="shared" ref="D1943" si="4690">_xlfn.NUMBERVALUE(LEFT(C1943,2))</f>
        <v>21</v>
      </c>
      <c r="E1943">
        <f t="shared" ref="E1943" si="4691">_xlfn.NUMBERVALUE(MID(C1943,4,2))</f>
        <v>1</v>
      </c>
      <c r="F1943">
        <f t="shared" ref="F1943" si="4692">_xlfn.NUMBERVALUE(RIGHT(C1943,4))</f>
        <v>2024</v>
      </c>
      <c r="G1943" t="s">
        <v>7</v>
      </c>
      <c r="H1943">
        <v>-2</v>
      </c>
      <c r="I1943">
        <v>8</v>
      </c>
      <c r="K1943" t="s">
        <v>10</v>
      </c>
      <c r="L1943" s="8">
        <f t="shared" si="4624"/>
        <v>3</v>
      </c>
      <c r="M1943" t="s">
        <v>2137</v>
      </c>
    </row>
    <row r="1944" spans="1:13" x14ac:dyDescent="0.35">
      <c r="A1944">
        <f t="shared" si="3743"/>
        <v>1940</v>
      </c>
      <c r="B1944" s="9">
        <f t="shared" ref="B1944" si="4693">B1943+H1944+I1944+J1944</f>
        <v>20.540000000000006</v>
      </c>
      <c r="C1944" s="3" t="s">
        <v>2113</v>
      </c>
      <c r="D1944">
        <f t="shared" ref="D1944" si="4694">_xlfn.NUMBERVALUE(LEFT(C1944,2))</f>
        <v>21</v>
      </c>
      <c r="E1944">
        <f t="shared" ref="E1944" si="4695">_xlfn.NUMBERVALUE(MID(C1944,4,2))</f>
        <v>1</v>
      </c>
      <c r="F1944">
        <f t="shared" ref="F1944" si="4696">_xlfn.NUMBERVALUE(RIGHT(C1944,4))</f>
        <v>2024</v>
      </c>
      <c r="G1944" t="s">
        <v>7</v>
      </c>
      <c r="H1944">
        <v>-2</v>
      </c>
      <c r="K1944" t="s">
        <v>9</v>
      </c>
      <c r="L1944" s="8">
        <f t="shared" si="4624"/>
        <v>-1</v>
      </c>
      <c r="M1944" t="s">
        <v>2138</v>
      </c>
    </row>
    <row r="1945" spans="1:13" x14ac:dyDescent="0.35">
      <c r="A1945">
        <f t="shared" si="3743"/>
        <v>1941</v>
      </c>
      <c r="B1945" s="9">
        <f t="shared" ref="B1945" si="4697">B1944+H1945+I1945+J1945</f>
        <v>18.540000000000006</v>
      </c>
      <c r="C1945" s="3" t="s">
        <v>2139</v>
      </c>
      <c r="D1945">
        <f t="shared" ref="D1945" si="4698">_xlfn.NUMBERVALUE(LEFT(C1945,2))</f>
        <v>22</v>
      </c>
      <c r="E1945">
        <f t="shared" ref="E1945" si="4699">_xlfn.NUMBERVALUE(MID(C1945,4,2))</f>
        <v>1</v>
      </c>
      <c r="F1945">
        <f t="shared" ref="F1945" si="4700">_xlfn.NUMBERVALUE(RIGHT(C1945,4))</f>
        <v>2024</v>
      </c>
      <c r="G1945" t="s">
        <v>7</v>
      </c>
      <c r="H1945">
        <v>-2</v>
      </c>
      <c r="K1945" t="s">
        <v>9</v>
      </c>
      <c r="L1945" s="8">
        <f t="shared" si="4624"/>
        <v>-1</v>
      </c>
      <c r="M1945" t="s">
        <v>2140</v>
      </c>
    </row>
    <row r="1946" spans="1:13" x14ac:dyDescent="0.35">
      <c r="A1946">
        <f t="shared" si="3743"/>
        <v>1942</v>
      </c>
      <c r="B1946" s="9">
        <f t="shared" ref="B1946" si="4701">B1945+H1946+I1946+J1946</f>
        <v>22.540000000000006</v>
      </c>
      <c r="C1946" s="3" t="s">
        <v>2139</v>
      </c>
      <c r="D1946">
        <f t="shared" ref="D1946" si="4702">_xlfn.NUMBERVALUE(LEFT(C1946,2))</f>
        <v>22</v>
      </c>
      <c r="E1946">
        <f t="shared" ref="E1946" si="4703">_xlfn.NUMBERVALUE(MID(C1946,4,2))</f>
        <v>1</v>
      </c>
      <c r="F1946">
        <f t="shared" ref="F1946" si="4704">_xlfn.NUMBERVALUE(RIGHT(C1946,4))</f>
        <v>2024</v>
      </c>
      <c r="G1946" t="s">
        <v>7</v>
      </c>
      <c r="H1946">
        <v>-2</v>
      </c>
      <c r="I1946">
        <v>6</v>
      </c>
      <c r="K1946" t="s">
        <v>10</v>
      </c>
      <c r="L1946" s="8">
        <f t="shared" si="4624"/>
        <v>2</v>
      </c>
      <c r="M1946" t="s">
        <v>2141</v>
      </c>
    </row>
    <row r="1947" spans="1:13" x14ac:dyDescent="0.35">
      <c r="A1947">
        <f t="shared" si="3743"/>
        <v>1943</v>
      </c>
      <c r="B1947" s="9">
        <f t="shared" ref="B1947" si="4705">B1946+H1947+I1947+J1947</f>
        <v>24.540000000000006</v>
      </c>
      <c r="C1947" s="3" t="s">
        <v>2139</v>
      </c>
      <c r="D1947">
        <f t="shared" ref="D1947" si="4706">_xlfn.NUMBERVALUE(LEFT(C1947,2))</f>
        <v>22</v>
      </c>
      <c r="E1947">
        <f t="shared" ref="E1947" si="4707">_xlfn.NUMBERVALUE(MID(C1947,4,2))</f>
        <v>1</v>
      </c>
      <c r="F1947">
        <f t="shared" ref="F1947" si="4708">_xlfn.NUMBERVALUE(RIGHT(C1947,4))</f>
        <v>2024</v>
      </c>
      <c r="G1947" t="s">
        <v>7</v>
      </c>
      <c r="H1947">
        <v>-2</v>
      </c>
      <c r="I1947">
        <v>4</v>
      </c>
      <c r="K1947" t="s">
        <v>10</v>
      </c>
      <c r="L1947" s="8">
        <f t="shared" si="4624"/>
        <v>1</v>
      </c>
      <c r="M1947" t="s">
        <v>2142</v>
      </c>
    </row>
    <row r="1948" spans="1:13" x14ac:dyDescent="0.35">
      <c r="A1948">
        <f t="shared" si="3743"/>
        <v>1944</v>
      </c>
      <c r="B1948" s="9">
        <f t="shared" ref="B1948" si="4709">B1947+H1948+I1948+J1948</f>
        <v>22.540000000000006</v>
      </c>
      <c r="C1948" s="3" t="s">
        <v>2139</v>
      </c>
      <c r="D1948">
        <f t="shared" ref="D1948" si="4710">_xlfn.NUMBERVALUE(LEFT(C1948,2))</f>
        <v>22</v>
      </c>
      <c r="E1948">
        <f t="shared" ref="E1948" si="4711">_xlfn.NUMBERVALUE(MID(C1948,4,2))</f>
        <v>1</v>
      </c>
      <c r="F1948">
        <f t="shared" ref="F1948" si="4712">_xlfn.NUMBERVALUE(RIGHT(C1948,4))</f>
        <v>2024</v>
      </c>
      <c r="G1948" t="s">
        <v>7</v>
      </c>
      <c r="H1948">
        <v>-2</v>
      </c>
      <c r="K1948" t="s">
        <v>9</v>
      </c>
      <c r="L1948" s="8">
        <f t="shared" si="4624"/>
        <v>-1</v>
      </c>
      <c r="M1948" t="s">
        <v>2143</v>
      </c>
    </row>
    <row r="1949" spans="1:13" x14ac:dyDescent="0.35">
      <c r="A1949">
        <f t="shared" si="3743"/>
        <v>1945</v>
      </c>
      <c r="B1949" s="9">
        <f t="shared" ref="B1949" si="4713">B1948+H1949+I1949+J1949</f>
        <v>26.540000000000006</v>
      </c>
      <c r="C1949" s="3" t="s">
        <v>2139</v>
      </c>
      <c r="D1949">
        <f t="shared" ref="D1949" si="4714">_xlfn.NUMBERVALUE(LEFT(C1949,2))</f>
        <v>22</v>
      </c>
      <c r="E1949">
        <f t="shared" ref="E1949" si="4715">_xlfn.NUMBERVALUE(MID(C1949,4,2))</f>
        <v>1</v>
      </c>
      <c r="F1949">
        <f t="shared" ref="F1949" si="4716">_xlfn.NUMBERVALUE(RIGHT(C1949,4))</f>
        <v>2024</v>
      </c>
      <c r="G1949" t="s">
        <v>7</v>
      </c>
      <c r="H1949">
        <v>-2</v>
      </c>
      <c r="I1949">
        <v>6</v>
      </c>
      <c r="K1949" t="s">
        <v>10</v>
      </c>
      <c r="L1949" s="8">
        <f t="shared" si="4624"/>
        <v>2</v>
      </c>
      <c r="M1949" t="s">
        <v>2144</v>
      </c>
    </row>
    <row r="1950" spans="1:13" x14ac:dyDescent="0.35">
      <c r="A1950">
        <f t="shared" si="3743"/>
        <v>1946</v>
      </c>
      <c r="B1950" s="9">
        <f t="shared" ref="B1950" si="4717">B1949+H1950+I1950+J1950</f>
        <v>28.540000000000006</v>
      </c>
      <c r="C1950" s="3" t="s">
        <v>2145</v>
      </c>
      <c r="D1950">
        <f t="shared" ref="D1950" si="4718">_xlfn.NUMBERVALUE(LEFT(C1950,2))</f>
        <v>23</v>
      </c>
      <c r="E1950">
        <f t="shared" ref="E1950" si="4719">_xlfn.NUMBERVALUE(MID(C1950,4,2))</f>
        <v>1</v>
      </c>
      <c r="F1950">
        <f t="shared" ref="F1950" si="4720">_xlfn.NUMBERVALUE(RIGHT(C1950,4))</f>
        <v>2024</v>
      </c>
      <c r="G1950" t="s">
        <v>7</v>
      </c>
      <c r="H1950">
        <v>-2</v>
      </c>
      <c r="I1950">
        <v>4</v>
      </c>
      <c r="K1950" t="s">
        <v>10</v>
      </c>
      <c r="L1950" s="8">
        <f t="shared" si="4624"/>
        <v>1</v>
      </c>
      <c r="M1950" t="s">
        <v>2146</v>
      </c>
    </row>
    <row r="1951" spans="1:13" x14ac:dyDescent="0.35">
      <c r="A1951">
        <f t="shared" si="3743"/>
        <v>1947</v>
      </c>
      <c r="B1951" s="9">
        <f t="shared" ref="B1951" si="4721">B1950+H1951+I1951+J1951</f>
        <v>26.540000000000006</v>
      </c>
      <c r="C1951" s="3" t="s">
        <v>2145</v>
      </c>
      <c r="D1951">
        <f t="shared" ref="D1951" si="4722">_xlfn.NUMBERVALUE(LEFT(C1951,2))</f>
        <v>23</v>
      </c>
      <c r="E1951">
        <f t="shared" ref="E1951" si="4723">_xlfn.NUMBERVALUE(MID(C1951,4,2))</f>
        <v>1</v>
      </c>
      <c r="F1951">
        <f t="shared" ref="F1951" si="4724">_xlfn.NUMBERVALUE(RIGHT(C1951,4))</f>
        <v>2024</v>
      </c>
      <c r="G1951" t="s">
        <v>7</v>
      </c>
      <c r="H1951">
        <v>-2</v>
      </c>
      <c r="K1951" t="s">
        <v>9</v>
      </c>
      <c r="L1951" s="8">
        <f t="shared" si="4624"/>
        <v>-1</v>
      </c>
      <c r="M1951" t="s">
        <v>2147</v>
      </c>
    </row>
    <row r="1952" spans="1:13" x14ac:dyDescent="0.35">
      <c r="A1952">
        <f t="shared" si="3743"/>
        <v>1948</v>
      </c>
      <c r="B1952" s="9">
        <f t="shared" ref="B1952" si="4725">B1951+H1952+I1952+J1952</f>
        <v>30.540000000000006</v>
      </c>
      <c r="C1952" s="3" t="s">
        <v>2145</v>
      </c>
      <c r="D1952">
        <f t="shared" ref="D1952" si="4726">_xlfn.NUMBERVALUE(LEFT(C1952,2))</f>
        <v>23</v>
      </c>
      <c r="E1952">
        <f t="shared" ref="E1952" si="4727">_xlfn.NUMBERVALUE(MID(C1952,4,2))</f>
        <v>1</v>
      </c>
      <c r="F1952">
        <f t="shared" ref="F1952" si="4728">_xlfn.NUMBERVALUE(RIGHT(C1952,4))</f>
        <v>2024</v>
      </c>
      <c r="G1952" t="s">
        <v>7</v>
      </c>
      <c r="H1952">
        <v>-2</v>
      </c>
      <c r="I1952">
        <v>6</v>
      </c>
      <c r="K1952" t="s">
        <v>10</v>
      </c>
      <c r="L1952" s="8">
        <f t="shared" si="4624"/>
        <v>2</v>
      </c>
      <c r="M1952" t="s">
        <v>2148</v>
      </c>
    </row>
    <row r="1953" spans="1:13" x14ac:dyDescent="0.35">
      <c r="A1953">
        <f t="shared" si="3743"/>
        <v>1949</v>
      </c>
      <c r="B1953" s="9">
        <f t="shared" ref="B1953" si="4729">B1952+H1953+I1953+J1953</f>
        <v>36.540000000000006</v>
      </c>
      <c r="C1953" s="3" t="s">
        <v>2145</v>
      </c>
      <c r="D1953">
        <f t="shared" ref="D1953" si="4730">_xlfn.NUMBERVALUE(LEFT(C1953,2))</f>
        <v>23</v>
      </c>
      <c r="E1953">
        <f t="shared" ref="E1953" si="4731">_xlfn.NUMBERVALUE(MID(C1953,4,2))</f>
        <v>1</v>
      </c>
      <c r="F1953">
        <f t="shared" ref="F1953" si="4732">_xlfn.NUMBERVALUE(RIGHT(C1953,4))</f>
        <v>2024</v>
      </c>
      <c r="G1953" t="s">
        <v>7</v>
      </c>
      <c r="H1953">
        <v>-2</v>
      </c>
      <c r="I1953">
        <v>8</v>
      </c>
      <c r="K1953" t="s">
        <v>10</v>
      </c>
      <c r="L1953" s="8">
        <f t="shared" si="4624"/>
        <v>3</v>
      </c>
      <c r="M1953" t="s">
        <v>2149</v>
      </c>
    </row>
    <row r="1954" spans="1:13" x14ac:dyDescent="0.35">
      <c r="A1954">
        <f t="shared" si="3743"/>
        <v>1950</v>
      </c>
      <c r="B1954" s="9">
        <f t="shared" ref="B1954" si="4733">B1953+H1954+I1954+J1954</f>
        <v>34.540000000000006</v>
      </c>
      <c r="C1954" s="3" t="s">
        <v>2150</v>
      </c>
      <c r="D1954">
        <f t="shared" ref="D1954" si="4734">_xlfn.NUMBERVALUE(LEFT(C1954,2))</f>
        <v>24</v>
      </c>
      <c r="E1954">
        <f t="shared" ref="E1954" si="4735">_xlfn.NUMBERVALUE(MID(C1954,4,2))</f>
        <v>1</v>
      </c>
      <c r="F1954">
        <f t="shared" ref="F1954" si="4736">_xlfn.NUMBERVALUE(RIGHT(C1954,4))</f>
        <v>2024</v>
      </c>
      <c r="G1954" t="s">
        <v>7</v>
      </c>
      <c r="H1954">
        <v>-2</v>
      </c>
      <c r="K1954" t="s">
        <v>9</v>
      </c>
      <c r="L1954" s="8">
        <f t="shared" si="4624"/>
        <v>-1</v>
      </c>
      <c r="M1954" t="s">
        <v>2151</v>
      </c>
    </row>
    <row r="1955" spans="1:13" x14ac:dyDescent="0.35">
      <c r="A1955">
        <f t="shared" si="3743"/>
        <v>1951</v>
      </c>
      <c r="B1955" s="9">
        <f t="shared" ref="B1955" si="4737">B1954+H1955+I1955+J1955</f>
        <v>32.540000000000006</v>
      </c>
      <c r="C1955" s="3" t="s">
        <v>2150</v>
      </c>
      <c r="D1955">
        <f t="shared" ref="D1955" si="4738">_xlfn.NUMBERVALUE(LEFT(C1955,2))</f>
        <v>24</v>
      </c>
      <c r="E1955">
        <f t="shared" ref="E1955" si="4739">_xlfn.NUMBERVALUE(MID(C1955,4,2))</f>
        <v>1</v>
      </c>
      <c r="F1955">
        <f t="shared" ref="F1955" si="4740">_xlfn.NUMBERVALUE(RIGHT(C1955,4))</f>
        <v>2024</v>
      </c>
      <c r="G1955" t="s">
        <v>7</v>
      </c>
      <c r="H1955">
        <v>-2</v>
      </c>
      <c r="K1955" t="s">
        <v>9</v>
      </c>
      <c r="L1955" s="8">
        <f t="shared" si="4624"/>
        <v>-1</v>
      </c>
      <c r="M1955" t="s">
        <v>2152</v>
      </c>
    </row>
    <row r="1956" spans="1:13" x14ac:dyDescent="0.35">
      <c r="A1956">
        <f t="shared" si="3743"/>
        <v>1952</v>
      </c>
      <c r="B1956" s="9">
        <f t="shared" ref="B1956" si="4741">B1955+H1956+I1956+J1956</f>
        <v>30.540000000000006</v>
      </c>
      <c r="C1956" s="3" t="s">
        <v>2150</v>
      </c>
      <c r="D1956">
        <f t="shared" ref="D1956" si="4742">_xlfn.NUMBERVALUE(LEFT(C1956,2))</f>
        <v>24</v>
      </c>
      <c r="E1956">
        <f t="shared" ref="E1956" si="4743">_xlfn.NUMBERVALUE(MID(C1956,4,2))</f>
        <v>1</v>
      </c>
      <c r="F1956">
        <f t="shared" ref="F1956" si="4744">_xlfn.NUMBERVALUE(RIGHT(C1956,4))</f>
        <v>2024</v>
      </c>
      <c r="G1956" t="s">
        <v>7</v>
      </c>
      <c r="H1956">
        <v>-2</v>
      </c>
      <c r="K1956" t="s">
        <v>9</v>
      </c>
      <c r="L1956" s="8">
        <f t="shared" si="4624"/>
        <v>-1</v>
      </c>
      <c r="M1956" t="s">
        <v>2153</v>
      </c>
    </row>
    <row r="1957" spans="1:13" x14ac:dyDescent="0.35">
      <c r="A1957">
        <f t="shared" ref="A1957:A2211" si="4745">A1956+1</f>
        <v>1953</v>
      </c>
      <c r="B1957" s="9">
        <f t="shared" ref="B1957" si="4746">B1956+H1957+I1957+J1957</f>
        <v>28.540000000000006</v>
      </c>
      <c r="C1957" s="3" t="s">
        <v>2150</v>
      </c>
      <c r="D1957">
        <f t="shared" ref="D1957" si="4747">_xlfn.NUMBERVALUE(LEFT(C1957,2))</f>
        <v>24</v>
      </c>
      <c r="E1957">
        <f t="shared" ref="E1957" si="4748">_xlfn.NUMBERVALUE(MID(C1957,4,2))</f>
        <v>1</v>
      </c>
      <c r="F1957">
        <f t="shared" ref="F1957" si="4749">_xlfn.NUMBERVALUE(RIGHT(C1957,4))</f>
        <v>2024</v>
      </c>
      <c r="G1957" t="s">
        <v>7</v>
      </c>
      <c r="H1957">
        <v>-2</v>
      </c>
      <c r="I1957" s="8"/>
      <c r="K1957" t="s">
        <v>9</v>
      </c>
      <c r="L1957" s="8">
        <f t="shared" si="4624"/>
        <v>-1</v>
      </c>
      <c r="M1957" t="s">
        <v>2154</v>
      </c>
    </row>
    <row r="1958" spans="1:13" x14ac:dyDescent="0.35">
      <c r="A1958">
        <f t="shared" si="4745"/>
        <v>1954</v>
      </c>
      <c r="B1958" s="9">
        <f t="shared" ref="B1958" si="4750">B1957+H1958+I1958+J1958</f>
        <v>26.540000000000006</v>
      </c>
      <c r="C1958" s="3" t="s">
        <v>2150</v>
      </c>
      <c r="D1958">
        <f t="shared" ref="D1958" si="4751">_xlfn.NUMBERVALUE(LEFT(C1958,2))</f>
        <v>24</v>
      </c>
      <c r="E1958">
        <f t="shared" ref="E1958" si="4752">_xlfn.NUMBERVALUE(MID(C1958,4,2))</f>
        <v>1</v>
      </c>
      <c r="F1958">
        <f t="shared" ref="F1958" si="4753">_xlfn.NUMBERVALUE(RIGHT(C1958,4))</f>
        <v>2024</v>
      </c>
      <c r="G1958" t="s">
        <v>7</v>
      </c>
      <c r="H1958">
        <v>-2</v>
      </c>
      <c r="K1958" t="s">
        <v>9</v>
      </c>
      <c r="L1958" s="8">
        <f t="shared" si="4624"/>
        <v>-1</v>
      </c>
      <c r="M1958" t="s">
        <v>2155</v>
      </c>
    </row>
    <row r="1959" spans="1:13" x14ac:dyDescent="0.35">
      <c r="A1959">
        <f t="shared" si="4745"/>
        <v>1955</v>
      </c>
      <c r="B1959" s="9">
        <f t="shared" ref="B1959" si="4754">B1958+H1959+I1959+J1959</f>
        <v>24.540000000000006</v>
      </c>
      <c r="C1959" s="3" t="s">
        <v>2150</v>
      </c>
      <c r="D1959">
        <f t="shared" ref="D1959" si="4755">_xlfn.NUMBERVALUE(LEFT(C1959,2))</f>
        <v>24</v>
      </c>
      <c r="E1959">
        <f t="shared" ref="E1959" si="4756">_xlfn.NUMBERVALUE(MID(C1959,4,2))</f>
        <v>1</v>
      </c>
      <c r="F1959">
        <f t="shared" ref="F1959" si="4757">_xlfn.NUMBERVALUE(RIGHT(C1959,4))</f>
        <v>2024</v>
      </c>
      <c r="G1959" t="s">
        <v>7</v>
      </c>
      <c r="H1959">
        <v>-2</v>
      </c>
      <c r="K1959" t="s">
        <v>9</v>
      </c>
      <c r="L1959" s="8">
        <f t="shared" si="4624"/>
        <v>-1</v>
      </c>
      <c r="M1959" t="s">
        <v>2156</v>
      </c>
    </row>
    <row r="1960" spans="1:13" x14ac:dyDescent="0.35">
      <c r="A1960">
        <f t="shared" si="4745"/>
        <v>1956</v>
      </c>
      <c r="B1960" s="9">
        <f t="shared" ref="B1960" si="4758">B1959+H1960+I1960+J1960</f>
        <v>30.540000000000006</v>
      </c>
      <c r="C1960" s="3" t="s">
        <v>2150</v>
      </c>
      <c r="D1960">
        <f t="shared" ref="D1960" si="4759">_xlfn.NUMBERVALUE(LEFT(C1960,2))</f>
        <v>24</v>
      </c>
      <c r="E1960">
        <f t="shared" ref="E1960" si="4760">_xlfn.NUMBERVALUE(MID(C1960,4,2))</f>
        <v>1</v>
      </c>
      <c r="F1960">
        <f t="shared" ref="F1960" si="4761">_xlfn.NUMBERVALUE(RIGHT(C1960,4))</f>
        <v>2024</v>
      </c>
      <c r="G1960" t="s">
        <v>7</v>
      </c>
      <c r="H1960">
        <v>-2</v>
      </c>
      <c r="I1960">
        <v>8</v>
      </c>
      <c r="K1960" t="s">
        <v>10</v>
      </c>
      <c r="L1960" s="8">
        <f t="shared" si="4624"/>
        <v>3</v>
      </c>
      <c r="M1960" t="s">
        <v>2157</v>
      </c>
    </row>
    <row r="1961" spans="1:13" x14ac:dyDescent="0.35">
      <c r="A1961">
        <f t="shared" si="4745"/>
        <v>1957</v>
      </c>
      <c r="B1961" s="9">
        <f t="shared" ref="B1961" si="4762">B1960+H1961+I1961+J1961</f>
        <v>28.540000000000006</v>
      </c>
      <c r="C1961" s="3" t="s">
        <v>2150</v>
      </c>
      <c r="D1961">
        <f t="shared" ref="D1961" si="4763">_xlfn.NUMBERVALUE(LEFT(C1961,2))</f>
        <v>24</v>
      </c>
      <c r="E1961">
        <f t="shared" ref="E1961" si="4764">_xlfn.NUMBERVALUE(MID(C1961,4,2))</f>
        <v>1</v>
      </c>
      <c r="F1961">
        <f t="shared" ref="F1961" si="4765">_xlfn.NUMBERVALUE(RIGHT(C1961,4))</f>
        <v>2024</v>
      </c>
      <c r="G1961" t="s">
        <v>7</v>
      </c>
      <c r="H1961">
        <v>-2</v>
      </c>
      <c r="K1961" t="s">
        <v>9</v>
      </c>
      <c r="L1961" s="8">
        <f t="shared" si="4624"/>
        <v>-1</v>
      </c>
      <c r="M1961" t="s">
        <v>2158</v>
      </c>
    </row>
    <row r="1962" spans="1:13" x14ac:dyDescent="0.35">
      <c r="A1962">
        <f t="shared" si="4745"/>
        <v>1958</v>
      </c>
      <c r="B1962" s="9">
        <f t="shared" ref="B1962" si="4766">B1961+H1962+I1962+J1962</f>
        <v>26.540000000000006</v>
      </c>
      <c r="C1962" s="3" t="s">
        <v>2150</v>
      </c>
      <c r="D1962">
        <f t="shared" ref="D1962" si="4767">_xlfn.NUMBERVALUE(LEFT(C1962,2))</f>
        <v>24</v>
      </c>
      <c r="E1962">
        <f t="shared" ref="E1962" si="4768">_xlfn.NUMBERVALUE(MID(C1962,4,2))</f>
        <v>1</v>
      </c>
      <c r="F1962">
        <f t="shared" ref="F1962" si="4769">_xlfn.NUMBERVALUE(RIGHT(C1962,4))</f>
        <v>2024</v>
      </c>
      <c r="G1962" t="s">
        <v>7</v>
      </c>
      <c r="H1962">
        <v>-2</v>
      </c>
      <c r="K1962" t="s">
        <v>9</v>
      </c>
      <c r="L1962" s="8">
        <f t="shared" si="4624"/>
        <v>-1</v>
      </c>
      <c r="M1962" t="s">
        <v>2159</v>
      </c>
    </row>
    <row r="1963" spans="1:13" x14ac:dyDescent="0.35">
      <c r="A1963">
        <f t="shared" si="4745"/>
        <v>1959</v>
      </c>
      <c r="B1963" s="9">
        <f t="shared" ref="B1963" si="4770">B1962+H1963+I1963+J1963</f>
        <v>24.540000000000006</v>
      </c>
      <c r="C1963" s="3" t="s">
        <v>2150</v>
      </c>
      <c r="D1963">
        <f t="shared" ref="D1963" si="4771">_xlfn.NUMBERVALUE(LEFT(C1963,2))</f>
        <v>24</v>
      </c>
      <c r="E1963">
        <f t="shared" ref="E1963" si="4772">_xlfn.NUMBERVALUE(MID(C1963,4,2))</f>
        <v>1</v>
      </c>
      <c r="F1963">
        <f t="shared" ref="F1963" si="4773">_xlfn.NUMBERVALUE(RIGHT(C1963,4))</f>
        <v>2024</v>
      </c>
      <c r="G1963" t="s">
        <v>7</v>
      </c>
      <c r="H1963">
        <v>-2</v>
      </c>
      <c r="K1963" t="s">
        <v>9</v>
      </c>
      <c r="L1963" s="8">
        <f t="shared" si="4624"/>
        <v>-1</v>
      </c>
      <c r="M1963" t="s">
        <v>2160</v>
      </c>
    </row>
    <row r="1964" spans="1:13" x14ac:dyDescent="0.35">
      <c r="A1964">
        <f t="shared" si="4745"/>
        <v>1960</v>
      </c>
      <c r="B1964" s="9">
        <f t="shared" ref="B1964" si="4774">B1963+H1964+I1964+J1964</f>
        <v>22.540000000000006</v>
      </c>
      <c r="C1964" s="3" t="s">
        <v>2150</v>
      </c>
      <c r="D1964">
        <f t="shared" ref="D1964" si="4775">_xlfn.NUMBERVALUE(LEFT(C1964,2))</f>
        <v>24</v>
      </c>
      <c r="E1964">
        <f t="shared" ref="E1964" si="4776">_xlfn.NUMBERVALUE(MID(C1964,4,2))</f>
        <v>1</v>
      </c>
      <c r="F1964">
        <f t="shared" ref="F1964" si="4777">_xlfn.NUMBERVALUE(RIGHT(C1964,4))</f>
        <v>2024</v>
      </c>
      <c r="G1964" t="s">
        <v>7</v>
      </c>
      <c r="H1964">
        <v>-2</v>
      </c>
      <c r="K1964" t="s">
        <v>9</v>
      </c>
      <c r="L1964" s="8">
        <f t="shared" si="4624"/>
        <v>-1</v>
      </c>
      <c r="M1964" t="s">
        <v>2161</v>
      </c>
    </row>
    <row r="1965" spans="1:13" x14ac:dyDescent="0.35">
      <c r="A1965">
        <f t="shared" si="4745"/>
        <v>1961</v>
      </c>
      <c r="B1965" s="9">
        <f t="shared" ref="B1965" si="4778">B1964+H1965+I1965+J1965</f>
        <v>20.540000000000006</v>
      </c>
      <c r="C1965" s="3" t="s">
        <v>2150</v>
      </c>
      <c r="D1965">
        <f t="shared" ref="D1965" si="4779">_xlfn.NUMBERVALUE(LEFT(C1965,2))</f>
        <v>24</v>
      </c>
      <c r="E1965">
        <f t="shared" ref="E1965" si="4780">_xlfn.NUMBERVALUE(MID(C1965,4,2))</f>
        <v>1</v>
      </c>
      <c r="F1965">
        <f t="shared" ref="F1965" si="4781">_xlfn.NUMBERVALUE(RIGHT(C1965,4))</f>
        <v>2024</v>
      </c>
      <c r="G1965" t="s">
        <v>7</v>
      </c>
      <c r="H1965">
        <v>-2</v>
      </c>
      <c r="K1965" t="s">
        <v>9</v>
      </c>
      <c r="L1965" s="8">
        <f t="shared" si="4624"/>
        <v>-1</v>
      </c>
      <c r="M1965" t="s">
        <v>2162</v>
      </c>
    </row>
    <row r="1966" spans="1:13" x14ac:dyDescent="0.35">
      <c r="A1966">
        <f t="shared" si="4745"/>
        <v>1962</v>
      </c>
      <c r="B1966" s="9">
        <f t="shared" ref="B1966" si="4782">B1965+H1966+I1966+J1966</f>
        <v>15.540000000000006</v>
      </c>
      <c r="C1966" s="3" t="s">
        <v>2150</v>
      </c>
      <c r="D1966">
        <f t="shared" ref="D1966" si="4783">_xlfn.NUMBERVALUE(LEFT(C1966,2))</f>
        <v>24</v>
      </c>
      <c r="E1966">
        <f t="shared" ref="E1966" si="4784">_xlfn.NUMBERVALUE(MID(C1966,4,2))</f>
        <v>1</v>
      </c>
      <c r="F1966">
        <f t="shared" ref="F1966" si="4785">_xlfn.NUMBERVALUE(RIGHT(C1966,4))</f>
        <v>2024</v>
      </c>
      <c r="G1966" t="s">
        <v>7</v>
      </c>
      <c r="H1966">
        <v>-5</v>
      </c>
      <c r="K1966" t="s">
        <v>9</v>
      </c>
      <c r="L1966" s="8">
        <f t="shared" si="4624"/>
        <v>-1</v>
      </c>
      <c r="M1966" t="s">
        <v>2163</v>
      </c>
    </row>
    <row r="1967" spans="1:13" x14ac:dyDescent="0.35">
      <c r="A1967">
        <f t="shared" si="4745"/>
        <v>1963</v>
      </c>
      <c r="B1967" s="9">
        <f t="shared" ref="B1967" si="4786">B1966+H1967+I1967+J1967</f>
        <v>10.540000000000006</v>
      </c>
      <c r="C1967" s="3" t="s">
        <v>2150</v>
      </c>
      <c r="D1967">
        <f t="shared" ref="D1967" si="4787">_xlfn.NUMBERVALUE(LEFT(C1967,2))</f>
        <v>24</v>
      </c>
      <c r="E1967">
        <f t="shared" ref="E1967" si="4788">_xlfn.NUMBERVALUE(MID(C1967,4,2))</f>
        <v>1</v>
      </c>
      <c r="F1967">
        <f t="shared" ref="F1967" si="4789">_xlfn.NUMBERVALUE(RIGHT(C1967,4))</f>
        <v>2024</v>
      </c>
      <c r="G1967" t="s">
        <v>7</v>
      </c>
      <c r="H1967">
        <v>-5</v>
      </c>
      <c r="K1967" t="s">
        <v>9</v>
      </c>
      <c r="L1967" s="8">
        <f t="shared" si="4624"/>
        <v>-1</v>
      </c>
      <c r="M1967" t="s">
        <v>2164</v>
      </c>
    </row>
    <row r="1968" spans="1:13" x14ac:dyDescent="0.35">
      <c r="A1968">
        <f t="shared" si="4745"/>
        <v>1964</v>
      </c>
      <c r="B1968" s="9">
        <f t="shared" ref="B1968" si="4790">B1967+H1968+I1968+J1968</f>
        <v>10.540000000000006</v>
      </c>
      <c r="C1968" s="3" t="s">
        <v>2150</v>
      </c>
      <c r="D1968">
        <f t="shared" ref="D1968" si="4791">_xlfn.NUMBERVALUE(LEFT(C1968,2))</f>
        <v>24</v>
      </c>
      <c r="E1968">
        <f t="shared" ref="E1968" si="4792">_xlfn.NUMBERVALUE(MID(C1968,4,2))</f>
        <v>1</v>
      </c>
      <c r="F1968">
        <f t="shared" ref="F1968" si="4793">_xlfn.NUMBERVALUE(RIGHT(C1968,4))</f>
        <v>2024</v>
      </c>
      <c r="G1968" t="s">
        <v>7</v>
      </c>
      <c r="K1968" t="s">
        <v>9</v>
      </c>
      <c r="L1968" s="8">
        <f t="shared" si="4624"/>
        <v>0</v>
      </c>
      <c r="M1968" t="s">
        <v>2165</v>
      </c>
    </row>
    <row r="1969" spans="1:13" x14ac:dyDescent="0.35">
      <c r="A1969">
        <f t="shared" si="4745"/>
        <v>1965</v>
      </c>
      <c r="B1969" s="9">
        <f t="shared" ref="B1969" si="4794">B1968+H1969+I1969+J1969</f>
        <v>0.54000000000000625</v>
      </c>
      <c r="C1969" s="3" t="s">
        <v>2150</v>
      </c>
      <c r="D1969">
        <f t="shared" ref="D1969" si="4795">_xlfn.NUMBERVALUE(LEFT(C1969,2))</f>
        <v>24</v>
      </c>
      <c r="E1969">
        <f t="shared" ref="E1969" si="4796">_xlfn.NUMBERVALUE(MID(C1969,4,2))</f>
        <v>1</v>
      </c>
      <c r="F1969">
        <f t="shared" ref="F1969" si="4797">_xlfn.NUMBERVALUE(RIGHT(C1969,4))</f>
        <v>2024</v>
      </c>
      <c r="G1969" t="s">
        <v>7</v>
      </c>
      <c r="H1969">
        <v>-10</v>
      </c>
      <c r="K1969" t="s">
        <v>9</v>
      </c>
      <c r="L1969" s="8">
        <f t="shared" si="4624"/>
        <v>-1</v>
      </c>
      <c r="M1969" t="s">
        <v>2166</v>
      </c>
    </row>
    <row r="1970" spans="1:13" x14ac:dyDescent="0.35">
      <c r="A1970">
        <f t="shared" si="4745"/>
        <v>1966</v>
      </c>
      <c r="B1970" s="9">
        <f t="shared" ref="B1970:B1971" si="4798">B1969+H1970+I1970+J1970</f>
        <v>58.39</v>
      </c>
      <c r="C1970" s="3" t="s">
        <v>2167</v>
      </c>
      <c r="D1970">
        <f t="shared" ref="D1970:D1971" si="4799">_xlfn.NUMBERVALUE(LEFT(C1970,2))</f>
        <v>26</v>
      </c>
      <c r="E1970">
        <f t="shared" ref="E1970:E1971" si="4800">_xlfn.NUMBERVALUE(MID(C1970,4,2))</f>
        <v>1</v>
      </c>
      <c r="F1970">
        <f t="shared" ref="F1970:F1971" si="4801">_xlfn.NUMBERVALUE(RIGHT(C1970,4))</f>
        <v>2024</v>
      </c>
      <c r="G1970" t="s">
        <v>3362</v>
      </c>
      <c r="I1970">
        <v>57.849999999999994</v>
      </c>
      <c r="L1970" s="8"/>
    </row>
    <row r="1971" spans="1:13" x14ac:dyDescent="0.35">
      <c r="A1971">
        <f t="shared" si="4745"/>
        <v>1967</v>
      </c>
      <c r="B1971" s="9">
        <f t="shared" si="4798"/>
        <v>56.39</v>
      </c>
      <c r="C1971" s="3" t="s">
        <v>2167</v>
      </c>
      <c r="D1971">
        <f t="shared" si="4799"/>
        <v>26</v>
      </c>
      <c r="E1971">
        <f t="shared" si="4800"/>
        <v>1</v>
      </c>
      <c r="F1971">
        <f t="shared" si="4801"/>
        <v>2024</v>
      </c>
      <c r="G1971" t="s">
        <v>7</v>
      </c>
      <c r="H1971">
        <v>-2</v>
      </c>
      <c r="K1971" t="s">
        <v>9</v>
      </c>
      <c r="L1971" s="8">
        <f t="shared" si="4624"/>
        <v>-1</v>
      </c>
      <c r="M1971" t="s">
        <v>2168</v>
      </c>
    </row>
    <row r="1972" spans="1:13" x14ac:dyDescent="0.35">
      <c r="A1972">
        <f t="shared" si="4745"/>
        <v>1968</v>
      </c>
      <c r="B1972" s="9">
        <f t="shared" ref="B1972" si="4802">B1971+H1972+I1972+J1972</f>
        <v>58.39</v>
      </c>
      <c r="C1972" s="3" t="s">
        <v>2167</v>
      </c>
      <c r="D1972">
        <f t="shared" ref="D1972" si="4803">_xlfn.NUMBERVALUE(LEFT(C1972,2))</f>
        <v>26</v>
      </c>
      <c r="E1972">
        <f t="shared" ref="E1972" si="4804">_xlfn.NUMBERVALUE(MID(C1972,4,2))</f>
        <v>1</v>
      </c>
      <c r="F1972">
        <f t="shared" ref="F1972" si="4805">_xlfn.NUMBERVALUE(RIGHT(C1972,4))</f>
        <v>2024</v>
      </c>
      <c r="G1972" t="s">
        <v>7</v>
      </c>
      <c r="H1972">
        <v>-2</v>
      </c>
      <c r="I1972">
        <v>4</v>
      </c>
      <c r="K1972" t="s">
        <v>10</v>
      </c>
      <c r="L1972" s="8">
        <f t="shared" si="4624"/>
        <v>1</v>
      </c>
      <c r="M1972" t="s">
        <v>2169</v>
      </c>
    </row>
    <row r="1973" spans="1:13" x14ac:dyDescent="0.35">
      <c r="A1973">
        <f t="shared" si="4745"/>
        <v>1969</v>
      </c>
      <c r="B1973" s="9">
        <f t="shared" ref="B1973" si="4806">B1972+H1973+I1973+J1973</f>
        <v>64.39</v>
      </c>
      <c r="C1973" s="3" t="s">
        <v>2167</v>
      </c>
      <c r="D1973">
        <f t="shared" ref="D1973" si="4807">_xlfn.NUMBERVALUE(LEFT(C1973,2))</f>
        <v>26</v>
      </c>
      <c r="E1973">
        <f t="shared" ref="E1973" si="4808">_xlfn.NUMBERVALUE(MID(C1973,4,2))</f>
        <v>1</v>
      </c>
      <c r="F1973">
        <f t="shared" ref="F1973" si="4809">_xlfn.NUMBERVALUE(RIGHT(C1973,4))</f>
        <v>2024</v>
      </c>
      <c r="G1973" t="s">
        <v>7</v>
      </c>
      <c r="H1973">
        <v>-2</v>
      </c>
      <c r="I1973">
        <v>8</v>
      </c>
      <c r="K1973" t="s">
        <v>10</v>
      </c>
      <c r="L1973" s="8">
        <f t="shared" si="4624"/>
        <v>3</v>
      </c>
      <c r="M1973" t="s">
        <v>2170</v>
      </c>
    </row>
    <row r="1974" spans="1:13" x14ac:dyDescent="0.35">
      <c r="A1974">
        <f t="shared" si="4745"/>
        <v>1970</v>
      </c>
      <c r="B1974" s="9">
        <f t="shared" ref="B1974" si="4810">B1973+H1974+I1974+J1974</f>
        <v>62.39</v>
      </c>
      <c r="C1974" s="3" t="s">
        <v>2167</v>
      </c>
      <c r="D1974">
        <f t="shared" ref="D1974" si="4811">_xlfn.NUMBERVALUE(LEFT(C1974,2))</f>
        <v>26</v>
      </c>
      <c r="E1974">
        <f t="shared" ref="E1974" si="4812">_xlfn.NUMBERVALUE(MID(C1974,4,2))</f>
        <v>1</v>
      </c>
      <c r="F1974">
        <f t="shared" ref="F1974" si="4813">_xlfn.NUMBERVALUE(RIGHT(C1974,4))</f>
        <v>2024</v>
      </c>
      <c r="G1974" t="s">
        <v>7</v>
      </c>
      <c r="H1974">
        <v>-2</v>
      </c>
      <c r="K1974" t="s">
        <v>9</v>
      </c>
      <c r="L1974" s="8">
        <f t="shared" si="4624"/>
        <v>-1</v>
      </c>
      <c r="M1974" t="s">
        <v>2171</v>
      </c>
    </row>
    <row r="1975" spans="1:13" x14ac:dyDescent="0.35">
      <c r="A1975">
        <f t="shared" si="4745"/>
        <v>1971</v>
      </c>
      <c r="B1975" s="9">
        <f t="shared" ref="B1975" si="4814">B1974+H1975+I1975+J1975</f>
        <v>66.39</v>
      </c>
      <c r="C1975" s="3" t="s">
        <v>2167</v>
      </c>
      <c r="D1975">
        <f t="shared" ref="D1975" si="4815">_xlfn.NUMBERVALUE(LEFT(C1975,2))</f>
        <v>26</v>
      </c>
      <c r="E1975">
        <f t="shared" ref="E1975" si="4816">_xlfn.NUMBERVALUE(MID(C1975,4,2))</f>
        <v>1</v>
      </c>
      <c r="F1975">
        <f t="shared" ref="F1975" si="4817">_xlfn.NUMBERVALUE(RIGHT(C1975,4))</f>
        <v>2024</v>
      </c>
      <c r="G1975" t="s">
        <v>7</v>
      </c>
      <c r="H1975">
        <v>-2</v>
      </c>
      <c r="I1975">
        <v>6</v>
      </c>
      <c r="K1975" t="s">
        <v>10</v>
      </c>
      <c r="L1975" s="8">
        <f t="shared" si="4624"/>
        <v>2</v>
      </c>
      <c r="M1975" t="s">
        <v>2172</v>
      </c>
    </row>
    <row r="1976" spans="1:13" x14ac:dyDescent="0.35">
      <c r="A1976">
        <f t="shared" si="4745"/>
        <v>1972</v>
      </c>
      <c r="B1976" s="9">
        <f t="shared" ref="B1976" si="4818">B1975+H1976+I1976+J1976</f>
        <v>70.39</v>
      </c>
      <c r="C1976" s="3" t="s">
        <v>2173</v>
      </c>
      <c r="D1976">
        <f t="shared" ref="D1976" si="4819">_xlfn.NUMBERVALUE(LEFT(C1976,2))</f>
        <v>27</v>
      </c>
      <c r="E1976">
        <f t="shared" ref="E1976" si="4820">_xlfn.NUMBERVALUE(MID(C1976,4,2))</f>
        <v>1</v>
      </c>
      <c r="F1976">
        <f t="shared" ref="F1976" si="4821">_xlfn.NUMBERVALUE(RIGHT(C1976,4))</f>
        <v>2024</v>
      </c>
      <c r="G1976" t="s">
        <v>7</v>
      </c>
      <c r="H1976">
        <v>-2</v>
      </c>
      <c r="I1976">
        <v>6</v>
      </c>
      <c r="K1976" t="s">
        <v>10</v>
      </c>
      <c r="L1976" s="8">
        <f t="shared" si="4624"/>
        <v>2</v>
      </c>
      <c r="M1976" t="s">
        <v>2174</v>
      </c>
    </row>
    <row r="1977" spans="1:13" x14ac:dyDescent="0.35">
      <c r="A1977">
        <f t="shared" si="4745"/>
        <v>1973</v>
      </c>
      <c r="B1977" s="9">
        <f t="shared" ref="B1977" si="4822">B1976+H1977+I1977+J1977</f>
        <v>74.39</v>
      </c>
      <c r="C1977" s="3" t="s">
        <v>2173</v>
      </c>
      <c r="D1977">
        <f t="shared" ref="D1977" si="4823">_xlfn.NUMBERVALUE(LEFT(C1977,2))</f>
        <v>27</v>
      </c>
      <c r="E1977">
        <f t="shared" ref="E1977" si="4824">_xlfn.NUMBERVALUE(MID(C1977,4,2))</f>
        <v>1</v>
      </c>
      <c r="F1977">
        <f t="shared" ref="F1977" si="4825">_xlfn.NUMBERVALUE(RIGHT(C1977,4))</f>
        <v>2024</v>
      </c>
      <c r="G1977" t="s">
        <v>7</v>
      </c>
      <c r="H1977">
        <v>-2</v>
      </c>
      <c r="I1977">
        <v>6</v>
      </c>
      <c r="K1977" t="s">
        <v>10</v>
      </c>
      <c r="L1977" s="8">
        <f t="shared" si="4624"/>
        <v>2</v>
      </c>
      <c r="M1977" t="s">
        <v>2175</v>
      </c>
    </row>
    <row r="1978" spans="1:13" x14ac:dyDescent="0.35">
      <c r="A1978">
        <f t="shared" si="4745"/>
        <v>1974</v>
      </c>
      <c r="B1978" s="9">
        <f t="shared" ref="B1978" si="4826">B1977+H1978+I1978+J1978</f>
        <v>72.39</v>
      </c>
      <c r="C1978" s="3" t="s">
        <v>2173</v>
      </c>
      <c r="D1978">
        <f t="shared" ref="D1978" si="4827">_xlfn.NUMBERVALUE(LEFT(C1978,2))</f>
        <v>27</v>
      </c>
      <c r="E1978">
        <f t="shared" ref="E1978" si="4828">_xlfn.NUMBERVALUE(MID(C1978,4,2))</f>
        <v>1</v>
      </c>
      <c r="F1978">
        <f t="shared" ref="F1978" si="4829">_xlfn.NUMBERVALUE(RIGHT(C1978,4))</f>
        <v>2024</v>
      </c>
      <c r="G1978" t="s">
        <v>7</v>
      </c>
      <c r="H1978">
        <v>-2</v>
      </c>
      <c r="K1978" t="s">
        <v>9</v>
      </c>
      <c r="L1978" s="8">
        <f t="shared" si="4624"/>
        <v>-1</v>
      </c>
      <c r="M1978" t="s">
        <v>2176</v>
      </c>
    </row>
    <row r="1979" spans="1:13" x14ac:dyDescent="0.35">
      <c r="A1979">
        <f t="shared" si="4745"/>
        <v>1975</v>
      </c>
      <c r="B1979" s="9">
        <f t="shared" ref="B1979" si="4830">B1978+H1979+I1979+J1979</f>
        <v>76.39</v>
      </c>
      <c r="C1979" s="3" t="s">
        <v>2177</v>
      </c>
      <c r="D1979">
        <f t="shared" ref="D1979" si="4831">_xlfn.NUMBERVALUE(LEFT(C1979,2))</f>
        <v>28</v>
      </c>
      <c r="E1979">
        <f t="shared" ref="E1979" si="4832">_xlfn.NUMBERVALUE(MID(C1979,4,2))</f>
        <v>1</v>
      </c>
      <c r="F1979">
        <f t="shared" ref="F1979" si="4833">_xlfn.NUMBERVALUE(RIGHT(C1979,4))</f>
        <v>2024</v>
      </c>
      <c r="G1979" t="s">
        <v>7</v>
      </c>
      <c r="H1979">
        <v>-2</v>
      </c>
      <c r="I1979">
        <v>6</v>
      </c>
      <c r="K1979" t="s">
        <v>10</v>
      </c>
      <c r="L1979" s="8">
        <f t="shared" si="4624"/>
        <v>2</v>
      </c>
      <c r="M1979" t="s">
        <v>2178</v>
      </c>
    </row>
    <row r="1980" spans="1:13" x14ac:dyDescent="0.35">
      <c r="A1980">
        <f t="shared" si="4745"/>
        <v>1976</v>
      </c>
      <c r="B1980" s="9">
        <f t="shared" ref="B1980" si="4834">B1979+H1980+I1980+J1980</f>
        <v>80.39</v>
      </c>
      <c r="C1980" s="3" t="s">
        <v>2177</v>
      </c>
      <c r="D1980">
        <f t="shared" ref="D1980" si="4835">_xlfn.NUMBERVALUE(LEFT(C1980,2))</f>
        <v>28</v>
      </c>
      <c r="E1980">
        <f t="shared" ref="E1980" si="4836">_xlfn.NUMBERVALUE(MID(C1980,4,2))</f>
        <v>1</v>
      </c>
      <c r="F1980">
        <f t="shared" ref="F1980" si="4837">_xlfn.NUMBERVALUE(RIGHT(C1980,4))</f>
        <v>2024</v>
      </c>
      <c r="G1980" t="s">
        <v>7</v>
      </c>
      <c r="H1980">
        <v>-2</v>
      </c>
      <c r="I1980">
        <v>6</v>
      </c>
      <c r="K1980" t="s">
        <v>10</v>
      </c>
      <c r="L1980" s="8">
        <f t="shared" si="4624"/>
        <v>2</v>
      </c>
      <c r="M1980" t="s">
        <v>2179</v>
      </c>
    </row>
    <row r="1981" spans="1:13" x14ac:dyDescent="0.35">
      <c r="A1981">
        <f t="shared" si="4745"/>
        <v>1977</v>
      </c>
      <c r="B1981" s="9">
        <f t="shared" ref="B1981" si="4838">B1980+H1981+I1981+J1981</f>
        <v>78.39</v>
      </c>
      <c r="C1981" s="3" t="s">
        <v>2177</v>
      </c>
      <c r="D1981">
        <f t="shared" ref="D1981" si="4839">_xlfn.NUMBERVALUE(LEFT(C1981,2))</f>
        <v>28</v>
      </c>
      <c r="E1981">
        <f t="shared" ref="E1981" si="4840">_xlfn.NUMBERVALUE(MID(C1981,4,2))</f>
        <v>1</v>
      </c>
      <c r="F1981">
        <f t="shared" ref="F1981" si="4841">_xlfn.NUMBERVALUE(RIGHT(C1981,4))</f>
        <v>2024</v>
      </c>
      <c r="G1981" t="s">
        <v>7</v>
      </c>
      <c r="H1981">
        <v>-2</v>
      </c>
      <c r="K1981" t="s">
        <v>9</v>
      </c>
      <c r="L1981" s="8">
        <f t="shared" si="4624"/>
        <v>-1</v>
      </c>
      <c r="M1981" t="s">
        <v>2180</v>
      </c>
    </row>
    <row r="1982" spans="1:13" x14ac:dyDescent="0.35">
      <c r="A1982">
        <f t="shared" si="4745"/>
        <v>1978</v>
      </c>
      <c r="B1982" s="9">
        <f t="shared" ref="B1982" si="4842">B1981+H1982+I1982+J1982</f>
        <v>76.39</v>
      </c>
      <c r="C1982" s="3" t="s">
        <v>2177</v>
      </c>
      <c r="D1982">
        <f t="shared" ref="D1982" si="4843">_xlfn.NUMBERVALUE(LEFT(C1982,2))</f>
        <v>28</v>
      </c>
      <c r="E1982">
        <f t="shared" ref="E1982" si="4844">_xlfn.NUMBERVALUE(MID(C1982,4,2))</f>
        <v>1</v>
      </c>
      <c r="F1982">
        <f t="shared" ref="F1982" si="4845">_xlfn.NUMBERVALUE(RIGHT(C1982,4))</f>
        <v>2024</v>
      </c>
      <c r="G1982" t="s">
        <v>7</v>
      </c>
      <c r="H1982">
        <v>-2</v>
      </c>
      <c r="K1982" t="s">
        <v>9</v>
      </c>
      <c r="L1982" s="8">
        <f t="shared" si="4624"/>
        <v>-1</v>
      </c>
      <c r="M1982" t="s">
        <v>2181</v>
      </c>
    </row>
    <row r="1983" spans="1:13" x14ac:dyDescent="0.35">
      <c r="A1983">
        <f t="shared" si="4745"/>
        <v>1979</v>
      </c>
      <c r="B1983" s="9">
        <f t="shared" ref="B1983" si="4846">B1982+H1983+I1983+J1983</f>
        <v>78.39</v>
      </c>
      <c r="C1983" s="3" t="s">
        <v>2177</v>
      </c>
      <c r="D1983">
        <f t="shared" ref="D1983" si="4847">_xlfn.NUMBERVALUE(LEFT(C1983,2))</f>
        <v>28</v>
      </c>
      <c r="E1983">
        <f t="shared" ref="E1983" si="4848">_xlfn.NUMBERVALUE(MID(C1983,4,2))</f>
        <v>1</v>
      </c>
      <c r="F1983">
        <f t="shared" ref="F1983" si="4849">_xlfn.NUMBERVALUE(RIGHT(C1983,4))</f>
        <v>2024</v>
      </c>
      <c r="G1983" t="s">
        <v>7</v>
      </c>
      <c r="H1983">
        <v>-2</v>
      </c>
      <c r="I1983">
        <v>4</v>
      </c>
      <c r="K1983" t="s">
        <v>10</v>
      </c>
      <c r="L1983" s="8">
        <f t="shared" si="4624"/>
        <v>1</v>
      </c>
      <c r="M1983" t="s">
        <v>2182</v>
      </c>
    </row>
    <row r="1984" spans="1:13" x14ac:dyDescent="0.35">
      <c r="A1984">
        <f t="shared" si="4745"/>
        <v>1980</v>
      </c>
      <c r="B1984" s="9">
        <f t="shared" ref="B1984" si="4850">B1983+H1984+I1984+J1984</f>
        <v>76.39</v>
      </c>
      <c r="C1984" s="3" t="s">
        <v>2177</v>
      </c>
      <c r="D1984">
        <f t="shared" ref="D1984" si="4851">_xlfn.NUMBERVALUE(LEFT(C1984,2))</f>
        <v>28</v>
      </c>
      <c r="E1984">
        <f t="shared" ref="E1984" si="4852">_xlfn.NUMBERVALUE(MID(C1984,4,2))</f>
        <v>1</v>
      </c>
      <c r="F1984">
        <f t="shared" ref="F1984" si="4853">_xlfn.NUMBERVALUE(RIGHT(C1984,4))</f>
        <v>2024</v>
      </c>
      <c r="G1984" t="s">
        <v>7</v>
      </c>
      <c r="H1984">
        <v>-2</v>
      </c>
      <c r="K1984" t="s">
        <v>9</v>
      </c>
      <c r="L1984" s="8">
        <f t="shared" si="4624"/>
        <v>-1</v>
      </c>
      <c r="M1984" t="s">
        <v>2183</v>
      </c>
    </row>
    <row r="1985" spans="1:13" x14ac:dyDescent="0.35">
      <c r="A1985">
        <f t="shared" si="4745"/>
        <v>1981</v>
      </c>
      <c r="B1985" s="9">
        <f t="shared" ref="B1985" si="4854">B1984+H1985+I1985+J1985</f>
        <v>74.39</v>
      </c>
      <c r="C1985" s="3" t="s">
        <v>2177</v>
      </c>
      <c r="D1985">
        <f t="shared" ref="D1985" si="4855">_xlfn.NUMBERVALUE(LEFT(C1985,2))</f>
        <v>28</v>
      </c>
      <c r="E1985">
        <f t="shared" ref="E1985" si="4856">_xlfn.NUMBERVALUE(MID(C1985,4,2))</f>
        <v>1</v>
      </c>
      <c r="F1985">
        <f t="shared" ref="F1985" si="4857">_xlfn.NUMBERVALUE(RIGHT(C1985,4))</f>
        <v>2024</v>
      </c>
      <c r="G1985" t="s">
        <v>7</v>
      </c>
      <c r="H1985">
        <v>-2</v>
      </c>
      <c r="K1985" t="s">
        <v>9</v>
      </c>
      <c r="L1985" s="8">
        <f t="shared" si="4624"/>
        <v>-1</v>
      </c>
      <c r="M1985" t="s">
        <v>2184</v>
      </c>
    </row>
    <row r="1986" spans="1:13" x14ac:dyDescent="0.35">
      <c r="A1986">
        <f t="shared" si="4745"/>
        <v>1982</v>
      </c>
      <c r="B1986" s="9">
        <f t="shared" ref="B1986" si="4858">B1985+H1986+I1986+J1986</f>
        <v>78.39</v>
      </c>
      <c r="C1986" s="3" t="s">
        <v>2177</v>
      </c>
      <c r="D1986">
        <f t="shared" ref="D1986" si="4859">_xlfn.NUMBERVALUE(LEFT(C1986,2))</f>
        <v>28</v>
      </c>
      <c r="E1986">
        <f t="shared" ref="E1986" si="4860">_xlfn.NUMBERVALUE(MID(C1986,4,2))</f>
        <v>1</v>
      </c>
      <c r="F1986">
        <f t="shared" ref="F1986" si="4861">_xlfn.NUMBERVALUE(RIGHT(C1986,4))</f>
        <v>2024</v>
      </c>
      <c r="G1986" t="s">
        <v>7</v>
      </c>
      <c r="H1986">
        <v>-2</v>
      </c>
      <c r="I1986">
        <v>6</v>
      </c>
      <c r="K1986" t="s">
        <v>10</v>
      </c>
      <c r="L1986" s="8">
        <f t="shared" si="4624"/>
        <v>2</v>
      </c>
      <c r="M1986" t="s">
        <v>2185</v>
      </c>
    </row>
    <row r="1987" spans="1:13" x14ac:dyDescent="0.35">
      <c r="A1987">
        <f t="shared" si="4745"/>
        <v>1983</v>
      </c>
      <c r="B1987" s="9">
        <f t="shared" ref="B1987" si="4862">B1986+H1987+I1987+J1987</f>
        <v>76.39</v>
      </c>
      <c r="C1987" s="3" t="s">
        <v>2177</v>
      </c>
      <c r="D1987">
        <f t="shared" ref="D1987" si="4863">_xlfn.NUMBERVALUE(LEFT(C1987,2))</f>
        <v>28</v>
      </c>
      <c r="E1987">
        <f t="shared" ref="E1987" si="4864">_xlfn.NUMBERVALUE(MID(C1987,4,2))</f>
        <v>1</v>
      </c>
      <c r="F1987">
        <f t="shared" ref="F1987" si="4865">_xlfn.NUMBERVALUE(RIGHT(C1987,4))</f>
        <v>2024</v>
      </c>
      <c r="G1987" t="s">
        <v>7</v>
      </c>
      <c r="H1987">
        <v>-2</v>
      </c>
      <c r="K1987" t="s">
        <v>9</v>
      </c>
      <c r="L1987" s="8">
        <f t="shared" si="4624"/>
        <v>-1</v>
      </c>
      <c r="M1987" t="s">
        <v>2186</v>
      </c>
    </row>
    <row r="1988" spans="1:13" x14ac:dyDescent="0.35">
      <c r="A1988">
        <f t="shared" si="4745"/>
        <v>1984</v>
      </c>
      <c r="B1988" s="9">
        <f t="shared" ref="B1988" si="4866">B1987+H1988+I1988+J1988</f>
        <v>78.39</v>
      </c>
      <c r="C1988" s="3" t="s">
        <v>2177</v>
      </c>
      <c r="D1988">
        <f t="shared" ref="D1988" si="4867">_xlfn.NUMBERVALUE(LEFT(C1988,2))</f>
        <v>28</v>
      </c>
      <c r="E1988">
        <f t="shared" ref="E1988" si="4868">_xlfn.NUMBERVALUE(MID(C1988,4,2))</f>
        <v>1</v>
      </c>
      <c r="F1988">
        <f t="shared" ref="F1988" si="4869">_xlfn.NUMBERVALUE(RIGHT(C1988,4))</f>
        <v>2024</v>
      </c>
      <c r="G1988" t="s">
        <v>7</v>
      </c>
      <c r="H1988">
        <v>-2</v>
      </c>
      <c r="I1988">
        <v>4</v>
      </c>
      <c r="K1988" t="s">
        <v>10</v>
      </c>
      <c r="L1988" s="8">
        <f t="shared" si="4624"/>
        <v>1</v>
      </c>
      <c r="M1988" t="s">
        <v>2187</v>
      </c>
    </row>
    <row r="1989" spans="1:13" x14ac:dyDescent="0.35">
      <c r="A1989">
        <f t="shared" si="4745"/>
        <v>1985</v>
      </c>
      <c r="B1989" s="9">
        <f t="shared" ref="B1989" si="4870">B1988+H1989+I1989+J1989</f>
        <v>76.39</v>
      </c>
      <c r="C1989" s="3" t="s">
        <v>2188</v>
      </c>
      <c r="D1989">
        <f t="shared" ref="D1989" si="4871">_xlfn.NUMBERVALUE(LEFT(C1989,2))</f>
        <v>29</v>
      </c>
      <c r="E1989">
        <f t="shared" ref="E1989" si="4872">_xlfn.NUMBERVALUE(MID(C1989,4,2))</f>
        <v>1</v>
      </c>
      <c r="F1989">
        <f t="shared" ref="F1989" si="4873">_xlfn.NUMBERVALUE(RIGHT(C1989,4))</f>
        <v>2024</v>
      </c>
      <c r="G1989" t="s">
        <v>7</v>
      </c>
      <c r="H1989">
        <v>-2</v>
      </c>
      <c r="K1989" t="s">
        <v>9</v>
      </c>
      <c r="L1989" s="8">
        <f t="shared" si="4624"/>
        <v>-1</v>
      </c>
      <c r="M1989" t="s">
        <v>2189</v>
      </c>
    </row>
    <row r="1990" spans="1:13" x14ac:dyDescent="0.35">
      <c r="A1990">
        <f t="shared" si="4745"/>
        <v>1986</v>
      </c>
      <c r="B1990" s="9">
        <f t="shared" ref="B1990" si="4874">B1989+H1990+I1990+J1990</f>
        <v>78.39</v>
      </c>
      <c r="C1990" s="3" t="s">
        <v>2188</v>
      </c>
      <c r="D1990">
        <f t="shared" ref="D1990" si="4875">_xlfn.NUMBERVALUE(LEFT(C1990,2))</f>
        <v>29</v>
      </c>
      <c r="E1990">
        <f t="shared" ref="E1990" si="4876">_xlfn.NUMBERVALUE(MID(C1990,4,2))</f>
        <v>1</v>
      </c>
      <c r="F1990">
        <f t="shared" ref="F1990" si="4877">_xlfn.NUMBERVALUE(RIGHT(C1990,4))</f>
        <v>2024</v>
      </c>
      <c r="G1990" t="s">
        <v>7</v>
      </c>
      <c r="H1990">
        <v>-2</v>
      </c>
      <c r="I1990">
        <v>4</v>
      </c>
      <c r="K1990" t="s">
        <v>10</v>
      </c>
      <c r="L1990" s="8">
        <f t="shared" ref="L1990:L2053" si="4878">IF(H1990="",0,(SUM(I1990:J1990)/-H1990)-1)</f>
        <v>1</v>
      </c>
      <c r="M1990" t="s">
        <v>2190</v>
      </c>
    </row>
    <row r="1991" spans="1:13" x14ac:dyDescent="0.35">
      <c r="A1991">
        <f t="shared" si="4745"/>
        <v>1987</v>
      </c>
      <c r="B1991" s="9">
        <f t="shared" ref="B1991" si="4879">B1990+H1991+I1991+J1991</f>
        <v>82.39</v>
      </c>
      <c r="C1991" s="3" t="s">
        <v>2188</v>
      </c>
      <c r="D1991">
        <f t="shared" ref="D1991" si="4880">_xlfn.NUMBERVALUE(LEFT(C1991,2))</f>
        <v>29</v>
      </c>
      <c r="E1991">
        <f t="shared" ref="E1991" si="4881">_xlfn.NUMBERVALUE(MID(C1991,4,2))</f>
        <v>1</v>
      </c>
      <c r="F1991">
        <f t="shared" ref="F1991" si="4882">_xlfn.NUMBERVALUE(RIGHT(C1991,4))</f>
        <v>2024</v>
      </c>
      <c r="G1991" t="s">
        <v>7</v>
      </c>
      <c r="H1991">
        <v>-2</v>
      </c>
      <c r="I1991">
        <v>6</v>
      </c>
      <c r="K1991" t="s">
        <v>10</v>
      </c>
      <c r="L1991" s="8">
        <f t="shared" si="4878"/>
        <v>2</v>
      </c>
      <c r="M1991" t="s">
        <v>2191</v>
      </c>
    </row>
    <row r="1992" spans="1:13" x14ac:dyDescent="0.35">
      <c r="A1992">
        <f t="shared" si="4745"/>
        <v>1988</v>
      </c>
      <c r="B1992" s="9">
        <f t="shared" ref="B1992" si="4883">B1991+H1992+I1992+J1992</f>
        <v>80.39</v>
      </c>
      <c r="C1992" s="3" t="s">
        <v>2188</v>
      </c>
      <c r="D1992">
        <f t="shared" ref="D1992" si="4884">_xlfn.NUMBERVALUE(LEFT(C1992,2))</f>
        <v>29</v>
      </c>
      <c r="E1992">
        <f t="shared" ref="E1992" si="4885">_xlfn.NUMBERVALUE(MID(C1992,4,2))</f>
        <v>1</v>
      </c>
      <c r="F1992">
        <f t="shared" ref="F1992" si="4886">_xlfn.NUMBERVALUE(RIGHT(C1992,4))</f>
        <v>2024</v>
      </c>
      <c r="G1992" t="s">
        <v>7</v>
      </c>
      <c r="H1992">
        <v>-2</v>
      </c>
      <c r="K1992" t="s">
        <v>9</v>
      </c>
      <c r="L1992" s="8">
        <f t="shared" si="4878"/>
        <v>-1</v>
      </c>
      <c r="M1992" t="s">
        <v>2192</v>
      </c>
    </row>
    <row r="1993" spans="1:13" x14ac:dyDescent="0.35">
      <c r="A1993">
        <f t="shared" si="4745"/>
        <v>1989</v>
      </c>
      <c r="B1993" s="9">
        <f t="shared" ref="B1993" si="4887">B1992+H1993+I1993+J1993</f>
        <v>82.39</v>
      </c>
      <c r="C1993" s="3" t="s">
        <v>2188</v>
      </c>
      <c r="D1993">
        <f t="shared" ref="D1993" si="4888">_xlfn.NUMBERVALUE(LEFT(C1993,2))</f>
        <v>29</v>
      </c>
      <c r="E1993">
        <f t="shared" ref="E1993" si="4889">_xlfn.NUMBERVALUE(MID(C1993,4,2))</f>
        <v>1</v>
      </c>
      <c r="F1993">
        <f t="shared" ref="F1993" si="4890">_xlfn.NUMBERVALUE(RIGHT(C1993,4))</f>
        <v>2024</v>
      </c>
      <c r="G1993" t="s">
        <v>7</v>
      </c>
      <c r="H1993">
        <v>-2</v>
      </c>
      <c r="I1993">
        <v>4</v>
      </c>
      <c r="K1993" t="s">
        <v>10</v>
      </c>
      <c r="L1993" s="8">
        <f t="shared" si="4878"/>
        <v>1</v>
      </c>
      <c r="M1993" t="s">
        <v>2193</v>
      </c>
    </row>
    <row r="1994" spans="1:13" x14ac:dyDescent="0.35">
      <c r="A1994">
        <f t="shared" si="4745"/>
        <v>1990</v>
      </c>
      <c r="B1994" s="9">
        <f t="shared" ref="B1994" si="4891">B1993+H1994+I1994+J1994</f>
        <v>80.39</v>
      </c>
      <c r="C1994" s="3" t="s">
        <v>2188</v>
      </c>
      <c r="D1994">
        <f t="shared" ref="D1994" si="4892">_xlfn.NUMBERVALUE(LEFT(C1994,2))</f>
        <v>29</v>
      </c>
      <c r="E1994">
        <f t="shared" ref="E1994" si="4893">_xlfn.NUMBERVALUE(MID(C1994,4,2))</f>
        <v>1</v>
      </c>
      <c r="F1994">
        <f t="shared" ref="F1994" si="4894">_xlfn.NUMBERVALUE(RIGHT(C1994,4))</f>
        <v>2024</v>
      </c>
      <c r="G1994" t="s">
        <v>7</v>
      </c>
      <c r="H1994">
        <v>-2</v>
      </c>
      <c r="K1994" t="s">
        <v>9</v>
      </c>
      <c r="L1994" s="8">
        <f t="shared" si="4878"/>
        <v>-1</v>
      </c>
      <c r="M1994" t="s">
        <v>2194</v>
      </c>
    </row>
    <row r="1995" spans="1:13" x14ac:dyDescent="0.35">
      <c r="A1995">
        <f t="shared" si="4745"/>
        <v>1991</v>
      </c>
      <c r="B1995" s="9">
        <f t="shared" ref="B1995" si="4895">B1994+H1995+I1995+J1995</f>
        <v>78.39</v>
      </c>
      <c r="C1995" s="3" t="s">
        <v>2188</v>
      </c>
      <c r="D1995">
        <f t="shared" ref="D1995" si="4896">_xlfn.NUMBERVALUE(LEFT(C1995,2))</f>
        <v>29</v>
      </c>
      <c r="E1995">
        <f t="shared" ref="E1995" si="4897">_xlfn.NUMBERVALUE(MID(C1995,4,2))</f>
        <v>1</v>
      </c>
      <c r="F1995">
        <f t="shared" ref="F1995" si="4898">_xlfn.NUMBERVALUE(RIGHT(C1995,4))</f>
        <v>2024</v>
      </c>
      <c r="G1995" t="s">
        <v>7</v>
      </c>
      <c r="H1995">
        <v>-2</v>
      </c>
      <c r="K1995" t="s">
        <v>9</v>
      </c>
      <c r="L1995" s="8">
        <f t="shared" si="4878"/>
        <v>-1</v>
      </c>
      <c r="M1995" t="s">
        <v>2195</v>
      </c>
    </row>
    <row r="1996" spans="1:13" x14ac:dyDescent="0.35">
      <c r="A1996">
        <f t="shared" si="4745"/>
        <v>1992</v>
      </c>
      <c r="B1996" s="9">
        <f t="shared" ref="B1996" si="4899">B1995+H1996+I1996+J1996</f>
        <v>76.39</v>
      </c>
      <c r="C1996" s="3" t="s">
        <v>2188</v>
      </c>
      <c r="D1996">
        <f t="shared" ref="D1996" si="4900">_xlfn.NUMBERVALUE(LEFT(C1996,2))</f>
        <v>29</v>
      </c>
      <c r="E1996">
        <f t="shared" ref="E1996" si="4901">_xlfn.NUMBERVALUE(MID(C1996,4,2))</f>
        <v>1</v>
      </c>
      <c r="F1996">
        <f t="shared" ref="F1996" si="4902">_xlfn.NUMBERVALUE(RIGHT(C1996,4))</f>
        <v>2024</v>
      </c>
      <c r="G1996" t="s">
        <v>7</v>
      </c>
      <c r="H1996">
        <v>-2</v>
      </c>
      <c r="K1996" t="s">
        <v>9</v>
      </c>
      <c r="L1996" s="8">
        <f t="shared" si="4878"/>
        <v>-1</v>
      </c>
      <c r="M1996" t="s">
        <v>2196</v>
      </c>
    </row>
    <row r="1997" spans="1:13" x14ac:dyDescent="0.35">
      <c r="A1997">
        <f t="shared" si="4745"/>
        <v>1993</v>
      </c>
      <c r="B1997" s="9">
        <f t="shared" ref="B1997" si="4903">B1996+H1997+I1997+J1997</f>
        <v>74.39</v>
      </c>
      <c r="C1997" s="3" t="s">
        <v>2188</v>
      </c>
      <c r="D1997">
        <f t="shared" ref="D1997" si="4904">_xlfn.NUMBERVALUE(LEFT(C1997,2))</f>
        <v>29</v>
      </c>
      <c r="E1997">
        <f t="shared" ref="E1997" si="4905">_xlfn.NUMBERVALUE(MID(C1997,4,2))</f>
        <v>1</v>
      </c>
      <c r="F1997">
        <f t="shared" ref="F1997" si="4906">_xlfn.NUMBERVALUE(RIGHT(C1997,4))</f>
        <v>2024</v>
      </c>
      <c r="G1997" t="s">
        <v>7</v>
      </c>
      <c r="H1997">
        <v>-2</v>
      </c>
      <c r="K1997" t="s">
        <v>9</v>
      </c>
      <c r="L1997" s="8">
        <f t="shared" si="4878"/>
        <v>-1</v>
      </c>
      <c r="M1997" t="s">
        <v>2197</v>
      </c>
    </row>
    <row r="1998" spans="1:13" x14ac:dyDescent="0.35">
      <c r="A1998">
        <f t="shared" si="4745"/>
        <v>1994</v>
      </c>
      <c r="B1998" s="9">
        <f t="shared" ref="B1998" si="4907">B1997+H1998+I1998+J1998</f>
        <v>72.39</v>
      </c>
      <c r="C1998" s="3" t="s">
        <v>2188</v>
      </c>
      <c r="D1998">
        <f t="shared" ref="D1998" si="4908">_xlfn.NUMBERVALUE(LEFT(C1998,2))</f>
        <v>29</v>
      </c>
      <c r="E1998">
        <f t="shared" ref="E1998" si="4909">_xlfn.NUMBERVALUE(MID(C1998,4,2))</f>
        <v>1</v>
      </c>
      <c r="F1998">
        <f t="shared" ref="F1998" si="4910">_xlfn.NUMBERVALUE(RIGHT(C1998,4))</f>
        <v>2024</v>
      </c>
      <c r="G1998" t="s">
        <v>7</v>
      </c>
      <c r="H1998">
        <v>-2</v>
      </c>
      <c r="K1998" t="s">
        <v>9</v>
      </c>
      <c r="L1998" s="8">
        <f t="shared" si="4878"/>
        <v>-1</v>
      </c>
      <c r="M1998" t="s">
        <v>2198</v>
      </c>
    </row>
    <row r="1999" spans="1:13" x14ac:dyDescent="0.35">
      <c r="A1999">
        <f t="shared" si="4745"/>
        <v>1995</v>
      </c>
      <c r="B1999" s="9">
        <f t="shared" ref="B1999" si="4911">B1998+H1999+I1999+J1999</f>
        <v>76.39</v>
      </c>
      <c r="C1999" s="3" t="s">
        <v>2188</v>
      </c>
      <c r="D1999">
        <f t="shared" ref="D1999" si="4912">_xlfn.NUMBERVALUE(LEFT(C1999,2))</f>
        <v>29</v>
      </c>
      <c r="E1999">
        <f t="shared" ref="E1999" si="4913">_xlfn.NUMBERVALUE(MID(C1999,4,2))</f>
        <v>1</v>
      </c>
      <c r="F1999">
        <f t="shared" ref="F1999" si="4914">_xlfn.NUMBERVALUE(RIGHT(C1999,4))</f>
        <v>2024</v>
      </c>
      <c r="G1999" t="s">
        <v>7</v>
      </c>
      <c r="H1999">
        <v>-2</v>
      </c>
      <c r="I1999">
        <v>6</v>
      </c>
      <c r="K1999" t="s">
        <v>10</v>
      </c>
      <c r="L1999" s="8">
        <f t="shared" si="4878"/>
        <v>2</v>
      </c>
      <c r="M1999" t="s">
        <v>2199</v>
      </c>
    </row>
    <row r="2000" spans="1:13" x14ac:dyDescent="0.35">
      <c r="A2000">
        <f t="shared" si="4745"/>
        <v>1996</v>
      </c>
      <c r="B2000" s="9">
        <f t="shared" ref="B2000" si="4915">B1999+H2000+I2000+J2000</f>
        <v>80.39</v>
      </c>
      <c r="C2000" s="3" t="s">
        <v>2188</v>
      </c>
      <c r="D2000">
        <f t="shared" ref="D2000" si="4916">_xlfn.NUMBERVALUE(LEFT(C2000,2))</f>
        <v>29</v>
      </c>
      <c r="E2000">
        <f t="shared" ref="E2000" si="4917">_xlfn.NUMBERVALUE(MID(C2000,4,2))</f>
        <v>1</v>
      </c>
      <c r="F2000">
        <f t="shared" ref="F2000" si="4918">_xlfn.NUMBERVALUE(RIGHT(C2000,4))</f>
        <v>2024</v>
      </c>
      <c r="G2000" t="s">
        <v>7</v>
      </c>
      <c r="H2000">
        <v>-2</v>
      </c>
      <c r="I2000">
        <v>6</v>
      </c>
      <c r="K2000" t="s">
        <v>10</v>
      </c>
      <c r="L2000" s="8">
        <f t="shared" si="4878"/>
        <v>2</v>
      </c>
      <c r="M2000" t="s">
        <v>2200</v>
      </c>
    </row>
    <row r="2001" spans="1:13" x14ac:dyDescent="0.35">
      <c r="A2001">
        <f t="shared" si="4745"/>
        <v>1997</v>
      </c>
      <c r="B2001" s="9">
        <f t="shared" ref="B2001" si="4919">B2000+H2001+I2001+J2001</f>
        <v>78.39</v>
      </c>
      <c r="C2001" s="3" t="s">
        <v>2188</v>
      </c>
      <c r="D2001">
        <f t="shared" ref="D2001" si="4920">_xlfn.NUMBERVALUE(LEFT(C2001,2))</f>
        <v>29</v>
      </c>
      <c r="E2001">
        <f t="shared" ref="E2001" si="4921">_xlfn.NUMBERVALUE(MID(C2001,4,2))</f>
        <v>1</v>
      </c>
      <c r="F2001">
        <f t="shared" ref="F2001" si="4922">_xlfn.NUMBERVALUE(RIGHT(C2001,4))</f>
        <v>2024</v>
      </c>
      <c r="G2001" t="s">
        <v>7</v>
      </c>
      <c r="H2001">
        <v>-2</v>
      </c>
      <c r="K2001" t="s">
        <v>9</v>
      </c>
      <c r="L2001" s="8">
        <f t="shared" si="4878"/>
        <v>-1</v>
      </c>
      <c r="M2001" t="s">
        <v>2201</v>
      </c>
    </row>
    <row r="2002" spans="1:13" x14ac:dyDescent="0.35">
      <c r="A2002">
        <f t="shared" si="4745"/>
        <v>1998</v>
      </c>
      <c r="B2002" s="9">
        <f t="shared" ref="B2002" si="4923">B2001+H2002+I2002+J2002</f>
        <v>80.39</v>
      </c>
      <c r="C2002" s="3" t="s">
        <v>2188</v>
      </c>
      <c r="D2002">
        <f t="shared" ref="D2002" si="4924">_xlfn.NUMBERVALUE(LEFT(C2002,2))</f>
        <v>29</v>
      </c>
      <c r="E2002">
        <f t="shared" ref="E2002" si="4925">_xlfn.NUMBERVALUE(MID(C2002,4,2))</f>
        <v>1</v>
      </c>
      <c r="F2002">
        <f t="shared" ref="F2002" si="4926">_xlfn.NUMBERVALUE(RIGHT(C2002,4))</f>
        <v>2024</v>
      </c>
      <c r="G2002" t="s">
        <v>7</v>
      </c>
      <c r="H2002">
        <v>-2</v>
      </c>
      <c r="I2002">
        <v>4</v>
      </c>
      <c r="K2002" t="s">
        <v>10</v>
      </c>
      <c r="L2002" s="8">
        <f t="shared" si="4878"/>
        <v>1</v>
      </c>
      <c r="M2002" t="s">
        <v>2202</v>
      </c>
    </row>
    <row r="2003" spans="1:13" x14ac:dyDescent="0.35">
      <c r="A2003">
        <f t="shared" si="4745"/>
        <v>1999</v>
      </c>
      <c r="B2003" s="9">
        <f t="shared" ref="B2003" si="4927">B2002+H2003+I2003+J2003</f>
        <v>78.39</v>
      </c>
      <c r="C2003" s="3" t="s">
        <v>2203</v>
      </c>
      <c r="D2003">
        <f t="shared" ref="D2003" si="4928">_xlfn.NUMBERVALUE(LEFT(C2003,2))</f>
        <v>30</v>
      </c>
      <c r="E2003">
        <f t="shared" ref="E2003" si="4929">_xlfn.NUMBERVALUE(MID(C2003,4,2))</f>
        <v>1</v>
      </c>
      <c r="F2003">
        <f t="shared" ref="F2003" si="4930">_xlfn.NUMBERVALUE(RIGHT(C2003,4))</f>
        <v>2024</v>
      </c>
      <c r="G2003" t="s">
        <v>7</v>
      </c>
      <c r="H2003">
        <v>-2</v>
      </c>
      <c r="K2003" t="s">
        <v>9</v>
      </c>
      <c r="L2003" s="8">
        <f t="shared" si="4878"/>
        <v>-1</v>
      </c>
      <c r="M2003" t="s">
        <v>2204</v>
      </c>
    </row>
    <row r="2004" spans="1:13" x14ac:dyDescent="0.35">
      <c r="A2004">
        <f t="shared" si="4745"/>
        <v>2000</v>
      </c>
      <c r="B2004" s="9">
        <f t="shared" ref="B2004" si="4931">B2003+H2004+I2004+J2004</f>
        <v>82.39</v>
      </c>
      <c r="C2004" s="3" t="s">
        <v>2203</v>
      </c>
      <c r="D2004">
        <f t="shared" ref="D2004" si="4932">_xlfn.NUMBERVALUE(LEFT(C2004,2))</f>
        <v>30</v>
      </c>
      <c r="E2004">
        <f t="shared" ref="E2004" si="4933">_xlfn.NUMBERVALUE(MID(C2004,4,2))</f>
        <v>1</v>
      </c>
      <c r="F2004">
        <f t="shared" ref="F2004" si="4934">_xlfn.NUMBERVALUE(RIGHT(C2004,4))</f>
        <v>2024</v>
      </c>
      <c r="G2004" t="s">
        <v>7</v>
      </c>
      <c r="H2004">
        <v>-2</v>
      </c>
      <c r="I2004">
        <v>6</v>
      </c>
      <c r="K2004" t="s">
        <v>10</v>
      </c>
      <c r="L2004" s="8">
        <f t="shared" si="4878"/>
        <v>2</v>
      </c>
      <c r="M2004" t="s">
        <v>2205</v>
      </c>
    </row>
    <row r="2005" spans="1:13" x14ac:dyDescent="0.35">
      <c r="A2005">
        <f t="shared" si="4745"/>
        <v>2001</v>
      </c>
      <c r="B2005" s="9">
        <f t="shared" ref="B2005" si="4935">B2004+H2005+I2005+J2005</f>
        <v>84.39</v>
      </c>
      <c r="C2005" s="3" t="s">
        <v>2203</v>
      </c>
      <c r="D2005">
        <f t="shared" ref="D2005" si="4936">_xlfn.NUMBERVALUE(LEFT(C2005,2))</f>
        <v>30</v>
      </c>
      <c r="E2005">
        <f t="shared" ref="E2005" si="4937">_xlfn.NUMBERVALUE(MID(C2005,4,2))</f>
        <v>1</v>
      </c>
      <c r="F2005">
        <f t="shared" ref="F2005" si="4938">_xlfn.NUMBERVALUE(RIGHT(C2005,4))</f>
        <v>2024</v>
      </c>
      <c r="G2005" t="s">
        <v>7</v>
      </c>
      <c r="H2005">
        <v>-2</v>
      </c>
      <c r="I2005">
        <v>4</v>
      </c>
      <c r="K2005" t="s">
        <v>10</v>
      </c>
      <c r="L2005" s="8">
        <f t="shared" si="4878"/>
        <v>1</v>
      </c>
      <c r="M2005" t="s">
        <v>2206</v>
      </c>
    </row>
    <row r="2006" spans="1:13" x14ac:dyDescent="0.35">
      <c r="A2006">
        <f t="shared" si="4745"/>
        <v>2002</v>
      </c>
      <c r="B2006" s="9">
        <f t="shared" ref="B2006" si="4939">B2005+H2006+I2006+J2006</f>
        <v>82.39</v>
      </c>
      <c r="C2006" s="3" t="s">
        <v>2203</v>
      </c>
      <c r="D2006">
        <f t="shared" ref="D2006" si="4940">_xlfn.NUMBERVALUE(LEFT(C2006,2))</f>
        <v>30</v>
      </c>
      <c r="E2006">
        <f t="shared" ref="E2006" si="4941">_xlfn.NUMBERVALUE(MID(C2006,4,2))</f>
        <v>1</v>
      </c>
      <c r="F2006">
        <f t="shared" ref="F2006" si="4942">_xlfn.NUMBERVALUE(RIGHT(C2006,4))</f>
        <v>2024</v>
      </c>
      <c r="G2006" t="s">
        <v>7</v>
      </c>
      <c r="H2006">
        <v>-2</v>
      </c>
      <c r="K2006" t="s">
        <v>9</v>
      </c>
      <c r="L2006" s="8">
        <f t="shared" si="4878"/>
        <v>-1</v>
      </c>
      <c r="M2006" t="s">
        <v>2207</v>
      </c>
    </row>
    <row r="2007" spans="1:13" x14ac:dyDescent="0.35">
      <c r="A2007">
        <f t="shared" si="4745"/>
        <v>2003</v>
      </c>
      <c r="B2007" s="9">
        <f t="shared" ref="B2007" si="4943">B2006+H2007+I2007+J2007</f>
        <v>84.39</v>
      </c>
      <c r="C2007" s="3" t="s">
        <v>2209</v>
      </c>
      <c r="D2007">
        <f t="shared" ref="D2007" si="4944">_xlfn.NUMBERVALUE(LEFT(C2007,2))</f>
        <v>31</v>
      </c>
      <c r="E2007">
        <f t="shared" ref="E2007" si="4945">_xlfn.NUMBERVALUE(MID(C2007,4,2))</f>
        <v>1</v>
      </c>
      <c r="F2007">
        <f t="shared" ref="F2007" si="4946">_xlfn.NUMBERVALUE(RIGHT(C2007,4))</f>
        <v>2024</v>
      </c>
      <c r="G2007" t="s">
        <v>7</v>
      </c>
      <c r="H2007">
        <v>-2</v>
      </c>
      <c r="I2007">
        <v>4</v>
      </c>
      <c r="K2007" t="s">
        <v>10</v>
      </c>
      <c r="L2007" s="8">
        <f t="shared" si="4878"/>
        <v>1</v>
      </c>
      <c r="M2007" t="s">
        <v>2208</v>
      </c>
    </row>
    <row r="2008" spans="1:13" x14ac:dyDescent="0.35">
      <c r="A2008">
        <f t="shared" si="4745"/>
        <v>2004</v>
      </c>
      <c r="B2008" s="9">
        <f t="shared" ref="B2008" si="4947">B2007+H2008+I2008+J2008</f>
        <v>90.39</v>
      </c>
      <c r="C2008" s="3" t="s">
        <v>2209</v>
      </c>
      <c r="D2008">
        <f t="shared" ref="D2008" si="4948">_xlfn.NUMBERVALUE(LEFT(C2008,2))</f>
        <v>31</v>
      </c>
      <c r="E2008">
        <f t="shared" ref="E2008" si="4949">_xlfn.NUMBERVALUE(MID(C2008,4,2))</f>
        <v>1</v>
      </c>
      <c r="F2008">
        <f t="shared" ref="F2008" si="4950">_xlfn.NUMBERVALUE(RIGHT(C2008,4))</f>
        <v>2024</v>
      </c>
      <c r="G2008" t="s">
        <v>7</v>
      </c>
      <c r="H2008">
        <v>-2</v>
      </c>
      <c r="I2008">
        <v>8</v>
      </c>
      <c r="K2008" t="s">
        <v>10</v>
      </c>
      <c r="L2008" s="8">
        <f t="shared" si="4878"/>
        <v>3</v>
      </c>
      <c r="M2008" t="s">
        <v>2210</v>
      </c>
    </row>
    <row r="2009" spans="1:13" x14ac:dyDescent="0.35">
      <c r="A2009">
        <f t="shared" si="4745"/>
        <v>2005</v>
      </c>
      <c r="B2009" s="9">
        <f t="shared" ref="B2009" si="4951">B2008+H2009+I2009+J2009</f>
        <v>92.39</v>
      </c>
      <c r="C2009" s="3" t="s">
        <v>2209</v>
      </c>
      <c r="D2009">
        <f t="shared" ref="D2009" si="4952">_xlfn.NUMBERVALUE(LEFT(C2009,2))</f>
        <v>31</v>
      </c>
      <c r="E2009">
        <f t="shared" ref="E2009" si="4953">_xlfn.NUMBERVALUE(MID(C2009,4,2))</f>
        <v>1</v>
      </c>
      <c r="F2009">
        <f t="shared" ref="F2009" si="4954">_xlfn.NUMBERVALUE(RIGHT(C2009,4))</f>
        <v>2024</v>
      </c>
      <c r="G2009" t="s">
        <v>7</v>
      </c>
      <c r="H2009">
        <v>-2</v>
      </c>
      <c r="I2009">
        <v>4</v>
      </c>
      <c r="K2009" t="s">
        <v>10</v>
      </c>
      <c r="L2009" s="8">
        <f t="shared" si="4878"/>
        <v>1</v>
      </c>
      <c r="M2009" t="s">
        <v>2211</v>
      </c>
    </row>
    <row r="2010" spans="1:13" x14ac:dyDescent="0.35">
      <c r="A2010">
        <f t="shared" si="4745"/>
        <v>2006</v>
      </c>
      <c r="B2010" s="9">
        <f t="shared" ref="B2010" si="4955">B2009+H2010+I2010+J2010</f>
        <v>90.39</v>
      </c>
      <c r="C2010" s="3" t="s">
        <v>2209</v>
      </c>
      <c r="D2010">
        <f t="shared" ref="D2010" si="4956">_xlfn.NUMBERVALUE(LEFT(C2010,2))</f>
        <v>31</v>
      </c>
      <c r="E2010">
        <f t="shared" ref="E2010" si="4957">_xlfn.NUMBERVALUE(MID(C2010,4,2))</f>
        <v>1</v>
      </c>
      <c r="F2010">
        <f t="shared" ref="F2010" si="4958">_xlfn.NUMBERVALUE(RIGHT(C2010,4))</f>
        <v>2024</v>
      </c>
      <c r="G2010" t="s">
        <v>7</v>
      </c>
      <c r="H2010">
        <v>-2</v>
      </c>
      <c r="K2010" t="s">
        <v>9</v>
      </c>
      <c r="L2010" s="8">
        <f t="shared" si="4878"/>
        <v>-1</v>
      </c>
      <c r="M2010" t="s">
        <v>2212</v>
      </c>
    </row>
    <row r="2011" spans="1:13" x14ac:dyDescent="0.35">
      <c r="A2011">
        <f t="shared" si="4745"/>
        <v>2007</v>
      </c>
      <c r="B2011" s="9">
        <f t="shared" ref="B2011" si="4959">B2010+H2011+I2011+J2011</f>
        <v>88.39</v>
      </c>
      <c r="C2011" s="3" t="s">
        <v>2213</v>
      </c>
      <c r="D2011">
        <f t="shared" ref="D2011" si="4960">_xlfn.NUMBERVALUE(LEFT(C2011,2))</f>
        <v>1</v>
      </c>
      <c r="E2011">
        <f t="shared" ref="E2011" si="4961">_xlfn.NUMBERVALUE(MID(C2011,4,2))</f>
        <v>2</v>
      </c>
      <c r="F2011">
        <f t="shared" ref="F2011" si="4962">_xlfn.NUMBERVALUE(RIGHT(C2011,4))</f>
        <v>2024</v>
      </c>
      <c r="G2011" t="s">
        <v>7</v>
      </c>
      <c r="H2011">
        <v>-2</v>
      </c>
      <c r="K2011" t="s">
        <v>9</v>
      </c>
      <c r="L2011" s="8">
        <f t="shared" si="4878"/>
        <v>-1</v>
      </c>
      <c r="M2011" t="s">
        <v>2214</v>
      </c>
    </row>
    <row r="2012" spans="1:13" x14ac:dyDescent="0.35">
      <c r="A2012">
        <f t="shared" si="4745"/>
        <v>2008</v>
      </c>
      <c r="B2012" s="9">
        <f t="shared" ref="B2012" si="4963">B2011+H2012+I2012+J2012</f>
        <v>92.39</v>
      </c>
      <c r="C2012" s="3" t="s">
        <v>2213</v>
      </c>
      <c r="D2012">
        <f t="shared" ref="D2012" si="4964">_xlfn.NUMBERVALUE(LEFT(C2012,2))</f>
        <v>1</v>
      </c>
      <c r="E2012">
        <f t="shared" ref="E2012" si="4965">_xlfn.NUMBERVALUE(MID(C2012,4,2))</f>
        <v>2</v>
      </c>
      <c r="F2012">
        <f t="shared" ref="F2012" si="4966">_xlfn.NUMBERVALUE(RIGHT(C2012,4))</f>
        <v>2024</v>
      </c>
      <c r="G2012" t="s">
        <v>7</v>
      </c>
      <c r="H2012">
        <v>-2</v>
      </c>
      <c r="I2012">
        <v>6</v>
      </c>
      <c r="K2012" t="s">
        <v>10</v>
      </c>
      <c r="L2012" s="8">
        <f t="shared" si="4878"/>
        <v>2</v>
      </c>
      <c r="M2012" t="s">
        <v>2215</v>
      </c>
    </row>
    <row r="2013" spans="1:13" x14ac:dyDescent="0.35">
      <c r="A2013">
        <f t="shared" si="4745"/>
        <v>2009</v>
      </c>
      <c r="B2013" s="9">
        <f t="shared" ref="B2013" si="4967">B2012+H2013+I2013+J2013</f>
        <v>96.39</v>
      </c>
      <c r="C2013" s="3" t="s">
        <v>2213</v>
      </c>
      <c r="D2013">
        <f t="shared" ref="D2013" si="4968">_xlfn.NUMBERVALUE(LEFT(C2013,2))</f>
        <v>1</v>
      </c>
      <c r="E2013">
        <f t="shared" ref="E2013" si="4969">_xlfn.NUMBERVALUE(MID(C2013,4,2))</f>
        <v>2</v>
      </c>
      <c r="F2013">
        <f t="shared" ref="F2013" si="4970">_xlfn.NUMBERVALUE(RIGHT(C2013,4))</f>
        <v>2024</v>
      </c>
      <c r="G2013" t="s">
        <v>7</v>
      </c>
      <c r="H2013">
        <v>-2</v>
      </c>
      <c r="I2013">
        <v>6</v>
      </c>
      <c r="K2013" t="s">
        <v>10</v>
      </c>
      <c r="L2013" s="8">
        <f t="shared" si="4878"/>
        <v>2</v>
      </c>
      <c r="M2013" t="s">
        <v>2216</v>
      </c>
    </row>
    <row r="2014" spans="1:13" x14ac:dyDescent="0.35">
      <c r="A2014">
        <f t="shared" si="4745"/>
        <v>2010</v>
      </c>
      <c r="B2014" s="9">
        <f t="shared" ref="B2014" si="4971">B2013+H2014+I2014+J2014</f>
        <v>98.39</v>
      </c>
      <c r="C2014" s="3" t="s">
        <v>2218</v>
      </c>
      <c r="D2014">
        <f t="shared" ref="D2014" si="4972">_xlfn.NUMBERVALUE(LEFT(C2014,2))</f>
        <v>3</v>
      </c>
      <c r="E2014">
        <f t="shared" ref="E2014" si="4973">_xlfn.NUMBERVALUE(MID(C2014,4,2))</f>
        <v>2</v>
      </c>
      <c r="F2014">
        <f t="shared" ref="F2014" si="4974">_xlfn.NUMBERVALUE(RIGHT(C2014,4))</f>
        <v>2024</v>
      </c>
      <c r="G2014" t="s">
        <v>7</v>
      </c>
      <c r="H2014">
        <v>-2</v>
      </c>
      <c r="I2014">
        <v>4</v>
      </c>
      <c r="K2014" t="s">
        <v>10</v>
      </c>
      <c r="L2014" s="8">
        <f t="shared" si="4878"/>
        <v>1</v>
      </c>
      <c r="M2014" t="s">
        <v>2217</v>
      </c>
    </row>
    <row r="2015" spans="1:13" x14ac:dyDescent="0.35">
      <c r="A2015">
        <f t="shared" si="4745"/>
        <v>2011</v>
      </c>
      <c r="B2015" s="9">
        <f t="shared" ref="B2015" si="4975">B2014+H2015+I2015+J2015</f>
        <v>100.39</v>
      </c>
      <c r="C2015" s="3" t="s">
        <v>2218</v>
      </c>
      <c r="D2015">
        <f t="shared" ref="D2015" si="4976">_xlfn.NUMBERVALUE(LEFT(C2015,2))</f>
        <v>3</v>
      </c>
      <c r="E2015">
        <f t="shared" ref="E2015" si="4977">_xlfn.NUMBERVALUE(MID(C2015,4,2))</f>
        <v>2</v>
      </c>
      <c r="F2015">
        <f t="shared" ref="F2015" si="4978">_xlfn.NUMBERVALUE(RIGHT(C2015,4))</f>
        <v>2024</v>
      </c>
      <c r="G2015" t="s">
        <v>7</v>
      </c>
      <c r="H2015">
        <v>-2</v>
      </c>
      <c r="I2015">
        <v>4</v>
      </c>
      <c r="K2015" t="s">
        <v>10</v>
      </c>
      <c r="L2015" s="8">
        <f t="shared" si="4878"/>
        <v>1</v>
      </c>
      <c r="M2015" t="s">
        <v>2219</v>
      </c>
    </row>
    <row r="2016" spans="1:13" x14ac:dyDescent="0.35">
      <c r="A2016">
        <f t="shared" si="4745"/>
        <v>2012</v>
      </c>
      <c r="B2016" s="9">
        <f t="shared" ref="B2016" si="4979">B2015+H2016+I2016+J2016</f>
        <v>114.39</v>
      </c>
      <c r="C2016" s="3" t="s">
        <v>2218</v>
      </c>
      <c r="D2016">
        <f t="shared" ref="D2016" si="4980">_xlfn.NUMBERVALUE(LEFT(C2016,2))</f>
        <v>3</v>
      </c>
      <c r="E2016">
        <f t="shared" ref="E2016" si="4981">_xlfn.NUMBERVALUE(MID(C2016,4,2))</f>
        <v>2</v>
      </c>
      <c r="F2016">
        <f t="shared" ref="F2016" si="4982">_xlfn.NUMBERVALUE(RIGHT(C2016,4))</f>
        <v>2024</v>
      </c>
      <c r="G2016" t="s">
        <v>7</v>
      </c>
      <c r="H2016">
        <v>-2</v>
      </c>
      <c r="I2016">
        <v>16</v>
      </c>
      <c r="K2016" t="s">
        <v>10</v>
      </c>
      <c r="L2016" s="8">
        <f t="shared" si="4878"/>
        <v>7</v>
      </c>
      <c r="M2016" t="s">
        <v>2220</v>
      </c>
    </row>
    <row r="2017" spans="1:13" x14ac:dyDescent="0.35">
      <c r="A2017">
        <f t="shared" si="4745"/>
        <v>2013</v>
      </c>
      <c r="B2017" s="9">
        <f t="shared" ref="B2017" si="4983">B2016+H2017+I2017+J2017</f>
        <v>116.39</v>
      </c>
      <c r="C2017" s="3" t="s">
        <v>2218</v>
      </c>
      <c r="D2017">
        <f t="shared" ref="D2017" si="4984">_xlfn.NUMBERVALUE(LEFT(C2017,2))</f>
        <v>3</v>
      </c>
      <c r="E2017">
        <f t="shared" ref="E2017" si="4985">_xlfn.NUMBERVALUE(MID(C2017,4,2))</f>
        <v>2</v>
      </c>
      <c r="F2017">
        <f t="shared" ref="F2017" si="4986">_xlfn.NUMBERVALUE(RIGHT(C2017,4))</f>
        <v>2024</v>
      </c>
      <c r="G2017" t="s">
        <v>7</v>
      </c>
      <c r="H2017">
        <v>-2</v>
      </c>
      <c r="I2017">
        <v>4</v>
      </c>
      <c r="K2017" t="s">
        <v>10</v>
      </c>
      <c r="L2017" s="8">
        <f t="shared" si="4878"/>
        <v>1</v>
      </c>
      <c r="M2017" t="s">
        <v>2221</v>
      </c>
    </row>
    <row r="2018" spans="1:13" x14ac:dyDescent="0.35">
      <c r="A2018">
        <f t="shared" si="4745"/>
        <v>2014</v>
      </c>
      <c r="B2018" s="9">
        <f t="shared" ref="B2018" si="4987">B2017+H2018+I2018+J2018</f>
        <v>120.39</v>
      </c>
      <c r="C2018" s="3" t="s">
        <v>2218</v>
      </c>
      <c r="D2018">
        <f t="shared" ref="D2018" si="4988">_xlfn.NUMBERVALUE(LEFT(C2018,2))</f>
        <v>3</v>
      </c>
      <c r="E2018">
        <f t="shared" ref="E2018" si="4989">_xlfn.NUMBERVALUE(MID(C2018,4,2))</f>
        <v>2</v>
      </c>
      <c r="F2018">
        <f t="shared" ref="F2018" si="4990">_xlfn.NUMBERVALUE(RIGHT(C2018,4))</f>
        <v>2024</v>
      </c>
      <c r="G2018" t="s">
        <v>7</v>
      </c>
      <c r="H2018">
        <v>-2</v>
      </c>
      <c r="I2018">
        <v>6</v>
      </c>
      <c r="K2018" t="s">
        <v>10</v>
      </c>
      <c r="L2018" s="8">
        <f t="shared" si="4878"/>
        <v>2</v>
      </c>
      <c r="M2018" t="s">
        <v>2222</v>
      </c>
    </row>
    <row r="2019" spans="1:13" x14ac:dyDescent="0.35">
      <c r="A2019">
        <f t="shared" si="4745"/>
        <v>2015</v>
      </c>
      <c r="B2019" s="9">
        <f t="shared" ref="B2019" si="4991">B2018+H2019+I2019+J2019</f>
        <v>126.39</v>
      </c>
      <c r="C2019" s="3" t="s">
        <v>2218</v>
      </c>
      <c r="D2019">
        <f t="shared" ref="D2019" si="4992">_xlfn.NUMBERVALUE(LEFT(C2019,2))</f>
        <v>3</v>
      </c>
      <c r="E2019">
        <f t="shared" ref="E2019" si="4993">_xlfn.NUMBERVALUE(MID(C2019,4,2))</f>
        <v>2</v>
      </c>
      <c r="F2019">
        <f t="shared" ref="F2019" si="4994">_xlfn.NUMBERVALUE(RIGHT(C2019,4))</f>
        <v>2024</v>
      </c>
      <c r="G2019" t="s">
        <v>7</v>
      </c>
      <c r="H2019">
        <v>-2</v>
      </c>
      <c r="I2019">
        <v>8</v>
      </c>
      <c r="K2019" t="s">
        <v>10</v>
      </c>
      <c r="L2019" s="8">
        <f t="shared" si="4878"/>
        <v>3</v>
      </c>
      <c r="M2019" t="s">
        <v>2223</v>
      </c>
    </row>
    <row r="2020" spans="1:13" x14ac:dyDescent="0.35">
      <c r="A2020">
        <f t="shared" si="4745"/>
        <v>2016</v>
      </c>
      <c r="B2020" s="9">
        <f t="shared" ref="B2020" si="4995">B2019+H2020+I2020+J2020</f>
        <v>132.38999999999999</v>
      </c>
      <c r="C2020" s="3" t="s">
        <v>2224</v>
      </c>
      <c r="D2020">
        <f t="shared" ref="D2020" si="4996">_xlfn.NUMBERVALUE(LEFT(C2020,2))</f>
        <v>4</v>
      </c>
      <c r="E2020">
        <f t="shared" ref="E2020" si="4997">_xlfn.NUMBERVALUE(MID(C2020,4,2))</f>
        <v>2</v>
      </c>
      <c r="F2020">
        <f t="shared" ref="F2020" si="4998">_xlfn.NUMBERVALUE(RIGHT(C2020,4))</f>
        <v>2024</v>
      </c>
      <c r="G2020" t="s">
        <v>7</v>
      </c>
      <c r="H2020">
        <v>-2</v>
      </c>
      <c r="I2020">
        <v>8</v>
      </c>
      <c r="K2020" t="s">
        <v>10</v>
      </c>
      <c r="L2020" s="8">
        <f t="shared" si="4878"/>
        <v>3</v>
      </c>
      <c r="M2020" t="s">
        <v>2225</v>
      </c>
    </row>
    <row r="2021" spans="1:13" x14ac:dyDescent="0.35">
      <c r="A2021">
        <f t="shared" si="4745"/>
        <v>2017</v>
      </c>
      <c r="B2021" s="9">
        <f t="shared" ref="B2021" si="4999">B2020+H2021+I2021+J2021</f>
        <v>136.38999999999999</v>
      </c>
      <c r="C2021" s="3" t="s">
        <v>2224</v>
      </c>
      <c r="D2021">
        <f t="shared" ref="D2021" si="5000">_xlfn.NUMBERVALUE(LEFT(C2021,2))</f>
        <v>4</v>
      </c>
      <c r="E2021">
        <f t="shared" ref="E2021" si="5001">_xlfn.NUMBERVALUE(MID(C2021,4,2))</f>
        <v>2</v>
      </c>
      <c r="F2021">
        <f t="shared" ref="F2021" si="5002">_xlfn.NUMBERVALUE(RIGHT(C2021,4))</f>
        <v>2024</v>
      </c>
      <c r="G2021" t="s">
        <v>7</v>
      </c>
      <c r="H2021">
        <v>-2</v>
      </c>
      <c r="I2021">
        <v>6</v>
      </c>
      <c r="K2021" t="s">
        <v>10</v>
      </c>
      <c r="L2021" s="8">
        <f t="shared" si="4878"/>
        <v>2</v>
      </c>
      <c r="M2021" t="s">
        <v>2226</v>
      </c>
    </row>
    <row r="2022" spans="1:13" x14ac:dyDescent="0.35">
      <c r="A2022">
        <f t="shared" si="4745"/>
        <v>2018</v>
      </c>
      <c r="B2022" s="9">
        <f t="shared" ref="B2022" si="5003">B2021+H2022+I2022+J2022</f>
        <v>134.38999999999999</v>
      </c>
      <c r="C2022" s="3" t="s">
        <v>2224</v>
      </c>
      <c r="D2022">
        <f t="shared" ref="D2022" si="5004">_xlfn.NUMBERVALUE(LEFT(C2022,2))</f>
        <v>4</v>
      </c>
      <c r="E2022">
        <f t="shared" ref="E2022" si="5005">_xlfn.NUMBERVALUE(MID(C2022,4,2))</f>
        <v>2</v>
      </c>
      <c r="F2022">
        <f t="shared" ref="F2022" si="5006">_xlfn.NUMBERVALUE(RIGHT(C2022,4))</f>
        <v>2024</v>
      </c>
      <c r="G2022" t="s">
        <v>7</v>
      </c>
      <c r="H2022">
        <v>-2</v>
      </c>
      <c r="K2022" t="s">
        <v>9</v>
      </c>
      <c r="L2022" s="8">
        <f t="shared" si="4878"/>
        <v>-1</v>
      </c>
      <c r="M2022" t="s">
        <v>2227</v>
      </c>
    </row>
    <row r="2023" spans="1:13" x14ac:dyDescent="0.35">
      <c r="A2023">
        <f t="shared" si="4745"/>
        <v>2019</v>
      </c>
      <c r="B2023" s="9">
        <f t="shared" ref="B2023" si="5007">B2022+H2023+I2023+J2023</f>
        <v>132.38999999999999</v>
      </c>
      <c r="C2023" s="3" t="s">
        <v>2224</v>
      </c>
      <c r="D2023">
        <f t="shared" ref="D2023" si="5008">_xlfn.NUMBERVALUE(LEFT(C2023,2))</f>
        <v>4</v>
      </c>
      <c r="E2023">
        <f t="shared" ref="E2023" si="5009">_xlfn.NUMBERVALUE(MID(C2023,4,2))</f>
        <v>2</v>
      </c>
      <c r="F2023">
        <f t="shared" ref="F2023" si="5010">_xlfn.NUMBERVALUE(RIGHT(C2023,4))</f>
        <v>2024</v>
      </c>
      <c r="G2023" t="s">
        <v>7</v>
      </c>
      <c r="H2023">
        <v>-2</v>
      </c>
      <c r="K2023" t="s">
        <v>9</v>
      </c>
      <c r="L2023" s="8">
        <f t="shared" si="4878"/>
        <v>-1</v>
      </c>
      <c r="M2023" t="s">
        <v>2228</v>
      </c>
    </row>
    <row r="2024" spans="1:13" x14ac:dyDescent="0.35">
      <c r="A2024">
        <f t="shared" si="4745"/>
        <v>2020</v>
      </c>
      <c r="B2024" s="9">
        <f t="shared" ref="B2024" si="5011">B2023+H2024+I2024+J2024</f>
        <v>130.38999999999999</v>
      </c>
      <c r="C2024" s="3" t="s">
        <v>2224</v>
      </c>
      <c r="D2024">
        <f t="shared" ref="D2024" si="5012">_xlfn.NUMBERVALUE(LEFT(C2024,2))</f>
        <v>4</v>
      </c>
      <c r="E2024">
        <f t="shared" ref="E2024" si="5013">_xlfn.NUMBERVALUE(MID(C2024,4,2))</f>
        <v>2</v>
      </c>
      <c r="F2024">
        <f t="shared" ref="F2024" si="5014">_xlfn.NUMBERVALUE(RIGHT(C2024,4))</f>
        <v>2024</v>
      </c>
      <c r="G2024" t="s">
        <v>7</v>
      </c>
      <c r="H2024">
        <v>-2</v>
      </c>
      <c r="K2024" t="s">
        <v>9</v>
      </c>
      <c r="L2024" s="8">
        <f t="shared" si="4878"/>
        <v>-1</v>
      </c>
      <c r="M2024" t="s">
        <v>2229</v>
      </c>
    </row>
    <row r="2025" spans="1:13" x14ac:dyDescent="0.35">
      <c r="A2025">
        <f t="shared" si="4745"/>
        <v>2021</v>
      </c>
      <c r="B2025" s="9">
        <f t="shared" ref="B2025:B2026" si="5015">B2024+H2025+I2025+J2025</f>
        <v>132.02999999999997</v>
      </c>
      <c r="C2025" s="3" t="s">
        <v>2224</v>
      </c>
      <c r="D2025">
        <f t="shared" ref="D2025:D2026" si="5016">_xlfn.NUMBERVALUE(LEFT(C2025,2))</f>
        <v>4</v>
      </c>
      <c r="E2025">
        <f t="shared" ref="E2025:E2026" si="5017">_xlfn.NUMBERVALUE(MID(C2025,4,2))</f>
        <v>2</v>
      </c>
      <c r="F2025">
        <f t="shared" ref="F2025:F2026" si="5018">_xlfn.NUMBERVALUE(RIGHT(C2025,4))</f>
        <v>2024</v>
      </c>
      <c r="G2025" t="s">
        <v>2230</v>
      </c>
      <c r="H2025">
        <v>-11</v>
      </c>
      <c r="I2025">
        <v>12.64</v>
      </c>
      <c r="K2025" t="s">
        <v>10</v>
      </c>
      <c r="L2025" s="8">
        <f t="shared" si="4878"/>
        <v>0.14909090909090916</v>
      </c>
      <c r="M2025" t="s">
        <v>2231</v>
      </c>
    </row>
    <row r="2026" spans="1:13" x14ac:dyDescent="0.35">
      <c r="A2026">
        <f t="shared" si="4745"/>
        <v>2022</v>
      </c>
      <c r="B2026" s="9">
        <f t="shared" si="5015"/>
        <v>130.02999999999997</v>
      </c>
      <c r="C2026" s="3" t="s">
        <v>2232</v>
      </c>
      <c r="D2026">
        <f t="shared" si="5016"/>
        <v>7</v>
      </c>
      <c r="E2026">
        <f t="shared" si="5017"/>
        <v>2</v>
      </c>
      <c r="F2026">
        <f t="shared" si="5018"/>
        <v>2024</v>
      </c>
      <c r="G2026" t="s">
        <v>7</v>
      </c>
      <c r="H2026">
        <v>-2</v>
      </c>
      <c r="K2026" t="s">
        <v>9</v>
      </c>
      <c r="L2026" s="8">
        <f t="shared" si="4878"/>
        <v>-1</v>
      </c>
      <c r="M2026" t="s">
        <v>2233</v>
      </c>
    </row>
    <row r="2027" spans="1:13" x14ac:dyDescent="0.35">
      <c r="A2027">
        <f t="shared" si="4745"/>
        <v>2023</v>
      </c>
      <c r="B2027" s="9">
        <f t="shared" ref="B2027" si="5019">B2026+H2027+I2027+J2027</f>
        <v>128.02999999999997</v>
      </c>
      <c r="C2027" s="3" t="s">
        <v>2232</v>
      </c>
      <c r="D2027">
        <f t="shared" ref="D2027" si="5020">_xlfn.NUMBERVALUE(LEFT(C2027,2))</f>
        <v>7</v>
      </c>
      <c r="E2027">
        <f t="shared" ref="E2027" si="5021">_xlfn.NUMBERVALUE(MID(C2027,4,2))</f>
        <v>2</v>
      </c>
      <c r="F2027">
        <f t="shared" ref="F2027" si="5022">_xlfn.NUMBERVALUE(RIGHT(C2027,4))</f>
        <v>2024</v>
      </c>
      <c r="G2027" t="s">
        <v>7</v>
      </c>
      <c r="H2027">
        <v>-2</v>
      </c>
      <c r="K2027" t="s">
        <v>9</v>
      </c>
      <c r="L2027" s="8">
        <f t="shared" si="4878"/>
        <v>-1</v>
      </c>
      <c r="M2027" t="s">
        <v>2234</v>
      </c>
    </row>
    <row r="2028" spans="1:13" x14ac:dyDescent="0.35">
      <c r="A2028">
        <f t="shared" si="4745"/>
        <v>2024</v>
      </c>
      <c r="B2028" s="9">
        <f t="shared" ref="B2028" si="5023">B2027+H2028+I2028+J2028</f>
        <v>126.02999999999997</v>
      </c>
      <c r="C2028" s="3" t="s">
        <v>2232</v>
      </c>
      <c r="D2028">
        <f t="shared" ref="D2028" si="5024">_xlfn.NUMBERVALUE(LEFT(C2028,2))</f>
        <v>7</v>
      </c>
      <c r="E2028">
        <f t="shared" ref="E2028" si="5025">_xlfn.NUMBERVALUE(MID(C2028,4,2))</f>
        <v>2</v>
      </c>
      <c r="F2028">
        <f t="shared" ref="F2028" si="5026">_xlfn.NUMBERVALUE(RIGHT(C2028,4))</f>
        <v>2024</v>
      </c>
      <c r="G2028" t="s">
        <v>7</v>
      </c>
      <c r="H2028">
        <v>-2</v>
      </c>
      <c r="K2028" t="s">
        <v>9</v>
      </c>
      <c r="L2028" s="8">
        <f t="shared" si="4878"/>
        <v>-1</v>
      </c>
      <c r="M2028" t="s">
        <v>2235</v>
      </c>
    </row>
    <row r="2029" spans="1:13" x14ac:dyDescent="0.35">
      <c r="A2029">
        <f t="shared" si="4745"/>
        <v>2025</v>
      </c>
      <c r="B2029" s="9">
        <f t="shared" ref="B2029" si="5027">B2028+H2029+I2029+J2029</f>
        <v>124.02999999999997</v>
      </c>
      <c r="C2029" s="3" t="s">
        <v>2232</v>
      </c>
      <c r="D2029">
        <f t="shared" ref="D2029" si="5028">_xlfn.NUMBERVALUE(LEFT(C2029,2))</f>
        <v>7</v>
      </c>
      <c r="E2029">
        <f t="shared" ref="E2029" si="5029">_xlfn.NUMBERVALUE(MID(C2029,4,2))</f>
        <v>2</v>
      </c>
      <c r="F2029">
        <f t="shared" ref="F2029" si="5030">_xlfn.NUMBERVALUE(RIGHT(C2029,4))</f>
        <v>2024</v>
      </c>
      <c r="G2029" t="s">
        <v>7</v>
      </c>
      <c r="H2029">
        <v>-2</v>
      </c>
      <c r="K2029" t="s">
        <v>9</v>
      </c>
      <c r="L2029" s="8">
        <f t="shared" si="4878"/>
        <v>-1</v>
      </c>
      <c r="M2029" t="s">
        <v>2236</v>
      </c>
    </row>
    <row r="2030" spans="1:13" x14ac:dyDescent="0.35">
      <c r="A2030">
        <f t="shared" si="4745"/>
        <v>2026</v>
      </c>
      <c r="B2030" s="9">
        <f t="shared" ref="B2030" si="5031">B2029+H2030+I2030+J2030</f>
        <v>128.02999999999997</v>
      </c>
      <c r="C2030" s="3" t="s">
        <v>2232</v>
      </c>
      <c r="D2030">
        <f t="shared" ref="D2030" si="5032">_xlfn.NUMBERVALUE(LEFT(C2030,2))</f>
        <v>7</v>
      </c>
      <c r="E2030">
        <f t="shared" ref="E2030" si="5033">_xlfn.NUMBERVALUE(MID(C2030,4,2))</f>
        <v>2</v>
      </c>
      <c r="F2030">
        <f t="shared" ref="F2030" si="5034">_xlfn.NUMBERVALUE(RIGHT(C2030,4))</f>
        <v>2024</v>
      </c>
      <c r="G2030" t="s">
        <v>7</v>
      </c>
      <c r="H2030">
        <v>-2</v>
      </c>
      <c r="I2030">
        <v>6</v>
      </c>
      <c r="K2030" t="s">
        <v>10</v>
      </c>
      <c r="L2030" s="8">
        <f t="shared" si="4878"/>
        <v>2</v>
      </c>
      <c r="M2030" t="s">
        <v>2237</v>
      </c>
    </row>
    <row r="2031" spans="1:13" x14ac:dyDescent="0.35">
      <c r="A2031">
        <f t="shared" si="4745"/>
        <v>2027</v>
      </c>
      <c r="B2031" s="9">
        <f t="shared" ref="B2031" si="5035">B2030+H2031+I2031+J2031</f>
        <v>130.02999999999997</v>
      </c>
      <c r="C2031" s="3" t="s">
        <v>2232</v>
      </c>
      <c r="D2031">
        <f t="shared" ref="D2031" si="5036">_xlfn.NUMBERVALUE(LEFT(C2031,2))</f>
        <v>7</v>
      </c>
      <c r="E2031">
        <f t="shared" ref="E2031" si="5037">_xlfn.NUMBERVALUE(MID(C2031,4,2))</f>
        <v>2</v>
      </c>
      <c r="F2031">
        <f t="shared" ref="F2031" si="5038">_xlfn.NUMBERVALUE(RIGHT(C2031,4))</f>
        <v>2024</v>
      </c>
      <c r="G2031" t="s">
        <v>7</v>
      </c>
      <c r="H2031">
        <v>-2</v>
      </c>
      <c r="I2031">
        <v>4</v>
      </c>
      <c r="K2031" t="s">
        <v>10</v>
      </c>
      <c r="L2031" s="8">
        <f t="shared" si="4878"/>
        <v>1</v>
      </c>
      <c r="M2031" t="s">
        <v>2238</v>
      </c>
    </row>
    <row r="2032" spans="1:13" x14ac:dyDescent="0.35">
      <c r="A2032">
        <f t="shared" si="4745"/>
        <v>2028</v>
      </c>
      <c r="B2032" s="9">
        <f t="shared" ref="B2032" si="5039">B2031+H2032+I2032+J2032</f>
        <v>128.02999999999997</v>
      </c>
      <c r="C2032" s="3" t="s">
        <v>2232</v>
      </c>
      <c r="D2032">
        <f t="shared" ref="D2032" si="5040">_xlfn.NUMBERVALUE(LEFT(C2032,2))</f>
        <v>7</v>
      </c>
      <c r="E2032">
        <f t="shared" ref="E2032" si="5041">_xlfn.NUMBERVALUE(MID(C2032,4,2))</f>
        <v>2</v>
      </c>
      <c r="F2032">
        <f t="shared" ref="F2032" si="5042">_xlfn.NUMBERVALUE(RIGHT(C2032,4))</f>
        <v>2024</v>
      </c>
      <c r="G2032" t="s">
        <v>7</v>
      </c>
      <c r="H2032">
        <v>-2</v>
      </c>
      <c r="K2032" t="s">
        <v>9</v>
      </c>
      <c r="L2032" s="8">
        <f t="shared" si="4878"/>
        <v>-1</v>
      </c>
      <c r="M2032" t="s">
        <v>2239</v>
      </c>
    </row>
    <row r="2033" spans="1:13" x14ac:dyDescent="0.35">
      <c r="A2033">
        <f t="shared" si="4745"/>
        <v>2029</v>
      </c>
      <c r="B2033" s="9">
        <f t="shared" ref="B2033" si="5043">B2032+H2033+I2033+J2033</f>
        <v>126.02999999999997</v>
      </c>
      <c r="C2033" s="3" t="s">
        <v>2232</v>
      </c>
      <c r="D2033">
        <f t="shared" ref="D2033" si="5044">_xlfn.NUMBERVALUE(LEFT(C2033,2))</f>
        <v>7</v>
      </c>
      <c r="E2033">
        <f t="shared" ref="E2033" si="5045">_xlfn.NUMBERVALUE(MID(C2033,4,2))</f>
        <v>2</v>
      </c>
      <c r="F2033">
        <f t="shared" ref="F2033" si="5046">_xlfn.NUMBERVALUE(RIGHT(C2033,4))</f>
        <v>2024</v>
      </c>
      <c r="G2033" t="s">
        <v>7</v>
      </c>
      <c r="H2033">
        <v>-2</v>
      </c>
      <c r="K2033" t="s">
        <v>9</v>
      </c>
      <c r="L2033" s="8">
        <f t="shared" si="4878"/>
        <v>-1</v>
      </c>
      <c r="M2033" t="s">
        <v>2240</v>
      </c>
    </row>
    <row r="2034" spans="1:13" x14ac:dyDescent="0.35">
      <c r="A2034">
        <f t="shared" si="4745"/>
        <v>2030</v>
      </c>
      <c r="B2034" s="9">
        <f t="shared" ref="B2034" si="5047">B2033+H2034+I2034+J2034</f>
        <v>124.02999999999997</v>
      </c>
      <c r="C2034" s="3" t="s">
        <v>2232</v>
      </c>
      <c r="D2034">
        <f t="shared" ref="D2034" si="5048">_xlfn.NUMBERVALUE(LEFT(C2034,2))</f>
        <v>7</v>
      </c>
      <c r="E2034">
        <f t="shared" ref="E2034" si="5049">_xlfn.NUMBERVALUE(MID(C2034,4,2))</f>
        <v>2</v>
      </c>
      <c r="F2034">
        <f t="shared" ref="F2034" si="5050">_xlfn.NUMBERVALUE(RIGHT(C2034,4))</f>
        <v>2024</v>
      </c>
      <c r="G2034" t="s">
        <v>7</v>
      </c>
      <c r="H2034">
        <v>-2</v>
      </c>
      <c r="K2034" t="s">
        <v>9</v>
      </c>
      <c r="L2034" s="8">
        <f t="shared" si="4878"/>
        <v>-1</v>
      </c>
      <c r="M2034" t="s">
        <v>2241</v>
      </c>
    </row>
    <row r="2035" spans="1:13" x14ac:dyDescent="0.35">
      <c r="A2035">
        <f t="shared" si="4745"/>
        <v>2031</v>
      </c>
      <c r="B2035" s="9">
        <f t="shared" ref="B2035" si="5051">B2034+H2035+I2035+J2035</f>
        <v>122.02999999999997</v>
      </c>
      <c r="C2035" s="3" t="s">
        <v>2232</v>
      </c>
      <c r="D2035">
        <f t="shared" ref="D2035" si="5052">_xlfn.NUMBERVALUE(LEFT(C2035,2))</f>
        <v>7</v>
      </c>
      <c r="E2035">
        <f t="shared" ref="E2035" si="5053">_xlfn.NUMBERVALUE(MID(C2035,4,2))</f>
        <v>2</v>
      </c>
      <c r="F2035">
        <f t="shared" ref="F2035" si="5054">_xlfn.NUMBERVALUE(RIGHT(C2035,4))</f>
        <v>2024</v>
      </c>
      <c r="G2035" t="s">
        <v>7</v>
      </c>
      <c r="H2035">
        <v>-2</v>
      </c>
      <c r="K2035" t="s">
        <v>9</v>
      </c>
      <c r="L2035" s="8">
        <f t="shared" si="4878"/>
        <v>-1</v>
      </c>
      <c r="M2035" t="s">
        <v>2242</v>
      </c>
    </row>
    <row r="2036" spans="1:13" x14ac:dyDescent="0.35">
      <c r="A2036">
        <f t="shared" si="4745"/>
        <v>2032</v>
      </c>
      <c r="B2036" s="9">
        <f t="shared" ref="B2036" si="5055">B2035+H2036+I2036+J2036</f>
        <v>120.02999999999997</v>
      </c>
      <c r="C2036" s="3" t="s">
        <v>2232</v>
      </c>
      <c r="D2036">
        <f t="shared" ref="D2036" si="5056">_xlfn.NUMBERVALUE(LEFT(C2036,2))</f>
        <v>7</v>
      </c>
      <c r="E2036">
        <f t="shared" ref="E2036" si="5057">_xlfn.NUMBERVALUE(MID(C2036,4,2))</f>
        <v>2</v>
      </c>
      <c r="F2036">
        <f t="shared" ref="F2036" si="5058">_xlfn.NUMBERVALUE(RIGHT(C2036,4))</f>
        <v>2024</v>
      </c>
      <c r="G2036" t="s">
        <v>7</v>
      </c>
      <c r="H2036">
        <v>-2</v>
      </c>
      <c r="K2036" t="s">
        <v>9</v>
      </c>
      <c r="L2036" s="8">
        <f t="shared" si="4878"/>
        <v>-1</v>
      </c>
      <c r="M2036" t="s">
        <v>2243</v>
      </c>
    </row>
    <row r="2037" spans="1:13" x14ac:dyDescent="0.35">
      <c r="A2037">
        <f t="shared" si="4745"/>
        <v>2033</v>
      </c>
      <c r="B2037" s="9">
        <f t="shared" ref="B2037" si="5059">B2036+H2037+I2037+J2037</f>
        <v>118.02999999999997</v>
      </c>
      <c r="C2037" s="3" t="s">
        <v>2244</v>
      </c>
      <c r="D2037">
        <f t="shared" ref="D2037" si="5060">_xlfn.NUMBERVALUE(LEFT(C2037,2))</f>
        <v>8</v>
      </c>
      <c r="E2037">
        <f t="shared" ref="E2037" si="5061">_xlfn.NUMBERVALUE(MID(C2037,4,2))</f>
        <v>2</v>
      </c>
      <c r="F2037">
        <f t="shared" ref="F2037" si="5062">_xlfn.NUMBERVALUE(RIGHT(C2037,4))</f>
        <v>2024</v>
      </c>
      <c r="G2037" t="s">
        <v>7</v>
      </c>
      <c r="H2037">
        <v>-2</v>
      </c>
      <c r="K2037" t="s">
        <v>9</v>
      </c>
      <c r="L2037" s="8">
        <f t="shared" si="4878"/>
        <v>-1</v>
      </c>
      <c r="M2037" t="s">
        <v>2245</v>
      </c>
    </row>
    <row r="2038" spans="1:13" x14ac:dyDescent="0.35">
      <c r="A2038">
        <f t="shared" si="4745"/>
        <v>2034</v>
      </c>
      <c r="B2038" s="9">
        <f t="shared" ref="B2038" si="5063">B2037+H2038+I2038+J2038</f>
        <v>116.02999999999997</v>
      </c>
      <c r="C2038" s="3" t="s">
        <v>2244</v>
      </c>
      <c r="D2038">
        <f t="shared" ref="D2038" si="5064">_xlfn.NUMBERVALUE(LEFT(C2038,2))</f>
        <v>8</v>
      </c>
      <c r="E2038">
        <f t="shared" ref="E2038" si="5065">_xlfn.NUMBERVALUE(MID(C2038,4,2))</f>
        <v>2</v>
      </c>
      <c r="F2038">
        <f t="shared" ref="F2038" si="5066">_xlfn.NUMBERVALUE(RIGHT(C2038,4))</f>
        <v>2024</v>
      </c>
      <c r="G2038" t="s">
        <v>7</v>
      </c>
      <c r="H2038">
        <v>-2</v>
      </c>
      <c r="K2038" t="s">
        <v>9</v>
      </c>
      <c r="L2038" s="8">
        <f t="shared" si="4878"/>
        <v>-1</v>
      </c>
      <c r="M2038" t="s">
        <v>2246</v>
      </c>
    </row>
    <row r="2039" spans="1:13" x14ac:dyDescent="0.35">
      <c r="A2039">
        <f t="shared" si="4745"/>
        <v>2035</v>
      </c>
      <c r="B2039" s="9">
        <f t="shared" ref="B2039" si="5067">B2038+H2039+I2039+J2039</f>
        <v>120.02999999999997</v>
      </c>
      <c r="C2039" s="3" t="s">
        <v>2244</v>
      </c>
      <c r="D2039">
        <f t="shared" ref="D2039" si="5068">_xlfn.NUMBERVALUE(LEFT(C2039,2))</f>
        <v>8</v>
      </c>
      <c r="E2039">
        <f t="shared" ref="E2039" si="5069">_xlfn.NUMBERVALUE(MID(C2039,4,2))</f>
        <v>2</v>
      </c>
      <c r="F2039">
        <f t="shared" ref="F2039" si="5070">_xlfn.NUMBERVALUE(RIGHT(C2039,4))</f>
        <v>2024</v>
      </c>
      <c r="G2039" t="s">
        <v>7</v>
      </c>
      <c r="H2039">
        <v>-2</v>
      </c>
      <c r="I2039">
        <v>6</v>
      </c>
      <c r="K2039" t="s">
        <v>10</v>
      </c>
      <c r="L2039" s="8">
        <f t="shared" si="4878"/>
        <v>2</v>
      </c>
      <c r="M2039" t="s">
        <v>2247</v>
      </c>
    </row>
    <row r="2040" spans="1:13" x14ac:dyDescent="0.35">
      <c r="A2040">
        <f t="shared" si="4745"/>
        <v>2036</v>
      </c>
      <c r="B2040" s="9">
        <f t="shared" ref="B2040" si="5071">B2039+H2040+I2040+J2040</f>
        <v>118.02999999999997</v>
      </c>
      <c r="C2040" s="3" t="s">
        <v>2244</v>
      </c>
      <c r="D2040">
        <f t="shared" ref="D2040" si="5072">_xlfn.NUMBERVALUE(LEFT(C2040,2))</f>
        <v>8</v>
      </c>
      <c r="E2040">
        <f t="shared" ref="E2040" si="5073">_xlfn.NUMBERVALUE(MID(C2040,4,2))</f>
        <v>2</v>
      </c>
      <c r="F2040">
        <f t="shared" ref="F2040" si="5074">_xlfn.NUMBERVALUE(RIGHT(C2040,4))</f>
        <v>2024</v>
      </c>
      <c r="G2040" t="s">
        <v>7</v>
      </c>
      <c r="H2040">
        <v>-2</v>
      </c>
      <c r="K2040" t="s">
        <v>9</v>
      </c>
      <c r="L2040" s="8">
        <f t="shared" si="4878"/>
        <v>-1</v>
      </c>
      <c r="M2040" t="s">
        <v>2248</v>
      </c>
    </row>
    <row r="2041" spans="1:13" x14ac:dyDescent="0.35">
      <c r="A2041">
        <f t="shared" si="4745"/>
        <v>2037</v>
      </c>
      <c r="B2041" s="9">
        <f t="shared" ref="B2041" si="5075">B2040+H2041+I2041+J2041</f>
        <v>116.02999999999997</v>
      </c>
      <c r="C2041" s="3" t="s">
        <v>2244</v>
      </c>
      <c r="D2041">
        <f t="shared" ref="D2041" si="5076">_xlfn.NUMBERVALUE(LEFT(C2041,2))</f>
        <v>8</v>
      </c>
      <c r="E2041">
        <f t="shared" ref="E2041" si="5077">_xlfn.NUMBERVALUE(MID(C2041,4,2))</f>
        <v>2</v>
      </c>
      <c r="F2041">
        <f t="shared" ref="F2041" si="5078">_xlfn.NUMBERVALUE(RIGHT(C2041,4))</f>
        <v>2024</v>
      </c>
      <c r="G2041" t="s">
        <v>7</v>
      </c>
      <c r="H2041">
        <v>-2</v>
      </c>
      <c r="K2041" t="s">
        <v>9</v>
      </c>
      <c r="L2041" s="8">
        <f t="shared" si="4878"/>
        <v>-1</v>
      </c>
      <c r="M2041" t="s">
        <v>2249</v>
      </c>
    </row>
    <row r="2042" spans="1:13" x14ac:dyDescent="0.35">
      <c r="A2042">
        <f t="shared" si="4745"/>
        <v>2038</v>
      </c>
      <c r="B2042" s="9">
        <f t="shared" ref="B2042" si="5079">B2041+H2042+I2042+J2042</f>
        <v>114.02999999999997</v>
      </c>
      <c r="C2042" s="3" t="s">
        <v>2244</v>
      </c>
      <c r="D2042">
        <f t="shared" ref="D2042" si="5080">_xlfn.NUMBERVALUE(LEFT(C2042,2))</f>
        <v>8</v>
      </c>
      <c r="E2042">
        <f t="shared" ref="E2042" si="5081">_xlfn.NUMBERVALUE(MID(C2042,4,2))</f>
        <v>2</v>
      </c>
      <c r="F2042">
        <f t="shared" ref="F2042" si="5082">_xlfn.NUMBERVALUE(RIGHT(C2042,4))</f>
        <v>2024</v>
      </c>
      <c r="G2042" t="s">
        <v>7</v>
      </c>
      <c r="H2042">
        <v>-2</v>
      </c>
      <c r="K2042" t="s">
        <v>9</v>
      </c>
      <c r="L2042" s="8">
        <f t="shared" si="4878"/>
        <v>-1</v>
      </c>
      <c r="M2042" t="s">
        <v>2250</v>
      </c>
    </row>
    <row r="2043" spans="1:13" x14ac:dyDescent="0.35">
      <c r="A2043">
        <f t="shared" si="4745"/>
        <v>2039</v>
      </c>
      <c r="B2043" s="9">
        <f t="shared" ref="B2043" si="5083">B2042+H2043+I2043+J2043</f>
        <v>118.02999999999997</v>
      </c>
      <c r="C2043" s="3" t="s">
        <v>2244</v>
      </c>
      <c r="D2043">
        <f t="shared" ref="D2043" si="5084">_xlfn.NUMBERVALUE(LEFT(C2043,2))</f>
        <v>8</v>
      </c>
      <c r="E2043">
        <f t="shared" ref="E2043" si="5085">_xlfn.NUMBERVALUE(MID(C2043,4,2))</f>
        <v>2</v>
      </c>
      <c r="F2043">
        <f t="shared" ref="F2043" si="5086">_xlfn.NUMBERVALUE(RIGHT(C2043,4))</f>
        <v>2024</v>
      </c>
      <c r="G2043" t="s">
        <v>7</v>
      </c>
      <c r="H2043">
        <v>-2</v>
      </c>
      <c r="I2043">
        <v>6</v>
      </c>
      <c r="K2043" t="s">
        <v>10</v>
      </c>
      <c r="L2043" s="8">
        <f t="shared" si="4878"/>
        <v>2</v>
      </c>
      <c r="M2043" t="s">
        <v>2251</v>
      </c>
    </row>
    <row r="2044" spans="1:13" x14ac:dyDescent="0.35">
      <c r="A2044">
        <f t="shared" si="4745"/>
        <v>2040</v>
      </c>
      <c r="B2044" s="9">
        <f t="shared" ref="B2044" si="5087">B2043+H2044+I2044+J2044</f>
        <v>116.02999999999997</v>
      </c>
      <c r="C2044" s="3" t="s">
        <v>2244</v>
      </c>
      <c r="D2044">
        <f t="shared" ref="D2044" si="5088">_xlfn.NUMBERVALUE(LEFT(C2044,2))</f>
        <v>8</v>
      </c>
      <c r="E2044">
        <f t="shared" ref="E2044" si="5089">_xlfn.NUMBERVALUE(MID(C2044,4,2))</f>
        <v>2</v>
      </c>
      <c r="F2044">
        <f t="shared" ref="F2044" si="5090">_xlfn.NUMBERVALUE(RIGHT(C2044,4))</f>
        <v>2024</v>
      </c>
      <c r="G2044" t="s">
        <v>7</v>
      </c>
      <c r="H2044">
        <v>-2</v>
      </c>
      <c r="K2044" t="s">
        <v>9</v>
      </c>
      <c r="L2044" s="8">
        <f t="shared" si="4878"/>
        <v>-1</v>
      </c>
      <c r="M2044" t="s">
        <v>2252</v>
      </c>
    </row>
    <row r="2045" spans="1:13" x14ac:dyDescent="0.35">
      <c r="A2045">
        <f t="shared" si="4745"/>
        <v>2041</v>
      </c>
      <c r="B2045" s="9">
        <f t="shared" ref="B2045" si="5091">B2044+H2045+I2045+J2045</f>
        <v>114.02999999999997</v>
      </c>
      <c r="C2045" s="3" t="s">
        <v>2253</v>
      </c>
      <c r="D2045">
        <f t="shared" ref="D2045" si="5092">_xlfn.NUMBERVALUE(LEFT(C2045,2))</f>
        <v>9</v>
      </c>
      <c r="E2045">
        <f t="shared" ref="E2045" si="5093">_xlfn.NUMBERVALUE(MID(C2045,4,2))</f>
        <v>2</v>
      </c>
      <c r="F2045">
        <f t="shared" ref="F2045" si="5094">_xlfn.NUMBERVALUE(RIGHT(C2045,4))</f>
        <v>2024</v>
      </c>
      <c r="G2045" t="s">
        <v>7</v>
      </c>
      <c r="H2045">
        <v>-2</v>
      </c>
      <c r="K2045" t="s">
        <v>9</v>
      </c>
      <c r="L2045" s="8">
        <f t="shared" si="4878"/>
        <v>-1</v>
      </c>
      <c r="M2045" t="s">
        <v>2254</v>
      </c>
    </row>
    <row r="2046" spans="1:13" x14ac:dyDescent="0.35">
      <c r="A2046">
        <f t="shared" si="4745"/>
        <v>2042</v>
      </c>
      <c r="B2046" s="9">
        <f t="shared" ref="B2046" si="5095">B2045+H2046+I2046+J2046</f>
        <v>116.02999999999997</v>
      </c>
      <c r="C2046" s="3" t="s">
        <v>2253</v>
      </c>
      <c r="D2046">
        <f t="shared" ref="D2046" si="5096">_xlfn.NUMBERVALUE(LEFT(C2046,2))</f>
        <v>9</v>
      </c>
      <c r="E2046">
        <f t="shared" ref="E2046" si="5097">_xlfn.NUMBERVALUE(MID(C2046,4,2))</f>
        <v>2</v>
      </c>
      <c r="F2046">
        <f t="shared" ref="F2046" si="5098">_xlfn.NUMBERVALUE(RIGHT(C2046,4))</f>
        <v>2024</v>
      </c>
      <c r="G2046" t="s">
        <v>7</v>
      </c>
      <c r="H2046">
        <v>-2</v>
      </c>
      <c r="I2046">
        <v>4</v>
      </c>
      <c r="K2046" t="s">
        <v>10</v>
      </c>
      <c r="L2046" s="8">
        <f t="shared" si="4878"/>
        <v>1</v>
      </c>
      <c r="M2046" t="s">
        <v>2255</v>
      </c>
    </row>
    <row r="2047" spans="1:13" x14ac:dyDescent="0.35">
      <c r="A2047">
        <f t="shared" si="4745"/>
        <v>2043</v>
      </c>
      <c r="B2047" s="9">
        <f t="shared" ref="B2047" si="5099">B2046+H2047+I2047+J2047</f>
        <v>120.02999999999997</v>
      </c>
      <c r="C2047" s="3" t="s">
        <v>2253</v>
      </c>
      <c r="D2047">
        <f t="shared" ref="D2047" si="5100">_xlfn.NUMBERVALUE(LEFT(C2047,2))</f>
        <v>9</v>
      </c>
      <c r="E2047">
        <f t="shared" ref="E2047" si="5101">_xlfn.NUMBERVALUE(MID(C2047,4,2))</f>
        <v>2</v>
      </c>
      <c r="F2047">
        <f t="shared" ref="F2047" si="5102">_xlfn.NUMBERVALUE(RIGHT(C2047,4))</f>
        <v>2024</v>
      </c>
      <c r="G2047" t="s">
        <v>7</v>
      </c>
      <c r="H2047">
        <v>-2</v>
      </c>
      <c r="I2047">
        <v>6</v>
      </c>
      <c r="K2047" t="s">
        <v>10</v>
      </c>
      <c r="L2047" s="8">
        <f t="shared" si="4878"/>
        <v>2</v>
      </c>
      <c r="M2047" t="s">
        <v>2256</v>
      </c>
    </row>
    <row r="2048" spans="1:13" x14ac:dyDescent="0.35">
      <c r="A2048">
        <f t="shared" si="4745"/>
        <v>2044</v>
      </c>
      <c r="B2048" s="9">
        <f t="shared" ref="B2048" si="5103">B2047+H2048+I2048+J2048</f>
        <v>122.02999999999997</v>
      </c>
      <c r="C2048" s="3" t="s">
        <v>2253</v>
      </c>
      <c r="D2048">
        <f t="shared" ref="D2048" si="5104">_xlfn.NUMBERVALUE(LEFT(C2048,2))</f>
        <v>9</v>
      </c>
      <c r="E2048">
        <f t="shared" ref="E2048" si="5105">_xlfn.NUMBERVALUE(MID(C2048,4,2))</f>
        <v>2</v>
      </c>
      <c r="F2048">
        <f t="shared" ref="F2048" si="5106">_xlfn.NUMBERVALUE(RIGHT(C2048,4))</f>
        <v>2024</v>
      </c>
      <c r="G2048" t="s">
        <v>7</v>
      </c>
      <c r="H2048">
        <v>-2</v>
      </c>
      <c r="I2048">
        <v>4</v>
      </c>
      <c r="K2048" t="s">
        <v>10</v>
      </c>
      <c r="L2048" s="8">
        <f t="shared" si="4878"/>
        <v>1</v>
      </c>
      <c r="M2048" t="s">
        <v>2257</v>
      </c>
    </row>
    <row r="2049" spans="1:13" x14ac:dyDescent="0.35">
      <c r="A2049">
        <f t="shared" si="4745"/>
        <v>2045</v>
      </c>
      <c r="B2049" s="9">
        <f t="shared" ref="B2049" si="5107">B2048+H2049+I2049+J2049</f>
        <v>124.02999999999997</v>
      </c>
      <c r="C2049" s="3" t="s">
        <v>2253</v>
      </c>
      <c r="D2049">
        <f t="shared" ref="D2049" si="5108">_xlfn.NUMBERVALUE(LEFT(C2049,2))</f>
        <v>9</v>
      </c>
      <c r="E2049">
        <f t="shared" ref="E2049" si="5109">_xlfn.NUMBERVALUE(MID(C2049,4,2))</f>
        <v>2</v>
      </c>
      <c r="F2049">
        <f t="shared" ref="F2049" si="5110">_xlfn.NUMBERVALUE(RIGHT(C2049,4))</f>
        <v>2024</v>
      </c>
      <c r="G2049" t="s">
        <v>7</v>
      </c>
      <c r="H2049">
        <v>-2</v>
      </c>
      <c r="I2049">
        <v>4</v>
      </c>
      <c r="K2049" t="s">
        <v>10</v>
      </c>
      <c r="L2049" s="8">
        <f t="shared" si="4878"/>
        <v>1</v>
      </c>
      <c r="M2049" t="s">
        <v>2258</v>
      </c>
    </row>
    <row r="2050" spans="1:13" x14ac:dyDescent="0.35">
      <c r="A2050">
        <f t="shared" si="4745"/>
        <v>2046</v>
      </c>
      <c r="B2050" s="9">
        <f t="shared" ref="B2050" si="5111">B2049+H2050+I2050+J2050</f>
        <v>122.02999999999997</v>
      </c>
      <c r="C2050" s="3" t="s">
        <v>2253</v>
      </c>
      <c r="D2050">
        <f t="shared" ref="D2050" si="5112">_xlfn.NUMBERVALUE(LEFT(C2050,2))</f>
        <v>9</v>
      </c>
      <c r="E2050">
        <f t="shared" ref="E2050" si="5113">_xlfn.NUMBERVALUE(MID(C2050,4,2))</f>
        <v>2</v>
      </c>
      <c r="F2050">
        <f t="shared" ref="F2050" si="5114">_xlfn.NUMBERVALUE(RIGHT(C2050,4))</f>
        <v>2024</v>
      </c>
      <c r="G2050" t="s">
        <v>7</v>
      </c>
      <c r="H2050">
        <v>-2</v>
      </c>
      <c r="K2050" t="s">
        <v>9</v>
      </c>
      <c r="L2050" s="8">
        <f t="shared" si="4878"/>
        <v>-1</v>
      </c>
      <c r="M2050" t="s">
        <v>2259</v>
      </c>
    </row>
    <row r="2051" spans="1:13" x14ac:dyDescent="0.35">
      <c r="A2051">
        <f t="shared" si="4745"/>
        <v>2047</v>
      </c>
      <c r="B2051" s="9">
        <f t="shared" ref="B2051" si="5115">B2050+H2051+I2051+J2051</f>
        <v>120.02999999999997</v>
      </c>
      <c r="C2051" s="3" t="s">
        <v>2253</v>
      </c>
      <c r="D2051">
        <f t="shared" ref="D2051" si="5116">_xlfn.NUMBERVALUE(LEFT(C2051,2))</f>
        <v>9</v>
      </c>
      <c r="E2051">
        <f t="shared" ref="E2051" si="5117">_xlfn.NUMBERVALUE(MID(C2051,4,2))</f>
        <v>2</v>
      </c>
      <c r="F2051">
        <f t="shared" ref="F2051" si="5118">_xlfn.NUMBERVALUE(RIGHT(C2051,4))</f>
        <v>2024</v>
      </c>
      <c r="G2051" t="s">
        <v>7</v>
      </c>
      <c r="H2051">
        <v>-2</v>
      </c>
      <c r="K2051" t="s">
        <v>9</v>
      </c>
      <c r="L2051" s="8">
        <f t="shared" si="4878"/>
        <v>-1</v>
      </c>
      <c r="M2051" t="s">
        <v>2260</v>
      </c>
    </row>
    <row r="2052" spans="1:13" x14ac:dyDescent="0.35">
      <c r="A2052">
        <f t="shared" si="4745"/>
        <v>2048</v>
      </c>
      <c r="B2052" s="9">
        <f t="shared" ref="B2052" si="5119">B2051+H2052+I2052+J2052</f>
        <v>118.02999999999997</v>
      </c>
      <c r="C2052" s="3" t="s">
        <v>2253</v>
      </c>
      <c r="D2052">
        <f t="shared" ref="D2052" si="5120">_xlfn.NUMBERVALUE(LEFT(C2052,2))</f>
        <v>9</v>
      </c>
      <c r="E2052">
        <f t="shared" ref="E2052" si="5121">_xlfn.NUMBERVALUE(MID(C2052,4,2))</f>
        <v>2</v>
      </c>
      <c r="F2052">
        <f t="shared" ref="F2052" si="5122">_xlfn.NUMBERVALUE(RIGHT(C2052,4))</f>
        <v>2024</v>
      </c>
      <c r="G2052" t="s">
        <v>7</v>
      </c>
      <c r="H2052">
        <v>-2</v>
      </c>
      <c r="K2052" t="s">
        <v>9</v>
      </c>
      <c r="L2052" s="8">
        <f t="shared" si="4878"/>
        <v>-1</v>
      </c>
      <c r="M2052" t="s">
        <v>2261</v>
      </c>
    </row>
    <row r="2053" spans="1:13" x14ac:dyDescent="0.35">
      <c r="A2053">
        <f t="shared" si="4745"/>
        <v>2049</v>
      </c>
      <c r="B2053" s="9">
        <f t="shared" ref="B2053" si="5123">B2052+H2053+I2053+J2053</f>
        <v>116.02999999999997</v>
      </c>
      <c r="C2053" s="3" t="s">
        <v>2253</v>
      </c>
      <c r="D2053">
        <f t="shared" ref="D2053" si="5124">_xlfn.NUMBERVALUE(LEFT(C2053,2))</f>
        <v>9</v>
      </c>
      <c r="E2053">
        <f t="shared" ref="E2053" si="5125">_xlfn.NUMBERVALUE(MID(C2053,4,2))</f>
        <v>2</v>
      </c>
      <c r="F2053">
        <f t="shared" ref="F2053" si="5126">_xlfn.NUMBERVALUE(RIGHT(C2053,4))</f>
        <v>2024</v>
      </c>
      <c r="G2053" t="s">
        <v>7</v>
      </c>
      <c r="H2053">
        <v>-2</v>
      </c>
      <c r="K2053" t="s">
        <v>9</v>
      </c>
      <c r="L2053" s="8">
        <f t="shared" si="4878"/>
        <v>-1</v>
      </c>
      <c r="M2053" t="s">
        <v>2262</v>
      </c>
    </row>
    <row r="2054" spans="1:13" x14ac:dyDescent="0.35">
      <c r="A2054">
        <f t="shared" si="4745"/>
        <v>2050</v>
      </c>
      <c r="B2054" s="9">
        <f t="shared" ref="B2054" si="5127">B2053+H2054+I2054+J2054</f>
        <v>114.02999999999997</v>
      </c>
      <c r="C2054" s="3" t="s">
        <v>2253</v>
      </c>
      <c r="D2054">
        <f t="shared" ref="D2054" si="5128">_xlfn.NUMBERVALUE(LEFT(C2054,2))</f>
        <v>9</v>
      </c>
      <c r="E2054">
        <f t="shared" ref="E2054" si="5129">_xlfn.NUMBERVALUE(MID(C2054,4,2))</f>
        <v>2</v>
      </c>
      <c r="F2054">
        <f t="shared" ref="F2054" si="5130">_xlfn.NUMBERVALUE(RIGHT(C2054,4))</f>
        <v>2024</v>
      </c>
      <c r="G2054" t="s">
        <v>7</v>
      </c>
      <c r="H2054">
        <v>-2</v>
      </c>
      <c r="K2054" t="s">
        <v>9</v>
      </c>
      <c r="L2054" s="8">
        <f t="shared" ref="L2054:L2117" si="5131">IF(H2054="",0,(SUM(I2054:J2054)/-H2054)-1)</f>
        <v>-1</v>
      </c>
      <c r="M2054" t="s">
        <v>2263</v>
      </c>
    </row>
    <row r="2055" spans="1:13" x14ac:dyDescent="0.35">
      <c r="A2055">
        <f t="shared" si="4745"/>
        <v>2051</v>
      </c>
      <c r="B2055" s="9">
        <f t="shared" ref="B2055" si="5132">B2054+H2055+I2055+J2055</f>
        <v>112.02999999999997</v>
      </c>
      <c r="C2055" s="3" t="s">
        <v>2253</v>
      </c>
      <c r="D2055">
        <f t="shared" ref="D2055" si="5133">_xlfn.NUMBERVALUE(LEFT(C2055,2))</f>
        <v>9</v>
      </c>
      <c r="E2055">
        <f t="shared" ref="E2055" si="5134">_xlfn.NUMBERVALUE(MID(C2055,4,2))</f>
        <v>2</v>
      </c>
      <c r="F2055">
        <f t="shared" ref="F2055" si="5135">_xlfn.NUMBERVALUE(RIGHT(C2055,4))</f>
        <v>2024</v>
      </c>
      <c r="G2055" t="s">
        <v>7</v>
      </c>
      <c r="H2055">
        <v>-2</v>
      </c>
      <c r="K2055" t="s">
        <v>9</v>
      </c>
      <c r="L2055" s="8">
        <f t="shared" si="5131"/>
        <v>-1</v>
      </c>
      <c r="M2055" t="s">
        <v>2264</v>
      </c>
    </row>
    <row r="2056" spans="1:13" x14ac:dyDescent="0.35">
      <c r="A2056">
        <f t="shared" si="4745"/>
        <v>2052</v>
      </c>
      <c r="B2056" s="9">
        <f t="shared" ref="B2056" si="5136">B2055+H2056+I2056+J2056</f>
        <v>110.02999999999997</v>
      </c>
      <c r="C2056" s="3" t="s">
        <v>2253</v>
      </c>
      <c r="D2056">
        <f t="shared" ref="D2056" si="5137">_xlfn.NUMBERVALUE(LEFT(C2056,2))</f>
        <v>9</v>
      </c>
      <c r="E2056">
        <f t="shared" ref="E2056" si="5138">_xlfn.NUMBERVALUE(MID(C2056,4,2))</f>
        <v>2</v>
      </c>
      <c r="F2056">
        <f t="shared" ref="F2056" si="5139">_xlfn.NUMBERVALUE(RIGHT(C2056,4))</f>
        <v>2024</v>
      </c>
      <c r="G2056" t="s">
        <v>7</v>
      </c>
      <c r="H2056">
        <v>-2</v>
      </c>
      <c r="K2056" t="s">
        <v>9</v>
      </c>
      <c r="L2056" s="8">
        <f t="shared" si="5131"/>
        <v>-1</v>
      </c>
      <c r="M2056" t="s">
        <v>2265</v>
      </c>
    </row>
    <row r="2057" spans="1:13" x14ac:dyDescent="0.35">
      <c r="A2057">
        <f t="shared" si="4745"/>
        <v>2053</v>
      </c>
      <c r="B2057" s="9">
        <f t="shared" ref="B2057" si="5140">B2056+H2057+I2057+J2057</f>
        <v>112.02999999999997</v>
      </c>
      <c r="C2057" s="3" t="s">
        <v>2266</v>
      </c>
      <c r="D2057">
        <f t="shared" ref="D2057" si="5141">_xlfn.NUMBERVALUE(LEFT(C2057,2))</f>
        <v>11</v>
      </c>
      <c r="E2057">
        <f t="shared" ref="E2057" si="5142">_xlfn.NUMBERVALUE(MID(C2057,4,2))</f>
        <v>2</v>
      </c>
      <c r="F2057">
        <f t="shared" ref="F2057" si="5143">_xlfn.NUMBERVALUE(RIGHT(C2057,4))</f>
        <v>2024</v>
      </c>
      <c r="G2057" t="s">
        <v>7</v>
      </c>
      <c r="H2057">
        <v>-2</v>
      </c>
      <c r="I2057">
        <v>4</v>
      </c>
      <c r="K2057" t="s">
        <v>10</v>
      </c>
      <c r="L2057" s="8">
        <f t="shared" si="5131"/>
        <v>1</v>
      </c>
      <c r="M2057" t="s">
        <v>2267</v>
      </c>
    </row>
    <row r="2058" spans="1:13" x14ac:dyDescent="0.35">
      <c r="A2058">
        <f t="shared" si="4745"/>
        <v>2054</v>
      </c>
      <c r="B2058" s="9">
        <f t="shared" ref="B2058" si="5144">B2057+H2058+I2058+J2058</f>
        <v>110.02999999999997</v>
      </c>
      <c r="C2058" s="3" t="s">
        <v>2266</v>
      </c>
      <c r="D2058">
        <f t="shared" ref="D2058" si="5145">_xlfn.NUMBERVALUE(LEFT(C2058,2))</f>
        <v>11</v>
      </c>
      <c r="E2058">
        <f t="shared" ref="E2058" si="5146">_xlfn.NUMBERVALUE(MID(C2058,4,2))</f>
        <v>2</v>
      </c>
      <c r="F2058">
        <f t="shared" ref="F2058" si="5147">_xlfn.NUMBERVALUE(RIGHT(C2058,4))</f>
        <v>2024</v>
      </c>
      <c r="G2058" t="s">
        <v>7</v>
      </c>
      <c r="H2058">
        <v>-2</v>
      </c>
      <c r="K2058" t="s">
        <v>9</v>
      </c>
      <c r="L2058" s="8">
        <f t="shared" si="5131"/>
        <v>-1</v>
      </c>
      <c r="M2058" t="s">
        <v>2268</v>
      </c>
    </row>
    <row r="2059" spans="1:13" x14ac:dyDescent="0.35">
      <c r="A2059">
        <f t="shared" si="4745"/>
        <v>2055</v>
      </c>
      <c r="B2059" s="9">
        <f t="shared" ref="B2059" si="5148">B2058+H2059+I2059+J2059</f>
        <v>108.02999999999997</v>
      </c>
      <c r="C2059" s="3" t="s">
        <v>2266</v>
      </c>
      <c r="D2059">
        <f t="shared" ref="D2059" si="5149">_xlfn.NUMBERVALUE(LEFT(C2059,2))</f>
        <v>11</v>
      </c>
      <c r="E2059">
        <f t="shared" ref="E2059" si="5150">_xlfn.NUMBERVALUE(MID(C2059,4,2))</f>
        <v>2</v>
      </c>
      <c r="F2059">
        <f t="shared" ref="F2059" si="5151">_xlfn.NUMBERVALUE(RIGHT(C2059,4))</f>
        <v>2024</v>
      </c>
      <c r="G2059" t="s">
        <v>7</v>
      </c>
      <c r="H2059">
        <v>-2</v>
      </c>
      <c r="K2059" t="s">
        <v>9</v>
      </c>
      <c r="L2059" s="8">
        <f t="shared" si="5131"/>
        <v>-1</v>
      </c>
      <c r="M2059" t="s">
        <v>2269</v>
      </c>
    </row>
    <row r="2060" spans="1:13" x14ac:dyDescent="0.35">
      <c r="A2060">
        <f t="shared" si="4745"/>
        <v>2056</v>
      </c>
      <c r="B2060" s="9">
        <f t="shared" ref="B2060" si="5152">B2059+H2060+I2060+J2060</f>
        <v>106.02999999999997</v>
      </c>
      <c r="C2060" s="3" t="s">
        <v>2266</v>
      </c>
      <c r="D2060">
        <f t="shared" ref="D2060" si="5153">_xlfn.NUMBERVALUE(LEFT(C2060,2))</f>
        <v>11</v>
      </c>
      <c r="E2060">
        <f t="shared" ref="E2060" si="5154">_xlfn.NUMBERVALUE(MID(C2060,4,2))</f>
        <v>2</v>
      </c>
      <c r="F2060">
        <f t="shared" ref="F2060" si="5155">_xlfn.NUMBERVALUE(RIGHT(C2060,4))</f>
        <v>2024</v>
      </c>
      <c r="G2060" t="s">
        <v>7</v>
      </c>
      <c r="H2060">
        <v>-2</v>
      </c>
      <c r="K2060" t="s">
        <v>9</v>
      </c>
      <c r="L2060" s="8">
        <f t="shared" si="5131"/>
        <v>-1</v>
      </c>
      <c r="M2060" t="s">
        <v>2270</v>
      </c>
    </row>
    <row r="2061" spans="1:13" x14ac:dyDescent="0.35">
      <c r="A2061">
        <f t="shared" si="4745"/>
        <v>2057</v>
      </c>
      <c r="B2061" s="9">
        <f t="shared" ref="B2061" si="5156">B2060+H2061+I2061+J2061</f>
        <v>108.02999999999997</v>
      </c>
      <c r="C2061" s="3" t="s">
        <v>2266</v>
      </c>
      <c r="D2061">
        <f t="shared" ref="D2061" si="5157">_xlfn.NUMBERVALUE(LEFT(C2061,2))</f>
        <v>11</v>
      </c>
      <c r="E2061">
        <f t="shared" ref="E2061" si="5158">_xlfn.NUMBERVALUE(MID(C2061,4,2))</f>
        <v>2</v>
      </c>
      <c r="F2061">
        <f t="shared" ref="F2061" si="5159">_xlfn.NUMBERVALUE(RIGHT(C2061,4))</f>
        <v>2024</v>
      </c>
      <c r="G2061" t="s">
        <v>7</v>
      </c>
      <c r="H2061">
        <v>-2</v>
      </c>
      <c r="I2061">
        <v>4</v>
      </c>
      <c r="K2061" t="s">
        <v>10</v>
      </c>
      <c r="L2061" s="8">
        <f t="shared" si="5131"/>
        <v>1</v>
      </c>
      <c r="M2061" t="s">
        <v>2271</v>
      </c>
    </row>
    <row r="2062" spans="1:13" x14ac:dyDescent="0.35">
      <c r="A2062">
        <f t="shared" si="4745"/>
        <v>2058</v>
      </c>
      <c r="B2062" s="9">
        <f t="shared" ref="B2062" si="5160">B2061+H2062+I2062+J2062</f>
        <v>110.02999999999997</v>
      </c>
      <c r="C2062" s="3" t="s">
        <v>2266</v>
      </c>
      <c r="D2062">
        <f t="shared" ref="D2062" si="5161">_xlfn.NUMBERVALUE(LEFT(C2062,2))</f>
        <v>11</v>
      </c>
      <c r="E2062">
        <f t="shared" ref="E2062" si="5162">_xlfn.NUMBERVALUE(MID(C2062,4,2))</f>
        <v>2</v>
      </c>
      <c r="F2062">
        <f t="shared" ref="F2062" si="5163">_xlfn.NUMBERVALUE(RIGHT(C2062,4))</f>
        <v>2024</v>
      </c>
      <c r="G2062" t="s">
        <v>7</v>
      </c>
      <c r="H2062">
        <v>-2</v>
      </c>
      <c r="I2062">
        <v>4</v>
      </c>
      <c r="K2062" t="s">
        <v>10</v>
      </c>
      <c r="L2062" s="8">
        <f t="shared" si="5131"/>
        <v>1</v>
      </c>
      <c r="M2062" t="s">
        <v>2272</v>
      </c>
    </row>
    <row r="2063" spans="1:13" x14ac:dyDescent="0.35">
      <c r="A2063">
        <f t="shared" si="4745"/>
        <v>2059</v>
      </c>
      <c r="B2063" s="9">
        <f t="shared" ref="B2063" si="5164">B2062+H2063+I2063+J2063</f>
        <v>108.02999999999997</v>
      </c>
      <c r="C2063" s="3" t="s">
        <v>2266</v>
      </c>
      <c r="D2063">
        <f t="shared" ref="D2063" si="5165">_xlfn.NUMBERVALUE(LEFT(C2063,2))</f>
        <v>11</v>
      </c>
      <c r="E2063">
        <f t="shared" ref="E2063" si="5166">_xlfn.NUMBERVALUE(MID(C2063,4,2))</f>
        <v>2</v>
      </c>
      <c r="F2063">
        <f t="shared" ref="F2063" si="5167">_xlfn.NUMBERVALUE(RIGHT(C2063,4))</f>
        <v>2024</v>
      </c>
      <c r="G2063" t="s">
        <v>7</v>
      </c>
      <c r="H2063">
        <v>-2</v>
      </c>
      <c r="K2063" t="s">
        <v>9</v>
      </c>
      <c r="L2063" s="8">
        <f t="shared" si="5131"/>
        <v>-1</v>
      </c>
      <c r="M2063" t="s">
        <v>2273</v>
      </c>
    </row>
    <row r="2064" spans="1:13" x14ac:dyDescent="0.35">
      <c r="A2064">
        <f t="shared" si="4745"/>
        <v>2060</v>
      </c>
      <c r="B2064" s="9">
        <f t="shared" ref="B2064" si="5168">B2063+H2064+I2064+J2064</f>
        <v>106.02999999999997</v>
      </c>
      <c r="C2064" s="3" t="s">
        <v>2266</v>
      </c>
      <c r="D2064">
        <f t="shared" ref="D2064" si="5169">_xlfn.NUMBERVALUE(LEFT(C2064,2))</f>
        <v>11</v>
      </c>
      <c r="E2064">
        <f t="shared" ref="E2064" si="5170">_xlfn.NUMBERVALUE(MID(C2064,4,2))</f>
        <v>2</v>
      </c>
      <c r="F2064">
        <f t="shared" ref="F2064" si="5171">_xlfn.NUMBERVALUE(RIGHT(C2064,4))</f>
        <v>2024</v>
      </c>
      <c r="G2064" t="s">
        <v>7</v>
      </c>
      <c r="H2064">
        <v>-2</v>
      </c>
      <c r="K2064" t="s">
        <v>9</v>
      </c>
      <c r="L2064" s="8">
        <f t="shared" si="5131"/>
        <v>-1</v>
      </c>
      <c r="M2064" t="s">
        <v>2274</v>
      </c>
    </row>
    <row r="2065" spans="1:13" x14ac:dyDescent="0.35">
      <c r="A2065">
        <f t="shared" si="4745"/>
        <v>2061</v>
      </c>
      <c r="B2065" s="9">
        <f t="shared" ref="B2065" si="5172">B2064+H2065+I2065+J2065</f>
        <v>104.02999999999997</v>
      </c>
      <c r="C2065" s="3" t="s">
        <v>2266</v>
      </c>
      <c r="D2065">
        <f t="shared" ref="D2065" si="5173">_xlfn.NUMBERVALUE(LEFT(C2065,2))</f>
        <v>11</v>
      </c>
      <c r="E2065">
        <f t="shared" ref="E2065" si="5174">_xlfn.NUMBERVALUE(MID(C2065,4,2))</f>
        <v>2</v>
      </c>
      <c r="F2065">
        <f t="shared" ref="F2065" si="5175">_xlfn.NUMBERVALUE(RIGHT(C2065,4))</f>
        <v>2024</v>
      </c>
      <c r="G2065" t="s">
        <v>7</v>
      </c>
      <c r="H2065">
        <v>-2</v>
      </c>
      <c r="K2065" t="s">
        <v>9</v>
      </c>
      <c r="L2065" s="8">
        <f t="shared" si="5131"/>
        <v>-1</v>
      </c>
      <c r="M2065" t="s">
        <v>2275</v>
      </c>
    </row>
    <row r="2066" spans="1:13" x14ac:dyDescent="0.35">
      <c r="A2066">
        <f t="shared" si="4745"/>
        <v>2062</v>
      </c>
      <c r="B2066" s="9">
        <f t="shared" ref="B2066" si="5176">B2065+H2066+I2066+J2066</f>
        <v>102.02999999999997</v>
      </c>
      <c r="C2066" s="3" t="s">
        <v>2266</v>
      </c>
      <c r="D2066">
        <f t="shared" ref="D2066" si="5177">_xlfn.NUMBERVALUE(LEFT(C2066,2))</f>
        <v>11</v>
      </c>
      <c r="E2066">
        <f t="shared" ref="E2066" si="5178">_xlfn.NUMBERVALUE(MID(C2066,4,2))</f>
        <v>2</v>
      </c>
      <c r="F2066">
        <f t="shared" ref="F2066" si="5179">_xlfn.NUMBERVALUE(RIGHT(C2066,4))</f>
        <v>2024</v>
      </c>
      <c r="G2066" t="s">
        <v>7</v>
      </c>
      <c r="H2066">
        <v>-2</v>
      </c>
      <c r="K2066" t="s">
        <v>9</v>
      </c>
      <c r="L2066" s="8">
        <f t="shared" si="5131"/>
        <v>-1</v>
      </c>
      <c r="M2066" t="s">
        <v>2276</v>
      </c>
    </row>
    <row r="2067" spans="1:13" x14ac:dyDescent="0.35">
      <c r="A2067">
        <f t="shared" si="4745"/>
        <v>2063</v>
      </c>
      <c r="B2067" s="9">
        <f t="shared" ref="B2067" si="5180">B2066+H2067+I2067+J2067</f>
        <v>100.02999999999997</v>
      </c>
      <c r="C2067" s="3" t="s">
        <v>2266</v>
      </c>
      <c r="D2067">
        <f t="shared" ref="D2067" si="5181">_xlfn.NUMBERVALUE(LEFT(C2067,2))</f>
        <v>11</v>
      </c>
      <c r="E2067">
        <f t="shared" ref="E2067" si="5182">_xlfn.NUMBERVALUE(MID(C2067,4,2))</f>
        <v>2</v>
      </c>
      <c r="F2067">
        <f t="shared" ref="F2067" si="5183">_xlfn.NUMBERVALUE(RIGHT(C2067,4))</f>
        <v>2024</v>
      </c>
      <c r="G2067" t="s">
        <v>7</v>
      </c>
      <c r="H2067">
        <v>-2</v>
      </c>
      <c r="K2067" t="s">
        <v>9</v>
      </c>
      <c r="L2067" s="8">
        <f t="shared" si="5131"/>
        <v>-1</v>
      </c>
      <c r="M2067" t="s">
        <v>2277</v>
      </c>
    </row>
    <row r="2068" spans="1:13" x14ac:dyDescent="0.35">
      <c r="A2068">
        <f t="shared" si="4745"/>
        <v>2064</v>
      </c>
      <c r="B2068" s="9">
        <f t="shared" ref="B2068" si="5184">B2067+H2068+I2068+J2068</f>
        <v>106.02999999999997</v>
      </c>
      <c r="C2068" s="3" t="s">
        <v>2266</v>
      </c>
      <c r="D2068">
        <f t="shared" ref="D2068" si="5185">_xlfn.NUMBERVALUE(LEFT(C2068,2))</f>
        <v>11</v>
      </c>
      <c r="E2068">
        <f t="shared" ref="E2068" si="5186">_xlfn.NUMBERVALUE(MID(C2068,4,2))</f>
        <v>2</v>
      </c>
      <c r="F2068">
        <f t="shared" ref="F2068" si="5187">_xlfn.NUMBERVALUE(RIGHT(C2068,4))</f>
        <v>2024</v>
      </c>
      <c r="G2068" t="s">
        <v>7</v>
      </c>
      <c r="H2068">
        <v>-2</v>
      </c>
      <c r="I2068">
        <v>8</v>
      </c>
      <c r="K2068" t="s">
        <v>10</v>
      </c>
      <c r="L2068" s="8">
        <f t="shared" si="5131"/>
        <v>3</v>
      </c>
      <c r="M2068" t="s">
        <v>2278</v>
      </c>
    </row>
    <row r="2069" spans="1:13" x14ac:dyDescent="0.35">
      <c r="A2069">
        <f t="shared" si="4745"/>
        <v>2065</v>
      </c>
      <c r="B2069" s="9">
        <f t="shared" ref="B2069" si="5188">B2068+H2069+I2069+J2069</f>
        <v>110.02999999999997</v>
      </c>
      <c r="C2069" s="3" t="s">
        <v>2266</v>
      </c>
      <c r="D2069">
        <f t="shared" ref="D2069" si="5189">_xlfn.NUMBERVALUE(LEFT(C2069,2))</f>
        <v>11</v>
      </c>
      <c r="E2069">
        <f t="shared" ref="E2069" si="5190">_xlfn.NUMBERVALUE(MID(C2069,4,2))</f>
        <v>2</v>
      </c>
      <c r="F2069">
        <f t="shared" ref="F2069" si="5191">_xlfn.NUMBERVALUE(RIGHT(C2069,4))</f>
        <v>2024</v>
      </c>
      <c r="G2069" t="s">
        <v>7</v>
      </c>
      <c r="H2069">
        <v>-2</v>
      </c>
      <c r="I2069">
        <v>6</v>
      </c>
      <c r="K2069" t="s">
        <v>10</v>
      </c>
      <c r="L2069" s="8">
        <f t="shared" si="5131"/>
        <v>2</v>
      </c>
      <c r="M2069" t="s">
        <v>2279</v>
      </c>
    </row>
    <row r="2070" spans="1:13" x14ac:dyDescent="0.35">
      <c r="A2070">
        <f t="shared" si="4745"/>
        <v>2066</v>
      </c>
      <c r="B2070" s="9">
        <f t="shared" ref="B2070" si="5192">B2069+H2070+I2070+J2070</f>
        <v>108.02999999999997</v>
      </c>
      <c r="C2070" s="3" t="s">
        <v>2266</v>
      </c>
      <c r="D2070">
        <f t="shared" ref="D2070" si="5193">_xlfn.NUMBERVALUE(LEFT(C2070,2))</f>
        <v>11</v>
      </c>
      <c r="E2070">
        <f t="shared" ref="E2070" si="5194">_xlfn.NUMBERVALUE(MID(C2070,4,2))</f>
        <v>2</v>
      </c>
      <c r="F2070">
        <f t="shared" ref="F2070" si="5195">_xlfn.NUMBERVALUE(RIGHT(C2070,4))</f>
        <v>2024</v>
      </c>
      <c r="G2070" t="s">
        <v>7</v>
      </c>
      <c r="H2070">
        <v>-2</v>
      </c>
      <c r="K2070" t="s">
        <v>9</v>
      </c>
      <c r="L2070" s="8">
        <f t="shared" si="5131"/>
        <v>-1</v>
      </c>
      <c r="M2070" t="s">
        <v>2280</v>
      </c>
    </row>
    <row r="2071" spans="1:13" x14ac:dyDescent="0.35">
      <c r="A2071">
        <f t="shared" si="4745"/>
        <v>2067</v>
      </c>
      <c r="B2071" s="9">
        <f t="shared" ref="B2071" si="5196">B2070+H2071+I2071+J2071</f>
        <v>106.02999999999997</v>
      </c>
      <c r="C2071" s="3" t="s">
        <v>2266</v>
      </c>
      <c r="D2071">
        <f t="shared" ref="D2071" si="5197">_xlfn.NUMBERVALUE(LEFT(C2071,2))</f>
        <v>11</v>
      </c>
      <c r="E2071">
        <f t="shared" ref="E2071" si="5198">_xlfn.NUMBERVALUE(MID(C2071,4,2))</f>
        <v>2</v>
      </c>
      <c r="F2071">
        <f t="shared" ref="F2071" si="5199">_xlfn.NUMBERVALUE(RIGHT(C2071,4))</f>
        <v>2024</v>
      </c>
      <c r="G2071" t="s">
        <v>7</v>
      </c>
      <c r="H2071">
        <v>-2</v>
      </c>
      <c r="K2071" t="s">
        <v>9</v>
      </c>
      <c r="L2071" s="8">
        <f t="shared" si="5131"/>
        <v>-1</v>
      </c>
      <c r="M2071" t="s">
        <v>2281</v>
      </c>
    </row>
    <row r="2072" spans="1:13" x14ac:dyDescent="0.35">
      <c r="A2072">
        <f t="shared" si="4745"/>
        <v>2068</v>
      </c>
      <c r="B2072" s="9">
        <f t="shared" ref="B2072" si="5200">B2071+H2072+I2072+J2072</f>
        <v>110.02999999999997</v>
      </c>
      <c r="C2072" s="3" t="s">
        <v>2266</v>
      </c>
      <c r="D2072">
        <f t="shared" ref="D2072" si="5201">_xlfn.NUMBERVALUE(LEFT(C2072,2))</f>
        <v>11</v>
      </c>
      <c r="E2072">
        <f t="shared" ref="E2072" si="5202">_xlfn.NUMBERVALUE(MID(C2072,4,2))</f>
        <v>2</v>
      </c>
      <c r="F2072">
        <f t="shared" ref="F2072" si="5203">_xlfn.NUMBERVALUE(RIGHT(C2072,4))</f>
        <v>2024</v>
      </c>
      <c r="G2072" t="s">
        <v>7</v>
      </c>
      <c r="H2072">
        <v>-2</v>
      </c>
      <c r="I2072">
        <v>6</v>
      </c>
      <c r="K2072" t="s">
        <v>10</v>
      </c>
      <c r="L2072" s="8">
        <f t="shared" si="5131"/>
        <v>2</v>
      </c>
      <c r="M2072" t="s">
        <v>2282</v>
      </c>
    </row>
    <row r="2073" spans="1:13" x14ac:dyDescent="0.35">
      <c r="A2073">
        <f t="shared" si="4745"/>
        <v>2069</v>
      </c>
      <c r="B2073" s="9">
        <f t="shared" ref="B2073" si="5204">B2072+H2073+I2073+J2073</f>
        <v>108.02999999999997</v>
      </c>
      <c r="C2073" s="3" t="s">
        <v>2266</v>
      </c>
      <c r="D2073">
        <f t="shared" ref="D2073" si="5205">_xlfn.NUMBERVALUE(LEFT(C2073,2))</f>
        <v>11</v>
      </c>
      <c r="E2073">
        <f t="shared" ref="E2073" si="5206">_xlfn.NUMBERVALUE(MID(C2073,4,2))</f>
        <v>2</v>
      </c>
      <c r="F2073">
        <f t="shared" ref="F2073" si="5207">_xlfn.NUMBERVALUE(RIGHT(C2073,4))</f>
        <v>2024</v>
      </c>
      <c r="G2073" t="s">
        <v>7</v>
      </c>
      <c r="H2073">
        <v>-2</v>
      </c>
      <c r="K2073" t="s">
        <v>9</v>
      </c>
      <c r="L2073" s="8">
        <f t="shared" si="5131"/>
        <v>-1</v>
      </c>
      <c r="M2073" t="s">
        <v>2283</v>
      </c>
    </row>
    <row r="2074" spans="1:13" x14ac:dyDescent="0.35">
      <c r="A2074">
        <f t="shared" si="4745"/>
        <v>2070</v>
      </c>
      <c r="B2074" s="9">
        <f t="shared" ref="B2074:B2075" si="5208">B2073+H2074+I2074+J2074</f>
        <v>106.02999999999997</v>
      </c>
      <c r="C2074" s="3" t="s">
        <v>2266</v>
      </c>
      <c r="D2074">
        <f t="shared" ref="D2074" si="5209">_xlfn.NUMBERVALUE(LEFT(C2074,2))</f>
        <v>11</v>
      </c>
      <c r="E2074">
        <f t="shared" ref="E2074" si="5210">_xlfn.NUMBERVALUE(MID(C2074,4,2))</f>
        <v>2</v>
      </c>
      <c r="F2074">
        <f t="shared" ref="F2074" si="5211">_xlfn.NUMBERVALUE(RIGHT(C2074,4))</f>
        <v>2024</v>
      </c>
      <c r="G2074" t="s">
        <v>7</v>
      </c>
      <c r="H2074">
        <v>-2</v>
      </c>
      <c r="K2074" t="s">
        <v>9</v>
      </c>
      <c r="L2074" s="8">
        <f t="shared" si="5131"/>
        <v>-1</v>
      </c>
      <c r="M2074" t="s">
        <v>2284</v>
      </c>
    </row>
    <row r="2075" spans="1:13" x14ac:dyDescent="0.35">
      <c r="A2075">
        <f t="shared" si="4745"/>
        <v>2071</v>
      </c>
      <c r="B2075" s="9">
        <f t="shared" si="5208"/>
        <v>110.02999999999997</v>
      </c>
      <c r="C2075" s="3" t="s">
        <v>2266</v>
      </c>
      <c r="D2075">
        <f t="shared" ref="D2075" si="5212">_xlfn.NUMBERVALUE(LEFT(C2075,2))</f>
        <v>11</v>
      </c>
      <c r="E2075">
        <f t="shared" ref="E2075" si="5213">_xlfn.NUMBERVALUE(MID(C2075,4,2))</f>
        <v>2</v>
      </c>
      <c r="F2075">
        <f t="shared" ref="F2075" si="5214">_xlfn.NUMBERVALUE(RIGHT(C2075,4))</f>
        <v>2024</v>
      </c>
      <c r="G2075" t="s">
        <v>7</v>
      </c>
      <c r="H2075">
        <v>-2</v>
      </c>
      <c r="I2075">
        <v>6</v>
      </c>
      <c r="K2075" t="s">
        <v>10</v>
      </c>
      <c r="L2075" s="8">
        <f t="shared" si="5131"/>
        <v>2</v>
      </c>
      <c r="M2075" t="s">
        <v>2285</v>
      </c>
    </row>
    <row r="2076" spans="1:13" x14ac:dyDescent="0.35">
      <c r="A2076">
        <f t="shared" si="4745"/>
        <v>2072</v>
      </c>
      <c r="B2076" s="9">
        <f t="shared" ref="B2076" si="5215">B2075+H2076+I2076+J2076</f>
        <v>108.02999999999997</v>
      </c>
      <c r="C2076" s="3" t="s">
        <v>2266</v>
      </c>
      <c r="D2076">
        <f t="shared" ref="D2076" si="5216">_xlfn.NUMBERVALUE(LEFT(C2076,2))</f>
        <v>11</v>
      </c>
      <c r="E2076">
        <f t="shared" ref="E2076" si="5217">_xlfn.NUMBERVALUE(MID(C2076,4,2))</f>
        <v>2</v>
      </c>
      <c r="F2076">
        <f t="shared" ref="F2076" si="5218">_xlfn.NUMBERVALUE(RIGHT(C2076,4))</f>
        <v>2024</v>
      </c>
      <c r="G2076" t="s">
        <v>7</v>
      </c>
      <c r="H2076">
        <v>-2</v>
      </c>
      <c r="K2076" t="s">
        <v>9</v>
      </c>
      <c r="L2076" s="8">
        <f t="shared" si="5131"/>
        <v>-1</v>
      </c>
      <c r="M2076" t="s">
        <v>2286</v>
      </c>
    </row>
    <row r="2077" spans="1:13" x14ac:dyDescent="0.35">
      <c r="A2077">
        <f t="shared" si="4745"/>
        <v>2073</v>
      </c>
      <c r="B2077" s="9">
        <f t="shared" ref="B2077" si="5219">B2076+H2077+I2077+J2077</f>
        <v>106.02999999999997</v>
      </c>
      <c r="C2077" s="3" t="s">
        <v>2266</v>
      </c>
      <c r="D2077">
        <f t="shared" ref="D2077" si="5220">_xlfn.NUMBERVALUE(LEFT(C2077,2))</f>
        <v>11</v>
      </c>
      <c r="E2077">
        <f t="shared" ref="E2077" si="5221">_xlfn.NUMBERVALUE(MID(C2077,4,2))</f>
        <v>2</v>
      </c>
      <c r="F2077">
        <f t="shared" ref="F2077" si="5222">_xlfn.NUMBERVALUE(RIGHT(C2077,4))</f>
        <v>2024</v>
      </c>
      <c r="G2077" t="s">
        <v>7</v>
      </c>
      <c r="H2077">
        <v>-2</v>
      </c>
      <c r="K2077" t="s">
        <v>9</v>
      </c>
      <c r="L2077" s="8">
        <f t="shared" si="5131"/>
        <v>-1</v>
      </c>
      <c r="M2077" t="s">
        <v>2287</v>
      </c>
    </row>
    <row r="2078" spans="1:13" x14ac:dyDescent="0.35">
      <c r="A2078">
        <f t="shared" si="4745"/>
        <v>2074</v>
      </c>
      <c r="B2078" s="9">
        <f t="shared" ref="B2078" si="5223">B2077+H2078+I2078+J2078</f>
        <v>110.02999999999997</v>
      </c>
      <c r="C2078" s="3" t="s">
        <v>2266</v>
      </c>
      <c r="D2078">
        <f t="shared" ref="D2078" si="5224">_xlfn.NUMBERVALUE(LEFT(C2078,2))</f>
        <v>11</v>
      </c>
      <c r="E2078">
        <f t="shared" ref="E2078" si="5225">_xlfn.NUMBERVALUE(MID(C2078,4,2))</f>
        <v>2</v>
      </c>
      <c r="F2078">
        <f t="shared" ref="F2078" si="5226">_xlfn.NUMBERVALUE(RIGHT(C2078,4))</f>
        <v>2024</v>
      </c>
      <c r="G2078" t="s">
        <v>7</v>
      </c>
      <c r="H2078">
        <v>-2</v>
      </c>
      <c r="I2078">
        <v>6</v>
      </c>
      <c r="K2078" t="s">
        <v>10</v>
      </c>
      <c r="L2078" s="8">
        <f t="shared" si="5131"/>
        <v>2</v>
      </c>
      <c r="M2078" t="s">
        <v>2288</v>
      </c>
    </row>
    <row r="2079" spans="1:13" x14ac:dyDescent="0.35">
      <c r="A2079">
        <f t="shared" si="4745"/>
        <v>2075</v>
      </c>
      <c r="B2079" s="9">
        <f t="shared" ref="B2079" si="5227">B2078+H2079+I2079+J2079</f>
        <v>114.02999999999997</v>
      </c>
      <c r="C2079" s="3" t="s">
        <v>2266</v>
      </c>
      <c r="D2079">
        <f t="shared" ref="D2079" si="5228">_xlfn.NUMBERVALUE(LEFT(C2079,2))</f>
        <v>11</v>
      </c>
      <c r="E2079">
        <f t="shared" ref="E2079" si="5229">_xlfn.NUMBERVALUE(MID(C2079,4,2))</f>
        <v>2</v>
      </c>
      <c r="F2079">
        <f t="shared" ref="F2079" si="5230">_xlfn.NUMBERVALUE(RIGHT(C2079,4))</f>
        <v>2024</v>
      </c>
      <c r="G2079" t="s">
        <v>7</v>
      </c>
      <c r="H2079">
        <v>-2</v>
      </c>
      <c r="I2079">
        <v>6</v>
      </c>
      <c r="K2079" t="s">
        <v>10</v>
      </c>
      <c r="L2079" s="8">
        <f t="shared" si="5131"/>
        <v>2</v>
      </c>
      <c r="M2079" t="s">
        <v>2289</v>
      </c>
    </row>
    <row r="2080" spans="1:13" x14ac:dyDescent="0.35">
      <c r="A2080">
        <f t="shared" si="4745"/>
        <v>2076</v>
      </c>
      <c r="B2080" s="9">
        <f t="shared" ref="B2080" si="5231">B2079+H2080+I2080+J2080</f>
        <v>112.02999999999997</v>
      </c>
      <c r="C2080" s="3" t="s">
        <v>2266</v>
      </c>
      <c r="D2080">
        <f t="shared" ref="D2080" si="5232">_xlfn.NUMBERVALUE(LEFT(C2080,2))</f>
        <v>11</v>
      </c>
      <c r="E2080">
        <f t="shared" ref="E2080" si="5233">_xlfn.NUMBERVALUE(MID(C2080,4,2))</f>
        <v>2</v>
      </c>
      <c r="F2080">
        <f t="shared" ref="F2080" si="5234">_xlfn.NUMBERVALUE(RIGHT(C2080,4))</f>
        <v>2024</v>
      </c>
      <c r="G2080" t="s">
        <v>7</v>
      </c>
      <c r="H2080">
        <v>-2</v>
      </c>
      <c r="K2080" t="s">
        <v>9</v>
      </c>
      <c r="L2080" s="8">
        <f t="shared" si="5131"/>
        <v>-1</v>
      </c>
      <c r="M2080" t="s">
        <v>2290</v>
      </c>
    </row>
    <row r="2081" spans="1:13" x14ac:dyDescent="0.35">
      <c r="A2081">
        <f t="shared" si="4745"/>
        <v>2077</v>
      </c>
      <c r="B2081" s="9">
        <f t="shared" ref="B2081" si="5235">B2080+H2081+I2081+J2081</f>
        <v>110.02999999999997</v>
      </c>
      <c r="C2081" s="3" t="s">
        <v>2266</v>
      </c>
      <c r="D2081">
        <f t="shared" ref="D2081" si="5236">_xlfn.NUMBERVALUE(LEFT(C2081,2))</f>
        <v>11</v>
      </c>
      <c r="E2081">
        <f t="shared" ref="E2081" si="5237">_xlfn.NUMBERVALUE(MID(C2081,4,2))</f>
        <v>2</v>
      </c>
      <c r="F2081">
        <f t="shared" ref="F2081" si="5238">_xlfn.NUMBERVALUE(RIGHT(C2081,4))</f>
        <v>2024</v>
      </c>
      <c r="G2081" t="s">
        <v>7</v>
      </c>
      <c r="H2081">
        <v>-2</v>
      </c>
      <c r="K2081" t="s">
        <v>9</v>
      </c>
      <c r="L2081" s="8">
        <f t="shared" si="5131"/>
        <v>-1</v>
      </c>
      <c r="M2081" t="s">
        <v>2291</v>
      </c>
    </row>
    <row r="2082" spans="1:13" x14ac:dyDescent="0.35">
      <c r="A2082">
        <f t="shared" si="4745"/>
        <v>2078</v>
      </c>
      <c r="B2082" s="9">
        <f t="shared" ref="B2082" si="5239">B2081+H2082+I2082+J2082</f>
        <v>108.02999999999997</v>
      </c>
      <c r="C2082" s="3" t="s">
        <v>2266</v>
      </c>
      <c r="D2082">
        <f t="shared" ref="D2082" si="5240">_xlfn.NUMBERVALUE(LEFT(C2082,2))</f>
        <v>11</v>
      </c>
      <c r="E2082">
        <f t="shared" ref="E2082" si="5241">_xlfn.NUMBERVALUE(MID(C2082,4,2))</f>
        <v>2</v>
      </c>
      <c r="F2082">
        <f t="shared" ref="F2082" si="5242">_xlfn.NUMBERVALUE(RIGHT(C2082,4))</f>
        <v>2024</v>
      </c>
      <c r="G2082" t="s">
        <v>7</v>
      </c>
      <c r="H2082">
        <v>-2</v>
      </c>
      <c r="K2082" t="s">
        <v>9</v>
      </c>
      <c r="L2082" s="8">
        <f t="shared" si="5131"/>
        <v>-1</v>
      </c>
      <c r="M2082" t="s">
        <v>2292</v>
      </c>
    </row>
    <row r="2083" spans="1:13" x14ac:dyDescent="0.35">
      <c r="A2083">
        <f t="shared" si="4745"/>
        <v>2079</v>
      </c>
      <c r="B2083" s="9">
        <f t="shared" ref="B2083" si="5243">B2082+H2083+I2083+J2083</f>
        <v>112.02999999999997</v>
      </c>
      <c r="C2083" s="3" t="s">
        <v>2293</v>
      </c>
      <c r="D2083">
        <f t="shared" ref="D2083" si="5244">_xlfn.NUMBERVALUE(LEFT(C2083,2))</f>
        <v>12</v>
      </c>
      <c r="E2083">
        <f t="shared" ref="E2083" si="5245">_xlfn.NUMBERVALUE(MID(C2083,4,2))</f>
        <v>2</v>
      </c>
      <c r="F2083">
        <f t="shared" ref="F2083" si="5246">_xlfn.NUMBERVALUE(RIGHT(C2083,4))</f>
        <v>2024</v>
      </c>
      <c r="G2083" t="s">
        <v>7</v>
      </c>
      <c r="H2083">
        <v>-2</v>
      </c>
      <c r="I2083">
        <v>6</v>
      </c>
      <c r="K2083" t="s">
        <v>10</v>
      </c>
      <c r="L2083" s="8">
        <f t="shared" si="5131"/>
        <v>2</v>
      </c>
      <c r="M2083" t="s">
        <v>2294</v>
      </c>
    </row>
    <row r="2084" spans="1:13" x14ac:dyDescent="0.35">
      <c r="A2084">
        <f t="shared" si="4745"/>
        <v>2080</v>
      </c>
      <c r="B2084" s="9">
        <f t="shared" ref="B2084" si="5247">B2083+H2084+I2084+J2084</f>
        <v>110.02999999999997</v>
      </c>
      <c r="C2084" s="3" t="s">
        <v>2293</v>
      </c>
      <c r="D2084">
        <f t="shared" ref="D2084" si="5248">_xlfn.NUMBERVALUE(LEFT(C2084,2))</f>
        <v>12</v>
      </c>
      <c r="E2084">
        <f t="shared" ref="E2084" si="5249">_xlfn.NUMBERVALUE(MID(C2084,4,2))</f>
        <v>2</v>
      </c>
      <c r="F2084">
        <f t="shared" ref="F2084" si="5250">_xlfn.NUMBERVALUE(RIGHT(C2084,4))</f>
        <v>2024</v>
      </c>
      <c r="G2084" t="s">
        <v>7</v>
      </c>
      <c r="H2084">
        <v>-2</v>
      </c>
      <c r="K2084" t="s">
        <v>9</v>
      </c>
      <c r="L2084" s="8">
        <f t="shared" si="5131"/>
        <v>-1</v>
      </c>
      <c r="M2084" t="s">
        <v>2295</v>
      </c>
    </row>
    <row r="2085" spans="1:13" x14ac:dyDescent="0.35">
      <c r="A2085">
        <f t="shared" si="4745"/>
        <v>2081</v>
      </c>
      <c r="B2085" s="9">
        <f t="shared" ref="B2085" si="5251">B2084+H2085+I2085+J2085</f>
        <v>108.02999999999997</v>
      </c>
      <c r="C2085" s="3" t="s">
        <v>2296</v>
      </c>
      <c r="D2085">
        <f t="shared" ref="D2085" si="5252">_xlfn.NUMBERVALUE(LEFT(C2085,2))</f>
        <v>13</v>
      </c>
      <c r="E2085">
        <f t="shared" ref="E2085" si="5253">_xlfn.NUMBERVALUE(MID(C2085,4,2))</f>
        <v>2</v>
      </c>
      <c r="F2085">
        <f t="shared" ref="F2085" si="5254">_xlfn.NUMBERVALUE(RIGHT(C2085,4))</f>
        <v>2024</v>
      </c>
      <c r="G2085" t="s">
        <v>7</v>
      </c>
      <c r="H2085">
        <v>-2</v>
      </c>
      <c r="K2085" t="s">
        <v>9</v>
      </c>
      <c r="L2085" s="8">
        <f t="shared" si="5131"/>
        <v>-1</v>
      </c>
      <c r="M2085" t="s">
        <v>2297</v>
      </c>
    </row>
    <row r="2086" spans="1:13" x14ac:dyDescent="0.35">
      <c r="A2086">
        <f t="shared" si="4745"/>
        <v>2082</v>
      </c>
      <c r="B2086" s="9">
        <f t="shared" ref="B2086" si="5255">B2085+H2086+I2086+J2086</f>
        <v>112.02999999999997</v>
      </c>
      <c r="C2086" s="3" t="s">
        <v>2296</v>
      </c>
      <c r="D2086">
        <f t="shared" ref="D2086" si="5256">_xlfn.NUMBERVALUE(LEFT(C2086,2))</f>
        <v>13</v>
      </c>
      <c r="E2086">
        <f t="shared" ref="E2086" si="5257">_xlfn.NUMBERVALUE(MID(C2086,4,2))</f>
        <v>2</v>
      </c>
      <c r="F2086">
        <f t="shared" ref="F2086" si="5258">_xlfn.NUMBERVALUE(RIGHT(C2086,4))</f>
        <v>2024</v>
      </c>
      <c r="G2086" t="s">
        <v>7</v>
      </c>
      <c r="H2086">
        <v>-2</v>
      </c>
      <c r="I2086">
        <v>6</v>
      </c>
      <c r="K2086" t="s">
        <v>10</v>
      </c>
      <c r="L2086" s="8">
        <f t="shared" si="5131"/>
        <v>2</v>
      </c>
      <c r="M2086" t="s">
        <v>2298</v>
      </c>
    </row>
    <row r="2087" spans="1:13" x14ac:dyDescent="0.35">
      <c r="A2087">
        <f t="shared" si="4745"/>
        <v>2083</v>
      </c>
      <c r="B2087" s="9">
        <f t="shared" ref="B2087" si="5259">B2086+H2087+I2087+J2087</f>
        <v>114.02999999999997</v>
      </c>
      <c r="C2087" s="3" t="s">
        <v>2296</v>
      </c>
      <c r="D2087">
        <f t="shared" ref="D2087" si="5260">_xlfn.NUMBERVALUE(LEFT(C2087,2))</f>
        <v>13</v>
      </c>
      <c r="E2087">
        <f t="shared" ref="E2087" si="5261">_xlfn.NUMBERVALUE(MID(C2087,4,2))</f>
        <v>2</v>
      </c>
      <c r="F2087">
        <f t="shared" ref="F2087" si="5262">_xlfn.NUMBERVALUE(RIGHT(C2087,4))</f>
        <v>2024</v>
      </c>
      <c r="G2087" t="s">
        <v>7</v>
      </c>
      <c r="H2087">
        <v>-2</v>
      </c>
      <c r="I2087">
        <v>4</v>
      </c>
      <c r="K2087" t="s">
        <v>10</v>
      </c>
      <c r="L2087" s="8">
        <f t="shared" si="5131"/>
        <v>1</v>
      </c>
      <c r="M2087" t="s">
        <v>2299</v>
      </c>
    </row>
    <row r="2088" spans="1:13" x14ac:dyDescent="0.35">
      <c r="A2088">
        <f t="shared" si="4745"/>
        <v>2084</v>
      </c>
      <c r="B2088" s="9">
        <f t="shared" ref="B2088" si="5263">B2087+H2088+I2088+J2088</f>
        <v>272.02999999999997</v>
      </c>
      <c r="C2088" s="3" t="s">
        <v>2296</v>
      </c>
      <c r="D2088">
        <f t="shared" ref="D2088" si="5264">_xlfn.NUMBERVALUE(LEFT(C2088,2))</f>
        <v>13</v>
      </c>
      <c r="E2088">
        <f t="shared" ref="E2088" si="5265">_xlfn.NUMBERVALUE(MID(C2088,4,2))</f>
        <v>2</v>
      </c>
      <c r="F2088">
        <f t="shared" ref="F2088" si="5266">_xlfn.NUMBERVALUE(RIGHT(C2088,4))</f>
        <v>2024</v>
      </c>
      <c r="G2088" t="s">
        <v>7</v>
      </c>
      <c r="H2088">
        <v>-2</v>
      </c>
      <c r="I2088">
        <v>160</v>
      </c>
      <c r="K2088" t="s">
        <v>10</v>
      </c>
      <c r="L2088" s="8">
        <f t="shared" si="5131"/>
        <v>79</v>
      </c>
      <c r="M2088" t="s">
        <v>2300</v>
      </c>
    </row>
    <row r="2089" spans="1:13" x14ac:dyDescent="0.35">
      <c r="A2089">
        <f t="shared" si="4745"/>
        <v>2085</v>
      </c>
      <c r="B2089" s="9">
        <f t="shared" ref="B2089" si="5267">B2088+H2089+I2089+J2089</f>
        <v>270.02999999999997</v>
      </c>
      <c r="C2089" s="3" t="s">
        <v>2301</v>
      </c>
      <c r="D2089">
        <f t="shared" ref="D2089" si="5268">_xlfn.NUMBERVALUE(LEFT(C2089,2))</f>
        <v>14</v>
      </c>
      <c r="E2089">
        <f t="shared" ref="E2089" si="5269">_xlfn.NUMBERVALUE(MID(C2089,4,2))</f>
        <v>2</v>
      </c>
      <c r="F2089">
        <f t="shared" ref="F2089" si="5270">_xlfn.NUMBERVALUE(RIGHT(C2089,4))</f>
        <v>2024</v>
      </c>
      <c r="G2089" t="s">
        <v>7</v>
      </c>
      <c r="H2089">
        <v>-2</v>
      </c>
      <c r="K2089" t="s">
        <v>9</v>
      </c>
      <c r="L2089" s="8">
        <f t="shared" si="5131"/>
        <v>-1</v>
      </c>
      <c r="M2089" t="s">
        <v>2302</v>
      </c>
    </row>
    <row r="2090" spans="1:13" x14ac:dyDescent="0.35">
      <c r="A2090">
        <f t="shared" si="4745"/>
        <v>2086</v>
      </c>
      <c r="B2090" s="9">
        <f t="shared" ref="B2090" si="5271">B2089+H2090+I2090+J2090</f>
        <v>285.02999999999997</v>
      </c>
      <c r="C2090" s="3" t="s">
        <v>2301</v>
      </c>
      <c r="D2090">
        <f t="shared" ref="D2090" si="5272">_xlfn.NUMBERVALUE(LEFT(C2090,2))</f>
        <v>14</v>
      </c>
      <c r="E2090">
        <f t="shared" ref="E2090" si="5273">_xlfn.NUMBERVALUE(MID(C2090,4,2))</f>
        <v>2</v>
      </c>
      <c r="F2090">
        <f t="shared" ref="F2090" si="5274">_xlfn.NUMBERVALUE(RIGHT(C2090,4))</f>
        <v>2024</v>
      </c>
      <c r="G2090" t="s">
        <v>7</v>
      </c>
      <c r="H2090">
        <v>-5</v>
      </c>
      <c r="I2090">
        <v>20</v>
      </c>
      <c r="K2090" t="s">
        <v>10</v>
      </c>
      <c r="L2090" s="8">
        <f t="shared" si="5131"/>
        <v>3</v>
      </c>
      <c r="M2090" t="s">
        <v>2303</v>
      </c>
    </row>
    <row r="2091" spans="1:13" x14ac:dyDescent="0.35">
      <c r="A2091">
        <f t="shared" si="4745"/>
        <v>2087</v>
      </c>
      <c r="B2091" s="9">
        <f t="shared" ref="B2091" si="5275">B2090+H2091+I2091+J2091</f>
        <v>320.02999999999997</v>
      </c>
      <c r="C2091" s="3" t="s">
        <v>2301</v>
      </c>
      <c r="D2091">
        <f t="shared" ref="D2091" si="5276">_xlfn.NUMBERVALUE(LEFT(C2091,2))</f>
        <v>14</v>
      </c>
      <c r="E2091">
        <f t="shared" ref="E2091" si="5277">_xlfn.NUMBERVALUE(MID(C2091,4,2))</f>
        <v>2</v>
      </c>
      <c r="F2091">
        <f t="shared" ref="F2091" si="5278">_xlfn.NUMBERVALUE(RIGHT(C2091,4))</f>
        <v>2024</v>
      </c>
      <c r="G2091" t="s">
        <v>7</v>
      </c>
      <c r="H2091">
        <v>-5</v>
      </c>
      <c r="I2091">
        <v>40</v>
      </c>
      <c r="K2091" t="s">
        <v>10</v>
      </c>
      <c r="L2091" s="8">
        <f t="shared" si="5131"/>
        <v>7</v>
      </c>
      <c r="M2091" t="s">
        <v>2304</v>
      </c>
    </row>
    <row r="2092" spans="1:13" x14ac:dyDescent="0.35">
      <c r="A2092">
        <f t="shared" si="4745"/>
        <v>2088</v>
      </c>
      <c r="B2092" s="9">
        <f t="shared" ref="B2092" si="5279">B2091+H2092+I2092+J2092</f>
        <v>315.02999999999997</v>
      </c>
      <c r="C2092" s="3" t="s">
        <v>2301</v>
      </c>
      <c r="D2092">
        <f t="shared" ref="D2092" si="5280">_xlfn.NUMBERVALUE(LEFT(C2092,2))</f>
        <v>14</v>
      </c>
      <c r="E2092">
        <f t="shared" ref="E2092" si="5281">_xlfn.NUMBERVALUE(MID(C2092,4,2))</f>
        <v>2</v>
      </c>
      <c r="F2092">
        <f t="shared" ref="F2092" si="5282">_xlfn.NUMBERVALUE(RIGHT(C2092,4))</f>
        <v>2024</v>
      </c>
      <c r="G2092" t="s">
        <v>7</v>
      </c>
      <c r="H2092">
        <v>-5</v>
      </c>
      <c r="K2092" t="s">
        <v>9</v>
      </c>
      <c r="L2092" s="8">
        <f t="shared" si="5131"/>
        <v>-1</v>
      </c>
      <c r="M2092" t="s">
        <v>2305</v>
      </c>
    </row>
    <row r="2093" spans="1:13" x14ac:dyDescent="0.35">
      <c r="A2093">
        <f t="shared" si="4745"/>
        <v>2089</v>
      </c>
      <c r="B2093" s="9">
        <f t="shared" ref="B2093" si="5283">B2092+H2093+I2093+J2093</f>
        <v>310.02999999999997</v>
      </c>
      <c r="C2093" s="3" t="s">
        <v>2301</v>
      </c>
      <c r="D2093">
        <f t="shared" ref="D2093" si="5284">_xlfn.NUMBERVALUE(LEFT(C2093,2))</f>
        <v>14</v>
      </c>
      <c r="E2093">
        <f t="shared" ref="E2093" si="5285">_xlfn.NUMBERVALUE(MID(C2093,4,2))</f>
        <v>2</v>
      </c>
      <c r="F2093">
        <f t="shared" ref="F2093" si="5286">_xlfn.NUMBERVALUE(RIGHT(C2093,4))</f>
        <v>2024</v>
      </c>
      <c r="G2093" t="s">
        <v>7</v>
      </c>
      <c r="H2093">
        <v>-5</v>
      </c>
      <c r="K2093" t="s">
        <v>9</v>
      </c>
      <c r="L2093" s="8">
        <f t="shared" si="5131"/>
        <v>-1</v>
      </c>
      <c r="M2093" t="s">
        <v>2306</v>
      </c>
    </row>
    <row r="2094" spans="1:13" x14ac:dyDescent="0.35">
      <c r="A2094">
        <f t="shared" si="4745"/>
        <v>2090</v>
      </c>
      <c r="B2094" s="9">
        <f t="shared" ref="B2094" si="5287">B2093+H2094+I2094+J2094</f>
        <v>305.02999999999997</v>
      </c>
      <c r="C2094" s="3" t="s">
        <v>2301</v>
      </c>
      <c r="D2094">
        <f t="shared" ref="D2094" si="5288">_xlfn.NUMBERVALUE(LEFT(C2094,2))</f>
        <v>14</v>
      </c>
      <c r="E2094">
        <f t="shared" ref="E2094" si="5289">_xlfn.NUMBERVALUE(MID(C2094,4,2))</f>
        <v>2</v>
      </c>
      <c r="F2094">
        <f t="shared" ref="F2094" si="5290">_xlfn.NUMBERVALUE(RIGHT(C2094,4))</f>
        <v>2024</v>
      </c>
      <c r="G2094" t="s">
        <v>7</v>
      </c>
      <c r="H2094">
        <v>-5</v>
      </c>
      <c r="K2094" t="s">
        <v>9</v>
      </c>
      <c r="L2094" s="8">
        <f t="shared" si="5131"/>
        <v>-1</v>
      </c>
      <c r="M2094" t="s">
        <v>2307</v>
      </c>
    </row>
    <row r="2095" spans="1:13" x14ac:dyDescent="0.35">
      <c r="A2095">
        <f t="shared" si="4745"/>
        <v>2091</v>
      </c>
      <c r="B2095" s="9">
        <f t="shared" ref="B2095:B2096" si="5291">B2094+H2095+I2095+J2095</f>
        <v>300.02999999999997</v>
      </c>
      <c r="C2095" s="3" t="s">
        <v>2301</v>
      </c>
      <c r="D2095">
        <f t="shared" ref="D2095:D2096" si="5292">_xlfn.NUMBERVALUE(LEFT(C2095,2))</f>
        <v>14</v>
      </c>
      <c r="E2095">
        <f t="shared" ref="E2095:E2096" si="5293">_xlfn.NUMBERVALUE(MID(C2095,4,2))</f>
        <v>2</v>
      </c>
      <c r="F2095">
        <f t="shared" ref="F2095:F2096" si="5294">_xlfn.NUMBERVALUE(RIGHT(C2095,4))</f>
        <v>2024</v>
      </c>
      <c r="G2095" t="s">
        <v>7</v>
      </c>
      <c r="H2095">
        <v>-5</v>
      </c>
      <c r="K2095" t="s">
        <v>9</v>
      </c>
      <c r="L2095" s="8">
        <f t="shared" si="5131"/>
        <v>-1</v>
      </c>
      <c r="M2095" t="s">
        <v>2308</v>
      </c>
    </row>
    <row r="2096" spans="1:13" x14ac:dyDescent="0.35">
      <c r="A2096">
        <f t="shared" si="4745"/>
        <v>2092</v>
      </c>
      <c r="B2096" s="9">
        <f t="shared" si="5291"/>
        <v>306.02999999999997</v>
      </c>
      <c r="C2096" s="3" t="s">
        <v>2309</v>
      </c>
      <c r="D2096">
        <f t="shared" si="5292"/>
        <v>15</v>
      </c>
      <c r="E2096">
        <f t="shared" si="5293"/>
        <v>2</v>
      </c>
      <c r="F2096">
        <f t="shared" si="5294"/>
        <v>2024</v>
      </c>
      <c r="G2096" t="s">
        <v>7</v>
      </c>
      <c r="H2096">
        <v>-2</v>
      </c>
      <c r="I2096">
        <v>8</v>
      </c>
      <c r="K2096" t="s">
        <v>10</v>
      </c>
      <c r="L2096" s="8">
        <f t="shared" si="5131"/>
        <v>3</v>
      </c>
      <c r="M2096" t="s">
        <v>2310</v>
      </c>
    </row>
    <row r="2097" spans="1:13" x14ac:dyDescent="0.35">
      <c r="A2097">
        <f t="shared" si="4745"/>
        <v>2093</v>
      </c>
      <c r="B2097" s="9">
        <f t="shared" ref="B2097" si="5295">B2096+H2097+I2097+J2097</f>
        <v>304.02999999999997</v>
      </c>
      <c r="C2097" s="3" t="s">
        <v>2309</v>
      </c>
      <c r="D2097">
        <f t="shared" ref="D2097" si="5296">_xlfn.NUMBERVALUE(LEFT(C2097,2))</f>
        <v>15</v>
      </c>
      <c r="E2097">
        <f t="shared" ref="E2097" si="5297">_xlfn.NUMBERVALUE(MID(C2097,4,2))</f>
        <v>2</v>
      </c>
      <c r="F2097">
        <f t="shared" ref="F2097" si="5298">_xlfn.NUMBERVALUE(RIGHT(C2097,4))</f>
        <v>2024</v>
      </c>
      <c r="G2097" t="s">
        <v>7</v>
      </c>
      <c r="H2097">
        <v>-2</v>
      </c>
      <c r="K2097" t="s">
        <v>9</v>
      </c>
      <c r="L2097" s="8">
        <f t="shared" si="5131"/>
        <v>-1</v>
      </c>
      <c r="M2097" t="s">
        <v>2311</v>
      </c>
    </row>
    <row r="2098" spans="1:13" x14ac:dyDescent="0.35">
      <c r="A2098">
        <f t="shared" si="4745"/>
        <v>2094</v>
      </c>
      <c r="B2098" s="9">
        <f t="shared" ref="B2098" si="5299">B2097+H2098+I2098+J2098</f>
        <v>302.02999999999997</v>
      </c>
      <c r="C2098" s="3" t="s">
        <v>2309</v>
      </c>
      <c r="D2098">
        <f t="shared" ref="D2098" si="5300">_xlfn.NUMBERVALUE(LEFT(C2098,2))</f>
        <v>15</v>
      </c>
      <c r="E2098">
        <f t="shared" ref="E2098" si="5301">_xlfn.NUMBERVALUE(MID(C2098,4,2))</f>
        <v>2</v>
      </c>
      <c r="F2098">
        <f t="shared" ref="F2098" si="5302">_xlfn.NUMBERVALUE(RIGHT(C2098,4))</f>
        <v>2024</v>
      </c>
      <c r="G2098" t="s">
        <v>7</v>
      </c>
      <c r="H2098">
        <v>-2</v>
      </c>
      <c r="K2098" t="s">
        <v>9</v>
      </c>
      <c r="L2098" s="8">
        <f t="shared" si="5131"/>
        <v>-1</v>
      </c>
      <c r="M2098" t="s">
        <v>2312</v>
      </c>
    </row>
    <row r="2099" spans="1:13" x14ac:dyDescent="0.35">
      <c r="A2099">
        <f t="shared" si="4745"/>
        <v>2095</v>
      </c>
      <c r="B2099" s="9">
        <f t="shared" ref="B2099" si="5303">B2098+H2099+I2099+J2099</f>
        <v>304.02999999999997</v>
      </c>
      <c r="C2099" s="3" t="s">
        <v>2309</v>
      </c>
      <c r="D2099">
        <f t="shared" ref="D2099" si="5304">_xlfn.NUMBERVALUE(LEFT(C2099,2))</f>
        <v>15</v>
      </c>
      <c r="E2099">
        <f t="shared" ref="E2099" si="5305">_xlfn.NUMBERVALUE(MID(C2099,4,2))</f>
        <v>2</v>
      </c>
      <c r="F2099">
        <f t="shared" ref="F2099" si="5306">_xlfn.NUMBERVALUE(RIGHT(C2099,4))</f>
        <v>2024</v>
      </c>
      <c r="G2099" t="s">
        <v>7</v>
      </c>
      <c r="H2099">
        <v>-2</v>
      </c>
      <c r="I2099">
        <v>4</v>
      </c>
      <c r="K2099" t="s">
        <v>10</v>
      </c>
      <c r="L2099" s="8">
        <f t="shared" si="5131"/>
        <v>1</v>
      </c>
      <c r="M2099" t="s">
        <v>2313</v>
      </c>
    </row>
    <row r="2100" spans="1:13" x14ac:dyDescent="0.35">
      <c r="A2100">
        <f t="shared" si="4745"/>
        <v>2096</v>
      </c>
      <c r="B2100" s="9">
        <f t="shared" ref="B2100" si="5307">B2099+H2100+I2100+J2100</f>
        <v>302.02999999999997</v>
      </c>
      <c r="C2100" s="3" t="s">
        <v>2309</v>
      </c>
      <c r="D2100">
        <f t="shared" ref="D2100" si="5308">_xlfn.NUMBERVALUE(LEFT(C2100,2))</f>
        <v>15</v>
      </c>
      <c r="E2100">
        <f t="shared" ref="E2100" si="5309">_xlfn.NUMBERVALUE(MID(C2100,4,2))</f>
        <v>2</v>
      </c>
      <c r="F2100">
        <f t="shared" ref="F2100" si="5310">_xlfn.NUMBERVALUE(RIGHT(C2100,4))</f>
        <v>2024</v>
      </c>
      <c r="G2100" t="s">
        <v>7</v>
      </c>
      <c r="H2100">
        <v>-2</v>
      </c>
      <c r="K2100" t="s">
        <v>9</v>
      </c>
      <c r="L2100" s="8">
        <f t="shared" si="5131"/>
        <v>-1</v>
      </c>
      <c r="M2100" t="s">
        <v>2314</v>
      </c>
    </row>
    <row r="2101" spans="1:13" x14ac:dyDescent="0.35">
      <c r="A2101">
        <f t="shared" si="4745"/>
        <v>2097</v>
      </c>
      <c r="B2101" s="9">
        <f t="shared" ref="B2101" si="5311">B2100+H2101+I2101+J2101</f>
        <v>300.02999999999997</v>
      </c>
      <c r="C2101" s="3" t="s">
        <v>2316</v>
      </c>
      <c r="D2101">
        <f t="shared" ref="D2101" si="5312">_xlfn.NUMBERVALUE(LEFT(C2101,2))</f>
        <v>16</v>
      </c>
      <c r="E2101">
        <f t="shared" ref="E2101" si="5313">_xlfn.NUMBERVALUE(MID(C2101,4,2))</f>
        <v>2</v>
      </c>
      <c r="F2101">
        <f t="shared" ref="F2101" si="5314">_xlfn.NUMBERVALUE(RIGHT(C2101,4))</f>
        <v>2024</v>
      </c>
      <c r="G2101" t="s">
        <v>7</v>
      </c>
      <c r="H2101">
        <v>-2</v>
      </c>
      <c r="K2101" t="s">
        <v>9</v>
      </c>
      <c r="L2101" s="8">
        <f t="shared" si="5131"/>
        <v>-1</v>
      </c>
      <c r="M2101" t="s">
        <v>2315</v>
      </c>
    </row>
    <row r="2102" spans="1:13" x14ac:dyDescent="0.35">
      <c r="A2102">
        <f t="shared" si="4745"/>
        <v>2098</v>
      </c>
      <c r="B2102" s="9">
        <f t="shared" ref="B2102" si="5315">B2101+H2102+I2102+J2102</f>
        <v>304.02999999999997</v>
      </c>
      <c r="C2102" s="3" t="s">
        <v>2316</v>
      </c>
      <c r="D2102">
        <f t="shared" ref="D2102" si="5316">_xlfn.NUMBERVALUE(LEFT(C2102,2))</f>
        <v>16</v>
      </c>
      <c r="E2102">
        <f t="shared" ref="E2102" si="5317">_xlfn.NUMBERVALUE(MID(C2102,4,2))</f>
        <v>2</v>
      </c>
      <c r="F2102">
        <f t="shared" ref="F2102" si="5318">_xlfn.NUMBERVALUE(RIGHT(C2102,4))</f>
        <v>2024</v>
      </c>
      <c r="G2102" t="s">
        <v>7</v>
      </c>
      <c r="H2102">
        <v>-2</v>
      </c>
      <c r="I2102">
        <v>6</v>
      </c>
      <c r="K2102" t="s">
        <v>10</v>
      </c>
      <c r="L2102" s="8">
        <f t="shared" si="5131"/>
        <v>2</v>
      </c>
      <c r="M2102" t="s">
        <v>2317</v>
      </c>
    </row>
    <row r="2103" spans="1:13" x14ac:dyDescent="0.35">
      <c r="A2103">
        <f t="shared" si="4745"/>
        <v>2099</v>
      </c>
      <c r="B2103" s="9">
        <f t="shared" ref="B2103" si="5319">B2102+H2103+I2103+J2103</f>
        <v>302.02999999999997</v>
      </c>
      <c r="C2103" s="3" t="s">
        <v>2316</v>
      </c>
      <c r="D2103">
        <f t="shared" ref="D2103" si="5320">_xlfn.NUMBERVALUE(LEFT(C2103,2))</f>
        <v>16</v>
      </c>
      <c r="E2103">
        <f t="shared" ref="E2103" si="5321">_xlfn.NUMBERVALUE(MID(C2103,4,2))</f>
        <v>2</v>
      </c>
      <c r="F2103">
        <f t="shared" ref="F2103" si="5322">_xlfn.NUMBERVALUE(RIGHT(C2103,4))</f>
        <v>2024</v>
      </c>
      <c r="G2103" t="s">
        <v>7</v>
      </c>
      <c r="H2103">
        <v>-2</v>
      </c>
      <c r="K2103" t="s">
        <v>9</v>
      </c>
      <c r="L2103" s="8">
        <f t="shared" si="5131"/>
        <v>-1</v>
      </c>
      <c r="M2103" t="s">
        <v>2318</v>
      </c>
    </row>
    <row r="2104" spans="1:13" x14ac:dyDescent="0.35">
      <c r="A2104">
        <f t="shared" si="4745"/>
        <v>2100</v>
      </c>
      <c r="B2104" s="9">
        <f t="shared" ref="B2104" si="5323">B2103+H2104+I2104+J2104</f>
        <v>300.02999999999997</v>
      </c>
      <c r="C2104" s="3" t="s">
        <v>2316</v>
      </c>
      <c r="D2104">
        <f t="shared" ref="D2104" si="5324">_xlfn.NUMBERVALUE(LEFT(C2104,2))</f>
        <v>16</v>
      </c>
      <c r="E2104">
        <f t="shared" ref="E2104" si="5325">_xlfn.NUMBERVALUE(MID(C2104,4,2))</f>
        <v>2</v>
      </c>
      <c r="F2104">
        <f t="shared" ref="F2104" si="5326">_xlfn.NUMBERVALUE(RIGHT(C2104,4))</f>
        <v>2024</v>
      </c>
      <c r="G2104" t="s">
        <v>7</v>
      </c>
      <c r="H2104">
        <v>-2</v>
      </c>
      <c r="K2104" t="s">
        <v>9</v>
      </c>
      <c r="L2104" s="8">
        <f t="shared" si="5131"/>
        <v>-1</v>
      </c>
      <c r="M2104" t="s">
        <v>2319</v>
      </c>
    </row>
    <row r="2105" spans="1:13" x14ac:dyDescent="0.35">
      <c r="A2105">
        <f t="shared" si="4745"/>
        <v>2101</v>
      </c>
      <c r="B2105" s="9">
        <f t="shared" ref="B2105" si="5327">B2104+H2105+I2105+J2105</f>
        <v>298.02999999999997</v>
      </c>
      <c r="C2105" s="3" t="s">
        <v>2316</v>
      </c>
      <c r="D2105">
        <f t="shared" ref="D2105" si="5328">_xlfn.NUMBERVALUE(LEFT(C2105,2))</f>
        <v>16</v>
      </c>
      <c r="E2105">
        <f t="shared" ref="E2105" si="5329">_xlfn.NUMBERVALUE(MID(C2105,4,2))</f>
        <v>2</v>
      </c>
      <c r="F2105">
        <f t="shared" ref="F2105" si="5330">_xlfn.NUMBERVALUE(RIGHT(C2105,4))</f>
        <v>2024</v>
      </c>
      <c r="G2105" t="s">
        <v>7</v>
      </c>
      <c r="H2105">
        <v>-2</v>
      </c>
      <c r="K2105" t="s">
        <v>9</v>
      </c>
      <c r="L2105" s="8">
        <f t="shared" si="5131"/>
        <v>-1</v>
      </c>
      <c r="M2105" t="s">
        <v>2320</v>
      </c>
    </row>
    <row r="2106" spans="1:13" x14ac:dyDescent="0.35">
      <c r="A2106">
        <f t="shared" si="4745"/>
        <v>2102</v>
      </c>
      <c r="B2106" s="9">
        <f t="shared" ref="B2106" si="5331">B2105+H2106+I2106+J2106</f>
        <v>296.02999999999997</v>
      </c>
      <c r="C2106" s="3" t="s">
        <v>2316</v>
      </c>
      <c r="D2106">
        <f t="shared" ref="D2106" si="5332">_xlfn.NUMBERVALUE(LEFT(C2106,2))</f>
        <v>16</v>
      </c>
      <c r="E2106">
        <f t="shared" ref="E2106" si="5333">_xlfn.NUMBERVALUE(MID(C2106,4,2))</f>
        <v>2</v>
      </c>
      <c r="F2106">
        <f t="shared" ref="F2106" si="5334">_xlfn.NUMBERVALUE(RIGHT(C2106,4))</f>
        <v>2024</v>
      </c>
      <c r="G2106" t="s">
        <v>7</v>
      </c>
      <c r="H2106">
        <v>-2</v>
      </c>
      <c r="K2106" t="s">
        <v>9</v>
      </c>
      <c r="L2106" s="8">
        <f t="shared" si="5131"/>
        <v>-1</v>
      </c>
      <c r="M2106" t="s">
        <v>2321</v>
      </c>
    </row>
    <row r="2107" spans="1:13" x14ac:dyDescent="0.35">
      <c r="A2107">
        <f t="shared" si="4745"/>
        <v>2103</v>
      </c>
      <c r="B2107" s="9">
        <f t="shared" ref="B2107" si="5335">B2106+H2107+I2107+J2107</f>
        <v>294.02999999999997</v>
      </c>
      <c r="C2107" s="3" t="s">
        <v>2316</v>
      </c>
      <c r="D2107">
        <f t="shared" ref="D2107" si="5336">_xlfn.NUMBERVALUE(LEFT(C2107,2))</f>
        <v>16</v>
      </c>
      <c r="E2107">
        <f t="shared" ref="E2107" si="5337">_xlfn.NUMBERVALUE(MID(C2107,4,2))</f>
        <v>2</v>
      </c>
      <c r="F2107">
        <f t="shared" ref="F2107" si="5338">_xlfn.NUMBERVALUE(RIGHT(C2107,4))</f>
        <v>2024</v>
      </c>
      <c r="G2107" t="s">
        <v>7</v>
      </c>
      <c r="H2107">
        <v>-2</v>
      </c>
      <c r="K2107" t="s">
        <v>9</v>
      </c>
      <c r="L2107" s="8">
        <f t="shared" si="5131"/>
        <v>-1</v>
      </c>
      <c r="M2107" t="s">
        <v>2322</v>
      </c>
    </row>
    <row r="2108" spans="1:13" x14ac:dyDescent="0.35">
      <c r="A2108">
        <f t="shared" si="4745"/>
        <v>2104</v>
      </c>
      <c r="B2108" s="9">
        <f t="shared" ref="B2108" si="5339">B2107+H2108+I2108+J2108</f>
        <v>292.02999999999997</v>
      </c>
      <c r="C2108" s="3" t="s">
        <v>2323</v>
      </c>
      <c r="D2108">
        <f t="shared" ref="D2108" si="5340">_xlfn.NUMBERVALUE(LEFT(C2108,2))</f>
        <v>17</v>
      </c>
      <c r="E2108">
        <f t="shared" ref="E2108" si="5341">_xlfn.NUMBERVALUE(MID(C2108,4,2))</f>
        <v>2</v>
      </c>
      <c r="F2108">
        <f t="shared" ref="F2108" si="5342">_xlfn.NUMBERVALUE(RIGHT(C2108,4))</f>
        <v>2024</v>
      </c>
      <c r="G2108" t="s">
        <v>7</v>
      </c>
      <c r="H2108">
        <v>-2</v>
      </c>
      <c r="K2108" t="s">
        <v>9</v>
      </c>
      <c r="L2108" s="8">
        <f t="shared" si="5131"/>
        <v>-1</v>
      </c>
      <c r="M2108" t="s">
        <v>2324</v>
      </c>
    </row>
    <row r="2109" spans="1:13" x14ac:dyDescent="0.35">
      <c r="A2109">
        <f t="shared" si="4745"/>
        <v>2105</v>
      </c>
      <c r="B2109" s="9">
        <f t="shared" ref="B2109:B2110" si="5343">B2108+H2109+I2109+J2109</f>
        <v>275.52999999999997</v>
      </c>
      <c r="C2109" s="3" t="s">
        <v>2323</v>
      </c>
      <c r="D2109">
        <f t="shared" ref="D2109:D2110" si="5344">_xlfn.NUMBERVALUE(LEFT(C2109,2))</f>
        <v>17</v>
      </c>
      <c r="E2109">
        <f t="shared" ref="E2109:E2110" si="5345">_xlfn.NUMBERVALUE(MID(C2109,4,2))</f>
        <v>2</v>
      </c>
      <c r="F2109">
        <f t="shared" ref="F2109:F2110" si="5346">_xlfn.NUMBERVALUE(RIGHT(C2109,4))</f>
        <v>2024</v>
      </c>
      <c r="G2109" t="s">
        <v>44</v>
      </c>
      <c r="H2109">
        <v>-16.5</v>
      </c>
      <c r="K2109" t="s">
        <v>9</v>
      </c>
      <c r="L2109" s="8">
        <f t="shared" si="5131"/>
        <v>-1</v>
      </c>
      <c r="M2109" t="s">
        <v>2325</v>
      </c>
    </row>
    <row r="2110" spans="1:13" x14ac:dyDescent="0.35">
      <c r="A2110">
        <f t="shared" si="4745"/>
        <v>2106</v>
      </c>
      <c r="B2110" s="9">
        <f t="shared" si="5343"/>
        <v>277.52999999999997</v>
      </c>
      <c r="C2110" s="3" t="s">
        <v>2326</v>
      </c>
      <c r="D2110">
        <f t="shared" si="5344"/>
        <v>18</v>
      </c>
      <c r="E2110">
        <f t="shared" si="5345"/>
        <v>2</v>
      </c>
      <c r="F2110">
        <f t="shared" si="5346"/>
        <v>2024</v>
      </c>
      <c r="G2110" t="s">
        <v>7</v>
      </c>
      <c r="H2110">
        <v>-2</v>
      </c>
      <c r="I2110">
        <v>4</v>
      </c>
      <c r="K2110" t="s">
        <v>10</v>
      </c>
      <c r="L2110" s="8">
        <f t="shared" si="5131"/>
        <v>1</v>
      </c>
      <c r="M2110" t="s">
        <v>2327</v>
      </c>
    </row>
    <row r="2111" spans="1:13" x14ac:dyDescent="0.35">
      <c r="A2111">
        <f t="shared" si="4745"/>
        <v>2107</v>
      </c>
      <c r="B2111" s="9">
        <f t="shared" ref="B2111" si="5347">B2110+H2111+I2111+J2111</f>
        <v>281.52999999999997</v>
      </c>
      <c r="C2111" s="3" t="s">
        <v>2326</v>
      </c>
      <c r="D2111">
        <f t="shared" ref="D2111" si="5348">_xlfn.NUMBERVALUE(LEFT(C2111,2))</f>
        <v>18</v>
      </c>
      <c r="E2111">
        <f t="shared" ref="E2111" si="5349">_xlfn.NUMBERVALUE(MID(C2111,4,2))</f>
        <v>2</v>
      </c>
      <c r="F2111">
        <f t="shared" ref="F2111" si="5350">_xlfn.NUMBERVALUE(RIGHT(C2111,4))</f>
        <v>2024</v>
      </c>
      <c r="G2111" t="s">
        <v>7</v>
      </c>
      <c r="H2111">
        <v>-2</v>
      </c>
      <c r="I2111">
        <v>6</v>
      </c>
      <c r="K2111" t="s">
        <v>10</v>
      </c>
      <c r="L2111" s="8">
        <f t="shared" si="5131"/>
        <v>2</v>
      </c>
      <c r="M2111" t="s">
        <v>2328</v>
      </c>
    </row>
    <row r="2112" spans="1:13" x14ac:dyDescent="0.35">
      <c r="A2112">
        <f t="shared" si="4745"/>
        <v>2108</v>
      </c>
      <c r="B2112" s="9">
        <f t="shared" ref="B2112" si="5351">B2111+H2112+I2112+J2112</f>
        <v>279.52999999999997</v>
      </c>
      <c r="C2112" s="3" t="s">
        <v>2326</v>
      </c>
      <c r="D2112">
        <f t="shared" ref="D2112" si="5352">_xlfn.NUMBERVALUE(LEFT(C2112,2))</f>
        <v>18</v>
      </c>
      <c r="E2112">
        <f t="shared" ref="E2112" si="5353">_xlfn.NUMBERVALUE(MID(C2112,4,2))</f>
        <v>2</v>
      </c>
      <c r="F2112">
        <f t="shared" ref="F2112" si="5354">_xlfn.NUMBERVALUE(RIGHT(C2112,4))</f>
        <v>2024</v>
      </c>
      <c r="G2112" t="s">
        <v>7</v>
      </c>
      <c r="H2112">
        <v>-2</v>
      </c>
      <c r="K2112" t="s">
        <v>9</v>
      </c>
      <c r="L2112" s="8">
        <f t="shared" si="5131"/>
        <v>-1</v>
      </c>
      <c r="M2112" t="s">
        <v>2329</v>
      </c>
    </row>
    <row r="2113" spans="1:13" x14ac:dyDescent="0.35">
      <c r="A2113">
        <f t="shared" si="4745"/>
        <v>2109</v>
      </c>
      <c r="B2113" s="9">
        <f t="shared" ref="B2113" si="5355">B2112+H2113+I2113+J2113</f>
        <v>277.52999999999997</v>
      </c>
      <c r="C2113" s="3" t="s">
        <v>2326</v>
      </c>
      <c r="D2113">
        <f t="shared" ref="D2113" si="5356">_xlfn.NUMBERVALUE(LEFT(C2113,2))</f>
        <v>18</v>
      </c>
      <c r="E2113">
        <f t="shared" ref="E2113" si="5357">_xlfn.NUMBERVALUE(MID(C2113,4,2))</f>
        <v>2</v>
      </c>
      <c r="F2113">
        <f t="shared" ref="F2113" si="5358">_xlfn.NUMBERVALUE(RIGHT(C2113,4))</f>
        <v>2024</v>
      </c>
      <c r="G2113" t="s">
        <v>7</v>
      </c>
      <c r="H2113">
        <v>-2</v>
      </c>
      <c r="K2113" t="s">
        <v>9</v>
      </c>
      <c r="L2113" s="8">
        <f t="shared" si="5131"/>
        <v>-1</v>
      </c>
      <c r="M2113" t="s">
        <v>2330</v>
      </c>
    </row>
    <row r="2114" spans="1:13" x14ac:dyDescent="0.35">
      <c r="A2114">
        <f t="shared" si="4745"/>
        <v>2110</v>
      </c>
      <c r="B2114" s="9">
        <f t="shared" ref="B2114" si="5359">B2113+H2114+I2114+J2114</f>
        <v>279.52999999999997</v>
      </c>
      <c r="C2114" s="3" t="s">
        <v>2326</v>
      </c>
      <c r="D2114">
        <f t="shared" ref="D2114" si="5360">_xlfn.NUMBERVALUE(LEFT(C2114,2))</f>
        <v>18</v>
      </c>
      <c r="E2114">
        <f t="shared" ref="E2114" si="5361">_xlfn.NUMBERVALUE(MID(C2114,4,2))</f>
        <v>2</v>
      </c>
      <c r="F2114">
        <f t="shared" ref="F2114" si="5362">_xlfn.NUMBERVALUE(RIGHT(C2114,4))</f>
        <v>2024</v>
      </c>
      <c r="G2114" t="s">
        <v>7</v>
      </c>
      <c r="H2114">
        <v>-2</v>
      </c>
      <c r="I2114">
        <v>4</v>
      </c>
      <c r="K2114" t="s">
        <v>10</v>
      </c>
      <c r="L2114" s="8">
        <f t="shared" si="5131"/>
        <v>1</v>
      </c>
      <c r="M2114" t="s">
        <v>2331</v>
      </c>
    </row>
    <row r="2115" spans="1:13" x14ac:dyDescent="0.35">
      <c r="A2115">
        <f t="shared" si="4745"/>
        <v>2111</v>
      </c>
      <c r="B2115" s="9">
        <f t="shared" ref="B2115" si="5363">B2114+H2115+I2115+J2115</f>
        <v>281.52999999999997</v>
      </c>
      <c r="C2115" s="3" t="s">
        <v>2326</v>
      </c>
      <c r="D2115">
        <f t="shared" ref="D2115" si="5364">_xlfn.NUMBERVALUE(LEFT(C2115,2))</f>
        <v>18</v>
      </c>
      <c r="E2115">
        <f t="shared" ref="E2115" si="5365">_xlfn.NUMBERVALUE(MID(C2115,4,2))</f>
        <v>2</v>
      </c>
      <c r="F2115">
        <f t="shared" ref="F2115" si="5366">_xlfn.NUMBERVALUE(RIGHT(C2115,4))</f>
        <v>2024</v>
      </c>
      <c r="G2115" t="s">
        <v>7</v>
      </c>
      <c r="H2115">
        <v>-2</v>
      </c>
      <c r="I2115">
        <v>4</v>
      </c>
      <c r="K2115" t="s">
        <v>10</v>
      </c>
      <c r="L2115" s="8">
        <f t="shared" si="5131"/>
        <v>1</v>
      </c>
      <c r="M2115" t="s">
        <v>2332</v>
      </c>
    </row>
    <row r="2116" spans="1:13" x14ac:dyDescent="0.35">
      <c r="A2116">
        <f t="shared" si="4745"/>
        <v>2112</v>
      </c>
      <c r="B2116" s="9">
        <f t="shared" ref="B2116" si="5367">B2115+H2116+I2116+J2116</f>
        <v>279.52999999999997</v>
      </c>
      <c r="C2116" s="3" t="s">
        <v>2326</v>
      </c>
      <c r="D2116">
        <f t="shared" ref="D2116" si="5368">_xlfn.NUMBERVALUE(LEFT(C2116,2))</f>
        <v>18</v>
      </c>
      <c r="E2116">
        <f t="shared" ref="E2116" si="5369">_xlfn.NUMBERVALUE(MID(C2116,4,2))</f>
        <v>2</v>
      </c>
      <c r="F2116">
        <f t="shared" ref="F2116" si="5370">_xlfn.NUMBERVALUE(RIGHT(C2116,4))</f>
        <v>2024</v>
      </c>
      <c r="G2116" t="s">
        <v>7</v>
      </c>
      <c r="H2116">
        <v>-2</v>
      </c>
      <c r="K2116" t="s">
        <v>9</v>
      </c>
      <c r="L2116" s="8">
        <f t="shared" si="5131"/>
        <v>-1</v>
      </c>
      <c r="M2116" t="s">
        <v>2333</v>
      </c>
    </row>
    <row r="2117" spans="1:13" x14ac:dyDescent="0.35">
      <c r="A2117">
        <f t="shared" si="4745"/>
        <v>2113</v>
      </c>
      <c r="B2117" s="9">
        <f t="shared" ref="B2117" si="5371">B2116+H2117+I2117+J2117</f>
        <v>283.52999999999997</v>
      </c>
      <c r="C2117" s="3" t="s">
        <v>2334</v>
      </c>
      <c r="D2117">
        <f t="shared" ref="D2117" si="5372">_xlfn.NUMBERVALUE(LEFT(C2117,2))</f>
        <v>19</v>
      </c>
      <c r="E2117">
        <f t="shared" ref="E2117" si="5373">_xlfn.NUMBERVALUE(MID(C2117,4,2))</f>
        <v>2</v>
      </c>
      <c r="F2117">
        <f t="shared" ref="F2117" si="5374">_xlfn.NUMBERVALUE(RIGHT(C2117,4))</f>
        <v>2024</v>
      </c>
      <c r="G2117" t="s">
        <v>7</v>
      </c>
      <c r="H2117">
        <v>-2</v>
      </c>
      <c r="I2117">
        <v>6</v>
      </c>
      <c r="K2117" t="s">
        <v>10</v>
      </c>
      <c r="L2117" s="8">
        <f t="shared" si="5131"/>
        <v>2</v>
      </c>
      <c r="M2117" t="s">
        <v>2335</v>
      </c>
    </row>
    <row r="2118" spans="1:13" x14ac:dyDescent="0.35">
      <c r="A2118">
        <f t="shared" si="4745"/>
        <v>2114</v>
      </c>
      <c r="B2118" s="9">
        <f t="shared" ref="B2118" si="5375">B2117+H2118+I2118+J2118</f>
        <v>281.52999999999997</v>
      </c>
      <c r="C2118" s="3" t="s">
        <v>2334</v>
      </c>
      <c r="D2118">
        <f t="shared" ref="D2118" si="5376">_xlfn.NUMBERVALUE(LEFT(C2118,2))</f>
        <v>19</v>
      </c>
      <c r="E2118">
        <f t="shared" ref="E2118" si="5377">_xlfn.NUMBERVALUE(MID(C2118,4,2))</f>
        <v>2</v>
      </c>
      <c r="F2118">
        <f t="shared" ref="F2118" si="5378">_xlfn.NUMBERVALUE(RIGHT(C2118,4))</f>
        <v>2024</v>
      </c>
      <c r="G2118" t="s">
        <v>7</v>
      </c>
      <c r="H2118">
        <v>-2</v>
      </c>
      <c r="K2118" t="s">
        <v>9</v>
      </c>
      <c r="L2118" s="8">
        <f t="shared" ref="L2118:L2181" si="5379">IF(H2118="",0,(SUM(I2118:J2118)/-H2118)-1)</f>
        <v>-1</v>
      </c>
      <c r="M2118" t="s">
        <v>2336</v>
      </c>
    </row>
    <row r="2119" spans="1:13" x14ac:dyDescent="0.35">
      <c r="A2119">
        <f t="shared" si="4745"/>
        <v>2115</v>
      </c>
      <c r="B2119" s="9">
        <f t="shared" ref="B2119" si="5380">B2118+H2119+I2119+J2119</f>
        <v>279.52999999999997</v>
      </c>
      <c r="C2119" s="3" t="s">
        <v>2334</v>
      </c>
      <c r="D2119">
        <f t="shared" ref="D2119" si="5381">_xlfn.NUMBERVALUE(LEFT(C2119,2))</f>
        <v>19</v>
      </c>
      <c r="E2119">
        <f t="shared" ref="E2119" si="5382">_xlfn.NUMBERVALUE(MID(C2119,4,2))</f>
        <v>2</v>
      </c>
      <c r="F2119">
        <f t="shared" ref="F2119" si="5383">_xlfn.NUMBERVALUE(RIGHT(C2119,4))</f>
        <v>2024</v>
      </c>
      <c r="G2119" t="s">
        <v>7</v>
      </c>
      <c r="H2119">
        <v>-2</v>
      </c>
      <c r="K2119" t="s">
        <v>9</v>
      </c>
      <c r="L2119" s="8">
        <f t="shared" si="5379"/>
        <v>-1</v>
      </c>
      <c r="M2119" t="s">
        <v>2337</v>
      </c>
    </row>
    <row r="2120" spans="1:13" x14ac:dyDescent="0.35">
      <c r="A2120">
        <f t="shared" si="4745"/>
        <v>2116</v>
      </c>
      <c r="B2120" s="9">
        <f t="shared" ref="B2120" si="5384">B2119+H2120+I2120+J2120</f>
        <v>277.52999999999997</v>
      </c>
      <c r="C2120" s="3" t="s">
        <v>2338</v>
      </c>
      <c r="D2120">
        <f t="shared" ref="D2120" si="5385">_xlfn.NUMBERVALUE(LEFT(C2120,2))</f>
        <v>21</v>
      </c>
      <c r="E2120">
        <f t="shared" ref="E2120" si="5386">_xlfn.NUMBERVALUE(MID(C2120,4,2))</f>
        <v>2</v>
      </c>
      <c r="F2120">
        <f t="shared" ref="F2120" si="5387">_xlfn.NUMBERVALUE(RIGHT(C2120,4))</f>
        <v>2024</v>
      </c>
      <c r="G2120" t="s">
        <v>7</v>
      </c>
      <c r="H2120">
        <v>-2</v>
      </c>
      <c r="K2120" t="s">
        <v>9</v>
      </c>
      <c r="L2120" s="8">
        <f t="shared" si="5379"/>
        <v>-1</v>
      </c>
      <c r="M2120" t="s">
        <v>2339</v>
      </c>
    </row>
    <row r="2121" spans="1:13" x14ac:dyDescent="0.35">
      <c r="A2121">
        <f t="shared" si="4745"/>
        <v>2117</v>
      </c>
      <c r="B2121" s="9">
        <f t="shared" ref="B2121" si="5388">B2120+H2121+I2121+J2121</f>
        <v>279.52999999999997</v>
      </c>
      <c r="C2121" s="3" t="s">
        <v>2338</v>
      </c>
      <c r="D2121">
        <f t="shared" ref="D2121" si="5389">_xlfn.NUMBERVALUE(LEFT(C2121,2))</f>
        <v>21</v>
      </c>
      <c r="E2121">
        <f t="shared" ref="E2121" si="5390">_xlfn.NUMBERVALUE(MID(C2121,4,2))</f>
        <v>2</v>
      </c>
      <c r="F2121">
        <f t="shared" ref="F2121" si="5391">_xlfn.NUMBERVALUE(RIGHT(C2121,4))</f>
        <v>2024</v>
      </c>
      <c r="G2121" t="s">
        <v>7</v>
      </c>
      <c r="H2121">
        <v>-2</v>
      </c>
      <c r="I2121">
        <v>4</v>
      </c>
      <c r="K2121" t="s">
        <v>10</v>
      </c>
      <c r="L2121" s="8">
        <f t="shared" si="5379"/>
        <v>1</v>
      </c>
      <c r="M2121" t="s">
        <v>2340</v>
      </c>
    </row>
    <row r="2122" spans="1:13" x14ac:dyDescent="0.35">
      <c r="A2122">
        <f t="shared" si="4745"/>
        <v>2118</v>
      </c>
      <c r="B2122" s="9">
        <f t="shared" ref="B2122" si="5392">B2121+H2122+I2122+J2122</f>
        <v>277.52999999999997</v>
      </c>
      <c r="C2122" s="3" t="s">
        <v>2338</v>
      </c>
      <c r="D2122">
        <f t="shared" ref="D2122" si="5393">_xlfn.NUMBERVALUE(LEFT(C2122,2))</f>
        <v>21</v>
      </c>
      <c r="E2122">
        <f t="shared" ref="E2122" si="5394">_xlfn.NUMBERVALUE(MID(C2122,4,2))</f>
        <v>2</v>
      </c>
      <c r="F2122">
        <f t="shared" ref="F2122" si="5395">_xlfn.NUMBERVALUE(RIGHT(C2122,4))</f>
        <v>2024</v>
      </c>
      <c r="G2122" t="s">
        <v>7</v>
      </c>
      <c r="H2122">
        <v>-2</v>
      </c>
      <c r="K2122" t="s">
        <v>9</v>
      </c>
      <c r="L2122" s="8">
        <f t="shared" si="5379"/>
        <v>-1</v>
      </c>
      <c r="M2122" t="s">
        <v>2341</v>
      </c>
    </row>
    <row r="2123" spans="1:13" x14ac:dyDescent="0.35">
      <c r="A2123">
        <f t="shared" si="4745"/>
        <v>2119</v>
      </c>
      <c r="B2123" s="9">
        <f t="shared" ref="B2123" si="5396">B2122+H2123+I2123+J2123</f>
        <v>275.52999999999997</v>
      </c>
      <c r="C2123" s="3" t="s">
        <v>2338</v>
      </c>
      <c r="D2123">
        <f t="shared" ref="D2123" si="5397">_xlfn.NUMBERVALUE(LEFT(C2123,2))</f>
        <v>21</v>
      </c>
      <c r="E2123">
        <f t="shared" ref="E2123" si="5398">_xlfn.NUMBERVALUE(MID(C2123,4,2))</f>
        <v>2</v>
      </c>
      <c r="F2123">
        <f t="shared" ref="F2123" si="5399">_xlfn.NUMBERVALUE(RIGHT(C2123,4))</f>
        <v>2024</v>
      </c>
      <c r="G2123" t="s">
        <v>7</v>
      </c>
      <c r="H2123">
        <v>-2</v>
      </c>
      <c r="K2123" t="s">
        <v>9</v>
      </c>
      <c r="L2123" s="8">
        <f t="shared" si="5379"/>
        <v>-1</v>
      </c>
      <c r="M2123" t="s">
        <v>2342</v>
      </c>
    </row>
    <row r="2124" spans="1:13" x14ac:dyDescent="0.35">
      <c r="A2124">
        <f t="shared" si="4745"/>
        <v>2120</v>
      </c>
      <c r="B2124" s="9">
        <f t="shared" ref="B2124" si="5400">B2123+H2124+I2124+J2124</f>
        <v>273.52999999999997</v>
      </c>
      <c r="C2124" s="3" t="s">
        <v>2338</v>
      </c>
      <c r="D2124">
        <f t="shared" ref="D2124" si="5401">_xlfn.NUMBERVALUE(LEFT(C2124,2))</f>
        <v>21</v>
      </c>
      <c r="E2124">
        <f t="shared" ref="E2124" si="5402">_xlfn.NUMBERVALUE(MID(C2124,4,2))</f>
        <v>2</v>
      </c>
      <c r="F2124">
        <f t="shared" ref="F2124" si="5403">_xlfn.NUMBERVALUE(RIGHT(C2124,4))</f>
        <v>2024</v>
      </c>
      <c r="G2124" t="s">
        <v>7</v>
      </c>
      <c r="H2124">
        <v>-2</v>
      </c>
      <c r="K2124" t="s">
        <v>9</v>
      </c>
      <c r="L2124" s="8">
        <f t="shared" si="5379"/>
        <v>-1</v>
      </c>
      <c r="M2124" t="s">
        <v>2343</v>
      </c>
    </row>
    <row r="2125" spans="1:13" x14ac:dyDescent="0.35">
      <c r="A2125">
        <f t="shared" si="4745"/>
        <v>2121</v>
      </c>
      <c r="B2125" s="9">
        <f t="shared" ref="B2125" si="5404">B2124+H2125+I2125+J2125</f>
        <v>281.52999999999997</v>
      </c>
      <c r="C2125" s="3" t="s">
        <v>2338</v>
      </c>
      <c r="D2125">
        <f t="shared" ref="D2125" si="5405">_xlfn.NUMBERVALUE(LEFT(C2125,2))</f>
        <v>21</v>
      </c>
      <c r="E2125">
        <f t="shared" ref="E2125" si="5406">_xlfn.NUMBERVALUE(MID(C2125,4,2))</f>
        <v>2</v>
      </c>
      <c r="F2125">
        <f t="shared" ref="F2125" si="5407">_xlfn.NUMBERVALUE(RIGHT(C2125,4))</f>
        <v>2024</v>
      </c>
      <c r="G2125" t="s">
        <v>7</v>
      </c>
      <c r="H2125">
        <v>-2</v>
      </c>
      <c r="I2125">
        <v>10</v>
      </c>
      <c r="K2125" t="s">
        <v>10</v>
      </c>
      <c r="L2125" s="8">
        <f t="shared" si="5379"/>
        <v>4</v>
      </c>
      <c r="M2125" t="s">
        <v>2344</v>
      </c>
    </row>
    <row r="2126" spans="1:13" x14ac:dyDescent="0.35">
      <c r="A2126">
        <f t="shared" si="4745"/>
        <v>2122</v>
      </c>
      <c r="B2126" s="9">
        <f t="shared" ref="B2126" si="5408">B2125+H2126+I2126+J2126</f>
        <v>279.52999999999997</v>
      </c>
      <c r="C2126" s="3" t="s">
        <v>2338</v>
      </c>
      <c r="D2126">
        <f t="shared" ref="D2126" si="5409">_xlfn.NUMBERVALUE(LEFT(C2126,2))</f>
        <v>21</v>
      </c>
      <c r="E2126">
        <f t="shared" ref="E2126" si="5410">_xlfn.NUMBERVALUE(MID(C2126,4,2))</f>
        <v>2</v>
      </c>
      <c r="F2126">
        <f t="shared" ref="F2126" si="5411">_xlfn.NUMBERVALUE(RIGHT(C2126,4))</f>
        <v>2024</v>
      </c>
      <c r="G2126" t="s">
        <v>7</v>
      </c>
      <c r="H2126">
        <v>-2</v>
      </c>
      <c r="K2126" t="s">
        <v>9</v>
      </c>
      <c r="L2126" s="8">
        <f t="shared" si="5379"/>
        <v>-1</v>
      </c>
      <c r="M2126" t="s">
        <v>2345</v>
      </c>
    </row>
    <row r="2127" spans="1:13" x14ac:dyDescent="0.35">
      <c r="A2127">
        <f t="shared" si="4745"/>
        <v>2123</v>
      </c>
      <c r="B2127" s="9">
        <f t="shared" ref="B2127" si="5412">B2126+H2127+I2127+J2127</f>
        <v>277.52999999999997</v>
      </c>
      <c r="C2127" s="3" t="s">
        <v>2338</v>
      </c>
      <c r="D2127">
        <f t="shared" ref="D2127" si="5413">_xlfn.NUMBERVALUE(LEFT(C2127,2))</f>
        <v>21</v>
      </c>
      <c r="E2127">
        <f t="shared" ref="E2127" si="5414">_xlfn.NUMBERVALUE(MID(C2127,4,2))</f>
        <v>2</v>
      </c>
      <c r="F2127">
        <f t="shared" ref="F2127" si="5415">_xlfn.NUMBERVALUE(RIGHT(C2127,4))</f>
        <v>2024</v>
      </c>
      <c r="G2127" t="s">
        <v>7</v>
      </c>
      <c r="H2127">
        <v>-2</v>
      </c>
      <c r="K2127" t="s">
        <v>9</v>
      </c>
      <c r="L2127" s="8">
        <f t="shared" si="5379"/>
        <v>-1</v>
      </c>
      <c r="M2127" t="s">
        <v>2346</v>
      </c>
    </row>
    <row r="2128" spans="1:13" x14ac:dyDescent="0.35">
      <c r="A2128">
        <f t="shared" si="4745"/>
        <v>2124</v>
      </c>
      <c r="B2128" s="9">
        <f t="shared" ref="B2128" si="5416">B2127+H2128+I2128+J2128</f>
        <v>275.52999999999997</v>
      </c>
      <c r="C2128" s="3" t="s">
        <v>2338</v>
      </c>
      <c r="D2128">
        <f t="shared" ref="D2128" si="5417">_xlfn.NUMBERVALUE(LEFT(C2128,2))</f>
        <v>21</v>
      </c>
      <c r="E2128">
        <f t="shared" ref="E2128" si="5418">_xlfn.NUMBERVALUE(MID(C2128,4,2))</f>
        <v>2</v>
      </c>
      <c r="F2128">
        <f t="shared" ref="F2128" si="5419">_xlfn.NUMBERVALUE(RIGHT(C2128,4))</f>
        <v>2024</v>
      </c>
      <c r="G2128" t="s">
        <v>7</v>
      </c>
      <c r="H2128">
        <v>-2</v>
      </c>
      <c r="K2128" t="s">
        <v>9</v>
      </c>
      <c r="L2128" s="8">
        <f t="shared" si="5379"/>
        <v>-1</v>
      </c>
      <c r="M2128" t="s">
        <v>2347</v>
      </c>
    </row>
    <row r="2129" spans="1:13" x14ac:dyDescent="0.35">
      <c r="A2129">
        <f t="shared" si="4745"/>
        <v>2125</v>
      </c>
      <c r="B2129" s="9">
        <f t="shared" ref="B2129" si="5420">B2128+H2129+I2129+J2129</f>
        <v>273.52999999999997</v>
      </c>
      <c r="C2129" s="3" t="s">
        <v>2338</v>
      </c>
      <c r="D2129">
        <f t="shared" ref="D2129" si="5421">_xlfn.NUMBERVALUE(LEFT(C2129,2))</f>
        <v>21</v>
      </c>
      <c r="E2129">
        <f t="shared" ref="E2129" si="5422">_xlfn.NUMBERVALUE(MID(C2129,4,2))</f>
        <v>2</v>
      </c>
      <c r="F2129">
        <f t="shared" ref="F2129" si="5423">_xlfn.NUMBERVALUE(RIGHT(C2129,4))</f>
        <v>2024</v>
      </c>
      <c r="G2129" t="s">
        <v>7</v>
      </c>
      <c r="H2129">
        <v>-2</v>
      </c>
      <c r="K2129" t="s">
        <v>9</v>
      </c>
      <c r="L2129" s="8">
        <f t="shared" si="5379"/>
        <v>-1</v>
      </c>
      <c r="M2129" t="s">
        <v>2348</v>
      </c>
    </row>
    <row r="2130" spans="1:13" x14ac:dyDescent="0.35">
      <c r="A2130">
        <f t="shared" si="4745"/>
        <v>2126</v>
      </c>
      <c r="B2130" s="9">
        <f t="shared" ref="B2130" si="5424">B2129+H2130+I2130+J2130</f>
        <v>275.52999999999997</v>
      </c>
      <c r="C2130" s="3" t="s">
        <v>2338</v>
      </c>
      <c r="D2130">
        <f t="shared" ref="D2130" si="5425">_xlfn.NUMBERVALUE(LEFT(C2130,2))</f>
        <v>21</v>
      </c>
      <c r="E2130">
        <f t="shared" ref="E2130" si="5426">_xlfn.NUMBERVALUE(MID(C2130,4,2))</f>
        <v>2</v>
      </c>
      <c r="F2130">
        <f t="shared" ref="F2130" si="5427">_xlfn.NUMBERVALUE(RIGHT(C2130,4))</f>
        <v>2024</v>
      </c>
      <c r="G2130" t="s">
        <v>7</v>
      </c>
      <c r="H2130">
        <v>-2</v>
      </c>
      <c r="I2130">
        <v>4</v>
      </c>
      <c r="K2130" t="s">
        <v>10</v>
      </c>
      <c r="L2130" s="8">
        <f t="shared" si="5379"/>
        <v>1</v>
      </c>
      <c r="M2130" t="s">
        <v>2349</v>
      </c>
    </row>
    <row r="2131" spans="1:13" x14ac:dyDescent="0.35">
      <c r="A2131">
        <f t="shared" si="4745"/>
        <v>2127</v>
      </c>
      <c r="B2131" s="9">
        <f t="shared" ref="B2131:B2132" si="5428">B2130+H2131+I2131+J2131</f>
        <v>275.52999999999997</v>
      </c>
      <c r="C2131" s="3" t="s">
        <v>2338</v>
      </c>
      <c r="D2131">
        <f t="shared" ref="D2131:D2132" si="5429">_xlfn.NUMBERVALUE(LEFT(C2131,2))</f>
        <v>21</v>
      </c>
      <c r="E2131">
        <f t="shared" ref="E2131:E2132" si="5430">_xlfn.NUMBERVALUE(MID(C2131,4,2))</f>
        <v>2</v>
      </c>
      <c r="F2131">
        <f t="shared" ref="F2131:F2132" si="5431">_xlfn.NUMBERVALUE(RIGHT(C2131,4))</f>
        <v>2024</v>
      </c>
      <c r="G2131" t="s">
        <v>7</v>
      </c>
      <c r="K2131" t="s">
        <v>9</v>
      </c>
      <c r="L2131" s="8">
        <f t="shared" si="5379"/>
        <v>0</v>
      </c>
      <c r="M2131" t="s">
        <v>2350</v>
      </c>
    </row>
    <row r="2132" spans="1:13" x14ac:dyDescent="0.35">
      <c r="A2132">
        <f t="shared" si="4745"/>
        <v>2128</v>
      </c>
      <c r="B2132" s="9">
        <f t="shared" si="5428"/>
        <v>283.52999999999997</v>
      </c>
      <c r="C2132" s="3" t="s">
        <v>2338</v>
      </c>
      <c r="D2132">
        <f t="shared" si="5429"/>
        <v>21</v>
      </c>
      <c r="E2132">
        <f t="shared" si="5430"/>
        <v>2</v>
      </c>
      <c r="F2132">
        <f t="shared" si="5431"/>
        <v>2024</v>
      </c>
      <c r="G2132" t="s">
        <v>7</v>
      </c>
      <c r="H2132">
        <v>-2</v>
      </c>
      <c r="I2132">
        <v>10</v>
      </c>
      <c r="K2132" t="s">
        <v>10</v>
      </c>
      <c r="L2132" s="8">
        <f t="shared" si="5379"/>
        <v>4</v>
      </c>
      <c r="M2132" t="s">
        <v>2351</v>
      </c>
    </row>
    <row r="2133" spans="1:13" x14ac:dyDescent="0.35">
      <c r="A2133">
        <f t="shared" si="4745"/>
        <v>2129</v>
      </c>
      <c r="B2133" s="9">
        <f t="shared" ref="B2133" si="5432">B2132+H2133+I2133+J2133</f>
        <v>281.52999999999997</v>
      </c>
      <c r="C2133" s="3" t="s">
        <v>2338</v>
      </c>
      <c r="D2133">
        <f t="shared" ref="D2133" si="5433">_xlfn.NUMBERVALUE(LEFT(C2133,2))</f>
        <v>21</v>
      </c>
      <c r="E2133">
        <f t="shared" ref="E2133" si="5434">_xlfn.NUMBERVALUE(MID(C2133,4,2))</f>
        <v>2</v>
      </c>
      <c r="F2133">
        <f t="shared" ref="F2133" si="5435">_xlfn.NUMBERVALUE(RIGHT(C2133,4))</f>
        <v>2024</v>
      </c>
      <c r="G2133" t="s">
        <v>7</v>
      </c>
      <c r="H2133">
        <v>-2</v>
      </c>
      <c r="K2133" t="s">
        <v>9</v>
      </c>
      <c r="L2133" s="8">
        <f t="shared" si="5379"/>
        <v>-1</v>
      </c>
      <c r="M2133" t="s">
        <v>2352</v>
      </c>
    </row>
    <row r="2134" spans="1:13" x14ac:dyDescent="0.35">
      <c r="A2134">
        <f t="shared" si="4745"/>
        <v>2130</v>
      </c>
      <c r="B2134" s="9">
        <f t="shared" ref="B2134" si="5436">B2133+H2134+I2134+J2134</f>
        <v>279.52999999999997</v>
      </c>
      <c r="C2134" s="3" t="s">
        <v>2338</v>
      </c>
      <c r="D2134">
        <f t="shared" ref="D2134" si="5437">_xlfn.NUMBERVALUE(LEFT(C2134,2))</f>
        <v>21</v>
      </c>
      <c r="E2134">
        <f t="shared" ref="E2134" si="5438">_xlfn.NUMBERVALUE(MID(C2134,4,2))</f>
        <v>2</v>
      </c>
      <c r="F2134">
        <f t="shared" ref="F2134" si="5439">_xlfn.NUMBERVALUE(RIGHT(C2134,4))</f>
        <v>2024</v>
      </c>
      <c r="G2134" t="s">
        <v>7</v>
      </c>
      <c r="H2134">
        <v>-2</v>
      </c>
      <c r="K2134" t="s">
        <v>9</v>
      </c>
      <c r="L2134" s="8">
        <f t="shared" si="5379"/>
        <v>-1</v>
      </c>
      <c r="M2134" t="s">
        <v>2353</v>
      </c>
    </row>
    <row r="2135" spans="1:13" x14ac:dyDescent="0.35">
      <c r="A2135">
        <f t="shared" si="4745"/>
        <v>2131</v>
      </c>
      <c r="B2135" s="9">
        <f t="shared" ref="B2135" si="5440">B2134+H2135+I2135+J2135</f>
        <v>277.52999999999997</v>
      </c>
      <c r="C2135" s="3" t="s">
        <v>2338</v>
      </c>
      <c r="D2135">
        <f t="shared" ref="D2135" si="5441">_xlfn.NUMBERVALUE(LEFT(C2135,2))</f>
        <v>21</v>
      </c>
      <c r="E2135">
        <f t="shared" ref="E2135" si="5442">_xlfn.NUMBERVALUE(MID(C2135,4,2))</f>
        <v>2</v>
      </c>
      <c r="F2135">
        <f t="shared" ref="F2135" si="5443">_xlfn.NUMBERVALUE(RIGHT(C2135,4))</f>
        <v>2024</v>
      </c>
      <c r="G2135" t="s">
        <v>7</v>
      </c>
      <c r="H2135">
        <v>-2</v>
      </c>
      <c r="K2135" t="s">
        <v>9</v>
      </c>
      <c r="L2135" s="8">
        <f t="shared" si="5379"/>
        <v>-1</v>
      </c>
      <c r="M2135" t="s">
        <v>2354</v>
      </c>
    </row>
    <row r="2136" spans="1:13" x14ac:dyDescent="0.35">
      <c r="A2136">
        <f t="shared" si="4745"/>
        <v>2132</v>
      </c>
      <c r="B2136" s="9">
        <f t="shared" ref="B2136" si="5444">B2135+H2136+I2136+J2136</f>
        <v>275.52999999999997</v>
      </c>
      <c r="C2136" s="3" t="s">
        <v>2338</v>
      </c>
      <c r="D2136">
        <f t="shared" ref="D2136" si="5445">_xlfn.NUMBERVALUE(LEFT(C2136,2))</f>
        <v>21</v>
      </c>
      <c r="E2136">
        <f t="shared" ref="E2136" si="5446">_xlfn.NUMBERVALUE(MID(C2136,4,2))</f>
        <v>2</v>
      </c>
      <c r="F2136">
        <f t="shared" ref="F2136" si="5447">_xlfn.NUMBERVALUE(RIGHT(C2136,4))</f>
        <v>2024</v>
      </c>
      <c r="G2136" t="s">
        <v>7</v>
      </c>
      <c r="H2136">
        <v>-2</v>
      </c>
      <c r="K2136" t="s">
        <v>9</v>
      </c>
      <c r="L2136" s="8">
        <f t="shared" si="5379"/>
        <v>-1</v>
      </c>
      <c r="M2136" t="s">
        <v>2355</v>
      </c>
    </row>
    <row r="2137" spans="1:13" x14ac:dyDescent="0.35">
      <c r="A2137">
        <f t="shared" si="4745"/>
        <v>2133</v>
      </c>
      <c r="B2137" s="9">
        <f t="shared" ref="B2137" si="5448">B2136+H2137+I2137+J2137</f>
        <v>273.52999999999997</v>
      </c>
      <c r="C2137" s="3" t="s">
        <v>2356</v>
      </c>
      <c r="D2137">
        <f t="shared" ref="D2137" si="5449">_xlfn.NUMBERVALUE(LEFT(C2137,2))</f>
        <v>22</v>
      </c>
      <c r="E2137">
        <f t="shared" ref="E2137" si="5450">_xlfn.NUMBERVALUE(MID(C2137,4,2))</f>
        <v>2</v>
      </c>
      <c r="F2137">
        <f t="shared" ref="F2137" si="5451">_xlfn.NUMBERVALUE(RIGHT(C2137,4))</f>
        <v>2024</v>
      </c>
      <c r="G2137" t="s">
        <v>7</v>
      </c>
      <c r="H2137">
        <v>-2</v>
      </c>
      <c r="K2137" t="s">
        <v>9</v>
      </c>
      <c r="L2137" s="8">
        <f t="shared" si="5379"/>
        <v>-1</v>
      </c>
      <c r="M2137" t="s">
        <v>2357</v>
      </c>
    </row>
    <row r="2138" spans="1:13" x14ac:dyDescent="0.35">
      <c r="A2138">
        <f t="shared" si="4745"/>
        <v>2134</v>
      </c>
      <c r="B2138" s="9">
        <f t="shared" ref="B2138" si="5452">B2137+H2138+I2138+J2138</f>
        <v>271.52999999999997</v>
      </c>
      <c r="C2138" s="3" t="s">
        <v>2356</v>
      </c>
      <c r="D2138">
        <f t="shared" ref="D2138" si="5453">_xlfn.NUMBERVALUE(LEFT(C2138,2))</f>
        <v>22</v>
      </c>
      <c r="E2138">
        <f t="shared" ref="E2138" si="5454">_xlfn.NUMBERVALUE(MID(C2138,4,2))</f>
        <v>2</v>
      </c>
      <c r="F2138">
        <f t="shared" ref="F2138" si="5455">_xlfn.NUMBERVALUE(RIGHT(C2138,4))</f>
        <v>2024</v>
      </c>
      <c r="G2138" t="s">
        <v>7</v>
      </c>
      <c r="H2138">
        <v>-2</v>
      </c>
      <c r="K2138" t="s">
        <v>9</v>
      </c>
      <c r="L2138" s="8">
        <f t="shared" si="5379"/>
        <v>-1</v>
      </c>
      <c r="M2138" t="s">
        <v>2358</v>
      </c>
    </row>
    <row r="2139" spans="1:13" x14ac:dyDescent="0.35">
      <c r="A2139">
        <f t="shared" si="4745"/>
        <v>2135</v>
      </c>
      <c r="B2139" s="9">
        <f t="shared" ref="B2139" si="5456">B2138+H2139+I2139+J2139</f>
        <v>269.52999999999997</v>
      </c>
      <c r="C2139" s="3" t="s">
        <v>2356</v>
      </c>
      <c r="D2139">
        <f t="shared" ref="D2139" si="5457">_xlfn.NUMBERVALUE(LEFT(C2139,2))</f>
        <v>22</v>
      </c>
      <c r="E2139">
        <f t="shared" ref="E2139" si="5458">_xlfn.NUMBERVALUE(MID(C2139,4,2))</f>
        <v>2</v>
      </c>
      <c r="F2139">
        <f t="shared" ref="F2139" si="5459">_xlfn.NUMBERVALUE(RIGHT(C2139,4))</f>
        <v>2024</v>
      </c>
      <c r="G2139" t="s">
        <v>7</v>
      </c>
      <c r="H2139">
        <v>-2</v>
      </c>
      <c r="K2139" t="s">
        <v>9</v>
      </c>
      <c r="L2139" s="8">
        <f t="shared" si="5379"/>
        <v>-1</v>
      </c>
      <c r="M2139" t="s">
        <v>2359</v>
      </c>
    </row>
    <row r="2140" spans="1:13" x14ac:dyDescent="0.35">
      <c r="A2140">
        <f t="shared" si="4745"/>
        <v>2136</v>
      </c>
      <c r="B2140" s="9">
        <f t="shared" ref="B2140" si="5460">B2139+H2140+I2140+J2140</f>
        <v>267.52999999999997</v>
      </c>
      <c r="C2140" s="3" t="s">
        <v>2356</v>
      </c>
      <c r="D2140">
        <f t="shared" ref="D2140" si="5461">_xlfn.NUMBERVALUE(LEFT(C2140,2))</f>
        <v>22</v>
      </c>
      <c r="E2140">
        <f t="shared" ref="E2140" si="5462">_xlfn.NUMBERVALUE(MID(C2140,4,2))</f>
        <v>2</v>
      </c>
      <c r="F2140">
        <f t="shared" ref="F2140" si="5463">_xlfn.NUMBERVALUE(RIGHT(C2140,4))</f>
        <v>2024</v>
      </c>
      <c r="G2140" t="s">
        <v>7</v>
      </c>
      <c r="H2140">
        <v>-2</v>
      </c>
      <c r="K2140" t="s">
        <v>9</v>
      </c>
      <c r="L2140" s="8">
        <f t="shared" si="5379"/>
        <v>-1</v>
      </c>
      <c r="M2140" t="s">
        <v>2360</v>
      </c>
    </row>
    <row r="2141" spans="1:13" x14ac:dyDescent="0.35">
      <c r="A2141">
        <f t="shared" si="4745"/>
        <v>2137</v>
      </c>
      <c r="B2141" s="9">
        <f t="shared" ref="B2141" si="5464">B2140+H2141+I2141+J2141</f>
        <v>265.52999999999997</v>
      </c>
      <c r="C2141" s="3" t="s">
        <v>2356</v>
      </c>
      <c r="D2141">
        <f t="shared" ref="D2141" si="5465">_xlfn.NUMBERVALUE(LEFT(C2141,2))</f>
        <v>22</v>
      </c>
      <c r="E2141">
        <f t="shared" ref="E2141" si="5466">_xlfn.NUMBERVALUE(MID(C2141,4,2))</f>
        <v>2</v>
      </c>
      <c r="F2141">
        <f t="shared" ref="F2141" si="5467">_xlfn.NUMBERVALUE(RIGHT(C2141,4))</f>
        <v>2024</v>
      </c>
      <c r="G2141" t="s">
        <v>7</v>
      </c>
      <c r="H2141">
        <v>-2</v>
      </c>
      <c r="K2141" t="s">
        <v>9</v>
      </c>
      <c r="L2141" s="8">
        <f t="shared" si="5379"/>
        <v>-1</v>
      </c>
      <c r="M2141" t="s">
        <v>2361</v>
      </c>
    </row>
    <row r="2142" spans="1:13" x14ac:dyDescent="0.35">
      <c r="A2142">
        <f t="shared" si="4745"/>
        <v>2138</v>
      </c>
      <c r="B2142" s="9">
        <f t="shared" ref="B2142" si="5468">B2141+H2142+I2142+J2142</f>
        <v>263.52999999999997</v>
      </c>
      <c r="C2142" s="3" t="s">
        <v>2356</v>
      </c>
      <c r="D2142">
        <f t="shared" ref="D2142" si="5469">_xlfn.NUMBERVALUE(LEFT(C2142,2))</f>
        <v>22</v>
      </c>
      <c r="E2142">
        <f t="shared" ref="E2142" si="5470">_xlfn.NUMBERVALUE(MID(C2142,4,2))</f>
        <v>2</v>
      </c>
      <c r="F2142">
        <f t="shared" ref="F2142" si="5471">_xlfn.NUMBERVALUE(RIGHT(C2142,4))</f>
        <v>2024</v>
      </c>
      <c r="G2142" t="s">
        <v>7</v>
      </c>
      <c r="H2142">
        <v>-2</v>
      </c>
      <c r="K2142" t="s">
        <v>9</v>
      </c>
      <c r="L2142" s="8">
        <f t="shared" si="5379"/>
        <v>-1</v>
      </c>
      <c r="M2142" t="s">
        <v>2362</v>
      </c>
    </row>
    <row r="2143" spans="1:13" x14ac:dyDescent="0.35">
      <c r="A2143">
        <f t="shared" si="4745"/>
        <v>2139</v>
      </c>
      <c r="B2143" s="9">
        <f t="shared" ref="B2143" si="5472">B2142+H2143+I2143+J2143</f>
        <v>261.52999999999997</v>
      </c>
      <c r="C2143" s="3" t="s">
        <v>2356</v>
      </c>
      <c r="D2143">
        <f t="shared" ref="D2143" si="5473">_xlfn.NUMBERVALUE(LEFT(C2143,2))</f>
        <v>22</v>
      </c>
      <c r="E2143">
        <f t="shared" ref="E2143" si="5474">_xlfn.NUMBERVALUE(MID(C2143,4,2))</f>
        <v>2</v>
      </c>
      <c r="F2143">
        <f t="shared" ref="F2143" si="5475">_xlfn.NUMBERVALUE(RIGHT(C2143,4))</f>
        <v>2024</v>
      </c>
      <c r="G2143" t="s">
        <v>7</v>
      </c>
      <c r="H2143">
        <v>-2</v>
      </c>
      <c r="K2143" t="s">
        <v>9</v>
      </c>
      <c r="L2143" s="8">
        <f t="shared" si="5379"/>
        <v>-1</v>
      </c>
      <c r="M2143" t="s">
        <v>2363</v>
      </c>
    </row>
    <row r="2144" spans="1:13" x14ac:dyDescent="0.35">
      <c r="A2144">
        <f t="shared" si="4745"/>
        <v>2140</v>
      </c>
      <c r="B2144" s="9">
        <f t="shared" ref="B2144" si="5476">B2143+H2144+I2144+J2144</f>
        <v>263.52999999999997</v>
      </c>
      <c r="C2144" s="3" t="s">
        <v>2356</v>
      </c>
      <c r="D2144">
        <f t="shared" ref="D2144" si="5477">_xlfn.NUMBERVALUE(LEFT(C2144,2))</f>
        <v>22</v>
      </c>
      <c r="E2144">
        <f t="shared" ref="E2144" si="5478">_xlfn.NUMBERVALUE(MID(C2144,4,2))</f>
        <v>2</v>
      </c>
      <c r="F2144">
        <f t="shared" ref="F2144" si="5479">_xlfn.NUMBERVALUE(RIGHT(C2144,4))</f>
        <v>2024</v>
      </c>
      <c r="G2144" t="s">
        <v>7</v>
      </c>
      <c r="H2144">
        <v>-2</v>
      </c>
      <c r="I2144">
        <v>4</v>
      </c>
      <c r="K2144" t="s">
        <v>10</v>
      </c>
      <c r="L2144" s="8">
        <f t="shared" si="5379"/>
        <v>1</v>
      </c>
      <c r="M2144" t="s">
        <v>2364</v>
      </c>
    </row>
    <row r="2145" spans="1:13" x14ac:dyDescent="0.35">
      <c r="A2145">
        <f t="shared" si="4745"/>
        <v>2141</v>
      </c>
      <c r="B2145" s="9">
        <f t="shared" ref="B2145" si="5480">B2144+H2145+I2145+J2145</f>
        <v>265.52999999999997</v>
      </c>
      <c r="C2145" s="3" t="s">
        <v>2356</v>
      </c>
      <c r="D2145">
        <f t="shared" ref="D2145" si="5481">_xlfn.NUMBERVALUE(LEFT(C2145,2))</f>
        <v>22</v>
      </c>
      <c r="E2145">
        <f t="shared" ref="E2145" si="5482">_xlfn.NUMBERVALUE(MID(C2145,4,2))</f>
        <v>2</v>
      </c>
      <c r="F2145">
        <f t="shared" ref="F2145" si="5483">_xlfn.NUMBERVALUE(RIGHT(C2145,4))</f>
        <v>2024</v>
      </c>
      <c r="G2145" t="s">
        <v>7</v>
      </c>
      <c r="H2145">
        <v>-2</v>
      </c>
      <c r="I2145">
        <v>4</v>
      </c>
      <c r="K2145" t="s">
        <v>10</v>
      </c>
      <c r="L2145" s="8">
        <f t="shared" si="5379"/>
        <v>1</v>
      </c>
      <c r="M2145" t="s">
        <v>2365</v>
      </c>
    </row>
    <row r="2146" spans="1:13" x14ac:dyDescent="0.35">
      <c r="A2146">
        <f t="shared" si="4745"/>
        <v>2142</v>
      </c>
      <c r="B2146" s="9">
        <f t="shared" ref="B2146" si="5484">B2145+H2146+I2146+J2146</f>
        <v>263.52999999999997</v>
      </c>
      <c r="C2146" s="3" t="s">
        <v>2356</v>
      </c>
      <c r="D2146">
        <f t="shared" ref="D2146" si="5485">_xlfn.NUMBERVALUE(LEFT(C2146,2))</f>
        <v>22</v>
      </c>
      <c r="E2146">
        <f t="shared" ref="E2146" si="5486">_xlfn.NUMBERVALUE(MID(C2146,4,2))</f>
        <v>2</v>
      </c>
      <c r="F2146">
        <f t="shared" ref="F2146" si="5487">_xlfn.NUMBERVALUE(RIGHT(C2146,4))</f>
        <v>2024</v>
      </c>
      <c r="G2146" t="s">
        <v>7</v>
      </c>
      <c r="H2146">
        <v>-2</v>
      </c>
      <c r="K2146" t="s">
        <v>9</v>
      </c>
      <c r="L2146" s="8">
        <f t="shared" si="5379"/>
        <v>-1</v>
      </c>
      <c r="M2146" t="s">
        <v>2366</v>
      </c>
    </row>
    <row r="2147" spans="1:13" x14ac:dyDescent="0.35">
      <c r="A2147">
        <f t="shared" si="4745"/>
        <v>2143</v>
      </c>
      <c r="B2147" s="9">
        <f t="shared" ref="B2147" si="5488">B2146+H2147+I2147+J2147</f>
        <v>261.52999999999997</v>
      </c>
      <c r="C2147" s="3" t="s">
        <v>2356</v>
      </c>
      <c r="D2147">
        <f t="shared" ref="D2147" si="5489">_xlfn.NUMBERVALUE(LEFT(C2147,2))</f>
        <v>22</v>
      </c>
      <c r="E2147">
        <f t="shared" ref="E2147" si="5490">_xlfn.NUMBERVALUE(MID(C2147,4,2))</f>
        <v>2</v>
      </c>
      <c r="F2147">
        <f t="shared" ref="F2147" si="5491">_xlfn.NUMBERVALUE(RIGHT(C2147,4))</f>
        <v>2024</v>
      </c>
      <c r="G2147" t="s">
        <v>7</v>
      </c>
      <c r="H2147">
        <v>-2</v>
      </c>
      <c r="K2147" t="s">
        <v>9</v>
      </c>
      <c r="L2147" s="8">
        <f t="shared" si="5379"/>
        <v>-1</v>
      </c>
      <c r="M2147" t="s">
        <v>2367</v>
      </c>
    </row>
    <row r="2148" spans="1:13" x14ac:dyDescent="0.35">
      <c r="A2148">
        <f t="shared" si="4745"/>
        <v>2144</v>
      </c>
      <c r="B2148" s="9">
        <f t="shared" ref="B2148" si="5492">B2147+H2148+I2148+J2148</f>
        <v>259.52999999999997</v>
      </c>
      <c r="C2148" s="3" t="s">
        <v>2356</v>
      </c>
      <c r="D2148">
        <f t="shared" ref="D2148" si="5493">_xlfn.NUMBERVALUE(LEFT(C2148,2))</f>
        <v>22</v>
      </c>
      <c r="E2148">
        <f t="shared" ref="E2148" si="5494">_xlfn.NUMBERVALUE(MID(C2148,4,2))</f>
        <v>2</v>
      </c>
      <c r="F2148">
        <f t="shared" ref="F2148" si="5495">_xlfn.NUMBERVALUE(RIGHT(C2148,4))</f>
        <v>2024</v>
      </c>
      <c r="G2148" t="s">
        <v>7</v>
      </c>
      <c r="H2148">
        <v>-2</v>
      </c>
      <c r="K2148" t="s">
        <v>9</v>
      </c>
      <c r="L2148" s="8">
        <f t="shared" si="5379"/>
        <v>-1</v>
      </c>
      <c r="M2148" t="s">
        <v>2368</v>
      </c>
    </row>
    <row r="2149" spans="1:13" x14ac:dyDescent="0.35">
      <c r="A2149">
        <f t="shared" si="4745"/>
        <v>2145</v>
      </c>
      <c r="B2149" s="9">
        <f t="shared" ref="B2149" si="5496">B2148+H2149+I2149+J2149</f>
        <v>257.52999999999997</v>
      </c>
      <c r="C2149" s="3" t="s">
        <v>2356</v>
      </c>
      <c r="D2149">
        <f t="shared" ref="D2149" si="5497">_xlfn.NUMBERVALUE(LEFT(C2149,2))</f>
        <v>22</v>
      </c>
      <c r="E2149">
        <f t="shared" ref="E2149" si="5498">_xlfn.NUMBERVALUE(MID(C2149,4,2))</f>
        <v>2</v>
      </c>
      <c r="F2149">
        <f t="shared" ref="F2149" si="5499">_xlfn.NUMBERVALUE(RIGHT(C2149,4))</f>
        <v>2024</v>
      </c>
      <c r="G2149" t="s">
        <v>7</v>
      </c>
      <c r="H2149">
        <v>-2</v>
      </c>
      <c r="K2149" t="s">
        <v>9</v>
      </c>
      <c r="L2149" s="8">
        <f t="shared" si="5379"/>
        <v>-1</v>
      </c>
      <c r="M2149" t="s">
        <v>2369</v>
      </c>
    </row>
    <row r="2150" spans="1:13" x14ac:dyDescent="0.35">
      <c r="A2150">
        <f t="shared" si="4745"/>
        <v>2146</v>
      </c>
      <c r="B2150" s="9">
        <f t="shared" ref="B2150" si="5500">B2149+H2150+I2150+J2150</f>
        <v>255.52999999999997</v>
      </c>
      <c r="C2150" s="3" t="s">
        <v>2356</v>
      </c>
      <c r="D2150">
        <f t="shared" ref="D2150" si="5501">_xlfn.NUMBERVALUE(LEFT(C2150,2))</f>
        <v>22</v>
      </c>
      <c r="E2150">
        <f t="shared" ref="E2150" si="5502">_xlfn.NUMBERVALUE(MID(C2150,4,2))</f>
        <v>2</v>
      </c>
      <c r="F2150">
        <f t="shared" ref="F2150" si="5503">_xlfn.NUMBERVALUE(RIGHT(C2150,4))</f>
        <v>2024</v>
      </c>
      <c r="G2150" t="s">
        <v>7</v>
      </c>
      <c r="H2150">
        <v>-2</v>
      </c>
      <c r="K2150" t="s">
        <v>9</v>
      </c>
      <c r="L2150" s="8">
        <f t="shared" si="5379"/>
        <v>-1</v>
      </c>
      <c r="M2150" t="s">
        <v>2370</v>
      </c>
    </row>
    <row r="2151" spans="1:13" x14ac:dyDescent="0.35">
      <c r="A2151">
        <f t="shared" si="4745"/>
        <v>2147</v>
      </c>
      <c r="B2151" s="9">
        <f t="shared" ref="B2151" si="5504">B2150+H2151+I2151+J2151</f>
        <v>253.52999999999997</v>
      </c>
      <c r="C2151" s="3" t="s">
        <v>2356</v>
      </c>
      <c r="D2151">
        <f t="shared" ref="D2151" si="5505">_xlfn.NUMBERVALUE(LEFT(C2151,2))</f>
        <v>22</v>
      </c>
      <c r="E2151">
        <f t="shared" ref="E2151" si="5506">_xlfn.NUMBERVALUE(MID(C2151,4,2))</f>
        <v>2</v>
      </c>
      <c r="F2151">
        <f t="shared" ref="F2151" si="5507">_xlfn.NUMBERVALUE(RIGHT(C2151,4))</f>
        <v>2024</v>
      </c>
      <c r="G2151" t="s">
        <v>7</v>
      </c>
      <c r="H2151">
        <v>-2</v>
      </c>
      <c r="K2151" t="s">
        <v>9</v>
      </c>
      <c r="L2151" s="8">
        <f t="shared" si="5379"/>
        <v>-1</v>
      </c>
      <c r="M2151" t="s">
        <v>2371</v>
      </c>
    </row>
    <row r="2152" spans="1:13" x14ac:dyDescent="0.35">
      <c r="A2152">
        <f t="shared" si="4745"/>
        <v>2148</v>
      </c>
      <c r="B2152" s="9">
        <f t="shared" ref="B2152" si="5508">B2151+H2152+I2152+J2152</f>
        <v>255.52999999999997</v>
      </c>
      <c r="C2152" s="3" t="s">
        <v>2356</v>
      </c>
      <c r="D2152">
        <f t="shared" ref="D2152" si="5509">_xlfn.NUMBERVALUE(LEFT(C2152,2))</f>
        <v>22</v>
      </c>
      <c r="E2152">
        <f t="shared" ref="E2152" si="5510">_xlfn.NUMBERVALUE(MID(C2152,4,2))</f>
        <v>2</v>
      </c>
      <c r="F2152">
        <f t="shared" ref="F2152" si="5511">_xlfn.NUMBERVALUE(RIGHT(C2152,4))</f>
        <v>2024</v>
      </c>
      <c r="G2152" t="s">
        <v>7</v>
      </c>
      <c r="H2152">
        <v>-2</v>
      </c>
      <c r="I2152">
        <v>4</v>
      </c>
      <c r="K2152" t="s">
        <v>10</v>
      </c>
      <c r="L2152" s="8">
        <f t="shared" si="5379"/>
        <v>1</v>
      </c>
      <c r="M2152" t="s">
        <v>2372</v>
      </c>
    </row>
    <row r="2153" spans="1:13" x14ac:dyDescent="0.35">
      <c r="A2153">
        <f t="shared" si="4745"/>
        <v>2149</v>
      </c>
      <c r="B2153" s="9">
        <f t="shared" ref="B2153" si="5512">B2152+H2153+I2153+J2153</f>
        <v>253.52999999999997</v>
      </c>
      <c r="C2153" s="3" t="s">
        <v>2356</v>
      </c>
      <c r="D2153">
        <f t="shared" ref="D2153" si="5513">_xlfn.NUMBERVALUE(LEFT(C2153,2))</f>
        <v>22</v>
      </c>
      <c r="E2153">
        <f t="shared" ref="E2153" si="5514">_xlfn.NUMBERVALUE(MID(C2153,4,2))</f>
        <v>2</v>
      </c>
      <c r="F2153">
        <f t="shared" ref="F2153" si="5515">_xlfn.NUMBERVALUE(RIGHT(C2153,4))</f>
        <v>2024</v>
      </c>
      <c r="G2153" t="s">
        <v>7</v>
      </c>
      <c r="H2153">
        <v>-2</v>
      </c>
      <c r="K2153" t="s">
        <v>9</v>
      </c>
      <c r="L2153" s="8">
        <f t="shared" si="5379"/>
        <v>-1</v>
      </c>
      <c r="M2153" t="s">
        <v>2373</v>
      </c>
    </row>
    <row r="2154" spans="1:13" x14ac:dyDescent="0.35">
      <c r="A2154">
        <f t="shared" si="4745"/>
        <v>2150</v>
      </c>
      <c r="B2154" s="9">
        <f t="shared" ref="B2154" si="5516">B2153+H2154+I2154+J2154</f>
        <v>251.52999999999997</v>
      </c>
      <c r="C2154" s="3" t="s">
        <v>2356</v>
      </c>
      <c r="D2154">
        <f t="shared" ref="D2154" si="5517">_xlfn.NUMBERVALUE(LEFT(C2154,2))</f>
        <v>22</v>
      </c>
      <c r="E2154">
        <f t="shared" ref="E2154" si="5518">_xlfn.NUMBERVALUE(MID(C2154,4,2))</f>
        <v>2</v>
      </c>
      <c r="F2154">
        <f t="shared" ref="F2154" si="5519">_xlfn.NUMBERVALUE(RIGHT(C2154,4))</f>
        <v>2024</v>
      </c>
      <c r="G2154" t="s">
        <v>7</v>
      </c>
      <c r="H2154">
        <v>-2</v>
      </c>
      <c r="K2154" t="s">
        <v>9</v>
      </c>
      <c r="L2154" s="8">
        <f t="shared" si="5379"/>
        <v>-1</v>
      </c>
      <c r="M2154" t="s">
        <v>2374</v>
      </c>
    </row>
    <row r="2155" spans="1:13" x14ac:dyDescent="0.35">
      <c r="A2155">
        <f t="shared" si="4745"/>
        <v>2151</v>
      </c>
      <c r="B2155" s="9">
        <f t="shared" ref="B2155" si="5520">B2154+H2155+I2155+J2155</f>
        <v>255.52999999999997</v>
      </c>
      <c r="C2155" s="3" t="s">
        <v>2356</v>
      </c>
      <c r="D2155">
        <f t="shared" ref="D2155" si="5521">_xlfn.NUMBERVALUE(LEFT(C2155,2))</f>
        <v>22</v>
      </c>
      <c r="E2155">
        <f t="shared" ref="E2155" si="5522">_xlfn.NUMBERVALUE(MID(C2155,4,2))</f>
        <v>2</v>
      </c>
      <c r="F2155">
        <f t="shared" ref="F2155" si="5523">_xlfn.NUMBERVALUE(RIGHT(C2155,4))</f>
        <v>2024</v>
      </c>
      <c r="G2155" t="s">
        <v>7</v>
      </c>
      <c r="H2155">
        <v>-2</v>
      </c>
      <c r="I2155">
        <v>6</v>
      </c>
      <c r="K2155" t="s">
        <v>10</v>
      </c>
      <c r="L2155" s="8">
        <f t="shared" si="5379"/>
        <v>2</v>
      </c>
      <c r="M2155" t="s">
        <v>2375</v>
      </c>
    </row>
    <row r="2156" spans="1:13" x14ac:dyDescent="0.35">
      <c r="A2156">
        <f t="shared" si="4745"/>
        <v>2152</v>
      </c>
      <c r="B2156" s="9">
        <f t="shared" ref="B2156" si="5524">B2155+H2156+I2156+J2156</f>
        <v>259.52999999999997</v>
      </c>
      <c r="C2156" s="3" t="s">
        <v>2356</v>
      </c>
      <c r="D2156">
        <f t="shared" ref="D2156" si="5525">_xlfn.NUMBERVALUE(LEFT(C2156,2))</f>
        <v>22</v>
      </c>
      <c r="E2156">
        <f t="shared" ref="E2156" si="5526">_xlfn.NUMBERVALUE(MID(C2156,4,2))</f>
        <v>2</v>
      </c>
      <c r="F2156">
        <f t="shared" ref="F2156" si="5527">_xlfn.NUMBERVALUE(RIGHT(C2156,4))</f>
        <v>2024</v>
      </c>
      <c r="G2156" t="s">
        <v>7</v>
      </c>
      <c r="H2156">
        <v>-2</v>
      </c>
      <c r="I2156">
        <v>6</v>
      </c>
      <c r="K2156" t="s">
        <v>10</v>
      </c>
      <c r="L2156" s="8">
        <f t="shared" si="5379"/>
        <v>2</v>
      </c>
      <c r="M2156" t="s">
        <v>2376</v>
      </c>
    </row>
    <row r="2157" spans="1:13" x14ac:dyDescent="0.35">
      <c r="A2157">
        <f t="shared" si="4745"/>
        <v>2153</v>
      </c>
      <c r="B2157" s="9">
        <f t="shared" ref="B2157" si="5528">B2156+H2157+I2157+J2157</f>
        <v>263.52999999999997</v>
      </c>
      <c r="C2157" s="3" t="s">
        <v>2356</v>
      </c>
      <c r="D2157">
        <f t="shared" ref="D2157" si="5529">_xlfn.NUMBERVALUE(LEFT(C2157,2))</f>
        <v>22</v>
      </c>
      <c r="E2157">
        <f t="shared" ref="E2157" si="5530">_xlfn.NUMBERVALUE(MID(C2157,4,2))</f>
        <v>2</v>
      </c>
      <c r="F2157">
        <f t="shared" ref="F2157" si="5531">_xlfn.NUMBERVALUE(RIGHT(C2157,4))</f>
        <v>2024</v>
      </c>
      <c r="G2157" t="s">
        <v>7</v>
      </c>
      <c r="H2157">
        <v>-2</v>
      </c>
      <c r="I2157">
        <v>6</v>
      </c>
      <c r="K2157" t="s">
        <v>10</v>
      </c>
      <c r="L2157" s="8">
        <f t="shared" si="5379"/>
        <v>2</v>
      </c>
      <c r="M2157" t="s">
        <v>2377</v>
      </c>
    </row>
    <row r="2158" spans="1:13" x14ac:dyDescent="0.35">
      <c r="A2158">
        <f t="shared" si="4745"/>
        <v>2154</v>
      </c>
      <c r="B2158" s="9">
        <f t="shared" ref="B2158" si="5532">B2157+H2158+I2158+J2158</f>
        <v>265.52999999999997</v>
      </c>
      <c r="C2158" s="3" t="s">
        <v>2356</v>
      </c>
      <c r="D2158">
        <f t="shared" ref="D2158" si="5533">_xlfn.NUMBERVALUE(LEFT(C2158,2))</f>
        <v>22</v>
      </c>
      <c r="E2158">
        <f t="shared" ref="E2158" si="5534">_xlfn.NUMBERVALUE(MID(C2158,4,2))</f>
        <v>2</v>
      </c>
      <c r="F2158">
        <f t="shared" ref="F2158" si="5535">_xlfn.NUMBERVALUE(RIGHT(C2158,4))</f>
        <v>2024</v>
      </c>
      <c r="G2158" t="s">
        <v>7</v>
      </c>
      <c r="H2158">
        <v>-2</v>
      </c>
      <c r="I2158">
        <v>4</v>
      </c>
      <c r="K2158" t="s">
        <v>10</v>
      </c>
      <c r="L2158" s="8">
        <f t="shared" si="5379"/>
        <v>1</v>
      </c>
      <c r="M2158" t="s">
        <v>2378</v>
      </c>
    </row>
    <row r="2159" spans="1:13" x14ac:dyDescent="0.35">
      <c r="A2159">
        <f t="shared" si="4745"/>
        <v>2155</v>
      </c>
      <c r="B2159" s="9">
        <f t="shared" ref="B2159" si="5536">B2158+H2159+I2159+J2159</f>
        <v>263.52999999999997</v>
      </c>
      <c r="C2159" s="3" t="s">
        <v>2356</v>
      </c>
      <c r="D2159">
        <f t="shared" ref="D2159" si="5537">_xlfn.NUMBERVALUE(LEFT(C2159,2))</f>
        <v>22</v>
      </c>
      <c r="E2159">
        <f t="shared" ref="E2159" si="5538">_xlfn.NUMBERVALUE(MID(C2159,4,2))</f>
        <v>2</v>
      </c>
      <c r="F2159">
        <f t="shared" ref="F2159" si="5539">_xlfn.NUMBERVALUE(RIGHT(C2159,4))</f>
        <v>2024</v>
      </c>
      <c r="G2159" t="s">
        <v>7</v>
      </c>
      <c r="H2159">
        <v>-2</v>
      </c>
      <c r="K2159" t="s">
        <v>9</v>
      </c>
      <c r="L2159" s="8">
        <f t="shared" si="5379"/>
        <v>-1</v>
      </c>
      <c r="M2159" t="s">
        <v>2379</v>
      </c>
    </row>
    <row r="2160" spans="1:13" x14ac:dyDescent="0.35">
      <c r="A2160">
        <f t="shared" si="4745"/>
        <v>2156</v>
      </c>
      <c r="B2160" s="9">
        <f t="shared" ref="B2160" si="5540">B2159+H2160+I2160+J2160</f>
        <v>261.52999999999997</v>
      </c>
      <c r="C2160" s="3" t="s">
        <v>2356</v>
      </c>
      <c r="D2160">
        <f t="shared" ref="D2160" si="5541">_xlfn.NUMBERVALUE(LEFT(C2160,2))</f>
        <v>22</v>
      </c>
      <c r="E2160">
        <f t="shared" ref="E2160" si="5542">_xlfn.NUMBERVALUE(MID(C2160,4,2))</f>
        <v>2</v>
      </c>
      <c r="F2160">
        <f t="shared" ref="F2160" si="5543">_xlfn.NUMBERVALUE(RIGHT(C2160,4))</f>
        <v>2024</v>
      </c>
      <c r="G2160" t="s">
        <v>7</v>
      </c>
      <c r="H2160">
        <v>-2</v>
      </c>
      <c r="K2160" t="s">
        <v>9</v>
      </c>
      <c r="L2160" s="8">
        <f t="shared" si="5379"/>
        <v>-1</v>
      </c>
      <c r="M2160" t="s">
        <v>2380</v>
      </c>
    </row>
    <row r="2161" spans="1:13" x14ac:dyDescent="0.35">
      <c r="A2161">
        <f t="shared" si="4745"/>
        <v>2157</v>
      </c>
      <c r="B2161" s="9">
        <f t="shared" ref="B2161" si="5544">B2160+H2161+I2161+J2161</f>
        <v>263.52999999999997</v>
      </c>
      <c r="C2161" s="3" t="s">
        <v>2356</v>
      </c>
      <c r="D2161">
        <f t="shared" ref="D2161" si="5545">_xlfn.NUMBERVALUE(LEFT(C2161,2))</f>
        <v>22</v>
      </c>
      <c r="E2161">
        <f t="shared" ref="E2161" si="5546">_xlfn.NUMBERVALUE(MID(C2161,4,2))</f>
        <v>2</v>
      </c>
      <c r="F2161">
        <f t="shared" ref="F2161" si="5547">_xlfn.NUMBERVALUE(RIGHT(C2161,4))</f>
        <v>2024</v>
      </c>
      <c r="G2161" t="s">
        <v>7</v>
      </c>
      <c r="H2161">
        <v>-2</v>
      </c>
      <c r="I2161">
        <v>4</v>
      </c>
      <c r="K2161" t="s">
        <v>10</v>
      </c>
      <c r="L2161" s="8">
        <f t="shared" si="5379"/>
        <v>1</v>
      </c>
      <c r="M2161" t="s">
        <v>2381</v>
      </c>
    </row>
    <row r="2162" spans="1:13" x14ac:dyDescent="0.35">
      <c r="A2162">
        <f t="shared" si="4745"/>
        <v>2158</v>
      </c>
      <c r="B2162" s="9">
        <f t="shared" ref="B2162" si="5548">B2161+H2162+I2162+J2162</f>
        <v>261.52999999999997</v>
      </c>
      <c r="C2162" s="3" t="s">
        <v>2356</v>
      </c>
      <c r="D2162">
        <f t="shared" ref="D2162" si="5549">_xlfn.NUMBERVALUE(LEFT(C2162,2))</f>
        <v>22</v>
      </c>
      <c r="E2162">
        <f t="shared" ref="E2162" si="5550">_xlfn.NUMBERVALUE(MID(C2162,4,2))</f>
        <v>2</v>
      </c>
      <c r="F2162">
        <f t="shared" ref="F2162" si="5551">_xlfn.NUMBERVALUE(RIGHT(C2162,4))</f>
        <v>2024</v>
      </c>
      <c r="G2162" t="s">
        <v>7</v>
      </c>
      <c r="H2162">
        <v>-2</v>
      </c>
      <c r="K2162" t="s">
        <v>9</v>
      </c>
      <c r="L2162" s="8">
        <f t="shared" si="5379"/>
        <v>-1</v>
      </c>
      <c r="M2162" t="s">
        <v>2382</v>
      </c>
    </row>
    <row r="2163" spans="1:13" x14ac:dyDescent="0.35">
      <c r="A2163">
        <f t="shared" si="4745"/>
        <v>2159</v>
      </c>
      <c r="B2163" s="9">
        <f t="shared" ref="B2163" si="5552">B2162+H2163+I2163+J2163</f>
        <v>265.52999999999997</v>
      </c>
      <c r="C2163" s="3" t="s">
        <v>2383</v>
      </c>
      <c r="D2163">
        <f t="shared" ref="D2163" si="5553">_xlfn.NUMBERVALUE(LEFT(C2163,2))</f>
        <v>23</v>
      </c>
      <c r="E2163">
        <f t="shared" ref="E2163" si="5554">_xlfn.NUMBERVALUE(MID(C2163,4,2))</f>
        <v>2</v>
      </c>
      <c r="F2163">
        <f t="shared" ref="F2163" si="5555">_xlfn.NUMBERVALUE(RIGHT(C2163,4))</f>
        <v>2024</v>
      </c>
      <c r="G2163" t="s">
        <v>7</v>
      </c>
      <c r="H2163">
        <v>-2</v>
      </c>
      <c r="I2163">
        <v>6</v>
      </c>
      <c r="K2163" t="s">
        <v>10</v>
      </c>
      <c r="L2163" s="8">
        <f t="shared" si="5379"/>
        <v>2</v>
      </c>
      <c r="M2163" t="s">
        <v>2384</v>
      </c>
    </row>
    <row r="2164" spans="1:13" x14ac:dyDescent="0.35">
      <c r="A2164">
        <f t="shared" si="4745"/>
        <v>2160</v>
      </c>
      <c r="B2164" s="9">
        <f t="shared" ref="B2164" si="5556">B2163+H2164+I2164+J2164</f>
        <v>260.52999999999997</v>
      </c>
      <c r="C2164" s="3" t="s">
        <v>2383</v>
      </c>
      <c r="D2164">
        <f t="shared" ref="D2164" si="5557">_xlfn.NUMBERVALUE(LEFT(C2164,2))</f>
        <v>23</v>
      </c>
      <c r="E2164">
        <f t="shared" ref="E2164" si="5558">_xlfn.NUMBERVALUE(MID(C2164,4,2))</f>
        <v>2</v>
      </c>
      <c r="F2164">
        <f t="shared" ref="F2164" si="5559">_xlfn.NUMBERVALUE(RIGHT(C2164,4))</f>
        <v>2024</v>
      </c>
      <c r="G2164" t="s">
        <v>7</v>
      </c>
      <c r="H2164">
        <v>-5</v>
      </c>
      <c r="K2164" t="s">
        <v>9</v>
      </c>
      <c r="L2164" s="8">
        <f t="shared" si="5379"/>
        <v>-1</v>
      </c>
      <c r="M2164" t="s">
        <v>2385</v>
      </c>
    </row>
    <row r="2165" spans="1:13" x14ac:dyDescent="0.35">
      <c r="A2165">
        <f t="shared" si="4745"/>
        <v>2161</v>
      </c>
      <c r="B2165" s="9">
        <f t="shared" ref="B2165" si="5560">B2164+H2165+I2165+J2165</f>
        <v>258.52999999999997</v>
      </c>
      <c r="C2165" s="3" t="s">
        <v>2387</v>
      </c>
      <c r="D2165">
        <f t="shared" ref="D2165" si="5561">_xlfn.NUMBERVALUE(LEFT(C2165,2))</f>
        <v>24</v>
      </c>
      <c r="E2165">
        <f t="shared" ref="E2165" si="5562">_xlfn.NUMBERVALUE(MID(C2165,4,2))</f>
        <v>2</v>
      </c>
      <c r="F2165">
        <f t="shared" ref="F2165" si="5563">_xlfn.NUMBERVALUE(RIGHT(C2165,4))</f>
        <v>2024</v>
      </c>
      <c r="G2165" t="s">
        <v>7</v>
      </c>
      <c r="H2165">
        <v>-2</v>
      </c>
      <c r="K2165" t="s">
        <v>9</v>
      </c>
      <c r="L2165" s="8">
        <f t="shared" si="5379"/>
        <v>-1</v>
      </c>
      <c r="M2165" t="s">
        <v>2386</v>
      </c>
    </row>
    <row r="2166" spans="1:13" x14ac:dyDescent="0.35">
      <c r="A2166">
        <f t="shared" si="4745"/>
        <v>2162</v>
      </c>
      <c r="B2166" s="9">
        <f t="shared" ref="B2166" si="5564">B2165+H2166+I2166+J2166</f>
        <v>256.52999999999997</v>
      </c>
      <c r="C2166" s="3" t="s">
        <v>2387</v>
      </c>
      <c r="D2166">
        <f t="shared" ref="D2166" si="5565">_xlfn.NUMBERVALUE(LEFT(C2166,2))</f>
        <v>24</v>
      </c>
      <c r="E2166">
        <f t="shared" ref="E2166" si="5566">_xlfn.NUMBERVALUE(MID(C2166,4,2))</f>
        <v>2</v>
      </c>
      <c r="F2166">
        <f t="shared" ref="F2166" si="5567">_xlfn.NUMBERVALUE(RIGHT(C2166,4))</f>
        <v>2024</v>
      </c>
      <c r="G2166" t="s">
        <v>7</v>
      </c>
      <c r="H2166">
        <v>-2</v>
      </c>
      <c r="K2166" t="s">
        <v>9</v>
      </c>
      <c r="L2166" s="8">
        <f t="shared" si="5379"/>
        <v>-1</v>
      </c>
      <c r="M2166" t="s">
        <v>2388</v>
      </c>
    </row>
    <row r="2167" spans="1:13" x14ac:dyDescent="0.35">
      <c r="A2167">
        <f t="shared" si="4745"/>
        <v>2163</v>
      </c>
      <c r="B2167" s="9">
        <f t="shared" ref="B2167" si="5568">B2166+H2167+I2167+J2167</f>
        <v>258.52999999999997</v>
      </c>
      <c r="C2167" s="3" t="s">
        <v>2387</v>
      </c>
      <c r="D2167">
        <f t="shared" ref="D2167" si="5569">_xlfn.NUMBERVALUE(LEFT(C2167,2))</f>
        <v>24</v>
      </c>
      <c r="E2167">
        <f t="shared" ref="E2167" si="5570">_xlfn.NUMBERVALUE(MID(C2167,4,2))</f>
        <v>2</v>
      </c>
      <c r="F2167">
        <f t="shared" ref="F2167" si="5571">_xlfn.NUMBERVALUE(RIGHT(C2167,4))</f>
        <v>2024</v>
      </c>
      <c r="G2167" t="s">
        <v>7</v>
      </c>
      <c r="H2167">
        <v>-2</v>
      </c>
      <c r="I2167">
        <v>4</v>
      </c>
      <c r="K2167" t="s">
        <v>10</v>
      </c>
      <c r="L2167" s="8">
        <f t="shared" si="5379"/>
        <v>1</v>
      </c>
      <c r="M2167" t="s">
        <v>2389</v>
      </c>
    </row>
    <row r="2168" spans="1:13" x14ac:dyDescent="0.35">
      <c r="A2168">
        <f t="shared" si="4745"/>
        <v>2164</v>
      </c>
      <c r="B2168" s="9">
        <f t="shared" ref="B2168" si="5572">B2167+H2168+I2168+J2168</f>
        <v>256.52999999999997</v>
      </c>
      <c r="C2168" s="3" t="s">
        <v>2387</v>
      </c>
      <c r="D2168">
        <f t="shared" ref="D2168" si="5573">_xlfn.NUMBERVALUE(LEFT(C2168,2))</f>
        <v>24</v>
      </c>
      <c r="E2168">
        <f t="shared" ref="E2168" si="5574">_xlfn.NUMBERVALUE(MID(C2168,4,2))</f>
        <v>2</v>
      </c>
      <c r="F2168">
        <f t="shared" ref="F2168" si="5575">_xlfn.NUMBERVALUE(RIGHT(C2168,4))</f>
        <v>2024</v>
      </c>
      <c r="G2168" t="s">
        <v>7</v>
      </c>
      <c r="H2168">
        <v>-2</v>
      </c>
      <c r="K2168" t="s">
        <v>9</v>
      </c>
      <c r="L2168" s="8">
        <f t="shared" si="5379"/>
        <v>-1</v>
      </c>
      <c r="M2168" t="s">
        <v>2390</v>
      </c>
    </row>
    <row r="2169" spans="1:13" x14ac:dyDescent="0.35">
      <c r="A2169">
        <f t="shared" si="4745"/>
        <v>2165</v>
      </c>
      <c r="B2169" s="9">
        <f t="shared" ref="B2169" si="5576">B2168+H2169+I2169+J2169</f>
        <v>254.52999999999997</v>
      </c>
      <c r="C2169" s="3" t="s">
        <v>2387</v>
      </c>
      <c r="D2169">
        <f t="shared" ref="D2169" si="5577">_xlfn.NUMBERVALUE(LEFT(C2169,2))</f>
        <v>24</v>
      </c>
      <c r="E2169">
        <f t="shared" ref="E2169" si="5578">_xlfn.NUMBERVALUE(MID(C2169,4,2))</f>
        <v>2</v>
      </c>
      <c r="F2169">
        <f t="shared" ref="F2169" si="5579">_xlfn.NUMBERVALUE(RIGHT(C2169,4))</f>
        <v>2024</v>
      </c>
      <c r="G2169" t="s">
        <v>7</v>
      </c>
      <c r="H2169">
        <v>-2</v>
      </c>
      <c r="K2169" t="s">
        <v>9</v>
      </c>
      <c r="L2169" s="8">
        <f t="shared" si="5379"/>
        <v>-1</v>
      </c>
      <c r="M2169" t="s">
        <v>2391</v>
      </c>
    </row>
    <row r="2170" spans="1:13" x14ac:dyDescent="0.35">
      <c r="A2170">
        <f t="shared" si="4745"/>
        <v>2166</v>
      </c>
      <c r="B2170" s="9">
        <f t="shared" ref="B2170" si="5580">B2169+H2170+I2170+J2170</f>
        <v>252.52999999999997</v>
      </c>
      <c r="C2170" s="3" t="s">
        <v>2387</v>
      </c>
      <c r="D2170">
        <f t="shared" ref="D2170" si="5581">_xlfn.NUMBERVALUE(LEFT(C2170,2))</f>
        <v>24</v>
      </c>
      <c r="E2170">
        <f t="shared" ref="E2170" si="5582">_xlfn.NUMBERVALUE(MID(C2170,4,2))</f>
        <v>2</v>
      </c>
      <c r="F2170">
        <f t="shared" ref="F2170" si="5583">_xlfn.NUMBERVALUE(RIGHT(C2170,4))</f>
        <v>2024</v>
      </c>
      <c r="G2170" t="s">
        <v>7</v>
      </c>
      <c r="H2170">
        <v>-2</v>
      </c>
      <c r="K2170" t="s">
        <v>9</v>
      </c>
      <c r="L2170" s="8">
        <f t="shared" si="5379"/>
        <v>-1</v>
      </c>
      <c r="M2170" t="s">
        <v>2392</v>
      </c>
    </row>
    <row r="2171" spans="1:13" x14ac:dyDescent="0.35">
      <c r="A2171">
        <f t="shared" si="4745"/>
        <v>2167</v>
      </c>
      <c r="B2171" s="9">
        <f t="shared" ref="B2171" si="5584">B2170+H2171+I2171+J2171</f>
        <v>254.52999999999997</v>
      </c>
      <c r="C2171" s="3" t="s">
        <v>2387</v>
      </c>
      <c r="D2171">
        <f t="shared" ref="D2171" si="5585">_xlfn.NUMBERVALUE(LEFT(C2171,2))</f>
        <v>24</v>
      </c>
      <c r="E2171">
        <f t="shared" ref="E2171" si="5586">_xlfn.NUMBERVALUE(MID(C2171,4,2))</f>
        <v>2</v>
      </c>
      <c r="F2171">
        <f t="shared" ref="F2171" si="5587">_xlfn.NUMBERVALUE(RIGHT(C2171,4))</f>
        <v>2024</v>
      </c>
      <c r="G2171" t="s">
        <v>7</v>
      </c>
      <c r="H2171">
        <v>-2</v>
      </c>
      <c r="I2171">
        <v>4</v>
      </c>
      <c r="K2171" t="s">
        <v>10</v>
      </c>
      <c r="L2171" s="8">
        <f t="shared" si="5379"/>
        <v>1</v>
      </c>
      <c r="M2171" t="s">
        <v>2393</v>
      </c>
    </row>
    <row r="2172" spans="1:13" x14ac:dyDescent="0.35">
      <c r="A2172">
        <f t="shared" si="4745"/>
        <v>2168</v>
      </c>
      <c r="B2172" s="9">
        <f t="shared" ref="B2172" si="5588">B2171+H2172+I2172+J2172</f>
        <v>260.52999999999997</v>
      </c>
      <c r="C2172" s="3" t="s">
        <v>2394</v>
      </c>
      <c r="D2172">
        <f t="shared" ref="D2172" si="5589">_xlfn.NUMBERVALUE(LEFT(C2172,2))</f>
        <v>25</v>
      </c>
      <c r="E2172">
        <f t="shared" ref="E2172" si="5590">_xlfn.NUMBERVALUE(MID(C2172,4,2))</f>
        <v>2</v>
      </c>
      <c r="F2172">
        <f t="shared" ref="F2172" si="5591">_xlfn.NUMBERVALUE(RIGHT(C2172,4))</f>
        <v>2024</v>
      </c>
      <c r="G2172" t="s">
        <v>7</v>
      </c>
      <c r="H2172">
        <v>-2</v>
      </c>
      <c r="I2172">
        <v>8</v>
      </c>
      <c r="K2172" t="s">
        <v>10</v>
      </c>
      <c r="L2172" s="8">
        <f t="shared" si="5379"/>
        <v>3</v>
      </c>
      <c r="M2172" t="s">
        <v>2395</v>
      </c>
    </row>
    <row r="2173" spans="1:13" x14ac:dyDescent="0.35">
      <c r="A2173">
        <f t="shared" si="4745"/>
        <v>2169</v>
      </c>
      <c r="B2173" s="9">
        <f t="shared" ref="B2173" si="5592">B2172+H2173+I2173+J2173</f>
        <v>262.52999999999997</v>
      </c>
      <c r="C2173" s="3" t="s">
        <v>2394</v>
      </c>
      <c r="D2173">
        <f t="shared" ref="D2173" si="5593">_xlfn.NUMBERVALUE(LEFT(C2173,2))</f>
        <v>25</v>
      </c>
      <c r="E2173">
        <f t="shared" ref="E2173" si="5594">_xlfn.NUMBERVALUE(MID(C2173,4,2))</f>
        <v>2</v>
      </c>
      <c r="F2173">
        <f t="shared" ref="F2173" si="5595">_xlfn.NUMBERVALUE(RIGHT(C2173,4))</f>
        <v>2024</v>
      </c>
      <c r="G2173" t="s">
        <v>7</v>
      </c>
      <c r="H2173">
        <v>-2</v>
      </c>
      <c r="I2173">
        <v>4</v>
      </c>
      <c r="K2173" t="s">
        <v>10</v>
      </c>
      <c r="L2173" s="8">
        <f t="shared" si="5379"/>
        <v>1</v>
      </c>
      <c r="M2173" t="s">
        <v>2396</v>
      </c>
    </row>
    <row r="2174" spans="1:13" x14ac:dyDescent="0.35">
      <c r="A2174">
        <f t="shared" si="4745"/>
        <v>2170</v>
      </c>
      <c r="B2174" s="9">
        <f t="shared" ref="B2174" si="5596">B2173+H2174+I2174+J2174</f>
        <v>260.52999999999997</v>
      </c>
      <c r="C2174" s="3" t="s">
        <v>2394</v>
      </c>
      <c r="D2174">
        <f t="shared" ref="D2174" si="5597">_xlfn.NUMBERVALUE(LEFT(C2174,2))</f>
        <v>25</v>
      </c>
      <c r="E2174">
        <f t="shared" ref="E2174" si="5598">_xlfn.NUMBERVALUE(MID(C2174,4,2))</f>
        <v>2</v>
      </c>
      <c r="F2174">
        <f t="shared" ref="F2174" si="5599">_xlfn.NUMBERVALUE(RIGHT(C2174,4))</f>
        <v>2024</v>
      </c>
      <c r="G2174" t="s">
        <v>7</v>
      </c>
      <c r="H2174">
        <v>-2</v>
      </c>
      <c r="K2174" t="s">
        <v>9</v>
      </c>
      <c r="L2174" s="8">
        <f t="shared" si="5379"/>
        <v>-1</v>
      </c>
      <c r="M2174" t="s">
        <v>2397</v>
      </c>
    </row>
    <row r="2175" spans="1:13" x14ac:dyDescent="0.35">
      <c r="A2175">
        <f t="shared" si="4745"/>
        <v>2171</v>
      </c>
      <c r="B2175" s="9">
        <f t="shared" ref="B2175" si="5600">B2174+H2175+I2175+J2175</f>
        <v>262.52999999999997</v>
      </c>
      <c r="C2175" s="3" t="s">
        <v>2394</v>
      </c>
      <c r="D2175">
        <f t="shared" ref="D2175" si="5601">_xlfn.NUMBERVALUE(LEFT(C2175,2))</f>
        <v>25</v>
      </c>
      <c r="E2175">
        <f t="shared" ref="E2175" si="5602">_xlfn.NUMBERVALUE(MID(C2175,4,2))</f>
        <v>2</v>
      </c>
      <c r="F2175">
        <f t="shared" ref="F2175" si="5603">_xlfn.NUMBERVALUE(RIGHT(C2175,4))</f>
        <v>2024</v>
      </c>
      <c r="G2175" t="s">
        <v>7</v>
      </c>
      <c r="H2175">
        <v>-2</v>
      </c>
      <c r="I2175">
        <v>4</v>
      </c>
      <c r="K2175" t="s">
        <v>10</v>
      </c>
      <c r="L2175" s="8">
        <f t="shared" si="5379"/>
        <v>1</v>
      </c>
      <c r="M2175" t="s">
        <v>2398</v>
      </c>
    </row>
    <row r="2176" spans="1:13" x14ac:dyDescent="0.35">
      <c r="A2176">
        <f t="shared" si="4745"/>
        <v>2172</v>
      </c>
      <c r="B2176" s="9">
        <f t="shared" ref="B2176" si="5604">B2175+H2176+I2176+J2176</f>
        <v>260.52999999999997</v>
      </c>
      <c r="C2176" s="3" t="s">
        <v>2394</v>
      </c>
      <c r="D2176">
        <f t="shared" ref="D2176" si="5605">_xlfn.NUMBERVALUE(LEFT(C2176,2))</f>
        <v>25</v>
      </c>
      <c r="E2176">
        <f t="shared" ref="E2176" si="5606">_xlfn.NUMBERVALUE(MID(C2176,4,2))</f>
        <v>2</v>
      </c>
      <c r="F2176">
        <f t="shared" ref="F2176" si="5607">_xlfn.NUMBERVALUE(RIGHT(C2176,4))</f>
        <v>2024</v>
      </c>
      <c r="G2176" t="s">
        <v>7</v>
      </c>
      <c r="H2176">
        <v>-2</v>
      </c>
      <c r="K2176" t="s">
        <v>9</v>
      </c>
      <c r="L2176" s="8">
        <f t="shared" si="5379"/>
        <v>-1</v>
      </c>
      <c r="M2176" t="s">
        <v>2399</v>
      </c>
    </row>
    <row r="2177" spans="1:13" x14ac:dyDescent="0.35">
      <c r="A2177">
        <f t="shared" si="4745"/>
        <v>2173</v>
      </c>
      <c r="B2177" s="9">
        <f t="shared" ref="B2177" si="5608">B2176+H2177+I2177+J2177</f>
        <v>258.52999999999997</v>
      </c>
      <c r="C2177" s="3" t="s">
        <v>2394</v>
      </c>
      <c r="D2177">
        <f t="shared" ref="D2177" si="5609">_xlfn.NUMBERVALUE(LEFT(C2177,2))</f>
        <v>25</v>
      </c>
      <c r="E2177">
        <f t="shared" ref="E2177" si="5610">_xlfn.NUMBERVALUE(MID(C2177,4,2))</f>
        <v>2</v>
      </c>
      <c r="F2177">
        <f t="shared" ref="F2177" si="5611">_xlfn.NUMBERVALUE(RIGHT(C2177,4))</f>
        <v>2024</v>
      </c>
      <c r="G2177" t="s">
        <v>7</v>
      </c>
      <c r="H2177">
        <v>-2</v>
      </c>
      <c r="K2177" t="s">
        <v>9</v>
      </c>
      <c r="L2177" s="8">
        <f t="shared" si="5379"/>
        <v>-1</v>
      </c>
      <c r="M2177" t="s">
        <v>2400</v>
      </c>
    </row>
    <row r="2178" spans="1:13" x14ac:dyDescent="0.35">
      <c r="A2178">
        <f t="shared" si="4745"/>
        <v>2174</v>
      </c>
      <c r="B2178" s="9">
        <f t="shared" ref="B2178" si="5612">B2177+H2178+I2178+J2178</f>
        <v>256.52999999999997</v>
      </c>
      <c r="C2178" s="3" t="s">
        <v>2394</v>
      </c>
      <c r="D2178">
        <f t="shared" ref="D2178" si="5613">_xlfn.NUMBERVALUE(LEFT(C2178,2))</f>
        <v>25</v>
      </c>
      <c r="E2178">
        <f t="shared" ref="E2178" si="5614">_xlfn.NUMBERVALUE(MID(C2178,4,2))</f>
        <v>2</v>
      </c>
      <c r="F2178">
        <f t="shared" ref="F2178" si="5615">_xlfn.NUMBERVALUE(RIGHT(C2178,4))</f>
        <v>2024</v>
      </c>
      <c r="G2178" t="s">
        <v>7</v>
      </c>
      <c r="H2178">
        <v>-2</v>
      </c>
      <c r="K2178" t="s">
        <v>9</v>
      </c>
      <c r="L2178" s="8">
        <f t="shared" si="5379"/>
        <v>-1</v>
      </c>
      <c r="M2178" t="s">
        <v>2401</v>
      </c>
    </row>
    <row r="2179" spans="1:13" x14ac:dyDescent="0.35">
      <c r="A2179">
        <f t="shared" si="4745"/>
        <v>2175</v>
      </c>
      <c r="B2179" s="9">
        <f t="shared" ref="B2179" si="5616">B2178+H2179+I2179+J2179</f>
        <v>260.52999999999997</v>
      </c>
      <c r="C2179" s="3" t="s">
        <v>2394</v>
      </c>
      <c r="D2179">
        <f t="shared" ref="D2179" si="5617">_xlfn.NUMBERVALUE(LEFT(C2179,2))</f>
        <v>25</v>
      </c>
      <c r="E2179">
        <f t="shared" ref="E2179" si="5618">_xlfn.NUMBERVALUE(MID(C2179,4,2))</f>
        <v>2</v>
      </c>
      <c r="F2179">
        <f t="shared" ref="F2179" si="5619">_xlfn.NUMBERVALUE(RIGHT(C2179,4))</f>
        <v>2024</v>
      </c>
      <c r="G2179" t="s">
        <v>7</v>
      </c>
      <c r="H2179">
        <v>-2</v>
      </c>
      <c r="I2179">
        <v>6</v>
      </c>
      <c r="K2179" t="s">
        <v>10</v>
      </c>
      <c r="L2179" s="8">
        <f t="shared" si="5379"/>
        <v>2</v>
      </c>
      <c r="M2179" t="s">
        <v>2402</v>
      </c>
    </row>
    <row r="2180" spans="1:13" x14ac:dyDescent="0.35">
      <c r="A2180">
        <f t="shared" si="4745"/>
        <v>2176</v>
      </c>
      <c r="B2180" s="9">
        <f t="shared" ref="B2180" si="5620">B2179+H2180+I2180+J2180</f>
        <v>258.52999999999997</v>
      </c>
      <c r="C2180" s="3" t="s">
        <v>2394</v>
      </c>
      <c r="D2180">
        <f t="shared" ref="D2180" si="5621">_xlfn.NUMBERVALUE(LEFT(C2180,2))</f>
        <v>25</v>
      </c>
      <c r="E2180">
        <f t="shared" ref="E2180" si="5622">_xlfn.NUMBERVALUE(MID(C2180,4,2))</f>
        <v>2</v>
      </c>
      <c r="F2180">
        <f t="shared" ref="F2180" si="5623">_xlfn.NUMBERVALUE(RIGHT(C2180,4))</f>
        <v>2024</v>
      </c>
      <c r="G2180" t="s">
        <v>7</v>
      </c>
      <c r="H2180">
        <v>-2</v>
      </c>
      <c r="K2180" t="s">
        <v>9</v>
      </c>
      <c r="L2180" s="8">
        <f t="shared" si="5379"/>
        <v>-1</v>
      </c>
      <c r="M2180" t="s">
        <v>2403</v>
      </c>
    </row>
    <row r="2181" spans="1:13" x14ac:dyDescent="0.35">
      <c r="A2181">
        <f t="shared" si="4745"/>
        <v>2177</v>
      </c>
      <c r="B2181" s="9">
        <f t="shared" ref="B2181" si="5624">B2180+H2181+I2181+J2181</f>
        <v>260.52999999999997</v>
      </c>
      <c r="C2181" s="3" t="s">
        <v>2394</v>
      </c>
      <c r="D2181">
        <f t="shared" ref="D2181" si="5625">_xlfn.NUMBERVALUE(LEFT(C2181,2))</f>
        <v>25</v>
      </c>
      <c r="E2181">
        <f t="shared" ref="E2181" si="5626">_xlfn.NUMBERVALUE(MID(C2181,4,2))</f>
        <v>2</v>
      </c>
      <c r="F2181">
        <f t="shared" ref="F2181" si="5627">_xlfn.NUMBERVALUE(RIGHT(C2181,4))</f>
        <v>2024</v>
      </c>
      <c r="G2181" t="s">
        <v>7</v>
      </c>
      <c r="H2181">
        <v>-2</v>
      </c>
      <c r="I2181">
        <v>4</v>
      </c>
      <c r="K2181" t="s">
        <v>10</v>
      </c>
      <c r="L2181" s="8">
        <f t="shared" si="5379"/>
        <v>1</v>
      </c>
      <c r="M2181" t="s">
        <v>2404</v>
      </c>
    </row>
    <row r="2182" spans="1:13" x14ac:dyDescent="0.35">
      <c r="A2182">
        <f t="shared" si="4745"/>
        <v>2178</v>
      </c>
      <c r="B2182" s="9">
        <f t="shared" ref="B2182" si="5628">B2181+H2182+I2182+J2182</f>
        <v>258.52999999999997</v>
      </c>
      <c r="C2182" s="3" t="s">
        <v>2394</v>
      </c>
      <c r="D2182">
        <f t="shared" ref="D2182" si="5629">_xlfn.NUMBERVALUE(LEFT(C2182,2))</f>
        <v>25</v>
      </c>
      <c r="E2182">
        <f t="shared" ref="E2182" si="5630">_xlfn.NUMBERVALUE(MID(C2182,4,2))</f>
        <v>2</v>
      </c>
      <c r="F2182">
        <f t="shared" ref="F2182" si="5631">_xlfn.NUMBERVALUE(RIGHT(C2182,4))</f>
        <v>2024</v>
      </c>
      <c r="G2182" t="s">
        <v>7</v>
      </c>
      <c r="H2182">
        <v>-2</v>
      </c>
      <c r="K2182" t="s">
        <v>9</v>
      </c>
      <c r="L2182" s="8">
        <f t="shared" ref="L2182:L2245" si="5632">IF(H2182="",0,(SUM(I2182:J2182)/-H2182)-1)</f>
        <v>-1</v>
      </c>
      <c r="M2182" t="s">
        <v>2405</v>
      </c>
    </row>
    <row r="2183" spans="1:13" x14ac:dyDescent="0.35">
      <c r="A2183">
        <f t="shared" si="4745"/>
        <v>2179</v>
      </c>
      <c r="B2183" s="9">
        <f t="shared" ref="B2183" si="5633">B2182+H2183+I2183+J2183</f>
        <v>262.52999999999997</v>
      </c>
      <c r="C2183" s="3" t="s">
        <v>2394</v>
      </c>
      <c r="D2183">
        <f t="shared" ref="D2183" si="5634">_xlfn.NUMBERVALUE(LEFT(C2183,2))</f>
        <v>25</v>
      </c>
      <c r="E2183">
        <f t="shared" ref="E2183" si="5635">_xlfn.NUMBERVALUE(MID(C2183,4,2))</f>
        <v>2</v>
      </c>
      <c r="F2183">
        <f t="shared" ref="F2183" si="5636">_xlfn.NUMBERVALUE(RIGHT(C2183,4))</f>
        <v>2024</v>
      </c>
      <c r="G2183" t="s">
        <v>7</v>
      </c>
      <c r="H2183">
        <v>-2</v>
      </c>
      <c r="I2183">
        <v>6</v>
      </c>
      <c r="K2183" t="s">
        <v>10</v>
      </c>
      <c r="L2183" s="8">
        <f t="shared" si="5632"/>
        <v>2</v>
      </c>
      <c r="M2183" t="s">
        <v>2406</v>
      </c>
    </row>
    <row r="2184" spans="1:13" x14ac:dyDescent="0.35">
      <c r="A2184">
        <f t="shared" si="4745"/>
        <v>2180</v>
      </c>
      <c r="B2184" s="9">
        <f t="shared" ref="B2184" si="5637">B2183+H2184+I2184+J2184</f>
        <v>268.52999999999997</v>
      </c>
      <c r="C2184" s="3" t="s">
        <v>2394</v>
      </c>
      <c r="D2184">
        <f t="shared" ref="D2184" si="5638">_xlfn.NUMBERVALUE(LEFT(C2184,2))</f>
        <v>25</v>
      </c>
      <c r="E2184">
        <f t="shared" ref="E2184" si="5639">_xlfn.NUMBERVALUE(MID(C2184,4,2))</f>
        <v>2</v>
      </c>
      <c r="F2184">
        <f t="shared" ref="F2184" si="5640">_xlfn.NUMBERVALUE(RIGHT(C2184,4))</f>
        <v>2024</v>
      </c>
      <c r="G2184" t="s">
        <v>7</v>
      </c>
      <c r="H2184">
        <v>-2</v>
      </c>
      <c r="I2184">
        <v>8</v>
      </c>
      <c r="K2184" t="s">
        <v>10</v>
      </c>
      <c r="L2184" s="8">
        <f t="shared" si="5632"/>
        <v>3</v>
      </c>
      <c r="M2184" t="s">
        <v>2407</v>
      </c>
    </row>
    <row r="2185" spans="1:13" x14ac:dyDescent="0.35">
      <c r="A2185">
        <f t="shared" si="4745"/>
        <v>2181</v>
      </c>
      <c r="B2185" s="9">
        <f t="shared" ref="B2185" si="5641">B2184+H2185+I2185+J2185</f>
        <v>266.52999999999997</v>
      </c>
      <c r="C2185" s="3" t="s">
        <v>2394</v>
      </c>
      <c r="D2185">
        <f t="shared" ref="D2185" si="5642">_xlfn.NUMBERVALUE(LEFT(C2185,2))</f>
        <v>25</v>
      </c>
      <c r="E2185">
        <f t="shared" ref="E2185" si="5643">_xlfn.NUMBERVALUE(MID(C2185,4,2))</f>
        <v>2</v>
      </c>
      <c r="F2185">
        <f t="shared" ref="F2185" si="5644">_xlfn.NUMBERVALUE(RIGHT(C2185,4))</f>
        <v>2024</v>
      </c>
      <c r="G2185" t="s">
        <v>7</v>
      </c>
      <c r="H2185">
        <v>-2</v>
      </c>
      <c r="K2185" t="s">
        <v>9</v>
      </c>
      <c r="L2185" s="8">
        <f t="shared" si="5632"/>
        <v>-1</v>
      </c>
      <c r="M2185" t="s">
        <v>2408</v>
      </c>
    </row>
    <row r="2186" spans="1:13" x14ac:dyDescent="0.35">
      <c r="A2186">
        <f t="shared" si="4745"/>
        <v>2182</v>
      </c>
      <c r="B2186" s="9">
        <f t="shared" ref="B2186" si="5645">B2185+H2186+I2186+J2186</f>
        <v>264.52999999999997</v>
      </c>
      <c r="C2186" s="3" t="s">
        <v>2394</v>
      </c>
      <c r="D2186">
        <f t="shared" ref="D2186" si="5646">_xlfn.NUMBERVALUE(LEFT(C2186,2))</f>
        <v>25</v>
      </c>
      <c r="E2186">
        <f t="shared" ref="E2186" si="5647">_xlfn.NUMBERVALUE(MID(C2186,4,2))</f>
        <v>2</v>
      </c>
      <c r="F2186">
        <f t="shared" ref="F2186" si="5648">_xlfn.NUMBERVALUE(RIGHT(C2186,4))</f>
        <v>2024</v>
      </c>
      <c r="G2186" t="s">
        <v>7</v>
      </c>
      <c r="H2186">
        <v>-2</v>
      </c>
      <c r="K2186" t="s">
        <v>9</v>
      </c>
      <c r="L2186" s="8">
        <f t="shared" si="5632"/>
        <v>-1</v>
      </c>
      <c r="M2186" t="s">
        <v>2409</v>
      </c>
    </row>
    <row r="2187" spans="1:13" x14ac:dyDescent="0.35">
      <c r="A2187">
        <f t="shared" si="4745"/>
        <v>2183</v>
      </c>
      <c r="B2187" s="9">
        <f t="shared" ref="B2187" si="5649">B2186+H2187+I2187+J2187</f>
        <v>262.52999999999997</v>
      </c>
      <c r="C2187" s="3" t="s">
        <v>2394</v>
      </c>
      <c r="D2187">
        <f t="shared" ref="D2187" si="5650">_xlfn.NUMBERVALUE(LEFT(C2187,2))</f>
        <v>25</v>
      </c>
      <c r="E2187">
        <f t="shared" ref="E2187" si="5651">_xlfn.NUMBERVALUE(MID(C2187,4,2))</f>
        <v>2</v>
      </c>
      <c r="F2187">
        <f t="shared" ref="F2187" si="5652">_xlfn.NUMBERVALUE(RIGHT(C2187,4))</f>
        <v>2024</v>
      </c>
      <c r="G2187" t="s">
        <v>7</v>
      </c>
      <c r="H2187">
        <v>-2</v>
      </c>
      <c r="K2187" t="s">
        <v>9</v>
      </c>
      <c r="L2187" s="8">
        <f t="shared" si="5632"/>
        <v>-1</v>
      </c>
      <c r="M2187" t="s">
        <v>2410</v>
      </c>
    </row>
    <row r="2188" spans="1:13" x14ac:dyDescent="0.35">
      <c r="A2188">
        <f t="shared" si="4745"/>
        <v>2184</v>
      </c>
      <c r="B2188" s="9">
        <f t="shared" ref="B2188" si="5653">B2187+H2188+I2188+J2188</f>
        <v>260.52999999999997</v>
      </c>
      <c r="C2188" s="3" t="s">
        <v>2394</v>
      </c>
      <c r="D2188">
        <f t="shared" ref="D2188" si="5654">_xlfn.NUMBERVALUE(LEFT(C2188,2))</f>
        <v>25</v>
      </c>
      <c r="E2188">
        <f t="shared" ref="E2188" si="5655">_xlfn.NUMBERVALUE(MID(C2188,4,2))</f>
        <v>2</v>
      </c>
      <c r="F2188">
        <f t="shared" ref="F2188" si="5656">_xlfn.NUMBERVALUE(RIGHT(C2188,4))</f>
        <v>2024</v>
      </c>
      <c r="G2188" t="s">
        <v>7</v>
      </c>
      <c r="H2188">
        <v>-2</v>
      </c>
      <c r="K2188" t="s">
        <v>9</v>
      </c>
      <c r="L2188" s="8">
        <f t="shared" si="5632"/>
        <v>-1</v>
      </c>
      <c r="M2188" t="s">
        <v>2411</v>
      </c>
    </row>
    <row r="2189" spans="1:13" x14ac:dyDescent="0.35">
      <c r="A2189">
        <f t="shared" si="4745"/>
        <v>2185</v>
      </c>
      <c r="B2189" s="9">
        <f t="shared" ref="B2189" si="5657">B2188+H2189+I2189+J2189</f>
        <v>255.52999999999997</v>
      </c>
      <c r="C2189" s="3" t="s">
        <v>2394</v>
      </c>
      <c r="D2189">
        <f t="shared" ref="D2189" si="5658">_xlfn.NUMBERVALUE(LEFT(C2189,2))</f>
        <v>25</v>
      </c>
      <c r="E2189">
        <f t="shared" ref="E2189" si="5659">_xlfn.NUMBERVALUE(MID(C2189,4,2))</f>
        <v>2</v>
      </c>
      <c r="F2189">
        <f t="shared" ref="F2189" si="5660">_xlfn.NUMBERVALUE(RIGHT(C2189,4))</f>
        <v>2024</v>
      </c>
      <c r="G2189" t="s">
        <v>7</v>
      </c>
      <c r="H2189">
        <v>-5</v>
      </c>
      <c r="K2189" t="s">
        <v>9</v>
      </c>
      <c r="L2189" s="8">
        <f t="shared" si="5632"/>
        <v>-1</v>
      </c>
      <c r="M2189" t="s">
        <v>2412</v>
      </c>
    </row>
    <row r="2190" spans="1:13" x14ac:dyDescent="0.35">
      <c r="A2190">
        <f t="shared" si="4745"/>
        <v>2186</v>
      </c>
      <c r="B2190" s="9">
        <f t="shared" ref="B2190" si="5661">B2189+H2190+I2190+J2190</f>
        <v>250.52999999999997</v>
      </c>
      <c r="C2190" s="3" t="s">
        <v>2394</v>
      </c>
      <c r="D2190">
        <f t="shared" ref="D2190" si="5662">_xlfn.NUMBERVALUE(LEFT(C2190,2))</f>
        <v>25</v>
      </c>
      <c r="E2190">
        <f t="shared" ref="E2190" si="5663">_xlfn.NUMBERVALUE(MID(C2190,4,2))</f>
        <v>2</v>
      </c>
      <c r="F2190">
        <f t="shared" ref="F2190" si="5664">_xlfn.NUMBERVALUE(RIGHT(C2190,4))</f>
        <v>2024</v>
      </c>
      <c r="G2190" t="s">
        <v>7</v>
      </c>
      <c r="H2190">
        <v>-5</v>
      </c>
      <c r="K2190" t="s">
        <v>9</v>
      </c>
      <c r="L2190" s="8">
        <f t="shared" si="5632"/>
        <v>-1</v>
      </c>
      <c r="M2190" t="s">
        <v>2413</v>
      </c>
    </row>
    <row r="2191" spans="1:13" x14ac:dyDescent="0.35">
      <c r="A2191">
        <f t="shared" si="4745"/>
        <v>2187</v>
      </c>
      <c r="B2191" s="9">
        <f t="shared" ref="B2191" si="5665">B2190+H2191+I2191+J2191</f>
        <v>255.52999999999997</v>
      </c>
      <c r="C2191" s="3" t="s">
        <v>2394</v>
      </c>
      <c r="D2191">
        <f t="shared" ref="D2191" si="5666">_xlfn.NUMBERVALUE(LEFT(C2191,2))</f>
        <v>25</v>
      </c>
      <c r="E2191">
        <f t="shared" ref="E2191" si="5667">_xlfn.NUMBERVALUE(MID(C2191,4,2))</f>
        <v>2</v>
      </c>
      <c r="F2191">
        <f t="shared" ref="F2191" si="5668">_xlfn.NUMBERVALUE(RIGHT(C2191,4))</f>
        <v>2024</v>
      </c>
      <c r="G2191" t="s">
        <v>7</v>
      </c>
      <c r="H2191">
        <v>-5</v>
      </c>
      <c r="I2191">
        <v>10</v>
      </c>
      <c r="K2191" t="s">
        <v>10</v>
      </c>
      <c r="L2191" s="8">
        <f t="shared" si="5632"/>
        <v>1</v>
      </c>
      <c r="M2191" t="s">
        <v>2414</v>
      </c>
    </row>
    <row r="2192" spans="1:13" x14ac:dyDescent="0.35">
      <c r="A2192">
        <f t="shared" si="4745"/>
        <v>2188</v>
      </c>
      <c r="B2192" s="9">
        <f t="shared" ref="B2192" si="5669">B2191+H2192+I2192+J2192</f>
        <v>250.52999999999997</v>
      </c>
      <c r="C2192" s="3" t="s">
        <v>2394</v>
      </c>
      <c r="D2192">
        <f t="shared" ref="D2192" si="5670">_xlfn.NUMBERVALUE(LEFT(C2192,2))</f>
        <v>25</v>
      </c>
      <c r="E2192">
        <f t="shared" ref="E2192" si="5671">_xlfn.NUMBERVALUE(MID(C2192,4,2))</f>
        <v>2</v>
      </c>
      <c r="F2192">
        <f t="shared" ref="F2192" si="5672">_xlfn.NUMBERVALUE(RIGHT(C2192,4))</f>
        <v>2024</v>
      </c>
      <c r="G2192" t="s">
        <v>7</v>
      </c>
      <c r="H2192">
        <v>-5</v>
      </c>
      <c r="K2192" t="s">
        <v>9</v>
      </c>
      <c r="L2192" s="8">
        <f t="shared" si="5632"/>
        <v>-1</v>
      </c>
      <c r="M2192" t="s">
        <v>2415</v>
      </c>
    </row>
    <row r="2193" spans="1:13" x14ac:dyDescent="0.35">
      <c r="A2193">
        <f t="shared" si="4745"/>
        <v>2189</v>
      </c>
      <c r="B2193" s="9">
        <f t="shared" ref="B2193" si="5673">B2192+H2193+I2193+J2193</f>
        <v>245.52999999999997</v>
      </c>
      <c r="C2193" s="3" t="s">
        <v>2394</v>
      </c>
      <c r="D2193">
        <f t="shared" ref="D2193" si="5674">_xlfn.NUMBERVALUE(LEFT(C2193,2))</f>
        <v>25</v>
      </c>
      <c r="E2193">
        <f t="shared" ref="E2193" si="5675">_xlfn.NUMBERVALUE(MID(C2193,4,2))</f>
        <v>2</v>
      </c>
      <c r="F2193">
        <f t="shared" ref="F2193" si="5676">_xlfn.NUMBERVALUE(RIGHT(C2193,4))</f>
        <v>2024</v>
      </c>
      <c r="G2193" t="s">
        <v>7</v>
      </c>
      <c r="H2193">
        <v>-5</v>
      </c>
      <c r="K2193" t="s">
        <v>9</v>
      </c>
      <c r="L2193" s="8">
        <f t="shared" si="5632"/>
        <v>-1</v>
      </c>
      <c r="M2193" t="s">
        <v>2416</v>
      </c>
    </row>
    <row r="2194" spans="1:13" x14ac:dyDescent="0.35">
      <c r="A2194">
        <f t="shared" si="4745"/>
        <v>2190</v>
      </c>
      <c r="B2194" s="9">
        <f t="shared" ref="B2194" si="5677">B2193+H2194+I2194+J2194</f>
        <v>240.52999999999997</v>
      </c>
      <c r="C2194" s="3" t="s">
        <v>2394</v>
      </c>
      <c r="D2194">
        <f t="shared" ref="D2194" si="5678">_xlfn.NUMBERVALUE(LEFT(C2194,2))</f>
        <v>25</v>
      </c>
      <c r="E2194">
        <f t="shared" ref="E2194" si="5679">_xlfn.NUMBERVALUE(MID(C2194,4,2))</f>
        <v>2</v>
      </c>
      <c r="F2194">
        <f t="shared" ref="F2194" si="5680">_xlfn.NUMBERVALUE(RIGHT(C2194,4))</f>
        <v>2024</v>
      </c>
      <c r="G2194" t="s">
        <v>7</v>
      </c>
      <c r="H2194">
        <v>-5</v>
      </c>
      <c r="K2194" t="s">
        <v>9</v>
      </c>
      <c r="L2194" s="8">
        <f t="shared" si="5632"/>
        <v>-1</v>
      </c>
      <c r="M2194" t="s">
        <v>2417</v>
      </c>
    </row>
    <row r="2195" spans="1:13" x14ac:dyDescent="0.35">
      <c r="A2195">
        <f t="shared" si="4745"/>
        <v>2191</v>
      </c>
      <c r="B2195" s="9">
        <f t="shared" ref="B2195" si="5681">B2194+H2195+I2195+J2195</f>
        <v>245.52999999999997</v>
      </c>
      <c r="C2195" s="3" t="s">
        <v>2394</v>
      </c>
      <c r="D2195">
        <f t="shared" ref="D2195" si="5682">_xlfn.NUMBERVALUE(LEFT(C2195,2))</f>
        <v>25</v>
      </c>
      <c r="E2195">
        <f t="shared" ref="E2195" si="5683">_xlfn.NUMBERVALUE(MID(C2195,4,2))</f>
        <v>2</v>
      </c>
      <c r="F2195">
        <f t="shared" ref="F2195" si="5684">_xlfn.NUMBERVALUE(RIGHT(C2195,4))</f>
        <v>2024</v>
      </c>
      <c r="G2195" t="s">
        <v>7</v>
      </c>
      <c r="H2195">
        <v>-5</v>
      </c>
      <c r="I2195">
        <v>10</v>
      </c>
      <c r="K2195" t="s">
        <v>10</v>
      </c>
      <c r="L2195" s="8">
        <f t="shared" si="5632"/>
        <v>1</v>
      </c>
      <c r="M2195" t="s">
        <v>2418</v>
      </c>
    </row>
    <row r="2196" spans="1:13" x14ac:dyDescent="0.35">
      <c r="A2196">
        <f t="shared" si="4745"/>
        <v>2192</v>
      </c>
      <c r="B2196" s="9">
        <f t="shared" ref="B2196" si="5685">B2195+H2196+I2196+J2196</f>
        <v>250.52999999999997</v>
      </c>
      <c r="C2196" s="3" t="s">
        <v>2394</v>
      </c>
      <c r="D2196">
        <f t="shared" ref="D2196" si="5686">_xlfn.NUMBERVALUE(LEFT(C2196,2))</f>
        <v>25</v>
      </c>
      <c r="E2196">
        <f t="shared" ref="E2196" si="5687">_xlfn.NUMBERVALUE(MID(C2196,4,2))</f>
        <v>2</v>
      </c>
      <c r="F2196">
        <f t="shared" ref="F2196" si="5688">_xlfn.NUMBERVALUE(RIGHT(C2196,4))</f>
        <v>2024</v>
      </c>
      <c r="G2196" t="s">
        <v>7</v>
      </c>
      <c r="H2196">
        <v>-5</v>
      </c>
      <c r="I2196">
        <v>10</v>
      </c>
      <c r="K2196" t="s">
        <v>10</v>
      </c>
      <c r="L2196" s="8">
        <f t="shared" si="5632"/>
        <v>1</v>
      </c>
      <c r="M2196" t="s">
        <v>2419</v>
      </c>
    </row>
    <row r="2197" spans="1:13" x14ac:dyDescent="0.35">
      <c r="A2197">
        <f t="shared" si="4745"/>
        <v>2193</v>
      </c>
      <c r="B2197" s="9">
        <f t="shared" ref="B2197" si="5689">B2196+H2197+I2197+J2197</f>
        <v>245.52999999999997</v>
      </c>
      <c r="C2197" s="3" t="s">
        <v>2394</v>
      </c>
      <c r="D2197">
        <f t="shared" ref="D2197" si="5690">_xlfn.NUMBERVALUE(LEFT(C2197,2))</f>
        <v>25</v>
      </c>
      <c r="E2197">
        <f t="shared" ref="E2197" si="5691">_xlfn.NUMBERVALUE(MID(C2197,4,2))</f>
        <v>2</v>
      </c>
      <c r="F2197">
        <f t="shared" ref="F2197" si="5692">_xlfn.NUMBERVALUE(RIGHT(C2197,4))</f>
        <v>2024</v>
      </c>
      <c r="G2197" t="s">
        <v>7</v>
      </c>
      <c r="H2197">
        <v>-5</v>
      </c>
      <c r="K2197" t="s">
        <v>9</v>
      </c>
      <c r="L2197" s="8">
        <f t="shared" si="5632"/>
        <v>-1</v>
      </c>
      <c r="M2197" t="s">
        <v>2420</v>
      </c>
    </row>
    <row r="2198" spans="1:13" x14ac:dyDescent="0.35">
      <c r="A2198">
        <f t="shared" si="4745"/>
        <v>2194</v>
      </c>
      <c r="B2198" s="9">
        <f t="shared" ref="B2198:B2199" si="5693">B2197+H2198+I2198+J2198</f>
        <v>240.52999999999997</v>
      </c>
      <c r="C2198" s="3" t="s">
        <v>2394</v>
      </c>
      <c r="D2198">
        <f t="shared" ref="D2198:D2199" si="5694">_xlfn.NUMBERVALUE(LEFT(C2198,2))</f>
        <v>25</v>
      </c>
      <c r="E2198">
        <f t="shared" ref="E2198:E2199" si="5695">_xlfn.NUMBERVALUE(MID(C2198,4,2))</f>
        <v>2</v>
      </c>
      <c r="F2198">
        <f t="shared" ref="F2198:F2199" si="5696">_xlfn.NUMBERVALUE(RIGHT(C2198,4))</f>
        <v>2024</v>
      </c>
      <c r="G2198" t="s">
        <v>7</v>
      </c>
      <c r="H2198">
        <v>-5</v>
      </c>
      <c r="K2198" t="s">
        <v>9</v>
      </c>
      <c r="L2198" s="8">
        <f t="shared" si="5632"/>
        <v>-1</v>
      </c>
      <c r="M2198" t="s">
        <v>2421</v>
      </c>
    </row>
    <row r="2199" spans="1:13" x14ac:dyDescent="0.35">
      <c r="A2199">
        <f t="shared" si="4745"/>
        <v>2195</v>
      </c>
      <c r="B2199" s="9">
        <f t="shared" si="5693"/>
        <v>242.52999999999997</v>
      </c>
      <c r="C2199" s="3" t="s">
        <v>2394</v>
      </c>
      <c r="D2199">
        <f t="shared" si="5694"/>
        <v>25</v>
      </c>
      <c r="E2199">
        <f t="shared" si="5695"/>
        <v>2</v>
      </c>
      <c r="F2199">
        <f t="shared" si="5696"/>
        <v>2024</v>
      </c>
      <c r="G2199" t="s">
        <v>7</v>
      </c>
      <c r="H2199">
        <v>-2</v>
      </c>
      <c r="I2199">
        <v>4</v>
      </c>
      <c r="K2199" t="s">
        <v>10</v>
      </c>
      <c r="L2199" s="8">
        <f t="shared" si="5632"/>
        <v>1</v>
      </c>
      <c r="M2199" t="s">
        <v>2422</v>
      </c>
    </row>
    <row r="2200" spans="1:13" x14ac:dyDescent="0.35">
      <c r="A2200">
        <f t="shared" si="4745"/>
        <v>2196</v>
      </c>
      <c r="B2200" s="9">
        <f t="shared" ref="B2200" si="5697">B2199+H2200+I2200+J2200</f>
        <v>240.52999999999997</v>
      </c>
      <c r="C2200" s="3" t="s">
        <v>2394</v>
      </c>
      <c r="D2200">
        <f t="shared" ref="D2200" si="5698">_xlfn.NUMBERVALUE(LEFT(C2200,2))</f>
        <v>25</v>
      </c>
      <c r="E2200">
        <f t="shared" ref="E2200" si="5699">_xlfn.NUMBERVALUE(MID(C2200,4,2))</f>
        <v>2</v>
      </c>
      <c r="F2200">
        <f t="shared" ref="F2200" si="5700">_xlfn.NUMBERVALUE(RIGHT(C2200,4))</f>
        <v>2024</v>
      </c>
      <c r="G2200" t="s">
        <v>7</v>
      </c>
      <c r="H2200">
        <v>-2</v>
      </c>
      <c r="K2200" t="s">
        <v>9</v>
      </c>
      <c r="L2200" s="8">
        <f t="shared" si="5632"/>
        <v>-1</v>
      </c>
      <c r="M2200" t="s">
        <v>2423</v>
      </c>
    </row>
    <row r="2201" spans="1:13" x14ac:dyDescent="0.35">
      <c r="A2201">
        <f t="shared" si="4745"/>
        <v>2197</v>
      </c>
      <c r="B2201" s="9">
        <f t="shared" ref="B2201" si="5701">B2200+H2201+I2201+J2201</f>
        <v>238.52999999999997</v>
      </c>
      <c r="C2201" s="3" t="s">
        <v>2394</v>
      </c>
      <c r="D2201">
        <f t="shared" ref="D2201" si="5702">_xlfn.NUMBERVALUE(LEFT(C2201,2))</f>
        <v>25</v>
      </c>
      <c r="E2201">
        <f t="shared" ref="E2201" si="5703">_xlfn.NUMBERVALUE(MID(C2201,4,2))</f>
        <v>2</v>
      </c>
      <c r="F2201">
        <f t="shared" ref="F2201" si="5704">_xlfn.NUMBERVALUE(RIGHT(C2201,4))</f>
        <v>2024</v>
      </c>
      <c r="G2201" t="s">
        <v>7</v>
      </c>
      <c r="H2201">
        <v>-2</v>
      </c>
      <c r="K2201" t="s">
        <v>9</v>
      </c>
      <c r="L2201" s="8">
        <f t="shared" si="5632"/>
        <v>-1</v>
      </c>
      <c r="M2201" t="s">
        <v>2424</v>
      </c>
    </row>
    <row r="2202" spans="1:13" x14ac:dyDescent="0.35">
      <c r="A2202">
        <f t="shared" si="4745"/>
        <v>2198</v>
      </c>
      <c r="B2202" s="9">
        <f t="shared" ref="B2202" si="5705">B2201+H2202+I2202+J2202</f>
        <v>236.52999999999997</v>
      </c>
      <c r="C2202" s="3" t="s">
        <v>2394</v>
      </c>
      <c r="D2202">
        <f t="shared" ref="D2202" si="5706">_xlfn.NUMBERVALUE(LEFT(C2202,2))</f>
        <v>25</v>
      </c>
      <c r="E2202">
        <f t="shared" ref="E2202" si="5707">_xlfn.NUMBERVALUE(MID(C2202,4,2))</f>
        <v>2</v>
      </c>
      <c r="F2202">
        <f t="shared" ref="F2202" si="5708">_xlfn.NUMBERVALUE(RIGHT(C2202,4))</f>
        <v>2024</v>
      </c>
      <c r="G2202" t="s">
        <v>7</v>
      </c>
      <c r="H2202">
        <v>-2</v>
      </c>
      <c r="K2202" t="s">
        <v>9</v>
      </c>
      <c r="L2202" s="8">
        <f t="shared" si="5632"/>
        <v>-1</v>
      </c>
      <c r="M2202" t="s">
        <v>2425</v>
      </c>
    </row>
    <row r="2203" spans="1:13" x14ac:dyDescent="0.35">
      <c r="A2203">
        <f t="shared" si="4745"/>
        <v>2199</v>
      </c>
      <c r="B2203" s="9">
        <f t="shared" ref="B2203" si="5709">B2202+H2203+I2203+J2203</f>
        <v>234.52999999999997</v>
      </c>
      <c r="C2203" s="3" t="s">
        <v>2394</v>
      </c>
      <c r="D2203">
        <f t="shared" ref="D2203" si="5710">_xlfn.NUMBERVALUE(LEFT(C2203,2))</f>
        <v>25</v>
      </c>
      <c r="E2203">
        <f t="shared" ref="E2203" si="5711">_xlfn.NUMBERVALUE(MID(C2203,4,2))</f>
        <v>2</v>
      </c>
      <c r="F2203">
        <f t="shared" ref="F2203" si="5712">_xlfn.NUMBERVALUE(RIGHT(C2203,4))</f>
        <v>2024</v>
      </c>
      <c r="G2203" t="s">
        <v>7</v>
      </c>
      <c r="H2203">
        <v>-2</v>
      </c>
      <c r="K2203" t="s">
        <v>9</v>
      </c>
      <c r="L2203" s="8">
        <f t="shared" si="5632"/>
        <v>-1</v>
      </c>
      <c r="M2203" t="s">
        <v>2426</v>
      </c>
    </row>
    <row r="2204" spans="1:13" x14ac:dyDescent="0.35">
      <c r="A2204">
        <f t="shared" si="4745"/>
        <v>2200</v>
      </c>
      <c r="B2204" s="9">
        <f t="shared" ref="B2204" si="5713">B2203+H2204+I2204+J2204</f>
        <v>236.52999999999997</v>
      </c>
      <c r="C2204" s="3" t="s">
        <v>2394</v>
      </c>
      <c r="D2204">
        <f t="shared" ref="D2204" si="5714">_xlfn.NUMBERVALUE(LEFT(C2204,2))</f>
        <v>25</v>
      </c>
      <c r="E2204">
        <f t="shared" ref="E2204" si="5715">_xlfn.NUMBERVALUE(MID(C2204,4,2))</f>
        <v>2</v>
      </c>
      <c r="F2204">
        <f t="shared" ref="F2204" si="5716">_xlfn.NUMBERVALUE(RIGHT(C2204,4))</f>
        <v>2024</v>
      </c>
      <c r="G2204" t="s">
        <v>7</v>
      </c>
      <c r="H2204">
        <v>-2</v>
      </c>
      <c r="I2204">
        <v>4</v>
      </c>
      <c r="K2204" t="s">
        <v>10</v>
      </c>
      <c r="L2204" s="8">
        <f t="shared" si="5632"/>
        <v>1</v>
      </c>
      <c r="M2204" t="s">
        <v>2427</v>
      </c>
    </row>
    <row r="2205" spans="1:13" x14ac:dyDescent="0.35">
      <c r="A2205">
        <f t="shared" si="4745"/>
        <v>2201</v>
      </c>
      <c r="B2205" s="9">
        <f t="shared" ref="B2205" si="5717">B2204+H2205+I2205+J2205</f>
        <v>234.52999999999997</v>
      </c>
      <c r="C2205" s="3" t="s">
        <v>2394</v>
      </c>
      <c r="D2205">
        <f t="shared" ref="D2205" si="5718">_xlfn.NUMBERVALUE(LEFT(C2205,2))</f>
        <v>25</v>
      </c>
      <c r="E2205">
        <f t="shared" ref="E2205" si="5719">_xlfn.NUMBERVALUE(MID(C2205,4,2))</f>
        <v>2</v>
      </c>
      <c r="F2205">
        <f t="shared" ref="F2205" si="5720">_xlfn.NUMBERVALUE(RIGHT(C2205,4))</f>
        <v>2024</v>
      </c>
      <c r="G2205" t="s">
        <v>7</v>
      </c>
      <c r="H2205">
        <v>-2</v>
      </c>
      <c r="K2205" t="s">
        <v>9</v>
      </c>
      <c r="L2205" s="8">
        <f t="shared" si="5632"/>
        <v>-1</v>
      </c>
      <c r="M2205" t="s">
        <v>2428</v>
      </c>
    </row>
    <row r="2206" spans="1:13" x14ac:dyDescent="0.35">
      <c r="A2206">
        <f t="shared" si="4745"/>
        <v>2202</v>
      </c>
      <c r="B2206" s="9">
        <f t="shared" ref="B2206" si="5721">B2205+H2206+I2206+J2206</f>
        <v>232.52999999999997</v>
      </c>
      <c r="C2206" s="3" t="s">
        <v>2394</v>
      </c>
      <c r="D2206">
        <f t="shared" ref="D2206" si="5722">_xlfn.NUMBERVALUE(LEFT(C2206,2))</f>
        <v>25</v>
      </c>
      <c r="E2206">
        <f t="shared" ref="E2206" si="5723">_xlfn.NUMBERVALUE(MID(C2206,4,2))</f>
        <v>2</v>
      </c>
      <c r="F2206">
        <f t="shared" ref="F2206" si="5724">_xlfn.NUMBERVALUE(RIGHT(C2206,4))</f>
        <v>2024</v>
      </c>
      <c r="G2206" t="s">
        <v>7</v>
      </c>
      <c r="H2206">
        <v>-2</v>
      </c>
      <c r="K2206" t="s">
        <v>9</v>
      </c>
      <c r="L2206" s="8">
        <f t="shared" si="5632"/>
        <v>-1</v>
      </c>
      <c r="M2206" t="s">
        <v>2429</v>
      </c>
    </row>
    <row r="2207" spans="1:13" x14ac:dyDescent="0.35">
      <c r="A2207">
        <f t="shared" si="4745"/>
        <v>2203</v>
      </c>
      <c r="B2207" s="9">
        <f t="shared" ref="B2207" si="5725">B2206+H2207+I2207+J2207</f>
        <v>236.52999999999997</v>
      </c>
      <c r="C2207" s="3" t="s">
        <v>2394</v>
      </c>
      <c r="D2207">
        <f t="shared" ref="D2207" si="5726">_xlfn.NUMBERVALUE(LEFT(C2207,2))</f>
        <v>25</v>
      </c>
      <c r="E2207">
        <f t="shared" ref="E2207" si="5727">_xlfn.NUMBERVALUE(MID(C2207,4,2))</f>
        <v>2</v>
      </c>
      <c r="F2207">
        <f t="shared" ref="F2207" si="5728">_xlfn.NUMBERVALUE(RIGHT(C2207,4))</f>
        <v>2024</v>
      </c>
      <c r="G2207" t="s">
        <v>7</v>
      </c>
      <c r="H2207">
        <v>-2</v>
      </c>
      <c r="I2207">
        <v>6</v>
      </c>
      <c r="K2207" t="s">
        <v>10</v>
      </c>
      <c r="L2207" s="8">
        <f t="shared" si="5632"/>
        <v>2</v>
      </c>
      <c r="M2207" t="s">
        <v>2430</v>
      </c>
    </row>
    <row r="2208" spans="1:13" x14ac:dyDescent="0.35">
      <c r="A2208">
        <f t="shared" si="4745"/>
        <v>2204</v>
      </c>
      <c r="B2208" s="9">
        <f t="shared" ref="B2208" si="5729">B2207+H2208+I2208+J2208</f>
        <v>234.52999999999997</v>
      </c>
      <c r="C2208" s="3" t="s">
        <v>2394</v>
      </c>
      <c r="D2208">
        <f t="shared" ref="D2208" si="5730">_xlfn.NUMBERVALUE(LEFT(C2208,2))</f>
        <v>25</v>
      </c>
      <c r="E2208">
        <f t="shared" ref="E2208" si="5731">_xlfn.NUMBERVALUE(MID(C2208,4,2))</f>
        <v>2</v>
      </c>
      <c r="F2208">
        <f t="shared" ref="F2208" si="5732">_xlfn.NUMBERVALUE(RIGHT(C2208,4))</f>
        <v>2024</v>
      </c>
      <c r="G2208" t="s">
        <v>7</v>
      </c>
      <c r="H2208">
        <v>-2</v>
      </c>
      <c r="K2208" t="s">
        <v>9</v>
      </c>
      <c r="L2208" s="8">
        <f t="shared" si="5632"/>
        <v>-1</v>
      </c>
      <c r="M2208" t="s">
        <v>2431</v>
      </c>
    </row>
    <row r="2209" spans="1:13" x14ac:dyDescent="0.35">
      <c r="A2209">
        <f t="shared" si="4745"/>
        <v>2205</v>
      </c>
      <c r="B2209" s="9">
        <f t="shared" ref="B2209" si="5733">B2208+H2209+I2209+J2209</f>
        <v>232.52999999999997</v>
      </c>
      <c r="C2209" s="3" t="s">
        <v>2394</v>
      </c>
      <c r="D2209">
        <f t="shared" ref="D2209" si="5734">_xlfn.NUMBERVALUE(LEFT(C2209,2))</f>
        <v>25</v>
      </c>
      <c r="E2209">
        <f t="shared" ref="E2209" si="5735">_xlfn.NUMBERVALUE(MID(C2209,4,2))</f>
        <v>2</v>
      </c>
      <c r="F2209">
        <f t="shared" ref="F2209" si="5736">_xlfn.NUMBERVALUE(RIGHT(C2209,4))</f>
        <v>2024</v>
      </c>
      <c r="G2209" t="s">
        <v>7</v>
      </c>
      <c r="H2209">
        <v>-2</v>
      </c>
      <c r="K2209" t="s">
        <v>9</v>
      </c>
      <c r="L2209" s="8">
        <f t="shared" si="5632"/>
        <v>-1</v>
      </c>
      <c r="M2209" t="s">
        <v>2432</v>
      </c>
    </row>
    <row r="2210" spans="1:13" x14ac:dyDescent="0.35">
      <c r="A2210">
        <f t="shared" si="4745"/>
        <v>2206</v>
      </c>
      <c r="B2210" s="9">
        <f t="shared" ref="B2210" si="5737">B2209+H2210+I2210+J2210</f>
        <v>230.52999999999997</v>
      </c>
      <c r="C2210" s="3" t="s">
        <v>2394</v>
      </c>
      <c r="D2210">
        <f t="shared" ref="D2210" si="5738">_xlfn.NUMBERVALUE(LEFT(C2210,2))</f>
        <v>25</v>
      </c>
      <c r="E2210">
        <f t="shared" ref="E2210" si="5739">_xlfn.NUMBERVALUE(MID(C2210,4,2))</f>
        <v>2</v>
      </c>
      <c r="F2210">
        <f t="shared" ref="F2210" si="5740">_xlfn.NUMBERVALUE(RIGHT(C2210,4))</f>
        <v>2024</v>
      </c>
      <c r="G2210" t="s">
        <v>7</v>
      </c>
      <c r="H2210">
        <v>-2</v>
      </c>
      <c r="K2210" t="s">
        <v>9</v>
      </c>
      <c r="L2210" s="8">
        <f t="shared" si="5632"/>
        <v>-1</v>
      </c>
      <c r="M2210" t="s">
        <v>2433</v>
      </c>
    </row>
    <row r="2211" spans="1:13" x14ac:dyDescent="0.35">
      <c r="A2211">
        <f t="shared" si="4745"/>
        <v>2207</v>
      </c>
      <c r="B2211" s="9">
        <f t="shared" ref="B2211" si="5741">B2210+H2211+I2211+J2211</f>
        <v>225.52999999999997</v>
      </c>
      <c r="C2211" s="3" t="s">
        <v>2394</v>
      </c>
      <c r="D2211">
        <f t="shared" ref="D2211" si="5742">_xlfn.NUMBERVALUE(LEFT(C2211,2))</f>
        <v>25</v>
      </c>
      <c r="E2211">
        <f t="shared" ref="E2211" si="5743">_xlfn.NUMBERVALUE(MID(C2211,4,2))</f>
        <v>2</v>
      </c>
      <c r="F2211">
        <f t="shared" ref="F2211" si="5744">_xlfn.NUMBERVALUE(RIGHT(C2211,4))</f>
        <v>2024</v>
      </c>
      <c r="G2211" t="s">
        <v>7</v>
      </c>
      <c r="H2211">
        <v>-5</v>
      </c>
      <c r="K2211" t="s">
        <v>9</v>
      </c>
      <c r="L2211" s="8">
        <f t="shared" si="5632"/>
        <v>-1</v>
      </c>
      <c r="M2211" t="s">
        <v>2434</v>
      </c>
    </row>
    <row r="2212" spans="1:13" x14ac:dyDescent="0.35">
      <c r="A2212">
        <f t="shared" ref="A2212:A2466" si="5745">A2211+1</f>
        <v>2208</v>
      </c>
      <c r="B2212" s="9">
        <f t="shared" ref="B2212" si="5746">B2211+H2212+I2212+J2212</f>
        <v>240.52999999999997</v>
      </c>
      <c r="C2212" s="3" t="s">
        <v>2394</v>
      </c>
      <c r="D2212">
        <f t="shared" ref="D2212" si="5747">_xlfn.NUMBERVALUE(LEFT(C2212,2))</f>
        <v>25</v>
      </c>
      <c r="E2212">
        <f t="shared" ref="E2212" si="5748">_xlfn.NUMBERVALUE(MID(C2212,4,2))</f>
        <v>2</v>
      </c>
      <c r="F2212">
        <f t="shared" ref="F2212" si="5749">_xlfn.NUMBERVALUE(RIGHT(C2212,4))</f>
        <v>2024</v>
      </c>
      <c r="G2212" t="s">
        <v>7</v>
      </c>
      <c r="H2212">
        <v>-5</v>
      </c>
      <c r="I2212">
        <v>20</v>
      </c>
      <c r="K2212" t="s">
        <v>10</v>
      </c>
      <c r="L2212" s="8">
        <f t="shared" si="5632"/>
        <v>3</v>
      </c>
      <c r="M2212" t="s">
        <v>2435</v>
      </c>
    </row>
    <row r="2213" spans="1:13" x14ac:dyDescent="0.35">
      <c r="A2213">
        <f t="shared" si="5745"/>
        <v>2209</v>
      </c>
      <c r="B2213" s="9">
        <f t="shared" ref="B2213" si="5750">B2212+H2213+I2213+J2213</f>
        <v>235.52999999999997</v>
      </c>
      <c r="C2213" s="3" t="s">
        <v>2394</v>
      </c>
      <c r="D2213">
        <f t="shared" ref="D2213" si="5751">_xlfn.NUMBERVALUE(LEFT(C2213,2))</f>
        <v>25</v>
      </c>
      <c r="E2213">
        <f t="shared" ref="E2213" si="5752">_xlfn.NUMBERVALUE(MID(C2213,4,2))</f>
        <v>2</v>
      </c>
      <c r="F2213">
        <f t="shared" ref="F2213" si="5753">_xlfn.NUMBERVALUE(RIGHT(C2213,4))</f>
        <v>2024</v>
      </c>
      <c r="G2213" t="s">
        <v>7</v>
      </c>
      <c r="H2213">
        <v>-5</v>
      </c>
      <c r="K2213" t="s">
        <v>9</v>
      </c>
      <c r="L2213" s="8">
        <f t="shared" si="5632"/>
        <v>-1</v>
      </c>
      <c r="M2213" t="s">
        <v>2436</v>
      </c>
    </row>
    <row r="2214" spans="1:13" x14ac:dyDescent="0.35">
      <c r="A2214">
        <f t="shared" si="5745"/>
        <v>2210</v>
      </c>
      <c r="B2214" s="9">
        <f t="shared" ref="B2214" si="5754">B2213+H2214+I2214+J2214</f>
        <v>230.52999999999997</v>
      </c>
      <c r="C2214" s="3" t="s">
        <v>2394</v>
      </c>
      <c r="D2214">
        <f t="shared" ref="D2214" si="5755">_xlfn.NUMBERVALUE(LEFT(C2214,2))</f>
        <v>25</v>
      </c>
      <c r="E2214">
        <f t="shared" ref="E2214" si="5756">_xlfn.NUMBERVALUE(MID(C2214,4,2))</f>
        <v>2</v>
      </c>
      <c r="F2214">
        <f t="shared" ref="F2214" si="5757">_xlfn.NUMBERVALUE(RIGHT(C2214,4))</f>
        <v>2024</v>
      </c>
      <c r="G2214" t="s">
        <v>7</v>
      </c>
      <c r="H2214">
        <v>-5</v>
      </c>
      <c r="K2214" t="s">
        <v>9</v>
      </c>
      <c r="L2214" s="8">
        <f t="shared" si="5632"/>
        <v>-1</v>
      </c>
      <c r="M2214" t="s">
        <v>2437</v>
      </c>
    </row>
    <row r="2215" spans="1:13" x14ac:dyDescent="0.35">
      <c r="A2215">
        <f t="shared" si="5745"/>
        <v>2211</v>
      </c>
      <c r="B2215" s="9">
        <f t="shared" ref="B2215" si="5758">B2214+H2215+I2215+J2215</f>
        <v>240.52999999999997</v>
      </c>
      <c r="C2215" s="3" t="s">
        <v>2394</v>
      </c>
      <c r="D2215">
        <f t="shared" ref="D2215" si="5759">_xlfn.NUMBERVALUE(LEFT(C2215,2))</f>
        <v>25</v>
      </c>
      <c r="E2215">
        <f t="shared" ref="E2215" si="5760">_xlfn.NUMBERVALUE(MID(C2215,4,2))</f>
        <v>2</v>
      </c>
      <c r="F2215">
        <f t="shared" ref="F2215" si="5761">_xlfn.NUMBERVALUE(RIGHT(C2215,4))</f>
        <v>2024</v>
      </c>
      <c r="G2215" t="s">
        <v>7</v>
      </c>
      <c r="H2215">
        <v>-5</v>
      </c>
      <c r="I2215">
        <v>15</v>
      </c>
      <c r="K2215" t="s">
        <v>10</v>
      </c>
      <c r="L2215" s="8">
        <f t="shared" si="5632"/>
        <v>2</v>
      </c>
      <c r="M2215" t="s">
        <v>2438</v>
      </c>
    </row>
    <row r="2216" spans="1:13" x14ac:dyDescent="0.35">
      <c r="A2216">
        <f t="shared" si="5745"/>
        <v>2212</v>
      </c>
      <c r="B2216" s="9">
        <f t="shared" ref="B2216" si="5762">B2215+H2216+I2216+J2216</f>
        <v>235.52999999999997</v>
      </c>
      <c r="C2216" s="3" t="s">
        <v>2394</v>
      </c>
      <c r="D2216">
        <f t="shared" ref="D2216" si="5763">_xlfn.NUMBERVALUE(LEFT(C2216,2))</f>
        <v>25</v>
      </c>
      <c r="E2216">
        <f t="shared" ref="E2216" si="5764">_xlfn.NUMBERVALUE(MID(C2216,4,2))</f>
        <v>2</v>
      </c>
      <c r="F2216">
        <f t="shared" ref="F2216" si="5765">_xlfn.NUMBERVALUE(RIGHT(C2216,4))</f>
        <v>2024</v>
      </c>
      <c r="G2216" t="s">
        <v>7</v>
      </c>
      <c r="H2216">
        <v>-5</v>
      </c>
      <c r="K2216" t="s">
        <v>9</v>
      </c>
      <c r="L2216" s="8">
        <f t="shared" si="5632"/>
        <v>-1</v>
      </c>
      <c r="M2216" t="s">
        <v>2439</v>
      </c>
    </row>
    <row r="2217" spans="1:13" x14ac:dyDescent="0.35">
      <c r="A2217">
        <f t="shared" si="5745"/>
        <v>2213</v>
      </c>
      <c r="B2217" s="9">
        <f t="shared" ref="B2217" si="5766">B2216+H2217+I2217+J2217</f>
        <v>230.52999999999997</v>
      </c>
      <c r="C2217" s="3" t="s">
        <v>2394</v>
      </c>
      <c r="D2217">
        <f t="shared" ref="D2217" si="5767">_xlfn.NUMBERVALUE(LEFT(C2217,2))</f>
        <v>25</v>
      </c>
      <c r="E2217">
        <f t="shared" ref="E2217" si="5768">_xlfn.NUMBERVALUE(MID(C2217,4,2))</f>
        <v>2</v>
      </c>
      <c r="F2217">
        <f t="shared" ref="F2217" si="5769">_xlfn.NUMBERVALUE(RIGHT(C2217,4))</f>
        <v>2024</v>
      </c>
      <c r="G2217" t="s">
        <v>7</v>
      </c>
      <c r="H2217">
        <v>-5</v>
      </c>
      <c r="K2217" t="s">
        <v>9</v>
      </c>
      <c r="L2217" s="8">
        <f t="shared" si="5632"/>
        <v>-1</v>
      </c>
      <c r="M2217" t="s">
        <v>2440</v>
      </c>
    </row>
    <row r="2218" spans="1:13" x14ac:dyDescent="0.35">
      <c r="A2218">
        <f t="shared" si="5745"/>
        <v>2214</v>
      </c>
      <c r="B2218" s="9">
        <f t="shared" ref="B2218:B2219" si="5770">B2217+H2218+I2218+J2218</f>
        <v>240.52999999999997</v>
      </c>
      <c r="C2218" s="3" t="s">
        <v>2394</v>
      </c>
      <c r="D2218">
        <f t="shared" ref="D2218:D2219" si="5771">_xlfn.NUMBERVALUE(LEFT(C2218,2))</f>
        <v>25</v>
      </c>
      <c r="E2218">
        <f t="shared" ref="E2218:E2219" si="5772">_xlfn.NUMBERVALUE(MID(C2218,4,2))</f>
        <v>2</v>
      </c>
      <c r="F2218">
        <f t="shared" ref="F2218:F2219" si="5773">_xlfn.NUMBERVALUE(RIGHT(C2218,4))</f>
        <v>2024</v>
      </c>
      <c r="G2218" t="s">
        <v>7</v>
      </c>
      <c r="H2218">
        <v>-5</v>
      </c>
      <c r="I2218">
        <v>15</v>
      </c>
      <c r="K2218" t="s">
        <v>10</v>
      </c>
      <c r="L2218" s="8">
        <f t="shared" si="5632"/>
        <v>2</v>
      </c>
      <c r="M2218" t="s">
        <v>2441</v>
      </c>
    </row>
    <row r="2219" spans="1:13" x14ac:dyDescent="0.35">
      <c r="A2219">
        <f t="shared" si="5745"/>
        <v>2215</v>
      </c>
      <c r="B2219" s="9">
        <f t="shared" si="5770"/>
        <v>244.52999999999997</v>
      </c>
      <c r="C2219" s="3" t="s">
        <v>2442</v>
      </c>
      <c r="D2219">
        <f t="shared" si="5771"/>
        <v>26</v>
      </c>
      <c r="E2219">
        <f t="shared" si="5772"/>
        <v>2</v>
      </c>
      <c r="F2219">
        <f t="shared" si="5773"/>
        <v>2024</v>
      </c>
      <c r="G2219" t="s">
        <v>7</v>
      </c>
      <c r="I2219">
        <v>4</v>
      </c>
      <c r="K2219" t="s">
        <v>10</v>
      </c>
      <c r="L2219" s="8">
        <f t="shared" si="5632"/>
        <v>0</v>
      </c>
      <c r="M2219" t="s">
        <v>2443</v>
      </c>
    </row>
    <row r="2220" spans="1:13" x14ac:dyDescent="0.35">
      <c r="A2220">
        <f t="shared" si="5745"/>
        <v>2216</v>
      </c>
      <c r="B2220" s="9">
        <f t="shared" ref="B2220" si="5774">B2219+H2220+I2220+J2220</f>
        <v>242.52999999999997</v>
      </c>
      <c r="C2220" s="3" t="s">
        <v>2442</v>
      </c>
      <c r="D2220">
        <f t="shared" ref="D2220" si="5775">_xlfn.NUMBERVALUE(LEFT(C2220,2))</f>
        <v>26</v>
      </c>
      <c r="E2220">
        <f t="shared" ref="E2220" si="5776">_xlfn.NUMBERVALUE(MID(C2220,4,2))</f>
        <v>2</v>
      </c>
      <c r="F2220">
        <f t="shared" ref="F2220" si="5777">_xlfn.NUMBERVALUE(RIGHT(C2220,4))</f>
        <v>2024</v>
      </c>
      <c r="G2220" t="s">
        <v>7</v>
      </c>
      <c r="H2220">
        <v>-2</v>
      </c>
      <c r="K2220" t="s">
        <v>9</v>
      </c>
      <c r="L2220" s="8">
        <f t="shared" si="5632"/>
        <v>-1</v>
      </c>
      <c r="M2220" t="s">
        <v>2444</v>
      </c>
    </row>
    <row r="2221" spans="1:13" x14ac:dyDescent="0.35">
      <c r="A2221">
        <f t="shared" si="5745"/>
        <v>2217</v>
      </c>
      <c r="B2221" s="9">
        <f t="shared" ref="B2221" si="5778">B2220+H2221+I2221+J2221</f>
        <v>244.52999999999997</v>
      </c>
      <c r="C2221" s="3" t="s">
        <v>2442</v>
      </c>
      <c r="D2221">
        <f t="shared" ref="D2221" si="5779">_xlfn.NUMBERVALUE(LEFT(C2221,2))</f>
        <v>26</v>
      </c>
      <c r="E2221">
        <f t="shared" ref="E2221" si="5780">_xlfn.NUMBERVALUE(MID(C2221,4,2))</f>
        <v>2</v>
      </c>
      <c r="F2221">
        <f t="shared" ref="F2221" si="5781">_xlfn.NUMBERVALUE(RIGHT(C2221,4))</f>
        <v>2024</v>
      </c>
      <c r="G2221" t="s">
        <v>7</v>
      </c>
      <c r="H2221">
        <v>-2</v>
      </c>
      <c r="I2221">
        <v>4</v>
      </c>
      <c r="K2221" t="s">
        <v>10</v>
      </c>
      <c r="L2221" s="8">
        <f t="shared" si="5632"/>
        <v>1</v>
      </c>
      <c r="M2221" t="s">
        <v>2445</v>
      </c>
    </row>
    <row r="2222" spans="1:13" x14ac:dyDescent="0.35">
      <c r="A2222">
        <f t="shared" si="5745"/>
        <v>2218</v>
      </c>
      <c r="B2222" s="9">
        <f t="shared" ref="B2222" si="5782">B2221+H2222+I2222+J2222</f>
        <v>242.52999999999997</v>
      </c>
      <c r="C2222" s="3" t="s">
        <v>2442</v>
      </c>
      <c r="D2222">
        <f t="shared" ref="D2222" si="5783">_xlfn.NUMBERVALUE(LEFT(C2222,2))</f>
        <v>26</v>
      </c>
      <c r="E2222">
        <f t="shared" ref="E2222" si="5784">_xlfn.NUMBERVALUE(MID(C2222,4,2))</f>
        <v>2</v>
      </c>
      <c r="F2222">
        <f t="shared" ref="F2222" si="5785">_xlfn.NUMBERVALUE(RIGHT(C2222,4))</f>
        <v>2024</v>
      </c>
      <c r="G2222" t="s">
        <v>7</v>
      </c>
      <c r="H2222">
        <v>-2</v>
      </c>
      <c r="K2222" t="s">
        <v>9</v>
      </c>
      <c r="L2222" s="8">
        <f t="shared" si="5632"/>
        <v>-1</v>
      </c>
      <c r="M2222" t="s">
        <v>2446</v>
      </c>
    </row>
    <row r="2223" spans="1:13" x14ac:dyDescent="0.35">
      <c r="A2223">
        <f t="shared" si="5745"/>
        <v>2219</v>
      </c>
      <c r="B2223" s="9">
        <f t="shared" ref="B2223" si="5786">B2222+H2223+I2223+J2223</f>
        <v>240.52999999999997</v>
      </c>
      <c r="C2223" s="3" t="s">
        <v>2442</v>
      </c>
      <c r="D2223">
        <f t="shared" ref="D2223" si="5787">_xlfn.NUMBERVALUE(LEFT(C2223,2))</f>
        <v>26</v>
      </c>
      <c r="E2223">
        <f t="shared" ref="E2223" si="5788">_xlfn.NUMBERVALUE(MID(C2223,4,2))</f>
        <v>2</v>
      </c>
      <c r="F2223">
        <f t="shared" ref="F2223" si="5789">_xlfn.NUMBERVALUE(RIGHT(C2223,4))</f>
        <v>2024</v>
      </c>
      <c r="G2223" t="s">
        <v>7</v>
      </c>
      <c r="H2223">
        <v>-2</v>
      </c>
      <c r="K2223" t="s">
        <v>9</v>
      </c>
      <c r="L2223" s="8">
        <f t="shared" si="5632"/>
        <v>-1</v>
      </c>
      <c r="M2223" t="s">
        <v>2447</v>
      </c>
    </row>
    <row r="2224" spans="1:13" x14ac:dyDescent="0.35">
      <c r="A2224">
        <f t="shared" si="5745"/>
        <v>2220</v>
      </c>
      <c r="B2224" s="9">
        <f t="shared" ref="B2224" si="5790">B2223+H2224+I2224+J2224</f>
        <v>242.52999999999997</v>
      </c>
      <c r="C2224" s="3" t="s">
        <v>2442</v>
      </c>
      <c r="D2224">
        <f t="shared" ref="D2224" si="5791">_xlfn.NUMBERVALUE(LEFT(C2224,2))</f>
        <v>26</v>
      </c>
      <c r="E2224">
        <f t="shared" ref="E2224" si="5792">_xlfn.NUMBERVALUE(MID(C2224,4,2))</f>
        <v>2</v>
      </c>
      <c r="F2224">
        <f t="shared" ref="F2224" si="5793">_xlfn.NUMBERVALUE(RIGHT(C2224,4))</f>
        <v>2024</v>
      </c>
      <c r="G2224" t="s">
        <v>7</v>
      </c>
      <c r="H2224">
        <v>-2</v>
      </c>
      <c r="I2224">
        <v>4</v>
      </c>
      <c r="K2224" t="s">
        <v>10</v>
      </c>
      <c r="L2224" s="8">
        <f t="shared" si="5632"/>
        <v>1</v>
      </c>
      <c r="M2224" t="s">
        <v>2448</v>
      </c>
    </row>
    <row r="2225" spans="1:13" x14ac:dyDescent="0.35">
      <c r="A2225">
        <f t="shared" si="5745"/>
        <v>2221</v>
      </c>
      <c r="B2225" s="9">
        <f t="shared" ref="B2225" si="5794">B2224+H2225+I2225+J2225</f>
        <v>244.52999999999997</v>
      </c>
      <c r="C2225" s="3" t="s">
        <v>2442</v>
      </c>
      <c r="D2225">
        <f t="shared" ref="D2225" si="5795">_xlfn.NUMBERVALUE(LEFT(C2225,2))</f>
        <v>26</v>
      </c>
      <c r="E2225">
        <f t="shared" ref="E2225" si="5796">_xlfn.NUMBERVALUE(MID(C2225,4,2))</f>
        <v>2</v>
      </c>
      <c r="F2225">
        <f t="shared" ref="F2225" si="5797">_xlfn.NUMBERVALUE(RIGHT(C2225,4))</f>
        <v>2024</v>
      </c>
      <c r="G2225" t="s">
        <v>7</v>
      </c>
      <c r="H2225">
        <v>-2</v>
      </c>
      <c r="I2225">
        <v>4</v>
      </c>
      <c r="K2225" t="s">
        <v>10</v>
      </c>
      <c r="L2225" s="8">
        <f t="shared" si="5632"/>
        <v>1</v>
      </c>
      <c r="M2225" t="s">
        <v>2449</v>
      </c>
    </row>
    <row r="2226" spans="1:13" x14ac:dyDescent="0.35">
      <c r="A2226">
        <f t="shared" si="5745"/>
        <v>2222</v>
      </c>
      <c r="B2226" s="9">
        <f t="shared" ref="B2226" si="5798">B2225+H2226+I2226+J2226</f>
        <v>242.52999999999997</v>
      </c>
      <c r="C2226" s="3" t="s">
        <v>2442</v>
      </c>
      <c r="D2226">
        <f t="shared" ref="D2226" si="5799">_xlfn.NUMBERVALUE(LEFT(C2226,2))</f>
        <v>26</v>
      </c>
      <c r="E2226">
        <f t="shared" ref="E2226" si="5800">_xlfn.NUMBERVALUE(MID(C2226,4,2))</f>
        <v>2</v>
      </c>
      <c r="F2226">
        <f t="shared" ref="F2226" si="5801">_xlfn.NUMBERVALUE(RIGHT(C2226,4))</f>
        <v>2024</v>
      </c>
      <c r="G2226" t="s">
        <v>7</v>
      </c>
      <c r="H2226">
        <v>-2</v>
      </c>
      <c r="K2226" t="s">
        <v>9</v>
      </c>
      <c r="L2226" s="8">
        <f t="shared" si="5632"/>
        <v>-1</v>
      </c>
      <c r="M2226" t="s">
        <v>2450</v>
      </c>
    </row>
    <row r="2227" spans="1:13" x14ac:dyDescent="0.35">
      <c r="A2227">
        <f t="shared" si="5745"/>
        <v>2223</v>
      </c>
      <c r="B2227" s="9">
        <f t="shared" ref="B2227" si="5802">B2226+H2227+I2227+J2227</f>
        <v>240.52999999999997</v>
      </c>
      <c r="C2227" s="3" t="s">
        <v>2442</v>
      </c>
      <c r="D2227">
        <f t="shared" ref="D2227" si="5803">_xlfn.NUMBERVALUE(LEFT(C2227,2))</f>
        <v>26</v>
      </c>
      <c r="E2227">
        <f t="shared" ref="E2227" si="5804">_xlfn.NUMBERVALUE(MID(C2227,4,2))</f>
        <v>2</v>
      </c>
      <c r="F2227">
        <f t="shared" ref="F2227" si="5805">_xlfn.NUMBERVALUE(RIGHT(C2227,4))</f>
        <v>2024</v>
      </c>
      <c r="G2227" t="s">
        <v>7</v>
      </c>
      <c r="H2227">
        <v>-2</v>
      </c>
      <c r="K2227" t="s">
        <v>9</v>
      </c>
      <c r="L2227" s="8">
        <f t="shared" si="5632"/>
        <v>-1</v>
      </c>
      <c r="M2227" t="s">
        <v>2451</v>
      </c>
    </row>
    <row r="2228" spans="1:13" x14ac:dyDescent="0.35">
      <c r="A2228">
        <f t="shared" si="5745"/>
        <v>2224</v>
      </c>
      <c r="B2228" s="9">
        <f t="shared" ref="B2228" si="5806">B2227+H2228+I2228+J2228</f>
        <v>242.52999999999997</v>
      </c>
      <c r="C2228" s="3" t="s">
        <v>2442</v>
      </c>
      <c r="D2228">
        <f t="shared" ref="D2228" si="5807">_xlfn.NUMBERVALUE(LEFT(C2228,2))</f>
        <v>26</v>
      </c>
      <c r="E2228">
        <f t="shared" ref="E2228" si="5808">_xlfn.NUMBERVALUE(MID(C2228,4,2))</f>
        <v>2</v>
      </c>
      <c r="F2228">
        <f t="shared" ref="F2228" si="5809">_xlfn.NUMBERVALUE(RIGHT(C2228,4))</f>
        <v>2024</v>
      </c>
      <c r="G2228" t="s">
        <v>7</v>
      </c>
      <c r="H2228">
        <v>-2</v>
      </c>
      <c r="I2228">
        <v>4</v>
      </c>
      <c r="K2228" t="s">
        <v>10</v>
      </c>
      <c r="L2228" s="8">
        <f t="shared" si="5632"/>
        <v>1</v>
      </c>
      <c r="M2228" t="s">
        <v>2452</v>
      </c>
    </row>
    <row r="2229" spans="1:13" x14ac:dyDescent="0.35">
      <c r="A2229">
        <f t="shared" si="5745"/>
        <v>2225</v>
      </c>
      <c r="B2229" s="9">
        <f t="shared" ref="B2229" si="5810">B2228+H2229+I2229+J2229</f>
        <v>244.52999999999997</v>
      </c>
      <c r="C2229" s="3" t="s">
        <v>2442</v>
      </c>
      <c r="D2229">
        <f t="shared" ref="D2229" si="5811">_xlfn.NUMBERVALUE(LEFT(C2229,2))</f>
        <v>26</v>
      </c>
      <c r="E2229">
        <f t="shared" ref="E2229" si="5812">_xlfn.NUMBERVALUE(MID(C2229,4,2))</f>
        <v>2</v>
      </c>
      <c r="F2229">
        <f t="shared" ref="F2229" si="5813">_xlfn.NUMBERVALUE(RIGHT(C2229,4))</f>
        <v>2024</v>
      </c>
      <c r="G2229" t="s">
        <v>7</v>
      </c>
      <c r="H2229">
        <v>-2</v>
      </c>
      <c r="I2229">
        <v>4</v>
      </c>
      <c r="K2229" t="s">
        <v>10</v>
      </c>
      <c r="L2229" s="8">
        <f t="shared" si="5632"/>
        <v>1</v>
      </c>
      <c r="M2229" t="s">
        <v>2453</v>
      </c>
    </row>
    <row r="2230" spans="1:13" x14ac:dyDescent="0.35">
      <c r="A2230">
        <f t="shared" si="5745"/>
        <v>2226</v>
      </c>
      <c r="B2230" s="9">
        <f t="shared" ref="B2230" si="5814">B2229+H2230+I2230+J2230</f>
        <v>248.52999999999997</v>
      </c>
      <c r="C2230" s="3" t="s">
        <v>2442</v>
      </c>
      <c r="D2230">
        <f t="shared" ref="D2230" si="5815">_xlfn.NUMBERVALUE(LEFT(C2230,2))</f>
        <v>26</v>
      </c>
      <c r="E2230">
        <f t="shared" ref="E2230" si="5816">_xlfn.NUMBERVALUE(MID(C2230,4,2))</f>
        <v>2</v>
      </c>
      <c r="F2230">
        <f t="shared" ref="F2230" si="5817">_xlfn.NUMBERVALUE(RIGHT(C2230,4))</f>
        <v>2024</v>
      </c>
      <c r="G2230" t="s">
        <v>7</v>
      </c>
      <c r="H2230">
        <v>-2</v>
      </c>
      <c r="I2230">
        <v>6</v>
      </c>
      <c r="K2230" t="s">
        <v>10</v>
      </c>
      <c r="L2230" s="8">
        <f t="shared" si="5632"/>
        <v>2</v>
      </c>
      <c r="M2230" t="s">
        <v>2454</v>
      </c>
    </row>
    <row r="2231" spans="1:13" x14ac:dyDescent="0.35">
      <c r="A2231">
        <f t="shared" si="5745"/>
        <v>2227</v>
      </c>
      <c r="B2231" s="9">
        <f t="shared" ref="B2231" si="5818">B2230+H2231+I2231+J2231</f>
        <v>254.52999999999997</v>
      </c>
      <c r="C2231" s="3" t="s">
        <v>2442</v>
      </c>
      <c r="D2231">
        <f t="shared" ref="D2231" si="5819">_xlfn.NUMBERVALUE(LEFT(C2231,2))</f>
        <v>26</v>
      </c>
      <c r="E2231">
        <f t="shared" ref="E2231" si="5820">_xlfn.NUMBERVALUE(MID(C2231,4,2))</f>
        <v>2</v>
      </c>
      <c r="F2231">
        <f t="shared" ref="F2231" si="5821">_xlfn.NUMBERVALUE(RIGHT(C2231,4))</f>
        <v>2024</v>
      </c>
      <c r="G2231" t="s">
        <v>7</v>
      </c>
      <c r="H2231">
        <v>-2</v>
      </c>
      <c r="I2231">
        <v>8</v>
      </c>
      <c r="K2231" t="s">
        <v>10</v>
      </c>
      <c r="L2231" s="8">
        <f t="shared" si="5632"/>
        <v>3</v>
      </c>
      <c r="M2231" t="s">
        <v>2455</v>
      </c>
    </row>
    <row r="2232" spans="1:13" x14ac:dyDescent="0.35">
      <c r="A2232">
        <f t="shared" si="5745"/>
        <v>2228</v>
      </c>
      <c r="B2232" s="9">
        <f t="shared" ref="B2232" si="5822">B2231+H2232+I2232+J2232</f>
        <v>252.52999999999997</v>
      </c>
      <c r="C2232" s="3" t="s">
        <v>2442</v>
      </c>
      <c r="D2232">
        <f t="shared" ref="D2232" si="5823">_xlfn.NUMBERVALUE(LEFT(C2232,2))</f>
        <v>26</v>
      </c>
      <c r="E2232">
        <f t="shared" ref="E2232" si="5824">_xlfn.NUMBERVALUE(MID(C2232,4,2))</f>
        <v>2</v>
      </c>
      <c r="F2232">
        <f t="shared" ref="F2232" si="5825">_xlfn.NUMBERVALUE(RIGHT(C2232,4))</f>
        <v>2024</v>
      </c>
      <c r="G2232" t="s">
        <v>7</v>
      </c>
      <c r="H2232">
        <v>-2</v>
      </c>
      <c r="K2232" t="s">
        <v>9</v>
      </c>
      <c r="L2232" s="8">
        <f t="shared" si="5632"/>
        <v>-1</v>
      </c>
      <c r="M2232" t="s">
        <v>2456</v>
      </c>
    </row>
    <row r="2233" spans="1:13" x14ac:dyDescent="0.35">
      <c r="A2233">
        <f t="shared" si="5745"/>
        <v>2229</v>
      </c>
      <c r="B2233" s="9">
        <f t="shared" ref="B2233" si="5826">B2232+H2233+I2233+J2233</f>
        <v>254.52999999999997</v>
      </c>
      <c r="C2233" s="3" t="s">
        <v>2442</v>
      </c>
      <c r="D2233">
        <f t="shared" ref="D2233" si="5827">_xlfn.NUMBERVALUE(LEFT(C2233,2))</f>
        <v>26</v>
      </c>
      <c r="E2233">
        <f t="shared" ref="E2233" si="5828">_xlfn.NUMBERVALUE(MID(C2233,4,2))</f>
        <v>2</v>
      </c>
      <c r="F2233">
        <f t="shared" ref="F2233" si="5829">_xlfn.NUMBERVALUE(RIGHT(C2233,4))</f>
        <v>2024</v>
      </c>
      <c r="G2233" t="s">
        <v>7</v>
      </c>
      <c r="H2233">
        <v>-2</v>
      </c>
      <c r="I2233">
        <v>4</v>
      </c>
      <c r="K2233" t="s">
        <v>10</v>
      </c>
      <c r="L2233" s="8">
        <f t="shared" si="5632"/>
        <v>1</v>
      </c>
      <c r="M2233" t="s">
        <v>2457</v>
      </c>
    </row>
    <row r="2234" spans="1:13" x14ac:dyDescent="0.35">
      <c r="A2234">
        <f t="shared" si="5745"/>
        <v>2230</v>
      </c>
      <c r="B2234" s="9">
        <f t="shared" ref="B2234" si="5830">B2233+H2234+I2234+J2234</f>
        <v>260.52999999999997</v>
      </c>
      <c r="C2234" s="3" t="s">
        <v>2442</v>
      </c>
      <c r="D2234">
        <f t="shared" ref="D2234" si="5831">_xlfn.NUMBERVALUE(LEFT(C2234,2))</f>
        <v>26</v>
      </c>
      <c r="E2234">
        <f t="shared" ref="E2234" si="5832">_xlfn.NUMBERVALUE(MID(C2234,4,2))</f>
        <v>2</v>
      </c>
      <c r="F2234">
        <f t="shared" ref="F2234" si="5833">_xlfn.NUMBERVALUE(RIGHT(C2234,4))</f>
        <v>2024</v>
      </c>
      <c r="G2234" t="s">
        <v>7</v>
      </c>
      <c r="H2234">
        <v>-2</v>
      </c>
      <c r="I2234">
        <v>8</v>
      </c>
      <c r="K2234" t="s">
        <v>10</v>
      </c>
      <c r="L2234" s="8">
        <f t="shared" si="5632"/>
        <v>3</v>
      </c>
      <c r="M2234" t="s">
        <v>2458</v>
      </c>
    </row>
    <row r="2235" spans="1:13" x14ac:dyDescent="0.35">
      <c r="A2235">
        <f t="shared" si="5745"/>
        <v>2231</v>
      </c>
      <c r="B2235" s="9">
        <f t="shared" ref="B2235" si="5834">B2234+H2235+I2235+J2235</f>
        <v>264.52999999999997</v>
      </c>
      <c r="C2235" s="3" t="s">
        <v>2442</v>
      </c>
      <c r="D2235">
        <f t="shared" ref="D2235" si="5835">_xlfn.NUMBERVALUE(LEFT(C2235,2))</f>
        <v>26</v>
      </c>
      <c r="E2235">
        <f t="shared" ref="E2235" si="5836">_xlfn.NUMBERVALUE(MID(C2235,4,2))</f>
        <v>2</v>
      </c>
      <c r="F2235">
        <f t="shared" ref="F2235" si="5837">_xlfn.NUMBERVALUE(RIGHT(C2235,4))</f>
        <v>2024</v>
      </c>
      <c r="G2235" t="s">
        <v>7</v>
      </c>
      <c r="H2235">
        <v>-2</v>
      </c>
      <c r="I2235">
        <v>6</v>
      </c>
      <c r="K2235" t="s">
        <v>10</v>
      </c>
      <c r="L2235" s="8">
        <f t="shared" si="5632"/>
        <v>2</v>
      </c>
      <c r="M2235" t="s">
        <v>2459</v>
      </c>
    </row>
    <row r="2236" spans="1:13" x14ac:dyDescent="0.35">
      <c r="A2236">
        <f t="shared" si="5745"/>
        <v>2232</v>
      </c>
      <c r="B2236" s="9">
        <f t="shared" ref="B2236" si="5838">B2235+H2236+I2236+J2236</f>
        <v>262.52999999999997</v>
      </c>
      <c r="C2236" s="3" t="s">
        <v>2461</v>
      </c>
      <c r="D2236">
        <f t="shared" ref="D2236" si="5839">_xlfn.NUMBERVALUE(LEFT(C2236,2))</f>
        <v>28</v>
      </c>
      <c r="E2236">
        <f t="shared" ref="E2236" si="5840">_xlfn.NUMBERVALUE(MID(C2236,4,2))</f>
        <v>2</v>
      </c>
      <c r="F2236">
        <f t="shared" ref="F2236" si="5841">_xlfn.NUMBERVALUE(RIGHT(C2236,4))</f>
        <v>2024</v>
      </c>
      <c r="G2236" t="s">
        <v>7</v>
      </c>
      <c r="H2236">
        <v>-2</v>
      </c>
      <c r="K2236" t="s">
        <v>9</v>
      </c>
      <c r="L2236" s="8">
        <f t="shared" si="5632"/>
        <v>-1</v>
      </c>
      <c r="M2236" t="s">
        <v>2462</v>
      </c>
    </row>
    <row r="2237" spans="1:13" x14ac:dyDescent="0.35">
      <c r="A2237">
        <f t="shared" si="5745"/>
        <v>2233</v>
      </c>
      <c r="B2237" s="9">
        <f t="shared" ref="B2237" si="5842">B2236+H2237+I2237+J2237</f>
        <v>266.52999999999997</v>
      </c>
      <c r="C2237" s="3" t="s">
        <v>2461</v>
      </c>
      <c r="D2237">
        <f t="shared" ref="D2237" si="5843">_xlfn.NUMBERVALUE(LEFT(C2237,2))</f>
        <v>28</v>
      </c>
      <c r="E2237">
        <f t="shared" ref="E2237" si="5844">_xlfn.NUMBERVALUE(MID(C2237,4,2))</f>
        <v>2</v>
      </c>
      <c r="F2237">
        <f t="shared" ref="F2237" si="5845">_xlfn.NUMBERVALUE(RIGHT(C2237,4))</f>
        <v>2024</v>
      </c>
      <c r="G2237" t="s">
        <v>7</v>
      </c>
      <c r="H2237">
        <v>-2</v>
      </c>
      <c r="I2237">
        <v>6</v>
      </c>
      <c r="K2237" t="s">
        <v>10</v>
      </c>
      <c r="L2237" s="8">
        <f t="shared" si="5632"/>
        <v>2</v>
      </c>
      <c r="M2237" t="s">
        <v>2463</v>
      </c>
    </row>
    <row r="2238" spans="1:13" x14ac:dyDescent="0.35">
      <c r="A2238">
        <f t="shared" si="5745"/>
        <v>2234</v>
      </c>
      <c r="B2238" s="9">
        <f t="shared" ref="B2238:B2239" si="5846">B2237+H2238+I2238+J2238</f>
        <v>262.13</v>
      </c>
      <c r="C2238" s="3" t="s">
        <v>2465</v>
      </c>
      <c r="D2238">
        <f t="shared" ref="D2238:D2239" si="5847">_xlfn.NUMBERVALUE(LEFT(C2238,2))</f>
        <v>29</v>
      </c>
      <c r="E2238">
        <f t="shared" ref="E2238:E2239" si="5848">_xlfn.NUMBERVALUE(MID(C2238,4,2))</f>
        <v>2</v>
      </c>
      <c r="F2238">
        <f t="shared" ref="F2238:F2239" si="5849">_xlfn.NUMBERVALUE(RIGHT(C2238,4))</f>
        <v>2024</v>
      </c>
      <c r="G2238" t="s">
        <v>44</v>
      </c>
      <c r="H2238">
        <v>-4.4000000000000004</v>
      </c>
      <c r="K2238" t="s">
        <v>9</v>
      </c>
      <c r="L2238" s="8">
        <f t="shared" si="5632"/>
        <v>-1</v>
      </c>
      <c r="M2238" t="s">
        <v>2464</v>
      </c>
    </row>
    <row r="2239" spans="1:13" x14ac:dyDescent="0.35">
      <c r="A2239">
        <f t="shared" si="5745"/>
        <v>2235</v>
      </c>
      <c r="B2239" s="9">
        <f t="shared" si="5846"/>
        <v>268.13</v>
      </c>
      <c r="C2239" s="3" t="s">
        <v>2465</v>
      </c>
      <c r="D2239">
        <f t="shared" si="5847"/>
        <v>29</v>
      </c>
      <c r="E2239">
        <f t="shared" si="5848"/>
        <v>2</v>
      </c>
      <c r="F2239">
        <f t="shared" si="5849"/>
        <v>2024</v>
      </c>
      <c r="G2239" t="s">
        <v>7</v>
      </c>
      <c r="H2239">
        <v>-2</v>
      </c>
      <c r="I2239">
        <v>8</v>
      </c>
      <c r="K2239" t="s">
        <v>10</v>
      </c>
      <c r="L2239" s="8">
        <f t="shared" si="5632"/>
        <v>3</v>
      </c>
      <c r="M2239" t="s">
        <v>2466</v>
      </c>
    </row>
    <row r="2240" spans="1:13" x14ac:dyDescent="0.35">
      <c r="A2240">
        <f t="shared" si="5745"/>
        <v>2236</v>
      </c>
      <c r="B2240" s="9">
        <f t="shared" ref="B2240" si="5850">B2239+H2240+I2240+J2240</f>
        <v>272.13</v>
      </c>
      <c r="C2240" s="3" t="s">
        <v>2465</v>
      </c>
      <c r="D2240">
        <f t="shared" ref="D2240" si="5851">_xlfn.NUMBERVALUE(LEFT(C2240,2))</f>
        <v>29</v>
      </c>
      <c r="E2240">
        <f t="shared" ref="E2240" si="5852">_xlfn.NUMBERVALUE(MID(C2240,4,2))</f>
        <v>2</v>
      </c>
      <c r="F2240">
        <f t="shared" ref="F2240" si="5853">_xlfn.NUMBERVALUE(RIGHT(C2240,4))</f>
        <v>2024</v>
      </c>
      <c r="G2240" t="s">
        <v>7</v>
      </c>
      <c r="H2240">
        <v>-2</v>
      </c>
      <c r="I2240">
        <v>6</v>
      </c>
      <c r="K2240" t="s">
        <v>10</v>
      </c>
      <c r="L2240" s="8">
        <f t="shared" si="5632"/>
        <v>2</v>
      </c>
      <c r="M2240" t="s">
        <v>2467</v>
      </c>
    </row>
    <row r="2241" spans="1:13" x14ac:dyDescent="0.35">
      <c r="A2241">
        <f t="shared" si="5745"/>
        <v>2237</v>
      </c>
      <c r="B2241" s="9">
        <f t="shared" ref="B2241" si="5854">B2240+H2241+I2241+J2241</f>
        <v>270.13</v>
      </c>
      <c r="C2241" s="3" t="s">
        <v>2465</v>
      </c>
      <c r="D2241">
        <f t="shared" ref="D2241" si="5855">_xlfn.NUMBERVALUE(LEFT(C2241,2))</f>
        <v>29</v>
      </c>
      <c r="E2241">
        <f t="shared" ref="E2241" si="5856">_xlfn.NUMBERVALUE(MID(C2241,4,2))</f>
        <v>2</v>
      </c>
      <c r="F2241">
        <f t="shared" ref="F2241" si="5857">_xlfn.NUMBERVALUE(RIGHT(C2241,4))</f>
        <v>2024</v>
      </c>
      <c r="G2241" t="s">
        <v>7</v>
      </c>
      <c r="H2241">
        <v>-2</v>
      </c>
      <c r="K2241" t="s">
        <v>9</v>
      </c>
      <c r="L2241" s="8">
        <f t="shared" si="5632"/>
        <v>-1</v>
      </c>
      <c r="M2241" t="s">
        <v>2468</v>
      </c>
    </row>
    <row r="2242" spans="1:13" x14ac:dyDescent="0.35">
      <c r="A2242">
        <f t="shared" si="5745"/>
        <v>2238</v>
      </c>
      <c r="B2242" s="9">
        <f t="shared" ref="B2242:B2243" si="5858">B2241+H2242+I2242+J2242</f>
        <v>274.13</v>
      </c>
      <c r="C2242" s="3" t="s">
        <v>2465</v>
      </c>
      <c r="D2242">
        <f t="shared" ref="D2242:D2243" si="5859">_xlfn.NUMBERVALUE(LEFT(C2242,2))</f>
        <v>29</v>
      </c>
      <c r="E2242">
        <f t="shared" ref="E2242:E2243" si="5860">_xlfn.NUMBERVALUE(MID(C2242,4,2))</f>
        <v>2</v>
      </c>
      <c r="F2242">
        <f t="shared" ref="F2242:F2243" si="5861">_xlfn.NUMBERVALUE(RIGHT(C2242,4))</f>
        <v>2024</v>
      </c>
      <c r="G2242" t="s">
        <v>7</v>
      </c>
      <c r="H2242">
        <v>-2</v>
      </c>
      <c r="I2242">
        <v>6</v>
      </c>
      <c r="K2242" t="s">
        <v>10</v>
      </c>
      <c r="L2242" s="8">
        <f t="shared" si="5632"/>
        <v>2</v>
      </c>
      <c r="M2242" t="s">
        <v>2469</v>
      </c>
    </row>
    <row r="2243" spans="1:13" x14ac:dyDescent="0.35">
      <c r="A2243">
        <f t="shared" si="5745"/>
        <v>2239</v>
      </c>
      <c r="B2243" s="9">
        <f t="shared" si="5858"/>
        <v>278.13</v>
      </c>
      <c r="C2243" s="3" t="s">
        <v>2465</v>
      </c>
      <c r="D2243">
        <f t="shared" si="5859"/>
        <v>29</v>
      </c>
      <c r="E2243">
        <f t="shared" si="5860"/>
        <v>2</v>
      </c>
      <c r="F2243">
        <f t="shared" si="5861"/>
        <v>2024</v>
      </c>
      <c r="G2243" t="s">
        <v>7</v>
      </c>
      <c r="H2243">
        <v>-2</v>
      </c>
      <c r="I2243">
        <v>6</v>
      </c>
      <c r="K2243" t="s">
        <v>10</v>
      </c>
      <c r="L2243" s="8">
        <f t="shared" si="5632"/>
        <v>2</v>
      </c>
      <c r="M2243" t="s">
        <v>2470</v>
      </c>
    </row>
    <row r="2244" spans="1:13" x14ac:dyDescent="0.35">
      <c r="A2244">
        <f t="shared" si="5745"/>
        <v>2240</v>
      </c>
      <c r="B2244" s="9">
        <f t="shared" ref="B2244" si="5862">B2243+H2244+I2244+J2244</f>
        <v>276.13</v>
      </c>
      <c r="C2244" s="3" t="s">
        <v>2465</v>
      </c>
      <c r="D2244">
        <f t="shared" ref="D2244" si="5863">_xlfn.NUMBERVALUE(LEFT(C2244,2))</f>
        <v>29</v>
      </c>
      <c r="E2244">
        <f t="shared" ref="E2244" si="5864">_xlfn.NUMBERVALUE(MID(C2244,4,2))</f>
        <v>2</v>
      </c>
      <c r="F2244">
        <f t="shared" ref="F2244" si="5865">_xlfn.NUMBERVALUE(RIGHT(C2244,4))</f>
        <v>2024</v>
      </c>
      <c r="G2244" t="s">
        <v>7</v>
      </c>
      <c r="H2244">
        <v>-2</v>
      </c>
      <c r="K2244" t="s">
        <v>9</v>
      </c>
      <c r="L2244" s="8">
        <f t="shared" si="5632"/>
        <v>-1</v>
      </c>
      <c r="M2244" t="s">
        <v>2471</v>
      </c>
    </row>
    <row r="2245" spans="1:13" x14ac:dyDescent="0.35">
      <c r="A2245">
        <f t="shared" si="5745"/>
        <v>2241</v>
      </c>
      <c r="B2245" s="9">
        <f t="shared" ref="B2245" si="5866">B2244+H2245+I2245+J2245</f>
        <v>278.13</v>
      </c>
      <c r="C2245" s="3" t="s">
        <v>2465</v>
      </c>
      <c r="D2245">
        <f t="shared" ref="D2245" si="5867">_xlfn.NUMBERVALUE(LEFT(C2245,2))</f>
        <v>29</v>
      </c>
      <c r="E2245">
        <f t="shared" ref="E2245" si="5868">_xlfn.NUMBERVALUE(MID(C2245,4,2))</f>
        <v>2</v>
      </c>
      <c r="F2245">
        <f t="shared" ref="F2245" si="5869">_xlfn.NUMBERVALUE(RIGHT(C2245,4))</f>
        <v>2024</v>
      </c>
      <c r="G2245" t="s">
        <v>7</v>
      </c>
      <c r="H2245">
        <v>-2</v>
      </c>
      <c r="I2245">
        <v>4</v>
      </c>
      <c r="K2245" t="s">
        <v>10</v>
      </c>
      <c r="L2245" s="8">
        <f t="shared" si="5632"/>
        <v>1</v>
      </c>
      <c r="M2245" t="s">
        <v>2472</v>
      </c>
    </row>
    <row r="2246" spans="1:13" x14ac:dyDescent="0.35">
      <c r="A2246">
        <f t="shared" si="5745"/>
        <v>2242</v>
      </c>
      <c r="B2246" s="9">
        <f t="shared" ref="B2246" si="5870">B2245+H2246+I2246+J2246</f>
        <v>276.13</v>
      </c>
      <c r="C2246" s="3" t="s">
        <v>2465</v>
      </c>
      <c r="D2246">
        <f t="shared" ref="D2246" si="5871">_xlfn.NUMBERVALUE(LEFT(C2246,2))</f>
        <v>29</v>
      </c>
      <c r="E2246">
        <f t="shared" ref="E2246" si="5872">_xlfn.NUMBERVALUE(MID(C2246,4,2))</f>
        <v>2</v>
      </c>
      <c r="F2246">
        <f t="shared" ref="F2246" si="5873">_xlfn.NUMBERVALUE(RIGHT(C2246,4))</f>
        <v>2024</v>
      </c>
      <c r="G2246" t="s">
        <v>7</v>
      </c>
      <c r="H2246">
        <v>-2</v>
      </c>
      <c r="K2246" t="s">
        <v>9</v>
      </c>
      <c r="L2246" s="8">
        <f t="shared" ref="L2246:L2309" si="5874">IF(H2246="",0,(SUM(I2246:J2246)/-H2246)-1)</f>
        <v>-1</v>
      </c>
      <c r="M2246" t="s">
        <v>2473</v>
      </c>
    </row>
    <row r="2247" spans="1:13" x14ac:dyDescent="0.35">
      <c r="A2247">
        <f t="shared" si="5745"/>
        <v>2243</v>
      </c>
      <c r="B2247" s="9">
        <f t="shared" ref="B2247" si="5875">B2246+H2247+I2247+J2247</f>
        <v>274.13</v>
      </c>
      <c r="C2247" s="3" t="s">
        <v>2465</v>
      </c>
      <c r="D2247">
        <f t="shared" ref="D2247" si="5876">_xlfn.NUMBERVALUE(LEFT(C2247,2))</f>
        <v>29</v>
      </c>
      <c r="E2247">
        <f t="shared" ref="E2247" si="5877">_xlfn.NUMBERVALUE(MID(C2247,4,2))</f>
        <v>2</v>
      </c>
      <c r="F2247">
        <f t="shared" ref="F2247" si="5878">_xlfn.NUMBERVALUE(RIGHT(C2247,4))</f>
        <v>2024</v>
      </c>
      <c r="G2247" t="s">
        <v>7</v>
      </c>
      <c r="H2247">
        <v>-2</v>
      </c>
      <c r="K2247" t="s">
        <v>9</v>
      </c>
      <c r="L2247" s="8">
        <f t="shared" si="5874"/>
        <v>-1</v>
      </c>
      <c r="M2247" t="s">
        <v>2474</v>
      </c>
    </row>
    <row r="2248" spans="1:13" x14ac:dyDescent="0.35">
      <c r="A2248">
        <f t="shared" si="5745"/>
        <v>2244</v>
      </c>
      <c r="B2248" s="9">
        <f t="shared" ref="B2248:B2249" si="5879">B2247+H2248+I2248+J2248</f>
        <v>74.13</v>
      </c>
      <c r="C2248" s="3" t="s">
        <v>2465</v>
      </c>
      <c r="D2248">
        <f t="shared" ref="D2248:D2249" si="5880">_xlfn.NUMBERVALUE(LEFT(C2248,2))</f>
        <v>29</v>
      </c>
      <c r="E2248">
        <f t="shared" ref="E2248:E2249" si="5881">_xlfn.NUMBERVALUE(MID(C2248,4,2))</f>
        <v>2</v>
      </c>
      <c r="F2248">
        <f t="shared" ref="F2248:F2249" si="5882">_xlfn.NUMBERVALUE(RIGHT(C2248,4))</f>
        <v>2024</v>
      </c>
      <c r="G2248" t="s">
        <v>208</v>
      </c>
      <c r="H2248">
        <v>-200</v>
      </c>
      <c r="L2248" s="8"/>
    </row>
    <row r="2249" spans="1:13" x14ac:dyDescent="0.35">
      <c r="A2249">
        <f t="shared" si="5745"/>
        <v>2245</v>
      </c>
      <c r="B2249" s="9">
        <f t="shared" si="5879"/>
        <v>72.13</v>
      </c>
      <c r="C2249" s="3" t="s">
        <v>2465</v>
      </c>
      <c r="D2249">
        <f t="shared" si="5880"/>
        <v>29</v>
      </c>
      <c r="E2249">
        <f t="shared" si="5881"/>
        <v>2</v>
      </c>
      <c r="F2249">
        <f t="shared" si="5882"/>
        <v>2024</v>
      </c>
      <c r="G2249" t="s">
        <v>7</v>
      </c>
      <c r="H2249">
        <v>-2</v>
      </c>
      <c r="K2249" t="s">
        <v>9</v>
      </c>
      <c r="L2249" s="8">
        <f t="shared" si="5874"/>
        <v>-1</v>
      </c>
      <c r="M2249" t="s">
        <v>2475</v>
      </c>
    </row>
    <row r="2250" spans="1:13" x14ac:dyDescent="0.35">
      <c r="A2250">
        <f t="shared" si="5745"/>
        <v>2246</v>
      </c>
      <c r="B2250" s="9">
        <f t="shared" ref="B2250" si="5883">B2249+H2250+I2250+J2250</f>
        <v>74.13</v>
      </c>
      <c r="C2250" s="3" t="s">
        <v>2476</v>
      </c>
      <c r="D2250">
        <f t="shared" ref="D2250" si="5884">_xlfn.NUMBERVALUE(LEFT(C2250,2))</f>
        <v>1</v>
      </c>
      <c r="E2250">
        <f t="shared" ref="E2250" si="5885">_xlfn.NUMBERVALUE(MID(C2250,4,2))</f>
        <v>3</v>
      </c>
      <c r="F2250">
        <f t="shared" ref="F2250" si="5886">_xlfn.NUMBERVALUE(RIGHT(C2250,4))</f>
        <v>2024</v>
      </c>
      <c r="G2250" t="s">
        <v>7</v>
      </c>
      <c r="H2250">
        <v>-2</v>
      </c>
      <c r="I2250">
        <v>4</v>
      </c>
      <c r="K2250" t="s">
        <v>10</v>
      </c>
      <c r="L2250" s="8">
        <f t="shared" si="5874"/>
        <v>1</v>
      </c>
      <c r="M2250" t="s">
        <v>2477</v>
      </c>
    </row>
    <row r="2251" spans="1:13" x14ac:dyDescent="0.35">
      <c r="A2251">
        <f t="shared" si="5745"/>
        <v>2247</v>
      </c>
      <c r="B2251" s="9">
        <f t="shared" ref="B2251" si="5887">B2250+H2251+I2251+J2251</f>
        <v>78.13</v>
      </c>
      <c r="C2251" s="3" t="s">
        <v>2476</v>
      </c>
      <c r="D2251">
        <f t="shared" ref="D2251" si="5888">_xlfn.NUMBERVALUE(LEFT(C2251,2))</f>
        <v>1</v>
      </c>
      <c r="E2251">
        <f t="shared" ref="E2251" si="5889">_xlfn.NUMBERVALUE(MID(C2251,4,2))</f>
        <v>3</v>
      </c>
      <c r="F2251">
        <f t="shared" ref="F2251" si="5890">_xlfn.NUMBERVALUE(RIGHT(C2251,4))</f>
        <v>2024</v>
      </c>
      <c r="G2251" t="s">
        <v>7</v>
      </c>
      <c r="H2251">
        <v>-2</v>
      </c>
      <c r="I2251">
        <v>6</v>
      </c>
      <c r="K2251" t="s">
        <v>10</v>
      </c>
      <c r="L2251" s="8">
        <f t="shared" si="5874"/>
        <v>2</v>
      </c>
      <c r="M2251" t="s">
        <v>2478</v>
      </c>
    </row>
    <row r="2252" spans="1:13" x14ac:dyDescent="0.35">
      <c r="A2252">
        <f t="shared" si="5745"/>
        <v>2248</v>
      </c>
      <c r="B2252" s="9">
        <f t="shared" ref="B2252" si="5891">B2251+H2252+I2252+J2252</f>
        <v>76.13</v>
      </c>
      <c r="C2252" s="3" t="s">
        <v>2476</v>
      </c>
      <c r="D2252">
        <f t="shared" ref="D2252" si="5892">_xlfn.NUMBERVALUE(LEFT(C2252,2))</f>
        <v>1</v>
      </c>
      <c r="E2252">
        <f t="shared" ref="E2252" si="5893">_xlfn.NUMBERVALUE(MID(C2252,4,2))</f>
        <v>3</v>
      </c>
      <c r="F2252">
        <f t="shared" ref="F2252" si="5894">_xlfn.NUMBERVALUE(RIGHT(C2252,4))</f>
        <v>2024</v>
      </c>
      <c r="G2252" t="s">
        <v>7</v>
      </c>
      <c r="H2252">
        <v>-2</v>
      </c>
      <c r="K2252" t="s">
        <v>9</v>
      </c>
      <c r="L2252" s="8">
        <f t="shared" si="5874"/>
        <v>-1</v>
      </c>
      <c r="M2252" t="s">
        <v>2479</v>
      </c>
    </row>
    <row r="2253" spans="1:13" x14ac:dyDescent="0.35">
      <c r="A2253">
        <f t="shared" si="5745"/>
        <v>2249</v>
      </c>
      <c r="B2253" s="9">
        <f t="shared" ref="B2253" si="5895">B2252+H2253+I2253+J2253</f>
        <v>74.13</v>
      </c>
      <c r="C2253" s="3" t="s">
        <v>2476</v>
      </c>
      <c r="D2253">
        <f t="shared" ref="D2253" si="5896">_xlfn.NUMBERVALUE(LEFT(C2253,2))</f>
        <v>1</v>
      </c>
      <c r="E2253">
        <f t="shared" ref="E2253" si="5897">_xlfn.NUMBERVALUE(MID(C2253,4,2))</f>
        <v>3</v>
      </c>
      <c r="F2253">
        <f t="shared" ref="F2253" si="5898">_xlfn.NUMBERVALUE(RIGHT(C2253,4))</f>
        <v>2024</v>
      </c>
      <c r="G2253" t="s">
        <v>7</v>
      </c>
      <c r="H2253">
        <v>-2</v>
      </c>
      <c r="K2253" t="s">
        <v>9</v>
      </c>
      <c r="L2253" s="8">
        <f t="shared" si="5874"/>
        <v>-1</v>
      </c>
      <c r="M2253" t="s">
        <v>2480</v>
      </c>
    </row>
    <row r="2254" spans="1:13" x14ac:dyDescent="0.35">
      <c r="A2254">
        <f t="shared" si="5745"/>
        <v>2250</v>
      </c>
      <c r="B2254" s="9">
        <f t="shared" ref="B2254" si="5899">B2253+H2254+I2254+J2254</f>
        <v>80.13</v>
      </c>
      <c r="C2254" s="3" t="s">
        <v>2476</v>
      </c>
      <c r="D2254">
        <f t="shared" ref="D2254" si="5900">_xlfn.NUMBERVALUE(LEFT(C2254,2))</f>
        <v>1</v>
      </c>
      <c r="E2254">
        <f t="shared" ref="E2254" si="5901">_xlfn.NUMBERVALUE(MID(C2254,4,2))</f>
        <v>3</v>
      </c>
      <c r="F2254">
        <f t="shared" ref="F2254" si="5902">_xlfn.NUMBERVALUE(RIGHT(C2254,4))</f>
        <v>2024</v>
      </c>
      <c r="G2254" t="s">
        <v>7</v>
      </c>
      <c r="H2254">
        <v>-2</v>
      </c>
      <c r="I2254">
        <v>8</v>
      </c>
      <c r="K2254" t="s">
        <v>10</v>
      </c>
      <c r="L2254" s="8">
        <f t="shared" si="5874"/>
        <v>3</v>
      </c>
      <c r="M2254" t="s">
        <v>2481</v>
      </c>
    </row>
    <row r="2255" spans="1:13" x14ac:dyDescent="0.35">
      <c r="A2255">
        <f t="shared" si="5745"/>
        <v>2251</v>
      </c>
      <c r="B2255" s="9">
        <f t="shared" ref="B2255" si="5903">B2254+H2255+I2255+J2255</f>
        <v>78.13</v>
      </c>
      <c r="C2255" s="3" t="s">
        <v>2476</v>
      </c>
      <c r="D2255">
        <f t="shared" ref="D2255" si="5904">_xlfn.NUMBERVALUE(LEFT(C2255,2))</f>
        <v>1</v>
      </c>
      <c r="E2255">
        <f t="shared" ref="E2255" si="5905">_xlfn.NUMBERVALUE(MID(C2255,4,2))</f>
        <v>3</v>
      </c>
      <c r="F2255">
        <f t="shared" ref="F2255" si="5906">_xlfn.NUMBERVALUE(RIGHT(C2255,4))</f>
        <v>2024</v>
      </c>
      <c r="G2255" t="s">
        <v>7</v>
      </c>
      <c r="H2255">
        <v>-2</v>
      </c>
      <c r="K2255" t="s">
        <v>9</v>
      </c>
      <c r="L2255" s="8">
        <f t="shared" si="5874"/>
        <v>-1</v>
      </c>
      <c r="M2255" t="s">
        <v>2482</v>
      </c>
    </row>
    <row r="2256" spans="1:13" x14ac:dyDescent="0.35">
      <c r="A2256">
        <f t="shared" si="5745"/>
        <v>2252</v>
      </c>
      <c r="B2256" s="9">
        <f t="shared" ref="B2256" si="5907">B2255+H2256+I2256+J2256</f>
        <v>80.13</v>
      </c>
      <c r="C2256" s="3" t="s">
        <v>2476</v>
      </c>
      <c r="D2256">
        <f t="shared" ref="D2256" si="5908">_xlfn.NUMBERVALUE(LEFT(C2256,2))</f>
        <v>1</v>
      </c>
      <c r="E2256">
        <f t="shared" ref="E2256" si="5909">_xlfn.NUMBERVALUE(MID(C2256,4,2))</f>
        <v>3</v>
      </c>
      <c r="F2256">
        <f t="shared" ref="F2256" si="5910">_xlfn.NUMBERVALUE(RIGHT(C2256,4))</f>
        <v>2024</v>
      </c>
      <c r="G2256" t="s">
        <v>7</v>
      </c>
      <c r="H2256">
        <v>-2</v>
      </c>
      <c r="I2256">
        <v>4</v>
      </c>
      <c r="K2256" t="s">
        <v>10</v>
      </c>
      <c r="L2256" s="8">
        <f t="shared" si="5874"/>
        <v>1</v>
      </c>
      <c r="M2256" t="s">
        <v>2483</v>
      </c>
    </row>
    <row r="2257" spans="1:13" x14ac:dyDescent="0.35">
      <c r="A2257">
        <f t="shared" si="5745"/>
        <v>2253</v>
      </c>
      <c r="B2257" s="9">
        <f t="shared" ref="B2257" si="5911">B2256+H2257+I2257+J2257</f>
        <v>78.13</v>
      </c>
      <c r="C2257" s="3" t="s">
        <v>2476</v>
      </c>
      <c r="D2257">
        <f t="shared" ref="D2257" si="5912">_xlfn.NUMBERVALUE(LEFT(C2257,2))</f>
        <v>1</v>
      </c>
      <c r="E2257">
        <f t="shared" ref="E2257" si="5913">_xlfn.NUMBERVALUE(MID(C2257,4,2))</f>
        <v>3</v>
      </c>
      <c r="F2257">
        <f t="shared" ref="F2257" si="5914">_xlfn.NUMBERVALUE(RIGHT(C2257,4))</f>
        <v>2024</v>
      </c>
      <c r="G2257" t="s">
        <v>7</v>
      </c>
      <c r="H2257">
        <v>-2</v>
      </c>
      <c r="K2257" t="s">
        <v>9</v>
      </c>
      <c r="L2257" s="8">
        <f t="shared" si="5874"/>
        <v>-1</v>
      </c>
      <c r="M2257" t="s">
        <v>2484</v>
      </c>
    </row>
    <row r="2258" spans="1:13" x14ac:dyDescent="0.35">
      <c r="A2258">
        <f t="shared" si="5745"/>
        <v>2254</v>
      </c>
      <c r="B2258" s="9">
        <f t="shared" ref="B2258" si="5915">B2257+H2258+I2258+J2258</f>
        <v>76.13</v>
      </c>
      <c r="C2258" s="3" t="s">
        <v>2476</v>
      </c>
      <c r="D2258">
        <f t="shared" ref="D2258" si="5916">_xlfn.NUMBERVALUE(LEFT(C2258,2))</f>
        <v>1</v>
      </c>
      <c r="E2258">
        <f t="shared" ref="E2258" si="5917">_xlfn.NUMBERVALUE(MID(C2258,4,2))</f>
        <v>3</v>
      </c>
      <c r="F2258">
        <f t="shared" ref="F2258" si="5918">_xlfn.NUMBERVALUE(RIGHT(C2258,4))</f>
        <v>2024</v>
      </c>
      <c r="G2258" t="s">
        <v>7</v>
      </c>
      <c r="H2258">
        <v>-2</v>
      </c>
      <c r="K2258" t="s">
        <v>9</v>
      </c>
      <c r="L2258" s="8">
        <f t="shared" si="5874"/>
        <v>-1</v>
      </c>
      <c r="M2258" t="s">
        <v>2485</v>
      </c>
    </row>
    <row r="2259" spans="1:13" x14ac:dyDescent="0.35">
      <c r="A2259">
        <f t="shared" si="5745"/>
        <v>2255</v>
      </c>
      <c r="B2259" s="9">
        <f t="shared" ref="B2259" si="5919">B2258+H2259+I2259+J2259</f>
        <v>74.13</v>
      </c>
      <c r="C2259" s="3" t="s">
        <v>2476</v>
      </c>
      <c r="D2259">
        <f t="shared" ref="D2259" si="5920">_xlfn.NUMBERVALUE(LEFT(C2259,2))</f>
        <v>1</v>
      </c>
      <c r="E2259">
        <f t="shared" ref="E2259" si="5921">_xlfn.NUMBERVALUE(MID(C2259,4,2))</f>
        <v>3</v>
      </c>
      <c r="F2259">
        <f t="shared" ref="F2259" si="5922">_xlfn.NUMBERVALUE(RIGHT(C2259,4))</f>
        <v>2024</v>
      </c>
      <c r="G2259" t="s">
        <v>7</v>
      </c>
      <c r="H2259">
        <v>-2</v>
      </c>
      <c r="K2259" t="s">
        <v>9</v>
      </c>
      <c r="L2259" s="8">
        <f t="shared" si="5874"/>
        <v>-1</v>
      </c>
      <c r="M2259" t="s">
        <v>2486</v>
      </c>
    </row>
    <row r="2260" spans="1:13" x14ac:dyDescent="0.35">
      <c r="A2260">
        <f t="shared" si="5745"/>
        <v>2256</v>
      </c>
      <c r="B2260" s="9">
        <f t="shared" ref="B2260" si="5923">B2259+H2260+I2260+J2260</f>
        <v>72.13</v>
      </c>
      <c r="C2260" s="3" t="s">
        <v>2476</v>
      </c>
      <c r="D2260">
        <f t="shared" ref="D2260" si="5924">_xlfn.NUMBERVALUE(LEFT(C2260,2))</f>
        <v>1</v>
      </c>
      <c r="E2260">
        <f t="shared" ref="E2260" si="5925">_xlfn.NUMBERVALUE(MID(C2260,4,2))</f>
        <v>3</v>
      </c>
      <c r="F2260">
        <f t="shared" ref="F2260" si="5926">_xlfn.NUMBERVALUE(RIGHT(C2260,4))</f>
        <v>2024</v>
      </c>
      <c r="G2260" t="s">
        <v>7</v>
      </c>
      <c r="H2260">
        <v>-2</v>
      </c>
      <c r="K2260" t="s">
        <v>9</v>
      </c>
      <c r="L2260" s="8">
        <f t="shared" si="5874"/>
        <v>-1</v>
      </c>
      <c r="M2260" t="s">
        <v>2487</v>
      </c>
    </row>
    <row r="2261" spans="1:13" x14ac:dyDescent="0.35">
      <c r="A2261">
        <f t="shared" si="5745"/>
        <v>2257</v>
      </c>
      <c r="B2261" s="9">
        <f t="shared" ref="B2261" si="5927">B2260+H2261+I2261+J2261</f>
        <v>70.13</v>
      </c>
      <c r="C2261" s="3" t="s">
        <v>2490</v>
      </c>
      <c r="D2261">
        <f t="shared" ref="D2261" si="5928">_xlfn.NUMBERVALUE(LEFT(C2261,2))</f>
        <v>2</v>
      </c>
      <c r="E2261">
        <f t="shared" ref="E2261" si="5929">_xlfn.NUMBERVALUE(MID(C2261,4,2))</f>
        <v>3</v>
      </c>
      <c r="F2261">
        <f t="shared" ref="F2261" si="5930">_xlfn.NUMBERVALUE(RIGHT(C2261,4))</f>
        <v>2024</v>
      </c>
      <c r="G2261" t="s">
        <v>7</v>
      </c>
      <c r="H2261">
        <v>-2</v>
      </c>
      <c r="K2261" t="s">
        <v>9</v>
      </c>
      <c r="L2261" s="8">
        <f t="shared" si="5874"/>
        <v>-1</v>
      </c>
      <c r="M2261" t="s">
        <v>2488</v>
      </c>
    </row>
    <row r="2262" spans="1:13" x14ac:dyDescent="0.35">
      <c r="A2262">
        <f t="shared" si="5745"/>
        <v>2258</v>
      </c>
      <c r="B2262" s="9">
        <f t="shared" ref="B2262" si="5931">B2261+H2262+I2262+J2262</f>
        <v>72.13</v>
      </c>
      <c r="C2262" s="3" t="s">
        <v>2490</v>
      </c>
      <c r="D2262">
        <f t="shared" ref="D2262" si="5932">_xlfn.NUMBERVALUE(LEFT(C2262,2))</f>
        <v>2</v>
      </c>
      <c r="E2262">
        <f t="shared" ref="E2262" si="5933">_xlfn.NUMBERVALUE(MID(C2262,4,2))</f>
        <v>3</v>
      </c>
      <c r="F2262">
        <f t="shared" ref="F2262" si="5934">_xlfn.NUMBERVALUE(RIGHT(C2262,4))</f>
        <v>2024</v>
      </c>
      <c r="G2262" t="s">
        <v>7</v>
      </c>
      <c r="H2262">
        <v>-2</v>
      </c>
      <c r="I2262">
        <v>4</v>
      </c>
      <c r="K2262" t="s">
        <v>10</v>
      </c>
      <c r="L2262" s="8">
        <f t="shared" si="5874"/>
        <v>1</v>
      </c>
      <c r="M2262" t="s">
        <v>2489</v>
      </c>
    </row>
    <row r="2263" spans="1:13" x14ac:dyDescent="0.35">
      <c r="A2263">
        <f t="shared" si="5745"/>
        <v>2259</v>
      </c>
      <c r="B2263" s="9">
        <f t="shared" ref="B2263" si="5935">B2262+H2263+I2263+J2263</f>
        <v>74.13</v>
      </c>
      <c r="C2263" s="3" t="s">
        <v>2490</v>
      </c>
      <c r="D2263">
        <f t="shared" ref="D2263" si="5936">_xlfn.NUMBERVALUE(LEFT(C2263,2))</f>
        <v>2</v>
      </c>
      <c r="E2263">
        <f t="shared" ref="E2263" si="5937">_xlfn.NUMBERVALUE(MID(C2263,4,2))</f>
        <v>3</v>
      </c>
      <c r="F2263">
        <f t="shared" ref="F2263" si="5938">_xlfn.NUMBERVALUE(RIGHT(C2263,4))</f>
        <v>2024</v>
      </c>
      <c r="G2263" t="s">
        <v>7</v>
      </c>
      <c r="H2263">
        <v>-2</v>
      </c>
      <c r="I2263">
        <v>4</v>
      </c>
      <c r="K2263" t="s">
        <v>10</v>
      </c>
      <c r="L2263" s="8">
        <f t="shared" si="5874"/>
        <v>1</v>
      </c>
      <c r="M2263" t="s">
        <v>2491</v>
      </c>
    </row>
    <row r="2264" spans="1:13" x14ac:dyDescent="0.35">
      <c r="A2264">
        <f t="shared" si="5745"/>
        <v>2260</v>
      </c>
      <c r="B2264" s="9">
        <f t="shared" ref="B2264" si="5939">B2263+H2264+I2264+J2264</f>
        <v>72.13</v>
      </c>
      <c r="C2264" s="3" t="s">
        <v>2490</v>
      </c>
      <c r="D2264">
        <f t="shared" ref="D2264" si="5940">_xlfn.NUMBERVALUE(LEFT(C2264,2))</f>
        <v>2</v>
      </c>
      <c r="E2264">
        <f t="shared" ref="E2264" si="5941">_xlfn.NUMBERVALUE(MID(C2264,4,2))</f>
        <v>3</v>
      </c>
      <c r="F2264">
        <f t="shared" ref="F2264" si="5942">_xlfn.NUMBERVALUE(RIGHT(C2264,4))</f>
        <v>2024</v>
      </c>
      <c r="G2264" t="s">
        <v>7</v>
      </c>
      <c r="H2264">
        <v>-2</v>
      </c>
      <c r="K2264" t="s">
        <v>9</v>
      </c>
      <c r="L2264" s="8">
        <f t="shared" si="5874"/>
        <v>-1</v>
      </c>
      <c r="M2264" t="s">
        <v>2492</v>
      </c>
    </row>
    <row r="2265" spans="1:13" x14ac:dyDescent="0.35">
      <c r="A2265">
        <f t="shared" si="5745"/>
        <v>2261</v>
      </c>
      <c r="B2265" s="9">
        <f t="shared" ref="B2265" si="5943">B2264+H2265+I2265+J2265</f>
        <v>74.13</v>
      </c>
      <c r="C2265" s="3" t="s">
        <v>2490</v>
      </c>
      <c r="D2265">
        <f t="shared" ref="D2265" si="5944">_xlfn.NUMBERVALUE(LEFT(C2265,2))</f>
        <v>2</v>
      </c>
      <c r="E2265">
        <f t="shared" ref="E2265" si="5945">_xlfn.NUMBERVALUE(MID(C2265,4,2))</f>
        <v>3</v>
      </c>
      <c r="F2265">
        <f t="shared" ref="F2265" si="5946">_xlfn.NUMBERVALUE(RIGHT(C2265,4))</f>
        <v>2024</v>
      </c>
      <c r="G2265" t="s">
        <v>7</v>
      </c>
      <c r="H2265">
        <v>-2</v>
      </c>
      <c r="I2265">
        <v>4</v>
      </c>
      <c r="K2265" t="s">
        <v>10</v>
      </c>
      <c r="L2265" s="8">
        <f t="shared" si="5874"/>
        <v>1</v>
      </c>
      <c r="M2265" t="s">
        <v>2493</v>
      </c>
    </row>
    <row r="2266" spans="1:13" x14ac:dyDescent="0.35">
      <c r="A2266">
        <f t="shared" si="5745"/>
        <v>2262</v>
      </c>
      <c r="B2266" s="9">
        <f t="shared" ref="B2266" si="5947">B2265+H2266+I2266+J2266</f>
        <v>76.13</v>
      </c>
      <c r="C2266" s="3" t="s">
        <v>2490</v>
      </c>
      <c r="D2266">
        <f t="shared" ref="D2266" si="5948">_xlfn.NUMBERVALUE(LEFT(C2266,2))</f>
        <v>2</v>
      </c>
      <c r="E2266">
        <f t="shared" ref="E2266" si="5949">_xlfn.NUMBERVALUE(MID(C2266,4,2))</f>
        <v>3</v>
      </c>
      <c r="F2266">
        <f t="shared" ref="F2266" si="5950">_xlfn.NUMBERVALUE(RIGHT(C2266,4))</f>
        <v>2024</v>
      </c>
      <c r="G2266" t="s">
        <v>7</v>
      </c>
      <c r="H2266">
        <v>-2</v>
      </c>
      <c r="I2266">
        <v>4</v>
      </c>
      <c r="K2266" t="s">
        <v>10</v>
      </c>
      <c r="L2266" s="8">
        <f t="shared" si="5874"/>
        <v>1</v>
      </c>
      <c r="M2266" t="s">
        <v>2494</v>
      </c>
    </row>
    <row r="2267" spans="1:13" x14ac:dyDescent="0.35">
      <c r="A2267">
        <f t="shared" si="5745"/>
        <v>2263</v>
      </c>
      <c r="B2267" s="9">
        <f t="shared" ref="B2267" si="5951">B2266+H2267+I2267+J2267</f>
        <v>80.13</v>
      </c>
      <c r="C2267" s="3" t="s">
        <v>2490</v>
      </c>
      <c r="D2267">
        <f t="shared" ref="D2267" si="5952">_xlfn.NUMBERVALUE(LEFT(C2267,2))</f>
        <v>2</v>
      </c>
      <c r="E2267">
        <f t="shared" ref="E2267" si="5953">_xlfn.NUMBERVALUE(MID(C2267,4,2))</f>
        <v>3</v>
      </c>
      <c r="F2267">
        <f t="shared" ref="F2267" si="5954">_xlfn.NUMBERVALUE(RIGHT(C2267,4))</f>
        <v>2024</v>
      </c>
      <c r="G2267" t="s">
        <v>7</v>
      </c>
      <c r="H2267">
        <v>-2</v>
      </c>
      <c r="I2267">
        <v>6</v>
      </c>
      <c r="K2267" t="s">
        <v>10</v>
      </c>
      <c r="L2267" s="8">
        <f t="shared" si="5874"/>
        <v>2</v>
      </c>
      <c r="M2267" t="s">
        <v>2495</v>
      </c>
    </row>
    <row r="2268" spans="1:13" x14ac:dyDescent="0.35">
      <c r="A2268">
        <f t="shared" si="5745"/>
        <v>2264</v>
      </c>
      <c r="B2268" s="9">
        <f t="shared" ref="B2268" si="5955">B2267+H2268+I2268+J2268</f>
        <v>78.13</v>
      </c>
      <c r="C2268" s="3" t="s">
        <v>2490</v>
      </c>
      <c r="D2268">
        <f t="shared" ref="D2268" si="5956">_xlfn.NUMBERVALUE(LEFT(C2268,2))</f>
        <v>2</v>
      </c>
      <c r="E2268">
        <f t="shared" ref="E2268" si="5957">_xlfn.NUMBERVALUE(MID(C2268,4,2))</f>
        <v>3</v>
      </c>
      <c r="F2268">
        <f t="shared" ref="F2268" si="5958">_xlfn.NUMBERVALUE(RIGHT(C2268,4))</f>
        <v>2024</v>
      </c>
      <c r="G2268" t="s">
        <v>7</v>
      </c>
      <c r="H2268">
        <v>-2</v>
      </c>
      <c r="K2268" t="s">
        <v>9</v>
      </c>
      <c r="L2268" s="8">
        <f t="shared" si="5874"/>
        <v>-1</v>
      </c>
      <c r="M2268" t="s">
        <v>2496</v>
      </c>
    </row>
    <row r="2269" spans="1:13" x14ac:dyDescent="0.35">
      <c r="A2269">
        <f t="shared" si="5745"/>
        <v>2265</v>
      </c>
      <c r="B2269" s="9">
        <f t="shared" ref="B2269" si="5959">B2268+H2269+I2269+J2269</f>
        <v>80.13</v>
      </c>
      <c r="C2269" s="3" t="s">
        <v>2490</v>
      </c>
      <c r="D2269">
        <f t="shared" ref="D2269" si="5960">_xlfn.NUMBERVALUE(LEFT(C2269,2))</f>
        <v>2</v>
      </c>
      <c r="E2269">
        <f t="shared" ref="E2269" si="5961">_xlfn.NUMBERVALUE(MID(C2269,4,2))</f>
        <v>3</v>
      </c>
      <c r="F2269">
        <f t="shared" ref="F2269" si="5962">_xlfn.NUMBERVALUE(RIGHT(C2269,4))</f>
        <v>2024</v>
      </c>
      <c r="G2269" t="s">
        <v>7</v>
      </c>
      <c r="H2269">
        <v>-2</v>
      </c>
      <c r="I2269">
        <v>4</v>
      </c>
      <c r="K2269" t="s">
        <v>10</v>
      </c>
      <c r="L2269" s="8">
        <f t="shared" si="5874"/>
        <v>1</v>
      </c>
      <c r="M2269" t="s">
        <v>2497</v>
      </c>
    </row>
    <row r="2270" spans="1:13" x14ac:dyDescent="0.35">
      <c r="A2270">
        <f t="shared" si="5745"/>
        <v>2266</v>
      </c>
      <c r="B2270" s="9">
        <f t="shared" ref="B2270" si="5963">B2269+H2270+I2270+J2270</f>
        <v>78.13</v>
      </c>
      <c r="C2270" s="3" t="s">
        <v>2498</v>
      </c>
      <c r="D2270">
        <f t="shared" ref="D2270" si="5964">_xlfn.NUMBERVALUE(LEFT(C2270,2))</f>
        <v>4</v>
      </c>
      <c r="E2270">
        <f t="shared" ref="E2270" si="5965">_xlfn.NUMBERVALUE(MID(C2270,4,2))</f>
        <v>3</v>
      </c>
      <c r="F2270">
        <f t="shared" ref="F2270" si="5966">_xlfn.NUMBERVALUE(RIGHT(C2270,4))</f>
        <v>2024</v>
      </c>
      <c r="G2270" t="s">
        <v>7</v>
      </c>
      <c r="H2270">
        <v>-2</v>
      </c>
      <c r="K2270" t="s">
        <v>9</v>
      </c>
      <c r="L2270" s="8">
        <f t="shared" si="5874"/>
        <v>-1</v>
      </c>
      <c r="M2270" t="s">
        <v>2499</v>
      </c>
    </row>
    <row r="2271" spans="1:13" x14ac:dyDescent="0.35">
      <c r="A2271">
        <f t="shared" si="5745"/>
        <v>2267</v>
      </c>
      <c r="B2271" s="9">
        <f t="shared" ref="B2271" si="5967">B2270+H2271+I2271+J2271</f>
        <v>82.13</v>
      </c>
      <c r="C2271" s="3" t="s">
        <v>2498</v>
      </c>
      <c r="D2271">
        <f t="shared" ref="D2271" si="5968">_xlfn.NUMBERVALUE(LEFT(C2271,2))</f>
        <v>4</v>
      </c>
      <c r="E2271">
        <f t="shared" ref="E2271" si="5969">_xlfn.NUMBERVALUE(MID(C2271,4,2))</f>
        <v>3</v>
      </c>
      <c r="F2271">
        <f t="shared" ref="F2271" si="5970">_xlfn.NUMBERVALUE(RIGHT(C2271,4))</f>
        <v>2024</v>
      </c>
      <c r="G2271" t="s">
        <v>7</v>
      </c>
      <c r="H2271">
        <v>-2</v>
      </c>
      <c r="I2271">
        <v>6</v>
      </c>
      <c r="K2271" t="s">
        <v>10</v>
      </c>
      <c r="L2271" s="8">
        <f t="shared" si="5874"/>
        <v>2</v>
      </c>
      <c r="M2271" t="s">
        <v>2500</v>
      </c>
    </row>
    <row r="2272" spans="1:13" x14ac:dyDescent="0.35">
      <c r="A2272">
        <f t="shared" si="5745"/>
        <v>2268</v>
      </c>
      <c r="B2272" s="9">
        <f t="shared" ref="B2272" si="5971">B2271+H2272+I2272+J2272</f>
        <v>80.13</v>
      </c>
      <c r="C2272" s="3" t="s">
        <v>2498</v>
      </c>
      <c r="D2272">
        <f t="shared" ref="D2272" si="5972">_xlfn.NUMBERVALUE(LEFT(C2272,2))</f>
        <v>4</v>
      </c>
      <c r="E2272">
        <f t="shared" ref="E2272" si="5973">_xlfn.NUMBERVALUE(MID(C2272,4,2))</f>
        <v>3</v>
      </c>
      <c r="F2272">
        <f t="shared" ref="F2272" si="5974">_xlfn.NUMBERVALUE(RIGHT(C2272,4))</f>
        <v>2024</v>
      </c>
      <c r="G2272" t="s">
        <v>7</v>
      </c>
      <c r="H2272">
        <v>-2</v>
      </c>
      <c r="K2272" t="s">
        <v>9</v>
      </c>
      <c r="L2272" s="8">
        <f t="shared" si="5874"/>
        <v>-1</v>
      </c>
      <c r="M2272" t="s">
        <v>2501</v>
      </c>
    </row>
    <row r="2273" spans="1:13" x14ac:dyDescent="0.35">
      <c r="A2273">
        <f t="shared" si="5745"/>
        <v>2269</v>
      </c>
      <c r="B2273" s="9">
        <f t="shared" ref="B2273" si="5975">B2272+H2273+I2273+J2273</f>
        <v>82.13</v>
      </c>
      <c r="C2273" s="3" t="s">
        <v>2498</v>
      </c>
      <c r="D2273">
        <f t="shared" ref="D2273" si="5976">_xlfn.NUMBERVALUE(LEFT(C2273,2))</f>
        <v>4</v>
      </c>
      <c r="E2273">
        <f t="shared" ref="E2273" si="5977">_xlfn.NUMBERVALUE(MID(C2273,4,2))</f>
        <v>3</v>
      </c>
      <c r="F2273">
        <f t="shared" ref="F2273" si="5978">_xlfn.NUMBERVALUE(RIGHT(C2273,4))</f>
        <v>2024</v>
      </c>
      <c r="G2273" t="s">
        <v>7</v>
      </c>
      <c r="H2273">
        <v>-2</v>
      </c>
      <c r="I2273">
        <v>4</v>
      </c>
      <c r="K2273" t="s">
        <v>10</v>
      </c>
      <c r="L2273" s="8">
        <f t="shared" si="5874"/>
        <v>1</v>
      </c>
      <c r="M2273" t="s">
        <v>2502</v>
      </c>
    </row>
    <row r="2274" spans="1:13" x14ac:dyDescent="0.35">
      <c r="A2274">
        <f t="shared" si="5745"/>
        <v>2270</v>
      </c>
      <c r="B2274" s="9">
        <f t="shared" ref="B2274" si="5979">B2273+H2274+I2274+J2274</f>
        <v>80.13</v>
      </c>
      <c r="C2274" s="3" t="s">
        <v>2498</v>
      </c>
      <c r="D2274">
        <f t="shared" ref="D2274" si="5980">_xlfn.NUMBERVALUE(LEFT(C2274,2))</f>
        <v>4</v>
      </c>
      <c r="E2274">
        <f t="shared" ref="E2274" si="5981">_xlfn.NUMBERVALUE(MID(C2274,4,2))</f>
        <v>3</v>
      </c>
      <c r="F2274">
        <f t="shared" ref="F2274" si="5982">_xlfn.NUMBERVALUE(RIGHT(C2274,4))</f>
        <v>2024</v>
      </c>
      <c r="G2274" t="s">
        <v>7</v>
      </c>
      <c r="H2274">
        <v>-2</v>
      </c>
      <c r="K2274" t="s">
        <v>9</v>
      </c>
      <c r="L2274" s="8">
        <f t="shared" si="5874"/>
        <v>-1</v>
      </c>
      <c r="M2274" t="s">
        <v>2503</v>
      </c>
    </row>
    <row r="2275" spans="1:13" x14ac:dyDescent="0.35">
      <c r="A2275">
        <f t="shared" si="5745"/>
        <v>2271</v>
      </c>
      <c r="B2275" s="9">
        <f t="shared" ref="B2275" si="5983">B2274+H2275+I2275+J2275</f>
        <v>78.13</v>
      </c>
      <c r="C2275" s="3" t="s">
        <v>2498</v>
      </c>
      <c r="D2275">
        <f t="shared" ref="D2275" si="5984">_xlfn.NUMBERVALUE(LEFT(C2275,2))</f>
        <v>4</v>
      </c>
      <c r="E2275">
        <f t="shared" ref="E2275" si="5985">_xlfn.NUMBERVALUE(MID(C2275,4,2))</f>
        <v>3</v>
      </c>
      <c r="F2275">
        <f t="shared" ref="F2275" si="5986">_xlfn.NUMBERVALUE(RIGHT(C2275,4))</f>
        <v>2024</v>
      </c>
      <c r="G2275" t="s">
        <v>7</v>
      </c>
      <c r="H2275">
        <v>-2</v>
      </c>
      <c r="K2275" t="s">
        <v>9</v>
      </c>
      <c r="L2275" s="8">
        <f t="shared" si="5874"/>
        <v>-1</v>
      </c>
      <c r="M2275" t="s">
        <v>2504</v>
      </c>
    </row>
    <row r="2276" spans="1:13" x14ac:dyDescent="0.35">
      <c r="A2276">
        <f t="shared" si="5745"/>
        <v>2272</v>
      </c>
      <c r="B2276" s="9">
        <f t="shared" ref="B2276" si="5987">B2275+H2276+I2276+J2276</f>
        <v>76.13</v>
      </c>
      <c r="C2276" s="3" t="s">
        <v>2498</v>
      </c>
      <c r="D2276">
        <f t="shared" ref="D2276" si="5988">_xlfn.NUMBERVALUE(LEFT(C2276,2))</f>
        <v>4</v>
      </c>
      <c r="E2276">
        <f t="shared" ref="E2276" si="5989">_xlfn.NUMBERVALUE(MID(C2276,4,2))</f>
        <v>3</v>
      </c>
      <c r="F2276">
        <f t="shared" ref="F2276" si="5990">_xlfn.NUMBERVALUE(RIGHT(C2276,4))</f>
        <v>2024</v>
      </c>
      <c r="G2276" t="s">
        <v>7</v>
      </c>
      <c r="H2276">
        <v>-2</v>
      </c>
      <c r="K2276" t="s">
        <v>9</v>
      </c>
      <c r="L2276" s="8">
        <f t="shared" si="5874"/>
        <v>-1</v>
      </c>
      <c r="M2276" t="s">
        <v>2505</v>
      </c>
    </row>
    <row r="2277" spans="1:13" x14ac:dyDescent="0.35">
      <c r="A2277">
        <f t="shared" si="5745"/>
        <v>2273</v>
      </c>
      <c r="B2277" s="9">
        <f t="shared" ref="B2277" si="5991">B2276+H2277+I2277+J2277</f>
        <v>74.13</v>
      </c>
      <c r="C2277" s="3" t="s">
        <v>2620</v>
      </c>
      <c r="D2277">
        <f t="shared" ref="D2277" si="5992">_xlfn.NUMBERVALUE(LEFT(C2277,2))</f>
        <v>5</v>
      </c>
      <c r="E2277">
        <f t="shared" ref="E2277" si="5993">_xlfn.NUMBERVALUE(MID(C2277,4,2))</f>
        <v>3</v>
      </c>
      <c r="F2277">
        <f t="shared" ref="F2277" si="5994">_xlfn.NUMBERVALUE(RIGHT(C2277,4))</f>
        <v>2024</v>
      </c>
      <c r="G2277" t="s">
        <v>7</v>
      </c>
      <c r="H2277">
        <v>-2</v>
      </c>
      <c r="K2277" t="s">
        <v>9</v>
      </c>
      <c r="L2277" s="8">
        <f t="shared" si="5874"/>
        <v>-1</v>
      </c>
      <c r="M2277" t="s">
        <v>2506</v>
      </c>
    </row>
    <row r="2278" spans="1:13" x14ac:dyDescent="0.35">
      <c r="A2278">
        <f t="shared" si="5745"/>
        <v>2274</v>
      </c>
      <c r="B2278" s="9">
        <f t="shared" ref="B2278" si="5995">B2277+H2278+I2278+J2278</f>
        <v>72.13</v>
      </c>
      <c r="C2278" s="3" t="s">
        <v>2507</v>
      </c>
      <c r="D2278">
        <f t="shared" ref="D2278" si="5996">_xlfn.NUMBERVALUE(LEFT(C2278,2))</f>
        <v>6</v>
      </c>
      <c r="E2278">
        <f t="shared" ref="E2278" si="5997">_xlfn.NUMBERVALUE(MID(C2278,4,2))</f>
        <v>3</v>
      </c>
      <c r="F2278">
        <f t="shared" ref="F2278" si="5998">_xlfn.NUMBERVALUE(RIGHT(C2278,4))</f>
        <v>2024</v>
      </c>
      <c r="G2278" t="s">
        <v>7</v>
      </c>
      <c r="H2278">
        <v>-2</v>
      </c>
      <c r="K2278" t="s">
        <v>9</v>
      </c>
      <c r="L2278" s="8">
        <f t="shared" si="5874"/>
        <v>-1</v>
      </c>
      <c r="M2278" t="s">
        <v>2508</v>
      </c>
    </row>
    <row r="2279" spans="1:13" x14ac:dyDescent="0.35">
      <c r="A2279">
        <f t="shared" si="5745"/>
        <v>2275</v>
      </c>
      <c r="B2279" s="9">
        <f t="shared" ref="B2279" si="5999">B2278+H2279+I2279+J2279</f>
        <v>70.13</v>
      </c>
      <c r="C2279" s="3" t="s">
        <v>2507</v>
      </c>
      <c r="D2279">
        <f t="shared" ref="D2279" si="6000">_xlfn.NUMBERVALUE(LEFT(C2279,2))</f>
        <v>6</v>
      </c>
      <c r="E2279">
        <f t="shared" ref="E2279" si="6001">_xlfn.NUMBERVALUE(MID(C2279,4,2))</f>
        <v>3</v>
      </c>
      <c r="F2279">
        <f t="shared" ref="F2279" si="6002">_xlfn.NUMBERVALUE(RIGHT(C2279,4))</f>
        <v>2024</v>
      </c>
      <c r="G2279" t="s">
        <v>7</v>
      </c>
      <c r="H2279">
        <v>-2</v>
      </c>
      <c r="K2279" t="s">
        <v>9</v>
      </c>
      <c r="L2279" s="8">
        <f t="shared" si="5874"/>
        <v>-1</v>
      </c>
      <c r="M2279" t="s">
        <v>2509</v>
      </c>
    </row>
    <row r="2280" spans="1:13" x14ac:dyDescent="0.35">
      <c r="A2280">
        <f t="shared" si="5745"/>
        <v>2276</v>
      </c>
      <c r="B2280" s="9">
        <f t="shared" ref="B2280" si="6003">B2279+H2280+I2280+J2280</f>
        <v>68.13</v>
      </c>
      <c r="C2280" s="3" t="s">
        <v>2507</v>
      </c>
      <c r="D2280">
        <f t="shared" ref="D2280" si="6004">_xlfn.NUMBERVALUE(LEFT(C2280,2))</f>
        <v>6</v>
      </c>
      <c r="E2280">
        <f t="shared" ref="E2280" si="6005">_xlfn.NUMBERVALUE(MID(C2280,4,2))</f>
        <v>3</v>
      </c>
      <c r="F2280">
        <f t="shared" ref="F2280" si="6006">_xlfn.NUMBERVALUE(RIGHT(C2280,4))</f>
        <v>2024</v>
      </c>
      <c r="G2280" t="s">
        <v>7</v>
      </c>
      <c r="H2280">
        <v>-2</v>
      </c>
      <c r="K2280" t="s">
        <v>9</v>
      </c>
      <c r="L2280" s="8">
        <f t="shared" si="5874"/>
        <v>-1</v>
      </c>
      <c r="M2280" t="s">
        <v>2510</v>
      </c>
    </row>
    <row r="2281" spans="1:13" x14ac:dyDescent="0.35">
      <c r="A2281">
        <f t="shared" si="5745"/>
        <v>2277</v>
      </c>
      <c r="B2281" s="9">
        <f t="shared" ref="B2281" si="6007">B2280+H2281+I2281+J2281</f>
        <v>66.13</v>
      </c>
      <c r="C2281" s="3" t="s">
        <v>2507</v>
      </c>
      <c r="D2281">
        <f t="shared" ref="D2281" si="6008">_xlfn.NUMBERVALUE(LEFT(C2281,2))</f>
        <v>6</v>
      </c>
      <c r="E2281">
        <f t="shared" ref="E2281" si="6009">_xlfn.NUMBERVALUE(MID(C2281,4,2))</f>
        <v>3</v>
      </c>
      <c r="F2281">
        <f t="shared" ref="F2281" si="6010">_xlfn.NUMBERVALUE(RIGHT(C2281,4))</f>
        <v>2024</v>
      </c>
      <c r="G2281" t="s">
        <v>7</v>
      </c>
      <c r="H2281">
        <v>-2</v>
      </c>
      <c r="K2281" t="s">
        <v>9</v>
      </c>
      <c r="L2281" s="8">
        <f t="shared" si="5874"/>
        <v>-1</v>
      </c>
      <c r="M2281" t="s">
        <v>2511</v>
      </c>
    </row>
    <row r="2282" spans="1:13" x14ac:dyDescent="0.35">
      <c r="A2282">
        <f t="shared" si="5745"/>
        <v>2278</v>
      </c>
      <c r="B2282" s="9">
        <f t="shared" ref="B2282" si="6011">B2281+H2282+I2282+J2282</f>
        <v>70.13</v>
      </c>
      <c r="C2282" s="3" t="s">
        <v>2507</v>
      </c>
      <c r="D2282">
        <f t="shared" ref="D2282" si="6012">_xlfn.NUMBERVALUE(LEFT(C2282,2))</f>
        <v>6</v>
      </c>
      <c r="E2282">
        <f t="shared" ref="E2282" si="6013">_xlfn.NUMBERVALUE(MID(C2282,4,2))</f>
        <v>3</v>
      </c>
      <c r="F2282">
        <f t="shared" ref="F2282" si="6014">_xlfn.NUMBERVALUE(RIGHT(C2282,4))</f>
        <v>2024</v>
      </c>
      <c r="G2282" t="s">
        <v>7</v>
      </c>
      <c r="H2282">
        <v>-2</v>
      </c>
      <c r="I2282">
        <v>6</v>
      </c>
      <c r="K2282" t="s">
        <v>10</v>
      </c>
      <c r="L2282" s="8">
        <f t="shared" si="5874"/>
        <v>2</v>
      </c>
      <c r="M2282" t="s">
        <v>2512</v>
      </c>
    </row>
    <row r="2283" spans="1:13" x14ac:dyDescent="0.35">
      <c r="A2283">
        <f t="shared" si="5745"/>
        <v>2279</v>
      </c>
      <c r="B2283" s="9">
        <f t="shared" ref="B2283" si="6015">B2282+H2283+I2283+J2283</f>
        <v>68.13</v>
      </c>
      <c r="C2283" s="3" t="s">
        <v>2513</v>
      </c>
      <c r="D2283">
        <f t="shared" ref="D2283" si="6016">_xlfn.NUMBERVALUE(LEFT(C2283,2))</f>
        <v>7</v>
      </c>
      <c r="E2283">
        <f t="shared" ref="E2283" si="6017">_xlfn.NUMBERVALUE(MID(C2283,4,2))</f>
        <v>3</v>
      </c>
      <c r="F2283">
        <f t="shared" ref="F2283" si="6018">_xlfn.NUMBERVALUE(RIGHT(C2283,4))</f>
        <v>2024</v>
      </c>
      <c r="G2283" t="s">
        <v>7</v>
      </c>
      <c r="H2283">
        <v>-2</v>
      </c>
      <c r="K2283" t="s">
        <v>9</v>
      </c>
      <c r="L2283" s="8">
        <f t="shared" si="5874"/>
        <v>-1</v>
      </c>
      <c r="M2283" t="s">
        <v>2514</v>
      </c>
    </row>
    <row r="2284" spans="1:13" x14ac:dyDescent="0.35">
      <c r="A2284">
        <f t="shared" si="5745"/>
        <v>2280</v>
      </c>
      <c r="B2284" s="9">
        <f t="shared" ref="B2284" si="6019">B2283+H2284+I2284+J2284</f>
        <v>66.13</v>
      </c>
      <c r="C2284" s="3" t="s">
        <v>2513</v>
      </c>
      <c r="D2284">
        <f t="shared" ref="D2284" si="6020">_xlfn.NUMBERVALUE(LEFT(C2284,2))</f>
        <v>7</v>
      </c>
      <c r="E2284">
        <f t="shared" ref="E2284" si="6021">_xlfn.NUMBERVALUE(MID(C2284,4,2))</f>
        <v>3</v>
      </c>
      <c r="F2284">
        <f t="shared" ref="F2284" si="6022">_xlfn.NUMBERVALUE(RIGHT(C2284,4))</f>
        <v>2024</v>
      </c>
      <c r="G2284" t="s">
        <v>7</v>
      </c>
      <c r="H2284">
        <v>-2</v>
      </c>
      <c r="K2284" t="s">
        <v>9</v>
      </c>
      <c r="L2284" s="8">
        <f t="shared" si="5874"/>
        <v>-1</v>
      </c>
      <c r="M2284" t="s">
        <v>2515</v>
      </c>
    </row>
    <row r="2285" spans="1:13" x14ac:dyDescent="0.35">
      <c r="A2285">
        <f t="shared" si="5745"/>
        <v>2281</v>
      </c>
      <c r="B2285" s="9">
        <f t="shared" ref="B2285" si="6023">B2284+H2285+I2285+J2285</f>
        <v>64.13</v>
      </c>
      <c r="C2285" s="3" t="s">
        <v>2513</v>
      </c>
      <c r="D2285">
        <f t="shared" ref="D2285" si="6024">_xlfn.NUMBERVALUE(LEFT(C2285,2))</f>
        <v>7</v>
      </c>
      <c r="E2285">
        <f t="shared" ref="E2285" si="6025">_xlfn.NUMBERVALUE(MID(C2285,4,2))</f>
        <v>3</v>
      </c>
      <c r="F2285">
        <f t="shared" ref="F2285" si="6026">_xlfn.NUMBERVALUE(RIGHT(C2285,4))</f>
        <v>2024</v>
      </c>
      <c r="G2285" t="s">
        <v>7</v>
      </c>
      <c r="H2285">
        <v>-2</v>
      </c>
      <c r="K2285" t="s">
        <v>9</v>
      </c>
      <c r="L2285" s="8">
        <f t="shared" si="5874"/>
        <v>-1</v>
      </c>
      <c r="M2285" t="s">
        <v>2516</v>
      </c>
    </row>
    <row r="2286" spans="1:13" x14ac:dyDescent="0.35">
      <c r="A2286">
        <f t="shared" si="5745"/>
        <v>2282</v>
      </c>
      <c r="B2286" s="9">
        <f t="shared" ref="B2286" si="6027">B2285+H2286+I2286+J2286</f>
        <v>62.129999999999995</v>
      </c>
      <c r="C2286" s="3" t="s">
        <v>2513</v>
      </c>
      <c r="D2286">
        <f t="shared" ref="D2286" si="6028">_xlfn.NUMBERVALUE(LEFT(C2286,2))</f>
        <v>7</v>
      </c>
      <c r="E2286">
        <f t="shared" ref="E2286" si="6029">_xlfn.NUMBERVALUE(MID(C2286,4,2))</f>
        <v>3</v>
      </c>
      <c r="F2286">
        <f t="shared" ref="F2286" si="6030">_xlfn.NUMBERVALUE(RIGHT(C2286,4))</f>
        <v>2024</v>
      </c>
      <c r="G2286" t="s">
        <v>7</v>
      </c>
      <c r="H2286">
        <v>-2</v>
      </c>
      <c r="K2286" t="s">
        <v>9</v>
      </c>
      <c r="L2286" s="8">
        <f t="shared" si="5874"/>
        <v>-1</v>
      </c>
      <c r="M2286" t="s">
        <v>2517</v>
      </c>
    </row>
    <row r="2287" spans="1:13" x14ac:dyDescent="0.35">
      <c r="A2287">
        <f t="shared" si="5745"/>
        <v>2283</v>
      </c>
      <c r="B2287" s="9">
        <f t="shared" ref="B2287" si="6031">B2286+H2287+I2287+J2287</f>
        <v>60.129999999999995</v>
      </c>
      <c r="C2287" s="3" t="s">
        <v>2513</v>
      </c>
      <c r="D2287">
        <f t="shared" ref="D2287" si="6032">_xlfn.NUMBERVALUE(LEFT(C2287,2))</f>
        <v>7</v>
      </c>
      <c r="E2287">
        <f t="shared" ref="E2287" si="6033">_xlfn.NUMBERVALUE(MID(C2287,4,2))</f>
        <v>3</v>
      </c>
      <c r="F2287">
        <f t="shared" ref="F2287" si="6034">_xlfn.NUMBERVALUE(RIGHT(C2287,4))</f>
        <v>2024</v>
      </c>
      <c r="G2287" t="s">
        <v>7</v>
      </c>
      <c r="H2287">
        <v>-2</v>
      </c>
      <c r="K2287" t="s">
        <v>9</v>
      </c>
      <c r="L2287" s="8">
        <f t="shared" si="5874"/>
        <v>-1</v>
      </c>
      <c r="M2287" t="s">
        <v>2518</v>
      </c>
    </row>
    <row r="2288" spans="1:13" x14ac:dyDescent="0.35">
      <c r="A2288">
        <f t="shared" si="5745"/>
        <v>2284</v>
      </c>
      <c r="B2288" s="9">
        <f t="shared" ref="B2288" si="6035">B2287+H2288+I2288+J2288</f>
        <v>58.129999999999995</v>
      </c>
      <c r="C2288" s="3" t="s">
        <v>2513</v>
      </c>
      <c r="D2288">
        <f t="shared" ref="D2288" si="6036">_xlfn.NUMBERVALUE(LEFT(C2288,2))</f>
        <v>7</v>
      </c>
      <c r="E2288">
        <f t="shared" ref="E2288" si="6037">_xlfn.NUMBERVALUE(MID(C2288,4,2))</f>
        <v>3</v>
      </c>
      <c r="F2288">
        <f t="shared" ref="F2288" si="6038">_xlfn.NUMBERVALUE(RIGHT(C2288,4))</f>
        <v>2024</v>
      </c>
      <c r="G2288" t="s">
        <v>7</v>
      </c>
      <c r="H2288">
        <v>-2</v>
      </c>
      <c r="K2288" t="s">
        <v>9</v>
      </c>
      <c r="L2288" s="8">
        <f t="shared" si="5874"/>
        <v>-1</v>
      </c>
      <c r="M2288" t="s">
        <v>2519</v>
      </c>
    </row>
    <row r="2289" spans="1:13" x14ac:dyDescent="0.35">
      <c r="A2289">
        <f t="shared" si="5745"/>
        <v>2285</v>
      </c>
      <c r="B2289" s="9">
        <f t="shared" ref="B2289" si="6039">B2288+H2289+I2289+J2289</f>
        <v>56.129999999999995</v>
      </c>
      <c r="C2289" s="3" t="s">
        <v>2513</v>
      </c>
      <c r="D2289">
        <f t="shared" ref="D2289" si="6040">_xlfn.NUMBERVALUE(LEFT(C2289,2))</f>
        <v>7</v>
      </c>
      <c r="E2289">
        <f t="shared" ref="E2289" si="6041">_xlfn.NUMBERVALUE(MID(C2289,4,2))</f>
        <v>3</v>
      </c>
      <c r="F2289">
        <f t="shared" ref="F2289" si="6042">_xlfn.NUMBERVALUE(RIGHT(C2289,4))</f>
        <v>2024</v>
      </c>
      <c r="G2289" t="s">
        <v>7</v>
      </c>
      <c r="H2289">
        <v>-2</v>
      </c>
      <c r="K2289" t="s">
        <v>9</v>
      </c>
      <c r="L2289" s="8">
        <f t="shared" si="5874"/>
        <v>-1</v>
      </c>
      <c r="M2289" t="s">
        <v>2520</v>
      </c>
    </row>
    <row r="2290" spans="1:13" x14ac:dyDescent="0.35">
      <c r="A2290">
        <f t="shared" si="5745"/>
        <v>2286</v>
      </c>
      <c r="B2290" s="9">
        <f t="shared" ref="B2290" si="6043">B2289+H2290+I2290+J2290</f>
        <v>58.129999999999995</v>
      </c>
      <c r="C2290" s="3" t="s">
        <v>2513</v>
      </c>
      <c r="D2290">
        <f t="shared" ref="D2290" si="6044">_xlfn.NUMBERVALUE(LEFT(C2290,2))</f>
        <v>7</v>
      </c>
      <c r="E2290">
        <f t="shared" ref="E2290" si="6045">_xlfn.NUMBERVALUE(MID(C2290,4,2))</f>
        <v>3</v>
      </c>
      <c r="F2290">
        <f t="shared" ref="F2290" si="6046">_xlfn.NUMBERVALUE(RIGHT(C2290,4))</f>
        <v>2024</v>
      </c>
      <c r="G2290" t="s">
        <v>7</v>
      </c>
      <c r="H2290">
        <v>-2</v>
      </c>
      <c r="I2290">
        <v>4</v>
      </c>
      <c r="K2290" t="s">
        <v>10</v>
      </c>
      <c r="L2290" s="8">
        <f t="shared" si="5874"/>
        <v>1</v>
      </c>
      <c r="M2290" t="s">
        <v>2521</v>
      </c>
    </row>
    <row r="2291" spans="1:13" x14ac:dyDescent="0.35">
      <c r="A2291">
        <f t="shared" si="5745"/>
        <v>2287</v>
      </c>
      <c r="B2291" s="9">
        <f t="shared" ref="B2291" si="6047">B2290+H2291+I2291+J2291</f>
        <v>56.129999999999995</v>
      </c>
      <c r="C2291" s="3" t="s">
        <v>2513</v>
      </c>
      <c r="D2291">
        <f t="shared" ref="D2291" si="6048">_xlfn.NUMBERVALUE(LEFT(C2291,2))</f>
        <v>7</v>
      </c>
      <c r="E2291">
        <f t="shared" ref="E2291" si="6049">_xlfn.NUMBERVALUE(MID(C2291,4,2))</f>
        <v>3</v>
      </c>
      <c r="F2291">
        <f t="shared" ref="F2291" si="6050">_xlfn.NUMBERVALUE(RIGHT(C2291,4))</f>
        <v>2024</v>
      </c>
      <c r="G2291" t="s">
        <v>7</v>
      </c>
      <c r="H2291">
        <v>-2</v>
      </c>
      <c r="K2291" t="s">
        <v>9</v>
      </c>
      <c r="L2291" s="8">
        <f t="shared" si="5874"/>
        <v>-1</v>
      </c>
      <c r="M2291" t="s">
        <v>2522</v>
      </c>
    </row>
    <row r="2292" spans="1:13" x14ac:dyDescent="0.35">
      <c r="A2292">
        <f t="shared" si="5745"/>
        <v>2288</v>
      </c>
      <c r="B2292" s="9">
        <f t="shared" ref="B2292" si="6051">B2291+H2292+I2292+J2292</f>
        <v>62.129999999999995</v>
      </c>
      <c r="C2292" s="3" t="s">
        <v>2513</v>
      </c>
      <c r="D2292">
        <f t="shared" ref="D2292" si="6052">_xlfn.NUMBERVALUE(LEFT(C2292,2))</f>
        <v>7</v>
      </c>
      <c r="E2292">
        <f t="shared" ref="E2292" si="6053">_xlfn.NUMBERVALUE(MID(C2292,4,2))</f>
        <v>3</v>
      </c>
      <c r="F2292">
        <f t="shared" ref="F2292" si="6054">_xlfn.NUMBERVALUE(RIGHT(C2292,4))</f>
        <v>2024</v>
      </c>
      <c r="G2292" t="s">
        <v>7</v>
      </c>
      <c r="H2292">
        <v>-2</v>
      </c>
      <c r="I2292">
        <v>8</v>
      </c>
      <c r="K2292" t="s">
        <v>10</v>
      </c>
      <c r="L2292" s="8">
        <f t="shared" si="5874"/>
        <v>3</v>
      </c>
      <c r="M2292" t="s">
        <v>2523</v>
      </c>
    </row>
    <row r="2293" spans="1:13" x14ac:dyDescent="0.35">
      <c r="A2293">
        <f t="shared" si="5745"/>
        <v>2289</v>
      </c>
      <c r="B2293" s="9">
        <f t="shared" ref="B2293" si="6055">B2292+H2293+I2293+J2293</f>
        <v>60.129999999999995</v>
      </c>
      <c r="C2293" s="3" t="s">
        <v>2513</v>
      </c>
      <c r="D2293">
        <f t="shared" ref="D2293" si="6056">_xlfn.NUMBERVALUE(LEFT(C2293,2))</f>
        <v>7</v>
      </c>
      <c r="E2293">
        <f t="shared" ref="E2293" si="6057">_xlfn.NUMBERVALUE(MID(C2293,4,2))</f>
        <v>3</v>
      </c>
      <c r="F2293">
        <f t="shared" ref="F2293" si="6058">_xlfn.NUMBERVALUE(RIGHT(C2293,4))</f>
        <v>2024</v>
      </c>
      <c r="G2293" t="s">
        <v>7</v>
      </c>
      <c r="H2293">
        <v>-2</v>
      </c>
      <c r="K2293" t="s">
        <v>9</v>
      </c>
      <c r="L2293" s="8">
        <f t="shared" si="5874"/>
        <v>-1</v>
      </c>
      <c r="M2293" t="s">
        <v>2524</v>
      </c>
    </row>
    <row r="2294" spans="1:13" x14ac:dyDescent="0.35">
      <c r="A2294">
        <f t="shared" si="5745"/>
        <v>2290</v>
      </c>
      <c r="B2294" s="9">
        <f t="shared" ref="B2294" si="6059">B2293+H2294+I2294+J2294</f>
        <v>68.13</v>
      </c>
      <c r="C2294" s="3" t="s">
        <v>2513</v>
      </c>
      <c r="D2294">
        <f t="shared" ref="D2294" si="6060">_xlfn.NUMBERVALUE(LEFT(C2294,2))</f>
        <v>7</v>
      </c>
      <c r="E2294">
        <f t="shared" ref="E2294" si="6061">_xlfn.NUMBERVALUE(MID(C2294,4,2))</f>
        <v>3</v>
      </c>
      <c r="F2294">
        <f t="shared" ref="F2294" si="6062">_xlfn.NUMBERVALUE(RIGHT(C2294,4))</f>
        <v>2024</v>
      </c>
      <c r="G2294" t="s">
        <v>7</v>
      </c>
      <c r="H2294">
        <v>-2</v>
      </c>
      <c r="I2294">
        <v>10</v>
      </c>
      <c r="K2294" t="s">
        <v>10</v>
      </c>
      <c r="L2294" s="8">
        <f t="shared" si="5874"/>
        <v>4</v>
      </c>
      <c r="M2294" t="s">
        <v>2525</v>
      </c>
    </row>
    <row r="2295" spans="1:13" x14ac:dyDescent="0.35">
      <c r="A2295">
        <f t="shared" si="5745"/>
        <v>2291</v>
      </c>
      <c r="B2295" s="9">
        <f t="shared" ref="B2295" si="6063">B2294+H2295+I2295+J2295</f>
        <v>66.13</v>
      </c>
      <c r="C2295" s="3" t="s">
        <v>2513</v>
      </c>
      <c r="D2295">
        <f t="shared" ref="D2295" si="6064">_xlfn.NUMBERVALUE(LEFT(C2295,2))</f>
        <v>7</v>
      </c>
      <c r="E2295">
        <f t="shared" ref="E2295" si="6065">_xlfn.NUMBERVALUE(MID(C2295,4,2))</f>
        <v>3</v>
      </c>
      <c r="F2295">
        <f t="shared" ref="F2295" si="6066">_xlfn.NUMBERVALUE(RIGHT(C2295,4))</f>
        <v>2024</v>
      </c>
      <c r="G2295" t="s">
        <v>7</v>
      </c>
      <c r="H2295">
        <v>-2</v>
      </c>
      <c r="K2295" t="s">
        <v>9</v>
      </c>
      <c r="L2295" s="8">
        <f t="shared" si="5874"/>
        <v>-1</v>
      </c>
      <c r="M2295" t="s">
        <v>2526</v>
      </c>
    </row>
    <row r="2296" spans="1:13" x14ac:dyDescent="0.35">
      <c r="A2296">
        <f t="shared" si="5745"/>
        <v>2292</v>
      </c>
      <c r="B2296" s="9">
        <f t="shared" ref="B2296" si="6067">B2295+H2296+I2296+J2296</f>
        <v>64.13</v>
      </c>
      <c r="C2296" s="3" t="s">
        <v>2513</v>
      </c>
      <c r="D2296">
        <f t="shared" ref="D2296" si="6068">_xlfn.NUMBERVALUE(LEFT(C2296,2))</f>
        <v>7</v>
      </c>
      <c r="E2296">
        <f t="shared" ref="E2296" si="6069">_xlfn.NUMBERVALUE(MID(C2296,4,2))</f>
        <v>3</v>
      </c>
      <c r="F2296">
        <f t="shared" ref="F2296" si="6070">_xlfn.NUMBERVALUE(RIGHT(C2296,4))</f>
        <v>2024</v>
      </c>
      <c r="G2296" t="s">
        <v>7</v>
      </c>
      <c r="H2296">
        <v>-2</v>
      </c>
      <c r="K2296" t="s">
        <v>9</v>
      </c>
      <c r="L2296" s="8">
        <f t="shared" si="5874"/>
        <v>-1</v>
      </c>
      <c r="M2296" t="s">
        <v>2527</v>
      </c>
    </row>
    <row r="2297" spans="1:13" x14ac:dyDescent="0.35">
      <c r="A2297">
        <f t="shared" si="5745"/>
        <v>2293</v>
      </c>
      <c r="B2297" s="9">
        <f t="shared" ref="B2297" si="6071">B2296+H2297+I2297+J2297</f>
        <v>62.129999999999995</v>
      </c>
      <c r="C2297" s="3" t="s">
        <v>2513</v>
      </c>
      <c r="D2297">
        <f t="shared" ref="D2297" si="6072">_xlfn.NUMBERVALUE(LEFT(C2297,2))</f>
        <v>7</v>
      </c>
      <c r="E2297">
        <f t="shared" ref="E2297" si="6073">_xlfn.NUMBERVALUE(MID(C2297,4,2))</f>
        <v>3</v>
      </c>
      <c r="F2297">
        <f t="shared" ref="F2297" si="6074">_xlfn.NUMBERVALUE(RIGHT(C2297,4))</f>
        <v>2024</v>
      </c>
      <c r="G2297" t="s">
        <v>7</v>
      </c>
      <c r="H2297">
        <v>-2</v>
      </c>
      <c r="K2297" t="s">
        <v>9</v>
      </c>
      <c r="L2297" s="8">
        <f t="shared" si="5874"/>
        <v>-1</v>
      </c>
      <c r="M2297" t="s">
        <v>2528</v>
      </c>
    </row>
    <row r="2298" spans="1:13" x14ac:dyDescent="0.35">
      <c r="A2298">
        <f t="shared" si="5745"/>
        <v>2294</v>
      </c>
      <c r="B2298" s="9">
        <f t="shared" ref="B2298" si="6075">B2297+H2298+I2298+J2298</f>
        <v>60.129999999999995</v>
      </c>
      <c r="C2298" s="3" t="s">
        <v>2513</v>
      </c>
      <c r="D2298">
        <f t="shared" ref="D2298" si="6076">_xlfn.NUMBERVALUE(LEFT(C2298,2))</f>
        <v>7</v>
      </c>
      <c r="E2298">
        <f t="shared" ref="E2298" si="6077">_xlfn.NUMBERVALUE(MID(C2298,4,2))</f>
        <v>3</v>
      </c>
      <c r="F2298">
        <f t="shared" ref="F2298" si="6078">_xlfn.NUMBERVALUE(RIGHT(C2298,4))</f>
        <v>2024</v>
      </c>
      <c r="G2298" t="s">
        <v>7</v>
      </c>
      <c r="H2298">
        <v>-2</v>
      </c>
      <c r="K2298" t="s">
        <v>9</v>
      </c>
      <c r="L2298" s="8">
        <f t="shared" si="5874"/>
        <v>-1</v>
      </c>
      <c r="M2298" t="s">
        <v>2529</v>
      </c>
    </row>
    <row r="2299" spans="1:13" x14ac:dyDescent="0.35">
      <c r="A2299">
        <f t="shared" si="5745"/>
        <v>2295</v>
      </c>
      <c r="B2299" s="9">
        <f t="shared" ref="B2299" si="6079">B2298+H2299+I2299+J2299</f>
        <v>58.129999999999995</v>
      </c>
      <c r="C2299" s="3" t="s">
        <v>2532</v>
      </c>
      <c r="D2299">
        <f t="shared" ref="D2299" si="6080">_xlfn.NUMBERVALUE(LEFT(C2299,2))</f>
        <v>9</v>
      </c>
      <c r="E2299">
        <f t="shared" ref="E2299" si="6081">_xlfn.NUMBERVALUE(MID(C2299,4,2))</f>
        <v>3</v>
      </c>
      <c r="F2299">
        <f t="shared" ref="F2299" si="6082">_xlfn.NUMBERVALUE(RIGHT(C2299,4))</f>
        <v>2024</v>
      </c>
      <c r="G2299" t="s">
        <v>7</v>
      </c>
      <c r="H2299">
        <v>-2</v>
      </c>
      <c r="K2299" t="s">
        <v>9</v>
      </c>
      <c r="L2299" s="8">
        <f t="shared" si="5874"/>
        <v>-1</v>
      </c>
      <c r="M2299" t="s">
        <v>2530</v>
      </c>
    </row>
    <row r="2300" spans="1:13" x14ac:dyDescent="0.35">
      <c r="A2300">
        <f t="shared" si="5745"/>
        <v>2296</v>
      </c>
      <c r="B2300" s="9">
        <f t="shared" ref="B2300" si="6083">B2299+H2300+I2300+J2300</f>
        <v>56.129999999999995</v>
      </c>
      <c r="C2300" s="3" t="s">
        <v>2532</v>
      </c>
      <c r="D2300">
        <f t="shared" ref="D2300" si="6084">_xlfn.NUMBERVALUE(LEFT(C2300,2))</f>
        <v>9</v>
      </c>
      <c r="E2300">
        <f t="shared" ref="E2300" si="6085">_xlfn.NUMBERVALUE(MID(C2300,4,2))</f>
        <v>3</v>
      </c>
      <c r="F2300">
        <f t="shared" ref="F2300" si="6086">_xlfn.NUMBERVALUE(RIGHT(C2300,4))</f>
        <v>2024</v>
      </c>
      <c r="G2300" t="s">
        <v>7</v>
      </c>
      <c r="H2300">
        <v>-2</v>
      </c>
      <c r="K2300" t="s">
        <v>9</v>
      </c>
      <c r="L2300" s="8">
        <f t="shared" si="5874"/>
        <v>-1</v>
      </c>
      <c r="M2300" t="s">
        <v>2531</v>
      </c>
    </row>
    <row r="2301" spans="1:13" x14ac:dyDescent="0.35">
      <c r="A2301">
        <f t="shared" si="5745"/>
        <v>2297</v>
      </c>
      <c r="B2301" s="9">
        <f t="shared" ref="B2301" si="6087">B2300+H2301+I2301+J2301</f>
        <v>54.129999999999995</v>
      </c>
      <c r="C2301" s="3" t="s">
        <v>2532</v>
      </c>
      <c r="D2301">
        <f t="shared" ref="D2301" si="6088">_xlfn.NUMBERVALUE(LEFT(C2301,2))</f>
        <v>9</v>
      </c>
      <c r="E2301">
        <f t="shared" ref="E2301" si="6089">_xlfn.NUMBERVALUE(MID(C2301,4,2))</f>
        <v>3</v>
      </c>
      <c r="F2301">
        <f t="shared" ref="F2301" si="6090">_xlfn.NUMBERVALUE(RIGHT(C2301,4))</f>
        <v>2024</v>
      </c>
      <c r="G2301" t="s">
        <v>7</v>
      </c>
      <c r="H2301">
        <v>-2</v>
      </c>
      <c r="K2301" t="s">
        <v>9</v>
      </c>
      <c r="L2301" s="8">
        <f t="shared" si="5874"/>
        <v>-1</v>
      </c>
      <c r="M2301" t="s">
        <v>2533</v>
      </c>
    </row>
    <row r="2302" spans="1:13" x14ac:dyDescent="0.35">
      <c r="A2302">
        <f t="shared" si="5745"/>
        <v>2298</v>
      </c>
      <c r="B2302" s="9">
        <f t="shared" ref="B2302" si="6091">B2301+H2302+I2302+J2302</f>
        <v>56.129999999999995</v>
      </c>
      <c r="C2302" s="3" t="s">
        <v>2532</v>
      </c>
      <c r="D2302">
        <f t="shared" ref="D2302" si="6092">_xlfn.NUMBERVALUE(LEFT(C2302,2))</f>
        <v>9</v>
      </c>
      <c r="E2302">
        <f t="shared" ref="E2302" si="6093">_xlfn.NUMBERVALUE(MID(C2302,4,2))</f>
        <v>3</v>
      </c>
      <c r="F2302">
        <f t="shared" ref="F2302" si="6094">_xlfn.NUMBERVALUE(RIGHT(C2302,4))</f>
        <v>2024</v>
      </c>
      <c r="G2302" t="s">
        <v>7</v>
      </c>
      <c r="H2302">
        <v>-2</v>
      </c>
      <c r="I2302">
        <v>4</v>
      </c>
      <c r="K2302" t="s">
        <v>10</v>
      </c>
      <c r="L2302" s="8">
        <f t="shared" si="5874"/>
        <v>1</v>
      </c>
      <c r="M2302" t="s">
        <v>2534</v>
      </c>
    </row>
    <row r="2303" spans="1:13" x14ac:dyDescent="0.35">
      <c r="A2303">
        <f t="shared" si="5745"/>
        <v>2299</v>
      </c>
      <c r="B2303" s="9">
        <f t="shared" ref="B2303" si="6095">B2302+H2303+I2303+J2303</f>
        <v>58.129999999999995</v>
      </c>
      <c r="C2303" s="3" t="s">
        <v>2532</v>
      </c>
      <c r="D2303">
        <f t="shared" ref="D2303" si="6096">_xlfn.NUMBERVALUE(LEFT(C2303,2))</f>
        <v>9</v>
      </c>
      <c r="E2303">
        <f t="shared" ref="E2303" si="6097">_xlfn.NUMBERVALUE(MID(C2303,4,2))</f>
        <v>3</v>
      </c>
      <c r="F2303">
        <f t="shared" ref="F2303" si="6098">_xlfn.NUMBERVALUE(RIGHT(C2303,4))</f>
        <v>2024</v>
      </c>
      <c r="G2303" t="s">
        <v>7</v>
      </c>
      <c r="H2303">
        <v>-2</v>
      </c>
      <c r="I2303">
        <v>4</v>
      </c>
      <c r="K2303" t="s">
        <v>10</v>
      </c>
      <c r="L2303" s="8">
        <f t="shared" si="5874"/>
        <v>1</v>
      </c>
      <c r="M2303" t="s">
        <v>2535</v>
      </c>
    </row>
    <row r="2304" spans="1:13" x14ac:dyDescent="0.35">
      <c r="A2304">
        <f t="shared" si="5745"/>
        <v>2300</v>
      </c>
      <c r="B2304" s="9">
        <f t="shared" ref="B2304:B2305" si="6099">B2303+H2304+I2304+J2304</f>
        <v>60.129999999999995</v>
      </c>
      <c r="C2304" s="3" t="s">
        <v>2532</v>
      </c>
      <c r="D2304">
        <f t="shared" ref="D2304:D2305" si="6100">_xlfn.NUMBERVALUE(LEFT(C2304,2))</f>
        <v>9</v>
      </c>
      <c r="E2304">
        <f t="shared" ref="E2304:E2305" si="6101">_xlfn.NUMBERVALUE(MID(C2304,4,2))</f>
        <v>3</v>
      </c>
      <c r="F2304">
        <f t="shared" ref="F2304:F2305" si="6102">_xlfn.NUMBERVALUE(RIGHT(C2304,4))</f>
        <v>2024</v>
      </c>
      <c r="G2304" t="s">
        <v>7</v>
      </c>
      <c r="H2304">
        <v>-2</v>
      </c>
      <c r="I2304">
        <v>4</v>
      </c>
      <c r="K2304" t="s">
        <v>10</v>
      </c>
      <c r="L2304" s="8">
        <f t="shared" si="5874"/>
        <v>1</v>
      </c>
      <c r="M2304" t="s">
        <v>2536</v>
      </c>
    </row>
    <row r="2305" spans="1:13" x14ac:dyDescent="0.35">
      <c r="A2305">
        <f t="shared" si="5745"/>
        <v>2301</v>
      </c>
      <c r="B2305" s="9">
        <f t="shared" si="6099"/>
        <v>58.129999999999995</v>
      </c>
      <c r="C2305" s="3" t="s">
        <v>2532</v>
      </c>
      <c r="D2305">
        <f t="shared" si="6100"/>
        <v>9</v>
      </c>
      <c r="E2305">
        <f t="shared" si="6101"/>
        <v>3</v>
      </c>
      <c r="F2305">
        <f t="shared" si="6102"/>
        <v>2024</v>
      </c>
      <c r="G2305" t="s">
        <v>7</v>
      </c>
      <c r="H2305">
        <v>-2</v>
      </c>
      <c r="K2305" t="s">
        <v>9</v>
      </c>
      <c r="L2305" s="8">
        <f t="shared" si="5874"/>
        <v>-1</v>
      </c>
      <c r="M2305" t="s">
        <v>2537</v>
      </c>
    </row>
    <row r="2306" spans="1:13" x14ac:dyDescent="0.35">
      <c r="A2306">
        <f t="shared" si="5745"/>
        <v>2302</v>
      </c>
      <c r="B2306" s="9">
        <f t="shared" ref="B2306" si="6103">B2305+H2306+I2306+J2306</f>
        <v>56.129999999999995</v>
      </c>
      <c r="C2306" s="3" t="s">
        <v>2532</v>
      </c>
      <c r="D2306">
        <f t="shared" ref="D2306" si="6104">_xlfn.NUMBERVALUE(LEFT(C2306,2))</f>
        <v>9</v>
      </c>
      <c r="E2306">
        <f t="shared" ref="E2306" si="6105">_xlfn.NUMBERVALUE(MID(C2306,4,2))</f>
        <v>3</v>
      </c>
      <c r="F2306">
        <f t="shared" ref="F2306" si="6106">_xlfn.NUMBERVALUE(RIGHT(C2306,4))</f>
        <v>2024</v>
      </c>
      <c r="G2306" t="s">
        <v>7</v>
      </c>
      <c r="H2306">
        <v>-2</v>
      </c>
      <c r="K2306" t="s">
        <v>9</v>
      </c>
      <c r="L2306" s="8">
        <f t="shared" si="5874"/>
        <v>-1</v>
      </c>
      <c r="M2306" t="s">
        <v>2538</v>
      </c>
    </row>
    <row r="2307" spans="1:13" x14ac:dyDescent="0.35">
      <c r="A2307">
        <f t="shared" si="5745"/>
        <v>2303</v>
      </c>
      <c r="B2307" s="9">
        <f t="shared" ref="B2307" si="6107">B2306+H2307+I2307+J2307</f>
        <v>54.129999999999995</v>
      </c>
      <c r="C2307" s="3" t="s">
        <v>2532</v>
      </c>
      <c r="D2307">
        <f t="shared" ref="D2307" si="6108">_xlfn.NUMBERVALUE(LEFT(C2307,2))</f>
        <v>9</v>
      </c>
      <c r="E2307">
        <f t="shared" ref="E2307" si="6109">_xlfn.NUMBERVALUE(MID(C2307,4,2))</f>
        <v>3</v>
      </c>
      <c r="F2307">
        <f t="shared" ref="F2307" si="6110">_xlfn.NUMBERVALUE(RIGHT(C2307,4))</f>
        <v>2024</v>
      </c>
      <c r="G2307" t="s">
        <v>7</v>
      </c>
      <c r="H2307">
        <v>-2</v>
      </c>
      <c r="K2307" t="s">
        <v>9</v>
      </c>
      <c r="L2307" s="8">
        <f t="shared" si="5874"/>
        <v>-1</v>
      </c>
      <c r="M2307" t="s">
        <v>2539</v>
      </c>
    </row>
    <row r="2308" spans="1:13" x14ac:dyDescent="0.35">
      <c r="A2308">
        <f t="shared" si="5745"/>
        <v>2304</v>
      </c>
      <c r="B2308" s="9">
        <f t="shared" ref="B2308" si="6111">B2307+H2308+I2308+J2308</f>
        <v>56.129999999999995</v>
      </c>
      <c r="C2308" s="3" t="s">
        <v>2532</v>
      </c>
      <c r="D2308">
        <f t="shared" ref="D2308" si="6112">_xlfn.NUMBERVALUE(LEFT(C2308,2))</f>
        <v>9</v>
      </c>
      <c r="E2308">
        <f t="shared" ref="E2308" si="6113">_xlfn.NUMBERVALUE(MID(C2308,4,2))</f>
        <v>3</v>
      </c>
      <c r="F2308">
        <f t="shared" ref="F2308" si="6114">_xlfn.NUMBERVALUE(RIGHT(C2308,4))</f>
        <v>2024</v>
      </c>
      <c r="G2308" t="s">
        <v>7</v>
      </c>
      <c r="H2308">
        <v>-2</v>
      </c>
      <c r="I2308">
        <v>4</v>
      </c>
      <c r="K2308" t="s">
        <v>10</v>
      </c>
      <c r="L2308" s="8">
        <f t="shared" si="5874"/>
        <v>1</v>
      </c>
      <c r="M2308" t="s">
        <v>2540</v>
      </c>
    </row>
    <row r="2309" spans="1:13" x14ac:dyDescent="0.35">
      <c r="A2309">
        <f t="shared" si="5745"/>
        <v>2305</v>
      </c>
      <c r="B2309" s="9">
        <f t="shared" ref="B2309" si="6115">B2308+H2309+I2309+J2309</f>
        <v>54.129999999999995</v>
      </c>
      <c r="C2309" s="3" t="s">
        <v>2541</v>
      </c>
      <c r="D2309">
        <f t="shared" ref="D2309" si="6116">_xlfn.NUMBERVALUE(LEFT(C2309,2))</f>
        <v>10</v>
      </c>
      <c r="E2309">
        <f t="shared" ref="E2309" si="6117">_xlfn.NUMBERVALUE(MID(C2309,4,2))</f>
        <v>3</v>
      </c>
      <c r="F2309">
        <f t="shared" ref="F2309" si="6118">_xlfn.NUMBERVALUE(RIGHT(C2309,4))</f>
        <v>2024</v>
      </c>
      <c r="G2309" t="s">
        <v>7</v>
      </c>
      <c r="H2309">
        <v>-2</v>
      </c>
      <c r="K2309" t="s">
        <v>9</v>
      </c>
      <c r="L2309" s="8">
        <f t="shared" si="5874"/>
        <v>-1</v>
      </c>
      <c r="M2309" t="s">
        <v>2542</v>
      </c>
    </row>
    <row r="2310" spans="1:13" x14ac:dyDescent="0.35">
      <c r="A2310">
        <f t="shared" si="5745"/>
        <v>2306</v>
      </c>
      <c r="B2310" s="9">
        <f t="shared" ref="B2310" si="6119">B2309+H2310+I2310+J2310</f>
        <v>52.129999999999995</v>
      </c>
      <c r="C2310" s="3" t="s">
        <v>2541</v>
      </c>
      <c r="D2310">
        <f t="shared" ref="D2310" si="6120">_xlfn.NUMBERVALUE(LEFT(C2310,2))</f>
        <v>10</v>
      </c>
      <c r="E2310">
        <f t="shared" ref="E2310" si="6121">_xlfn.NUMBERVALUE(MID(C2310,4,2))</f>
        <v>3</v>
      </c>
      <c r="F2310">
        <f t="shared" ref="F2310" si="6122">_xlfn.NUMBERVALUE(RIGHT(C2310,4))</f>
        <v>2024</v>
      </c>
      <c r="G2310" t="s">
        <v>7</v>
      </c>
      <c r="H2310">
        <v>-2</v>
      </c>
      <c r="K2310" t="s">
        <v>9</v>
      </c>
      <c r="L2310" s="8">
        <f t="shared" ref="L2310:L2373" si="6123">IF(H2310="",0,(SUM(I2310:J2310)/-H2310)-1)</f>
        <v>-1</v>
      </c>
      <c r="M2310" t="s">
        <v>2543</v>
      </c>
    </row>
    <row r="2311" spans="1:13" x14ac:dyDescent="0.35">
      <c r="A2311">
        <f t="shared" si="5745"/>
        <v>2307</v>
      </c>
      <c r="B2311" s="9">
        <f t="shared" ref="B2311" si="6124">B2310+H2311+I2311+J2311</f>
        <v>50.129999999999995</v>
      </c>
      <c r="C2311" s="3" t="s">
        <v>2541</v>
      </c>
      <c r="D2311">
        <f t="shared" ref="D2311" si="6125">_xlfn.NUMBERVALUE(LEFT(C2311,2))</f>
        <v>10</v>
      </c>
      <c r="E2311">
        <f t="shared" ref="E2311" si="6126">_xlfn.NUMBERVALUE(MID(C2311,4,2))</f>
        <v>3</v>
      </c>
      <c r="F2311">
        <f t="shared" ref="F2311" si="6127">_xlfn.NUMBERVALUE(RIGHT(C2311,4))</f>
        <v>2024</v>
      </c>
      <c r="G2311" t="s">
        <v>7</v>
      </c>
      <c r="H2311">
        <v>-2</v>
      </c>
      <c r="K2311" t="s">
        <v>9</v>
      </c>
      <c r="L2311" s="8">
        <f t="shared" si="6123"/>
        <v>-1</v>
      </c>
      <c r="M2311" t="s">
        <v>2544</v>
      </c>
    </row>
    <row r="2312" spans="1:13" x14ac:dyDescent="0.35">
      <c r="A2312">
        <f t="shared" si="5745"/>
        <v>2308</v>
      </c>
      <c r="B2312" s="9">
        <f t="shared" ref="B2312" si="6128">B2311+H2312+I2312+J2312</f>
        <v>54.129999999999995</v>
      </c>
      <c r="C2312" s="3" t="s">
        <v>2545</v>
      </c>
      <c r="D2312">
        <f t="shared" ref="D2312" si="6129">_xlfn.NUMBERVALUE(LEFT(C2312,2))</f>
        <v>11</v>
      </c>
      <c r="E2312">
        <f t="shared" ref="E2312" si="6130">_xlfn.NUMBERVALUE(MID(C2312,4,2))</f>
        <v>3</v>
      </c>
      <c r="F2312">
        <f t="shared" ref="F2312" si="6131">_xlfn.NUMBERVALUE(RIGHT(C2312,4))</f>
        <v>2024</v>
      </c>
      <c r="G2312" t="s">
        <v>7</v>
      </c>
      <c r="H2312">
        <v>-2</v>
      </c>
      <c r="I2312">
        <v>6</v>
      </c>
      <c r="K2312" t="s">
        <v>10</v>
      </c>
      <c r="L2312" s="8">
        <f t="shared" si="6123"/>
        <v>2</v>
      </c>
      <c r="M2312" t="s">
        <v>2546</v>
      </c>
    </row>
    <row r="2313" spans="1:13" x14ac:dyDescent="0.35">
      <c r="A2313">
        <f t="shared" si="5745"/>
        <v>2309</v>
      </c>
      <c r="B2313" s="9">
        <f t="shared" ref="B2313" si="6132">B2312+H2313+I2313+J2313</f>
        <v>52.129999999999995</v>
      </c>
      <c r="C2313" s="3" t="s">
        <v>2545</v>
      </c>
      <c r="D2313">
        <f t="shared" ref="D2313" si="6133">_xlfn.NUMBERVALUE(LEFT(C2313,2))</f>
        <v>11</v>
      </c>
      <c r="E2313">
        <f t="shared" ref="E2313" si="6134">_xlfn.NUMBERVALUE(MID(C2313,4,2))</f>
        <v>3</v>
      </c>
      <c r="F2313">
        <f t="shared" ref="F2313" si="6135">_xlfn.NUMBERVALUE(RIGHT(C2313,4))</f>
        <v>2024</v>
      </c>
      <c r="G2313" t="s">
        <v>7</v>
      </c>
      <c r="H2313">
        <v>-2</v>
      </c>
      <c r="K2313" t="s">
        <v>9</v>
      </c>
      <c r="L2313" s="8">
        <f t="shared" si="6123"/>
        <v>-1</v>
      </c>
      <c r="M2313" t="s">
        <v>2547</v>
      </c>
    </row>
    <row r="2314" spans="1:13" x14ac:dyDescent="0.35">
      <c r="A2314">
        <f t="shared" si="5745"/>
        <v>2310</v>
      </c>
      <c r="B2314" s="9">
        <f t="shared" ref="B2314" si="6136">B2313+H2314+I2314+J2314</f>
        <v>50.129999999999995</v>
      </c>
      <c r="C2314" s="3" t="s">
        <v>2545</v>
      </c>
      <c r="D2314">
        <f t="shared" ref="D2314" si="6137">_xlfn.NUMBERVALUE(LEFT(C2314,2))</f>
        <v>11</v>
      </c>
      <c r="E2314">
        <f t="shared" ref="E2314" si="6138">_xlfn.NUMBERVALUE(MID(C2314,4,2))</f>
        <v>3</v>
      </c>
      <c r="F2314">
        <f t="shared" ref="F2314" si="6139">_xlfn.NUMBERVALUE(RIGHT(C2314,4))</f>
        <v>2024</v>
      </c>
      <c r="G2314" t="s">
        <v>7</v>
      </c>
      <c r="H2314">
        <v>-2</v>
      </c>
      <c r="K2314" t="s">
        <v>9</v>
      </c>
      <c r="L2314" s="8">
        <f t="shared" si="6123"/>
        <v>-1</v>
      </c>
      <c r="M2314" t="s">
        <v>2548</v>
      </c>
    </row>
    <row r="2315" spans="1:13" x14ac:dyDescent="0.35">
      <c r="A2315">
        <f t="shared" si="5745"/>
        <v>2311</v>
      </c>
      <c r="B2315" s="9">
        <f t="shared" ref="B2315" si="6140">B2314+H2315+I2315+J2315</f>
        <v>56.129999999999995</v>
      </c>
      <c r="C2315" s="3" t="s">
        <v>2545</v>
      </c>
      <c r="D2315">
        <f t="shared" ref="D2315" si="6141">_xlfn.NUMBERVALUE(LEFT(C2315,2))</f>
        <v>11</v>
      </c>
      <c r="E2315">
        <f t="shared" ref="E2315" si="6142">_xlfn.NUMBERVALUE(MID(C2315,4,2))</f>
        <v>3</v>
      </c>
      <c r="F2315">
        <f t="shared" ref="F2315" si="6143">_xlfn.NUMBERVALUE(RIGHT(C2315,4))</f>
        <v>2024</v>
      </c>
      <c r="G2315" t="s">
        <v>7</v>
      </c>
      <c r="H2315">
        <v>-2</v>
      </c>
      <c r="I2315">
        <v>8</v>
      </c>
      <c r="K2315" t="s">
        <v>10</v>
      </c>
      <c r="L2315" s="8">
        <f t="shared" si="6123"/>
        <v>3</v>
      </c>
      <c r="M2315" t="s">
        <v>2549</v>
      </c>
    </row>
    <row r="2316" spans="1:13" x14ac:dyDescent="0.35">
      <c r="A2316">
        <f t="shared" si="5745"/>
        <v>2312</v>
      </c>
      <c r="B2316" s="9">
        <f t="shared" ref="B2316" si="6144">B2315+H2316+I2316+J2316</f>
        <v>54.129999999999995</v>
      </c>
      <c r="C2316" s="3" t="s">
        <v>2554</v>
      </c>
      <c r="D2316">
        <f t="shared" ref="D2316" si="6145">_xlfn.NUMBERVALUE(LEFT(C2316,2))</f>
        <v>13</v>
      </c>
      <c r="E2316">
        <f t="shared" ref="E2316" si="6146">_xlfn.NUMBERVALUE(MID(C2316,4,2))</f>
        <v>3</v>
      </c>
      <c r="F2316">
        <f t="shared" ref="F2316" si="6147">_xlfn.NUMBERVALUE(RIGHT(C2316,4))</f>
        <v>2024</v>
      </c>
      <c r="G2316" t="s">
        <v>7</v>
      </c>
      <c r="H2316">
        <v>-2</v>
      </c>
      <c r="K2316" t="s">
        <v>9</v>
      </c>
      <c r="L2316" s="8">
        <f t="shared" si="6123"/>
        <v>-1</v>
      </c>
      <c r="M2316" t="s">
        <v>2550</v>
      </c>
    </row>
    <row r="2317" spans="1:13" x14ac:dyDescent="0.35">
      <c r="A2317">
        <f t="shared" si="5745"/>
        <v>2313</v>
      </c>
      <c r="B2317" s="9">
        <f t="shared" ref="B2317" si="6148">B2316+H2317+I2317+J2317</f>
        <v>52.129999999999995</v>
      </c>
      <c r="C2317" s="3" t="s">
        <v>2554</v>
      </c>
      <c r="D2317">
        <f t="shared" ref="D2317" si="6149">_xlfn.NUMBERVALUE(LEFT(C2317,2))</f>
        <v>13</v>
      </c>
      <c r="E2317">
        <f t="shared" ref="E2317" si="6150">_xlfn.NUMBERVALUE(MID(C2317,4,2))</f>
        <v>3</v>
      </c>
      <c r="F2317">
        <f t="shared" ref="F2317" si="6151">_xlfn.NUMBERVALUE(RIGHT(C2317,4))</f>
        <v>2024</v>
      </c>
      <c r="G2317" t="s">
        <v>7</v>
      </c>
      <c r="H2317">
        <v>-2</v>
      </c>
      <c r="K2317" t="s">
        <v>9</v>
      </c>
      <c r="L2317" s="8">
        <f t="shared" si="6123"/>
        <v>-1</v>
      </c>
      <c r="M2317" t="s">
        <v>2551</v>
      </c>
    </row>
    <row r="2318" spans="1:13" x14ac:dyDescent="0.35">
      <c r="A2318">
        <f t="shared" si="5745"/>
        <v>2314</v>
      </c>
      <c r="B2318" s="9">
        <f t="shared" ref="B2318" si="6152">B2317+H2318+I2318+J2318</f>
        <v>54.129999999999995</v>
      </c>
      <c r="C2318" s="3" t="s">
        <v>2554</v>
      </c>
      <c r="D2318">
        <f t="shared" ref="D2318" si="6153">_xlfn.NUMBERVALUE(LEFT(C2318,2))</f>
        <v>13</v>
      </c>
      <c r="E2318">
        <f t="shared" ref="E2318" si="6154">_xlfn.NUMBERVALUE(MID(C2318,4,2))</f>
        <v>3</v>
      </c>
      <c r="F2318">
        <f t="shared" ref="F2318" si="6155">_xlfn.NUMBERVALUE(RIGHT(C2318,4))</f>
        <v>2024</v>
      </c>
      <c r="G2318" t="s">
        <v>7</v>
      </c>
      <c r="H2318">
        <v>-2</v>
      </c>
      <c r="I2318">
        <v>4</v>
      </c>
      <c r="K2318" t="s">
        <v>10</v>
      </c>
      <c r="L2318" s="8">
        <f t="shared" si="6123"/>
        <v>1</v>
      </c>
      <c r="M2318" t="s">
        <v>2552</v>
      </c>
    </row>
    <row r="2319" spans="1:13" x14ac:dyDescent="0.35">
      <c r="A2319">
        <f t="shared" si="5745"/>
        <v>2315</v>
      </c>
      <c r="B2319" s="9">
        <f t="shared" ref="B2319" si="6156">B2318+H2319+I2319+J2319</f>
        <v>52.129999999999995</v>
      </c>
      <c r="C2319" s="3" t="s">
        <v>2554</v>
      </c>
      <c r="D2319">
        <f t="shared" ref="D2319" si="6157">_xlfn.NUMBERVALUE(LEFT(C2319,2))</f>
        <v>13</v>
      </c>
      <c r="E2319">
        <f t="shared" ref="E2319" si="6158">_xlfn.NUMBERVALUE(MID(C2319,4,2))</f>
        <v>3</v>
      </c>
      <c r="F2319">
        <f t="shared" ref="F2319" si="6159">_xlfn.NUMBERVALUE(RIGHT(C2319,4))</f>
        <v>2024</v>
      </c>
      <c r="G2319" t="s">
        <v>7</v>
      </c>
      <c r="H2319">
        <v>-2</v>
      </c>
      <c r="K2319" t="s">
        <v>9</v>
      </c>
      <c r="L2319" s="8">
        <f t="shared" si="6123"/>
        <v>-1</v>
      </c>
      <c r="M2319" t="s">
        <v>2553</v>
      </c>
    </row>
    <row r="2320" spans="1:13" x14ac:dyDescent="0.35">
      <c r="A2320">
        <f t="shared" si="5745"/>
        <v>2316</v>
      </c>
      <c r="B2320" s="9">
        <f t="shared" ref="B2320" si="6160">B2319+H2320+I2320+J2320</f>
        <v>50.129999999999995</v>
      </c>
      <c r="C2320" s="3" t="s">
        <v>2554</v>
      </c>
      <c r="D2320">
        <f t="shared" ref="D2320" si="6161">_xlfn.NUMBERVALUE(LEFT(C2320,2))</f>
        <v>13</v>
      </c>
      <c r="E2320">
        <f t="shared" ref="E2320" si="6162">_xlfn.NUMBERVALUE(MID(C2320,4,2))</f>
        <v>3</v>
      </c>
      <c r="F2320">
        <f t="shared" ref="F2320" si="6163">_xlfn.NUMBERVALUE(RIGHT(C2320,4))</f>
        <v>2024</v>
      </c>
      <c r="G2320" t="s">
        <v>7</v>
      </c>
      <c r="H2320">
        <v>-2</v>
      </c>
      <c r="K2320" t="s">
        <v>9</v>
      </c>
      <c r="L2320" s="8">
        <f t="shared" si="6123"/>
        <v>-1</v>
      </c>
      <c r="M2320" t="s">
        <v>2555</v>
      </c>
    </row>
    <row r="2321" spans="1:13" x14ac:dyDescent="0.35">
      <c r="A2321">
        <f t="shared" si="5745"/>
        <v>2317</v>
      </c>
      <c r="B2321" s="9">
        <f t="shared" ref="B2321" si="6164">B2320+H2321+I2321+J2321</f>
        <v>52.129999999999995</v>
      </c>
      <c r="C2321" s="3" t="s">
        <v>2554</v>
      </c>
      <c r="D2321">
        <f t="shared" ref="D2321" si="6165">_xlfn.NUMBERVALUE(LEFT(C2321,2))</f>
        <v>13</v>
      </c>
      <c r="E2321">
        <f t="shared" ref="E2321" si="6166">_xlfn.NUMBERVALUE(MID(C2321,4,2))</f>
        <v>3</v>
      </c>
      <c r="F2321">
        <f t="shared" ref="F2321" si="6167">_xlfn.NUMBERVALUE(RIGHT(C2321,4))</f>
        <v>2024</v>
      </c>
      <c r="G2321" t="s">
        <v>7</v>
      </c>
      <c r="H2321">
        <v>-2</v>
      </c>
      <c r="I2321">
        <v>4</v>
      </c>
      <c r="K2321" t="s">
        <v>10</v>
      </c>
      <c r="L2321" s="8">
        <f t="shared" si="6123"/>
        <v>1</v>
      </c>
      <c r="M2321" t="s">
        <v>2556</v>
      </c>
    </row>
    <row r="2322" spans="1:13" x14ac:dyDescent="0.35">
      <c r="A2322">
        <f t="shared" si="5745"/>
        <v>2318</v>
      </c>
      <c r="B2322" s="9">
        <f t="shared" ref="B2322" si="6168">B2321+H2322+I2322+J2322</f>
        <v>50.129999999999995</v>
      </c>
      <c r="C2322" s="3" t="s">
        <v>2554</v>
      </c>
      <c r="D2322">
        <f t="shared" ref="D2322" si="6169">_xlfn.NUMBERVALUE(LEFT(C2322,2))</f>
        <v>13</v>
      </c>
      <c r="E2322">
        <f t="shared" ref="E2322" si="6170">_xlfn.NUMBERVALUE(MID(C2322,4,2))</f>
        <v>3</v>
      </c>
      <c r="F2322">
        <f t="shared" ref="F2322" si="6171">_xlfn.NUMBERVALUE(RIGHT(C2322,4))</f>
        <v>2024</v>
      </c>
      <c r="G2322" t="s">
        <v>7</v>
      </c>
      <c r="H2322">
        <v>-2</v>
      </c>
      <c r="K2322" t="s">
        <v>9</v>
      </c>
      <c r="L2322" s="8">
        <f t="shared" si="6123"/>
        <v>-1</v>
      </c>
      <c r="M2322" t="s">
        <v>2557</v>
      </c>
    </row>
    <row r="2323" spans="1:13" x14ac:dyDescent="0.35">
      <c r="A2323">
        <f t="shared" si="5745"/>
        <v>2319</v>
      </c>
      <c r="B2323" s="9">
        <f t="shared" ref="B2323" si="6172">B2322+H2323+I2323+J2323</f>
        <v>48.129999999999995</v>
      </c>
      <c r="C2323" s="3" t="s">
        <v>2554</v>
      </c>
      <c r="D2323">
        <f t="shared" ref="D2323" si="6173">_xlfn.NUMBERVALUE(LEFT(C2323,2))</f>
        <v>13</v>
      </c>
      <c r="E2323">
        <f t="shared" ref="E2323" si="6174">_xlfn.NUMBERVALUE(MID(C2323,4,2))</f>
        <v>3</v>
      </c>
      <c r="F2323">
        <f t="shared" ref="F2323" si="6175">_xlfn.NUMBERVALUE(RIGHT(C2323,4))</f>
        <v>2024</v>
      </c>
      <c r="G2323" t="s">
        <v>7</v>
      </c>
      <c r="H2323">
        <v>-2</v>
      </c>
      <c r="K2323" t="s">
        <v>9</v>
      </c>
      <c r="L2323" s="8">
        <f t="shared" si="6123"/>
        <v>-1</v>
      </c>
      <c r="M2323" t="s">
        <v>2558</v>
      </c>
    </row>
    <row r="2324" spans="1:13" x14ac:dyDescent="0.35">
      <c r="A2324">
        <f t="shared" si="5745"/>
        <v>2320</v>
      </c>
      <c r="B2324" s="9">
        <f t="shared" ref="B2324" si="6176">B2323+H2324+I2324+J2324</f>
        <v>46.129999999999995</v>
      </c>
      <c r="C2324" s="3" t="s">
        <v>2554</v>
      </c>
      <c r="D2324">
        <f t="shared" ref="D2324" si="6177">_xlfn.NUMBERVALUE(LEFT(C2324,2))</f>
        <v>13</v>
      </c>
      <c r="E2324">
        <f t="shared" ref="E2324" si="6178">_xlfn.NUMBERVALUE(MID(C2324,4,2))</f>
        <v>3</v>
      </c>
      <c r="F2324">
        <f t="shared" ref="F2324" si="6179">_xlfn.NUMBERVALUE(RIGHT(C2324,4))</f>
        <v>2024</v>
      </c>
      <c r="G2324" t="s">
        <v>7</v>
      </c>
      <c r="H2324">
        <v>-2</v>
      </c>
      <c r="K2324" t="s">
        <v>9</v>
      </c>
      <c r="L2324" s="8">
        <f t="shared" si="6123"/>
        <v>-1</v>
      </c>
      <c r="M2324" t="s">
        <v>2559</v>
      </c>
    </row>
    <row r="2325" spans="1:13" x14ac:dyDescent="0.35">
      <c r="A2325">
        <f t="shared" si="5745"/>
        <v>2321</v>
      </c>
      <c r="B2325" s="9">
        <f t="shared" ref="B2325" si="6180">B2324+H2325+I2325+J2325</f>
        <v>48.129999999999995</v>
      </c>
      <c r="C2325" s="3" t="s">
        <v>2554</v>
      </c>
      <c r="D2325">
        <f t="shared" ref="D2325" si="6181">_xlfn.NUMBERVALUE(LEFT(C2325,2))</f>
        <v>13</v>
      </c>
      <c r="E2325">
        <f t="shared" ref="E2325" si="6182">_xlfn.NUMBERVALUE(MID(C2325,4,2))</f>
        <v>3</v>
      </c>
      <c r="F2325">
        <f t="shared" ref="F2325" si="6183">_xlfn.NUMBERVALUE(RIGHT(C2325,4))</f>
        <v>2024</v>
      </c>
      <c r="G2325" t="s">
        <v>7</v>
      </c>
      <c r="H2325">
        <v>-2</v>
      </c>
      <c r="I2325">
        <v>4</v>
      </c>
      <c r="K2325" t="s">
        <v>10</v>
      </c>
      <c r="L2325" s="8">
        <f t="shared" si="6123"/>
        <v>1</v>
      </c>
      <c r="M2325" t="s">
        <v>2560</v>
      </c>
    </row>
    <row r="2326" spans="1:13" x14ac:dyDescent="0.35">
      <c r="A2326">
        <f t="shared" si="5745"/>
        <v>2322</v>
      </c>
      <c r="B2326" s="9">
        <f t="shared" ref="B2326" si="6184">B2325+H2326+I2326+J2326</f>
        <v>52.129999999999995</v>
      </c>
      <c r="C2326" s="3" t="s">
        <v>2554</v>
      </c>
      <c r="D2326">
        <f t="shared" ref="D2326" si="6185">_xlfn.NUMBERVALUE(LEFT(C2326,2))</f>
        <v>13</v>
      </c>
      <c r="E2326">
        <f t="shared" ref="E2326" si="6186">_xlfn.NUMBERVALUE(MID(C2326,4,2))</f>
        <v>3</v>
      </c>
      <c r="F2326">
        <f t="shared" ref="F2326" si="6187">_xlfn.NUMBERVALUE(RIGHT(C2326,4))</f>
        <v>2024</v>
      </c>
      <c r="G2326" t="s">
        <v>7</v>
      </c>
      <c r="H2326">
        <v>-2</v>
      </c>
      <c r="I2326">
        <v>6</v>
      </c>
      <c r="K2326" t="s">
        <v>10</v>
      </c>
      <c r="L2326" s="8">
        <f t="shared" si="6123"/>
        <v>2</v>
      </c>
      <c r="M2326" t="s">
        <v>2561</v>
      </c>
    </row>
    <row r="2327" spans="1:13" x14ac:dyDescent="0.35">
      <c r="A2327">
        <f t="shared" si="5745"/>
        <v>2323</v>
      </c>
      <c r="B2327" s="9">
        <f t="shared" ref="B2327" si="6188">B2326+H2327+I2327+J2327</f>
        <v>50.129999999999995</v>
      </c>
      <c r="C2327" s="3" t="s">
        <v>2554</v>
      </c>
      <c r="D2327">
        <f t="shared" ref="D2327" si="6189">_xlfn.NUMBERVALUE(LEFT(C2327,2))</f>
        <v>13</v>
      </c>
      <c r="E2327">
        <f t="shared" ref="E2327" si="6190">_xlfn.NUMBERVALUE(MID(C2327,4,2))</f>
        <v>3</v>
      </c>
      <c r="F2327">
        <f t="shared" ref="F2327" si="6191">_xlfn.NUMBERVALUE(RIGHT(C2327,4))</f>
        <v>2024</v>
      </c>
      <c r="G2327" t="s">
        <v>7</v>
      </c>
      <c r="H2327">
        <v>-2</v>
      </c>
      <c r="K2327" t="s">
        <v>9</v>
      </c>
      <c r="L2327" s="8">
        <f t="shared" si="6123"/>
        <v>-1</v>
      </c>
      <c r="M2327" t="s">
        <v>2562</v>
      </c>
    </row>
    <row r="2328" spans="1:13" x14ac:dyDescent="0.35">
      <c r="A2328">
        <f t="shared" si="5745"/>
        <v>2324</v>
      </c>
      <c r="B2328" s="9">
        <f t="shared" ref="B2328" si="6192">B2327+H2328+I2328+J2328</f>
        <v>52.129999999999995</v>
      </c>
      <c r="C2328" s="3" t="s">
        <v>2554</v>
      </c>
      <c r="D2328">
        <f t="shared" ref="D2328" si="6193">_xlfn.NUMBERVALUE(LEFT(C2328,2))</f>
        <v>13</v>
      </c>
      <c r="E2328">
        <f t="shared" ref="E2328" si="6194">_xlfn.NUMBERVALUE(MID(C2328,4,2))</f>
        <v>3</v>
      </c>
      <c r="F2328">
        <f t="shared" ref="F2328" si="6195">_xlfn.NUMBERVALUE(RIGHT(C2328,4))</f>
        <v>2024</v>
      </c>
      <c r="G2328" t="s">
        <v>7</v>
      </c>
      <c r="H2328">
        <v>-2</v>
      </c>
      <c r="I2328">
        <v>4</v>
      </c>
      <c r="K2328" t="s">
        <v>10</v>
      </c>
      <c r="L2328" s="8">
        <f t="shared" si="6123"/>
        <v>1</v>
      </c>
      <c r="M2328" t="s">
        <v>2563</v>
      </c>
    </row>
    <row r="2329" spans="1:13" x14ac:dyDescent="0.35">
      <c r="A2329">
        <f t="shared" si="5745"/>
        <v>2325</v>
      </c>
      <c r="B2329" s="9">
        <f t="shared" ref="B2329" si="6196">B2328+H2329+I2329+J2329</f>
        <v>54.129999999999995</v>
      </c>
      <c r="C2329" s="3" t="s">
        <v>2554</v>
      </c>
      <c r="D2329">
        <f t="shared" ref="D2329" si="6197">_xlfn.NUMBERVALUE(LEFT(C2329,2))</f>
        <v>13</v>
      </c>
      <c r="E2329">
        <f t="shared" ref="E2329" si="6198">_xlfn.NUMBERVALUE(MID(C2329,4,2))</f>
        <v>3</v>
      </c>
      <c r="F2329">
        <f t="shared" ref="F2329" si="6199">_xlfn.NUMBERVALUE(RIGHT(C2329,4))</f>
        <v>2024</v>
      </c>
      <c r="G2329" t="s">
        <v>7</v>
      </c>
      <c r="H2329">
        <v>-2</v>
      </c>
      <c r="I2329">
        <v>4</v>
      </c>
      <c r="K2329" t="s">
        <v>10</v>
      </c>
      <c r="L2329" s="8">
        <f t="shared" si="6123"/>
        <v>1</v>
      </c>
      <c r="M2329" t="s">
        <v>2564</v>
      </c>
    </row>
    <row r="2330" spans="1:13" x14ac:dyDescent="0.35">
      <c r="A2330">
        <f t="shared" si="5745"/>
        <v>2326</v>
      </c>
      <c r="B2330" s="9">
        <f t="shared" ref="B2330" si="6200">B2329+H2330+I2330+J2330</f>
        <v>52.129999999999995</v>
      </c>
      <c r="C2330" s="3" t="s">
        <v>2554</v>
      </c>
      <c r="D2330">
        <f t="shared" ref="D2330" si="6201">_xlfn.NUMBERVALUE(LEFT(C2330,2))</f>
        <v>13</v>
      </c>
      <c r="E2330">
        <f t="shared" ref="E2330" si="6202">_xlfn.NUMBERVALUE(MID(C2330,4,2))</f>
        <v>3</v>
      </c>
      <c r="F2330">
        <f t="shared" ref="F2330" si="6203">_xlfn.NUMBERVALUE(RIGHT(C2330,4))</f>
        <v>2024</v>
      </c>
      <c r="G2330" t="s">
        <v>7</v>
      </c>
      <c r="H2330">
        <v>-2</v>
      </c>
      <c r="K2330" t="s">
        <v>9</v>
      </c>
      <c r="L2330" s="8">
        <f t="shared" si="6123"/>
        <v>-1</v>
      </c>
      <c r="M2330" t="s">
        <v>2565</v>
      </c>
    </row>
    <row r="2331" spans="1:13" x14ac:dyDescent="0.35">
      <c r="A2331">
        <f t="shared" si="5745"/>
        <v>2327</v>
      </c>
      <c r="B2331" s="9">
        <f t="shared" ref="B2331" si="6204">B2330+H2331+I2331+J2331</f>
        <v>50.129999999999995</v>
      </c>
      <c r="C2331" s="3" t="s">
        <v>2554</v>
      </c>
      <c r="D2331">
        <f t="shared" ref="D2331" si="6205">_xlfn.NUMBERVALUE(LEFT(C2331,2))</f>
        <v>13</v>
      </c>
      <c r="E2331">
        <f t="shared" ref="E2331" si="6206">_xlfn.NUMBERVALUE(MID(C2331,4,2))</f>
        <v>3</v>
      </c>
      <c r="F2331">
        <f t="shared" ref="F2331" si="6207">_xlfn.NUMBERVALUE(RIGHT(C2331,4))</f>
        <v>2024</v>
      </c>
      <c r="G2331" t="s">
        <v>7</v>
      </c>
      <c r="H2331">
        <v>-2</v>
      </c>
      <c r="K2331" t="s">
        <v>9</v>
      </c>
      <c r="L2331" s="8">
        <f t="shared" si="6123"/>
        <v>-1</v>
      </c>
      <c r="M2331" t="s">
        <v>2566</v>
      </c>
    </row>
    <row r="2332" spans="1:13" x14ac:dyDescent="0.35">
      <c r="A2332">
        <f t="shared" si="5745"/>
        <v>2328</v>
      </c>
      <c r="B2332" s="9">
        <f t="shared" ref="B2332" si="6208">B2331+H2332+I2332+J2332</f>
        <v>54.129999999999995</v>
      </c>
      <c r="C2332" s="3" t="s">
        <v>2554</v>
      </c>
      <c r="D2332">
        <f t="shared" ref="D2332" si="6209">_xlfn.NUMBERVALUE(LEFT(C2332,2))</f>
        <v>13</v>
      </c>
      <c r="E2332">
        <f t="shared" ref="E2332" si="6210">_xlfn.NUMBERVALUE(MID(C2332,4,2))</f>
        <v>3</v>
      </c>
      <c r="F2332">
        <f t="shared" ref="F2332" si="6211">_xlfn.NUMBERVALUE(RIGHT(C2332,4))</f>
        <v>2024</v>
      </c>
      <c r="G2332" t="s">
        <v>7</v>
      </c>
      <c r="H2332">
        <v>-2</v>
      </c>
      <c r="I2332">
        <v>6</v>
      </c>
      <c r="K2332" t="s">
        <v>10</v>
      </c>
      <c r="L2332" s="8">
        <f t="shared" si="6123"/>
        <v>2</v>
      </c>
      <c r="M2332" t="s">
        <v>2567</v>
      </c>
    </row>
    <row r="2333" spans="1:13" x14ac:dyDescent="0.35">
      <c r="A2333">
        <f t="shared" si="5745"/>
        <v>2329</v>
      </c>
      <c r="B2333" s="9">
        <f t="shared" ref="B2333" si="6212">B2332+H2333+I2333+J2333</f>
        <v>56.129999999999995</v>
      </c>
      <c r="C2333" s="3" t="s">
        <v>2568</v>
      </c>
      <c r="D2333">
        <f t="shared" ref="D2333" si="6213">_xlfn.NUMBERVALUE(LEFT(C2333,2))</f>
        <v>14</v>
      </c>
      <c r="E2333">
        <f t="shared" ref="E2333" si="6214">_xlfn.NUMBERVALUE(MID(C2333,4,2))</f>
        <v>3</v>
      </c>
      <c r="F2333">
        <f t="shared" ref="F2333" si="6215">_xlfn.NUMBERVALUE(RIGHT(C2333,4))</f>
        <v>2024</v>
      </c>
      <c r="G2333" t="s">
        <v>7</v>
      </c>
      <c r="H2333">
        <v>-2</v>
      </c>
      <c r="I2333">
        <v>4</v>
      </c>
      <c r="K2333" t="s">
        <v>10</v>
      </c>
      <c r="L2333" s="8">
        <f t="shared" si="6123"/>
        <v>1</v>
      </c>
      <c r="M2333" t="s">
        <v>2569</v>
      </c>
    </row>
    <row r="2334" spans="1:13" x14ac:dyDescent="0.35">
      <c r="A2334">
        <f t="shared" si="5745"/>
        <v>2330</v>
      </c>
      <c r="B2334" s="9">
        <f t="shared" ref="B2334" si="6216">B2333+H2334+I2334+J2334</f>
        <v>54.129999999999995</v>
      </c>
      <c r="C2334" s="3" t="s">
        <v>2568</v>
      </c>
      <c r="D2334">
        <f t="shared" ref="D2334" si="6217">_xlfn.NUMBERVALUE(LEFT(C2334,2))</f>
        <v>14</v>
      </c>
      <c r="E2334">
        <f t="shared" ref="E2334" si="6218">_xlfn.NUMBERVALUE(MID(C2334,4,2))</f>
        <v>3</v>
      </c>
      <c r="F2334">
        <f t="shared" ref="F2334" si="6219">_xlfn.NUMBERVALUE(RIGHT(C2334,4))</f>
        <v>2024</v>
      </c>
      <c r="G2334" t="s">
        <v>7</v>
      </c>
      <c r="H2334">
        <v>-2</v>
      </c>
      <c r="K2334" t="s">
        <v>9</v>
      </c>
      <c r="L2334" s="8">
        <f t="shared" si="6123"/>
        <v>-1</v>
      </c>
      <c r="M2334" t="s">
        <v>2570</v>
      </c>
    </row>
    <row r="2335" spans="1:13" x14ac:dyDescent="0.35">
      <c r="A2335">
        <f t="shared" si="5745"/>
        <v>2331</v>
      </c>
      <c r="B2335" s="9">
        <f t="shared" ref="B2335" si="6220">B2334+H2335+I2335+J2335</f>
        <v>52.129999999999995</v>
      </c>
      <c r="C2335" s="3" t="s">
        <v>2568</v>
      </c>
      <c r="D2335">
        <f t="shared" ref="D2335" si="6221">_xlfn.NUMBERVALUE(LEFT(C2335,2))</f>
        <v>14</v>
      </c>
      <c r="E2335">
        <f t="shared" ref="E2335" si="6222">_xlfn.NUMBERVALUE(MID(C2335,4,2))</f>
        <v>3</v>
      </c>
      <c r="F2335">
        <f t="shared" ref="F2335" si="6223">_xlfn.NUMBERVALUE(RIGHT(C2335,4))</f>
        <v>2024</v>
      </c>
      <c r="G2335" t="s">
        <v>7</v>
      </c>
      <c r="H2335">
        <v>-2</v>
      </c>
      <c r="K2335" t="s">
        <v>9</v>
      </c>
      <c r="L2335" s="8">
        <f t="shared" si="6123"/>
        <v>-1</v>
      </c>
      <c r="M2335" t="s">
        <v>2571</v>
      </c>
    </row>
    <row r="2336" spans="1:13" x14ac:dyDescent="0.35">
      <c r="A2336">
        <f t="shared" si="5745"/>
        <v>2332</v>
      </c>
      <c r="B2336" s="9">
        <f t="shared" ref="B2336" si="6224">B2335+H2336+I2336+J2336</f>
        <v>50.129999999999995</v>
      </c>
      <c r="C2336" s="3" t="s">
        <v>2568</v>
      </c>
      <c r="D2336">
        <f t="shared" ref="D2336" si="6225">_xlfn.NUMBERVALUE(LEFT(C2336,2))</f>
        <v>14</v>
      </c>
      <c r="E2336">
        <f t="shared" ref="E2336" si="6226">_xlfn.NUMBERVALUE(MID(C2336,4,2))</f>
        <v>3</v>
      </c>
      <c r="F2336">
        <f t="shared" ref="F2336" si="6227">_xlfn.NUMBERVALUE(RIGHT(C2336,4))</f>
        <v>2024</v>
      </c>
      <c r="G2336" t="s">
        <v>7</v>
      </c>
      <c r="H2336">
        <v>-2</v>
      </c>
      <c r="K2336" t="s">
        <v>9</v>
      </c>
      <c r="L2336" s="8">
        <f t="shared" si="6123"/>
        <v>-1</v>
      </c>
      <c r="M2336" t="s">
        <v>2572</v>
      </c>
    </row>
    <row r="2337" spans="1:13" x14ac:dyDescent="0.35">
      <c r="A2337">
        <f t="shared" si="5745"/>
        <v>2333</v>
      </c>
      <c r="B2337" s="9">
        <f t="shared" ref="B2337" si="6228">B2336+H2337+I2337+J2337</f>
        <v>52.129999999999995</v>
      </c>
      <c r="C2337" s="3" t="s">
        <v>2568</v>
      </c>
      <c r="D2337">
        <f t="shared" ref="D2337" si="6229">_xlfn.NUMBERVALUE(LEFT(C2337,2))</f>
        <v>14</v>
      </c>
      <c r="E2337">
        <f t="shared" ref="E2337" si="6230">_xlfn.NUMBERVALUE(MID(C2337,4,2))</f>
        <v>3</v>
      </c>
      <c r="F2337">
        <f t="shared" ref="F2337" si="6231">_xlfn.NUMBERVALUE(RIGHT(C2337,4))</f>
        <v>2024</v>
      </c>
      <c r="G2337" t="s">
        <v>7</v>
      </c>
      <c r="H2337">
        <v>-2</v>
      </c>
      <c r="I2337">
        <v>4</v>
      </c>
      <c r="K2337" t="s">
        <v>10</v>
      </c>
      <c r="L2337" s="8">
        <f t="shared" si="6123"/>
        <v>1</v>
      </c>
      <c r="M2337" t="s">
        <v>2573</v>
      </c>
    </row>
    <row r="2338" spans="1:13" x14ac:dyDescent="0.35">
      <c r="A2338">
        <f t="shared" si="5745"/>
        <v>2334</v>
      </c>
      <c r="B2338" s="9">
        <f t="shared" ref="B2338" si="6232">B2337+H2338+I2338+J2338</f>
        <v>50.129999999999995</v>
      </c>
      <c r="C2338" s="3" t="s">
        <v>2568</v>
      </c>
      <c r="D2338">
        <f t="shared" ref="D2338" si="6233">_xlfn.NUMBERVALUE(LEFT(C2338,2))</f>
        <v>14</v>
      </c>
      <c r="E2338">
        <f t="shared" ref="E2338" si="6234">_xlfn.NUMBERVALUE(MID(C2338,4,2))</f>
        <v>3</v>
      </c>
      <c r="F2338">
        <f t="shared" ref="F2338" si="6235">_xlfn.NUMBERVALUE(RIGHT(C2338,4))</f>
        <v>2024</v>
      </c>
      <c r="G2338" t="s">
        <v>7</v>
      </c>
      <c r="H2338">
        <v>-2</v>
      </c>
      <c r="K2338" t="s">
        <v>9</v>
      </c>
      <c r="L2338" s="8">
        <f t="shared" si="6123"/>
        <v>-1</v>
      </c>
      <c r="M2338" t="s">
        <v>2574</v>
      </c>
    </row>
    <row r="2339" spans="1:13" x14ac:dyDescent="0.35">
      <c r="A2339">
        <f t="shared" si="5745"/>
        <v>2335</v>
      </c>
      <c r="B2339" s="9">
        <f t="shared" ref="B2339" si="6236">B2338+H2339+I2339+J2339</f>
        <v>48.129999999999995</v>
      </c>
      <c r="C2339" s="3" t="s">
        <v>2568</v>
      </c>
      <c r="D2339">
        <f t="shared" ref="D2339" si="6237">_xlfn.NUMBERVALUE(LEFT(C2339,2))</f>
        <v>14</v>
      </c>
      <c r="E2339">
        <f t="shared" ref="E2339" si="6238">_xlfn.NUMBERVALUE(MID(C2339,4,2))</f>
        <v>3</v>
      </c>
      <c r="F2339">
        <f t="shared" ref="F2339" si="6239">_xlfn.NUMBERVALUE(RIGHT(C2339,4))</f>
        <v>2024</v>
      </c>
      <c r="G2339" t="s">
        <v>7</v>
      </c>
      <c r="H2339">
        <v>-2</v>
      </c>
      <c r="K2339" t="s">
        <v>9</v>
      </c>
      <c r="L2339" s="8">
        <f t="shared" si="6123"/>
        <v>-1</v>
      </c>
      <c r="M2339" t="s">
        <v>2575</v>
      </c>
    </row>
    <row r="2340" spans="1:13" x14ac:dyDescent="0.35">
      <c r="A2340">
        <f t="shared" si="5745"/>
        <v>2336</v>
      </c>
      <c r="B2340" s="9">
        <f t="shared" ref="B2340" si="6240">B2339+H2340+I2340+J2340</f>
        <v>46.129999999999995</v>
      </c>
      <c r="C2340" s="3" t="s">
        <v>2577</v>
      </c>
      <c r="D2340">
        <f t="shared" ref="D2340" si="6241">_xlfn.NUMBERVALUE(LEFT(C2340,2))</f>
        <v>15</v>
      </c>
      <c r="E2340">
        <f t="shared" ref="E2340" si="6242">_xlfn.NUMBERVALUE(MID(C2340,4,2))</f>
        <v>3</v>
      </c>
      <c r="F2340">
        <f t="shared" ref="F2340" si="6243">_xlfn.NUMBERVALUE(RIGHT(C2340,4))</f>
        <v>2024</v>
      </c>
      <c r="G2340" t="s">
        <v>7</v>
      </c>
      <c r="H2340">
        <v>-2</v>
      </c>
      <c r="K2340" t="s">
        <v>9</v>
      </c>
      <c r="L2340" s="8">
        <f t="shared" si="6123"/>
        <v>-1</v>
      </c>
      <c r="M2340" t="s">
        <v>2576</v>
      </c>
    </row>
    <row r="2341" spans="1:13" x14ac:dyDescent="0.35">
      <c r="A2341">
        <f t="shared" si="5745"/>
        <v>2337</v>
      </c>
      <c r="B2341" s="9">
        <f t="shared" ref="B2341" si="6244">B2340+H2341+I2341+J2341</f>
        <v>44.129999999999995</v>
      </c>
      <c r="C2341" s="3" t="s">
        <v>2577</v>
      </c>
      <c r="D2341">
        <f t="shared" ref="D2341" si="6245">_xlfn.NUMBERVALUE(LEFT(C2341,2))</f>
        <v>15</v>
      </c>
      <c r="E2341">
        <f t="shared" ref="E2341" si="6246">_xlfn.NUMBERVALUE(MID(C2341,4,2))</f>
        <v>3</v>
      </c>
      <c r="F2341">
        <f t="shared" ref="F2341" si="6247">_xlfn.NUMBERVALUE(RIGHT(C2341,4))</f>
        <v>2024</v>
      </c>
      <c r="G2341" t="s">
        <v>7</v>
      </c>
      <c r="H2341">
        <v>-2</v>
      </c>
      <c r="K2341" t="s">
        <v>9</v>
      </c>
      <c r="L2341" s="8">
        <f t="shared" si="6123"/>
        <v>-1</v>
      </c>
      <c r="M2341" t="s">
        <v>2578</v>
      </c>
    </row>
    <row r="2342" spans="1:13" x14ac:dyDescent="0.35">
      <c r="A2342">
        <f t="shared" si="5745"/>
        <v>2338</v>
      </c>
      <c r="B2342" s="9">
        <f t="shared" ref="B2342" si="6248">B2341+H2342+I2342+J2342</f>
        <v>42.129999999999995</v>
      </c>
      <c r="C2342" s="3" t="s">
        <v>2577</v>
      </c>
      <c r="D2342">
        <f t="shared" ref="D2342" si="6249">_xlfn.NUMBERVALUE(LEFT(C2342,2))</f>
        <v>15</v>
      </c>
      <c r="E2342">
        <f t="shared" ref="E2342" si="6250">_xlfn.NUMBERVALUE(MID(C2342,4,2))</f>
        <v>3</v>
      </c>
      <c r="F2342">
        <f t="shared" ref="F2342" si="6251">_xlfn.NUMBERVALUE(RIGHT(C2342,4))</f>
        <v>2024</v>
      </c>
      <c r="G2342" t="s">
        <v>7</v>
      </c>
      <c r="H2342">
        <v>-2</v>
      </c>
      <c r="K2342" t="s">
        <v>9</v>
      </c>
      <c r="L2342" s="8">
        <f t="shared" si="6123"/>
        <v>-1</v>
      </c>
      <c r="M2342" t="s">
        <v>2579</v>
      </c>
    </row>
    <row r="2343" spans="1:13" x14ac:dyDescent="0.35">
      <c r="A2343">
        <f t="shared" si="5745"/>
        <v>2339</v>
      </c>
      <c r="B2343" s="9">
        <f t="shared" ref="B2343" si="6252">B2342+H2343+I2343+J2343</f>
        <v>46.129999999999995</v>
      </c>
      <c r="C2343" s="3" t="s">
        <v>2577</v>
      </c>
      <c r="D2343">
        <f t="shared" ref="D2343" si="6253">_xlfn.NUMBERVALUE(LEFT(C2343,2))</f>
        <v>15</v>
      </c>
      <c r="E2343">
        <f t="shared" ref="E2343" si="6254">_xlfn.NUMBERVALUE(MID(C2343,4,2))</f>
        <v>3</v>
      </c>
      <c r="F2343">
        <f t="shared" ref="F2343" si="6255">_xlfn.NUMBERVALUE(RIGHT(C2343,4))</f>
        <v>2024</v>
      </c>
      <c r="G2343" t="s">
        <v>7</v>
      </c>
      <c r="H2343">
        <v>-2</v>
      </c>
      <c r="I2343">
        <v>6</v>
      </c>
      <c r="K2343" t="s">
        <v>10</v>
      </c>
      <c r="L2343" s="8">
        <f t="shared" si="6123"/>
        <v>2</v>
      </c>
      <c r="M2343" t="s">
        <v>2580</v>
      </c>
    </row>
    <row r="2344" spans="1:13" x14ac:dyDescent="0.35">
      <c r="A2344">
        <f t="shared" si="5745"/>
        <v>2340</v>
      </c>
      <c r="B2344" s="9">
        <f t="shared" ref="B2344" si="6256">B2343+H2344+I2344+J2344</f>
        <v>44.129999999999995</v>
      </c>
      <c r="C2344" s="3" t="s">
        <v>2577</v>
      </c>
      <c r="D2344">
        <f t="shared" ref="D2344" si="6257">_xlfn.NUMBERVALUE(LEFT(C2344,2))</f>
        <v>15</v>
      </c>
      <c r="E2344">
        <f t="shared" ref="E2344" si="6258">_xlfn.NUMBERVALUE(MID(C2344,4,2))</f>
        <v>3</v>
      </c>
      <c r="F2344">
        <f t="shared" ref="F2344" si="6259">_xlfn.NUMBERVALUE(RIGHT(C2344,4))</f>
        <v>2024</v>
      </c>
      <c r="G2344" t="s">
        <v>7</v>
      </c>
      <c r="H2344">
        <v>-2</v>
      </c>
      <c r="K2344" t="s">
        <v>9</v>
      </c>
      <c r="L2344" s="8">
        <f t="shared" si="6123"/>
        <v>-1</v>
      </c>
      <c r="M2344" t="s">
        <v>2581</v>
      </c>
    </row>
    <row r="2345" spans="1:13" x14ac:dyDescent="0.35">
      <c r="A2345">
        <f t="shared" si="5745"/>
        <v>2341</v>
      </c>
      <c r="B2345" s="9">
        <f t="shared" ref="B2345" si="6260">B2344+H2345+I2345+J2345</f>
        <v>48.129999999999995</v>
      </c>
      <c r="C2345" s="3" t="s">
        <v>2577</v>
      </c>
      <c r="D2345">
        <f t="shared" ref="D2345" si="6261">_xlfn.NUMBERVALUE(LEFT(C2345,2))</f>
        <v>15</v>
      </c>
      <c r="E2345">
        <f t="shared" ref="E2345" si="6262">_xlfn.NUMBERVALUE(MID(C2345,4,2))</f>
        <v>3</v>
      </c>
      <c r="F2345">
        <f t="shared" ref="F2345" si="6263">_xlfn.NUMBERVALUE(RIGHT(C2345,4))</f>
        <v>2024</v>
      </c>
      <c r="G2345" t="s">
        <v>7</v>
      </c>
      <c r="H2345">
        <v>-2</v>
      </c>
      <c r="I2345">
        <v>6</v>
      </c>
      <c r="K2345" t="s">
        <v>10</v>
      </c>
      <c r="L2345" s="8">
        <f t="shared" si="6123"/>
        <v>2</v>
      </c>
      <c r="M2345" t="s">
        <v>2582</v>
      </c>
    </row>
    <row r="2346" spans="1:13" x14ac:dyDescent="0.35">
      <c r="A2346">
        <f t="shared" si="5745"/>
        <v>2342</v>
      </c>
      <c r="B2346" s="9">
        <f t="shared" ref="B2346" si="6264">B2345+H2346+I2346+J2346</f>
        <v>50.129999999999995</v>
      </c>
      <c r="C2346" s="3" t="s">
        <v>2577</v>
      </c>
      <c r="D2346">
        <f t="shared" ref="D2346" si="6265">_xlfn.NUMBERVALUE(LEFT(C2346,2))</f>
        <v>15</v>
      </c>
      <c r="E2346">
        <f t="shared" ref="E2346" si="6266">_xlfn.NUMBERVALUE(MID(C2346,4,2))</f>
        <v>3</v>
      </c>
      <c r="F2346">
        <f t="shared" ref="F2346" si="6267">_xlfn.NUMBERVALUE(RIGHT(C2346,4))</f>
        <v>2024</v>
      </c>
      <c r="G2346" t="s">
        <v>7</v>
      </c>
      <c r="H2346">
        <v>-2</v>
      </c>
      <c r="I2346">
        <v>4</v>
      </c>
      <c r="K2346" t="s">
        <v>10</v>
      </c>
      <c r="L2346" s="8">
        <f t="shared" si="6123"/>
        <v>1</v>
      </c>
      <c r="M2346" t="s">
        <v>2583</v>
      </c>
    </row>
    <row r="2347" spans="1:13" x14ac:dyDescent="0.35">
      <c r="A2347">
        <f t="shared" si="5745"/>
        <v>2343</v>
      </c>
      <c r="B2347" s="9">
        <f t="shared" ref="B2347" si="6268">B2346+H2347+I2347+J2347</f>
        <v>48.129999999999995</v>
      </c>
      <c r="C2347" s="3" t="s">
        <v>2577</v>
      </c>
      <c r="D2347">
        <f t="shared" ref="D2347" si="6269">_xlfn.NUMBERVALUE(LEFT(C2347,2))</f>
        <v>15</v>
      </c>
      <c r="E2347">
        <f t="shared" ref="E2347" si="6270">_xlfn.NUMBERVALUE(MID(C2347,4,2))</f>
        <v>3</v>
      </c>
      <c r="F2347">
        <f t="shared" ref="F2347" si="6271">_xlfn.NUMBERVALUE(RIGHT(C2347,4))</f>
        <v>2024</v>
      </c>
      <c r="G2347" t="s">
        <v>7</v>
      </c>
      <c r="H2347">
        <v>-2</v>
      </c>
      <c r="K2347" t="s">
        <v>9</v>
      </c>
      <c r="L2347" s="8">
        <f t="shared" si="6123"/>
        <v>-1</v>
      </c>
      <c r="M2347" t="s">
        <v>2584</v>
      </c>
    </row>
    <row r="2348" spans="1:13" x14ac:dyDescent="0.35">
      <c r="A2348">
        <f t="shared" si="5745"/>
        <v>2344</v>
      </c>
      <c r="B2348" s="9">
        <f t="shared" ref="B2348" si="6272">B2347+H2348+I2348+J2348</f>
        <v>46.129999999999995</v>
      </c>
      <c r="C2348" s="3" t="s">
        <v>2577</v>
      </c>
      <c r="D2348">
        <f t="shared" ref="D2348" si="6273">_xlfn.NUMBERVALUE(LEFT(C2348,2))</f>
        <v>15</v>
      </c>
      <c r="E2348">
        <f t="shared" ref="E2348" si="6274">_xlfn.NUMBERVALUE(MID(C2348,4,2))</f>
        <v>3</v>
      </c>
      <c r="F2348">
        <f t="shared" ref="F2348" si="6275">_xlfn.NUMBERVALUE(RIGHT(C2348,4))</f>
        <v>2024</v>
      </c>
      <c r="G2348" t="s">
        <v>7</v>
      </c>
      <c r="H2348">
        <v>-2</v>
      </c>
      <c r="K2348" t="s">
        <v>9</v>
      </c>
      <c r="L2348" s="8">
        <f t="shared" si="6123"/>
        <v>-1</v>
      </c>
      <c r="M2348" t="s">
        <v>2585</v>
      </c>
    </row>
    <row r="2349" spans="1:13" x14ac:dyDescent="0.35">
      <c r="A2349">
        <f t="shared" si="5745"/>
        <v>2345</v>
      </c>
      <c r="B2349" s="9">
        <f t="shared" ref="B2349" si="6276">B2348+H2349+I2349+J2349</f>
        <v>48.129999999999995</v>
      </c>
      <c r="C2349" s="3" t="s">
        <v>2577</v>
      </c>
      <c r="D2349">
        <f t="shared" ref="D2349" si="6277">_xlfn.NUMBERVALUE(LEFT(C2349,2))</f>
        <v>15</v>
      </c>
      <c r="E2349">
        <f t="shared" ref="E2349" si="6278">_xlfn.NUMBERVALUE(MID(C2349,4,2))</f>
        <v>3</v>
      </c>
      <c r="F2349">
        <f t="shared" ref="F2349" si="6279">_xlfn.NUMBERVALUE(RIGHT(C2349,4))</f>
        <v>2024</v>
      </c>
      <c r="G2349" t="s">
        <v>7</v>
      </c>
      <c r="H2349">
        <v>-2</v>
      </c>
      <c r="I2349">
        <v>4</v>
      </c>
      <c r="K2349" t="s">
        <v>10</v>
      </c>
      <c r="L2349" s="8">
        <f t="shared" si="6123"/>
        <v>1</v>
      </c>
      <c r="M2349" t="s">
        <v>2586</v>
      </c>
    </row>
    <row r="2350" spans="1:13" x14ac:dyDescent="0.35">
      <c r="A2350">
        <f t="shared" si="5745"/>
        <v>2346</v>
      </c>
      <c r="B2350" s="9">
        <f t="shared" ref="B2350" si="6280">B2349+H2350+I2350+J2350</f>
        <v>52.129999999999995</v>
      </c>
      <c r="C2350" s="3" t="s">
        <v>2577</v>
      </c>
      <c r="D2350">
        <f t="shared" ref="D2350" si="6281">_xlfn.NUMBERVALUE(LEFT(C2350,2))</f>
        <v>15</v>
      </c>
      <c r="E2350">
        <f t="shared" ref="E2350" si="6282">_xlfn.NUMBERVALUE(MID(C2350,4,2))</f>
        <v>3</v>
      </c>
      <c r="F2350">
        <f t="shared" ref="F2350" si="6283">_xlfn.NUMBERVALUE(RIGHT(C2350,4))</f>
        <v>2024</v>
      </c>
      <c r="G2350" t="s">
        <v>7</v>
      </c>
      <c r="H2350">
        <v>-2</v>
      </c>
      <c r="I2350">
        <v>6</v>
      </c>
      <c r="K2350" t="s">
        <v>10</v>
      </c>
      <c r="L2350" s="8">
        <f t="shared" si="6123"/>
        <v>2</v>
      </c>
      <c r="M2350" t="s">
        <v>2587</v>
      </c>
    </row>
    <row r="2351" spans="1:13" x14ac:dyDescent="0.35">
      <c r="A2351">
        <f t="shared" si="5745"/>
        <v>2347</v>
      </c>
      <c r="B2351" s="9">
        <f t="shared" ref="B2351" si="6284">B2350+H2351+I2351+J2351</f>
        <v>54.129999999999995</v>
      </c>
      <c r="C2351" s="3" t="s">
        <v>2577</v>
      </c>
      <c r="D2351">
        <f t="shared" ref="D2351" si="6285">_xlfn.NUMBERVALUE(LEFT(C2351,2))</f>
        <v>15</v>
      </c>
      <c r="E2351">
        <f t="shared" ref="E2351" si="6286">_xlfn.NUMBERVALUE(MID(C2351,4,2))</f>
        <v>3</v>
      </c>
      <c r="F2351">
        <f t="shared" ref="F2351" si="6287">_xlfn.NUMBERVALUE(RIGHT(C2351,4))</f>
        <v>2024</v>
      </c>
      <c r="G2351" t="s">
        <v>7</v>
      </c>
      <c r="H2351">
        <v>-2</v>
      </c>
      <c r="I2351">
        <v>4</v>
      </c>
      <c r="K2351" t="s">
        <v>10</v>
      </c>
      <c r="L2351" s="8">
        <f t="shared" si="6123"/>
        <v>1</v>
      </c>
      <c r="M2351" t="s">
        <v>2588</v>
      </c>
    </row>
    <row r="2352" spans="1:13" x14ac:dyDescent="0.35">
      <c r="A2352">
        <f t="shared" si="5745"/>
        <v>2348</v>
      </c>
      <c r="B2352" s="9">
        <f t="shared" ref="B2352" si="6288">B2351+H2352+I2352+J2352</f>
        <v>58.129999999999995</v>
      </c>
      <c r="C2352" s="3" t="s">
        <v>2589</v>
      </c>
      <c r="D2352">
        <f t="shared" ref="D2352" si="6289">_xlfn.NUMBERVALUE(LEFT(C2352,2))</f>
        <v>16</v>
      </c>
      <c r="E2352">
        <f t="shared" ref="E2352" si="6290">_xlfn.NUMBERVALUE(MID(C2352,4,2))</f>
        <v>3</v>
      </c>
      <c r="F2352">
        <f t="shared" ref="F2352" si="6291">_xlfn.NUMBERVALUE(RIGHT(C2352,4))</f>
        <v>2024</v>
      </c>
      <c r="G2352" t="s">
        <v>7</v>
      </c>
      <c r="H2352">
        <v>-2</v>
      </c>
      <c r="I2352">
        <v>6</v>
      </c>
      <c r="K2352" t="s">
        <v>10</v>
      </c>
      <c r="L2352" s="8">
        <f t="shared" si="6123"/>
        <v>2</v>
      </c>
      <c r="M2352" t="s">
        <v>2590</v>
      </c>
    </row>
    <row r="2353" spans="1:13" x14ac:dyDescent="0.35">
      <c r="A2353">
        <f t="shared" si="5745"/>
        <v>2349</v>
      </c>
      <c r="B2353" s="9">
        <f t="shared" ref="B2353" si="6292">B2352+H2353+I2353+J2353</f>
        <v>56.129999999999995</v>
      </c>
      <c r="C2353" s="3" t="s">
        <v>2591</v>
      </c>
      <c r="D2353">
        <f t="shared" ref="D2353" si="6293">_xlfn.NUMBERVALUE(LEFT(C2353,2))</f>
        <v>17</v>
      </c>
      <c r="E2353">
        <f t="shared" ref="E2353" si="6294">_xlfn.NUMBERVALUE(MID(C2353,4,2))</f>
        <v>3</v>
      </c>
      <c r="F2353">
        <f t="shared" ref="F2353" si="6295">_xlfn.NUMBERVALUE(RIGHT(C2353,4))</f>
        <v>2024</v>
      </c>
      <c r="G2353" t="s">
        <v>7</v>
      </c>
      <c r="H2353">
        <v>-2</v>
      </c>
      <c r="K2353" t="s">
        <v>9</v>
      </c>
      <c r="L2353" s="8">
        <f t="shared" si="6123"/>
        <v>-1</v>
      </c>
      <c r="M2353" t="s">
        <v>2592</v>
      </c>
    </row>
    <row r="2354" spans="1:13" x14ac:dyDescent="0.35">
      <c r="A2354">
        <f t="shared" si="5745"/>
        <v>2350</v>
      </c>
      <c r="B2354" s="9">
        <f t="shared" ref="B2354" si="6296">B2353+H2354+I2354+J2354</f>
        <v>54.129999999999995</v>
      </c>
      <c r="C2354" s="3" t="s">
        <v>2591</v>
      </c>
      <c r="D2354">
        <f t="shared" ref="D2354" si="6297">_xlfn.NUMBERVALUE(LEFT(C2354,2))</f>
        <v>17</v>
      </c>
      <c r="E2354">
        <f t="shared" ref="E2354" si="6298">_xlfn.NUMBERVALUE(MID(C2354,4,2))</f>
        <v>3</v>
      </c>
      <c r="F2354">
        <f t="shared" ref="F2354" si="6299">_xlfn.NUMBERVALUE(RIGHT(C2354,4))</f>
        <v>2024</v>
      </c>
      <c r="G2354" t="s">
        <v>7</v>
      </c>
      <c r="H2354">
        <v>-2</v>
      </c>
      <c r="K2354" t="s">
        <v>9</v>
      </c>
      <c r="L2354" s="8">
        <f t="shared" si="6123"/>
        <v>-1</v>
      </c>
      <c r="M2354" t="s">
        <v>2593</v>
      </c>
    </row>
    <row r="2355" spans="1:13" x14ac:dyDescent="0.35">
      <c r="A2355">
        <f t="shared" si="5745"/>
        <v>2351</v>
      </c>
      <c r="B2355" s="9">
        <f t="shared" ref="B2355" si="6300">B2354+H2355+I2355+J2355</f>
        <v>52.129999999999995</v>
      </c>
      <c r="C2355" s="3" t="s">
        <v>2591</v>
      </c>
      <c r="D2355">
        <f t="shared" ref="D2355" si="6301">_xlfn.NUMBERVALUE(LEFT(C2355,2))</f>
        <v>17</v>
      </c>
      <c r="E2355">
        <f t="shared" ref="E2355" si="6302">_xlfn.NUMBERVALUE(MID(C2355,4,2))</f>
        <v>3</v>
      </c>
      <c r="F2355">
        <f t="shared" ref="F2355" si="6303">_xlfn.NUMBERVALUE(RIGHT(C2355,4))</f>
        <v>2024</v>
      </c>
      <c r="G2355" t="s">
        <v>7</v>
      </c>
      <c r="H2355">
        <v>-2</v>
      </c>
      <c r="K2355" t="s">
        <v>9</v>
      </c>
      <c r="L2355" s="8">
        <f t="shared" si="6123"/>
        <v>-1</v>
      </c>
      <c r="M2355" t="s">
        <v>2594</v>
      </c>
    </row>
    <row r="2356" spans="1:13" x14ac:dyDescent="0.35">
      <c r="A2356">
        <f t="shared" si="5745"/>
        <v>2352</v>
      </c>
      <c r="B2356" s="9">
        <f t="shared" ref="B2356" si="6304">B2355+H2356+I2356+J2356</f>
        <v>50.129999999999995</v>
      </c>
      <c r="C2356" s="3" t="s">
        <v>2591</v>
      </c>
      <c r="D2356">
        <f t="shared" ref="D2356" si="6305">_xlfn.NUMBERVALUE(LEFT(C2356,2))</f>
        <v>17</v>
      </c>
      <c r="E2356">
        <f t="shared" ref="E2356" si="6306">_xlfn.NUMBERVALUE(MID(C2356,4,2))</f>
        <v>3</v>
      </c>
      <c r="F2356">
        <f t="shared" ref="F2356" si="6307">_xlfn.NUMBERVALUE(RIGHT(C2356,4))</f>
        <v>2024</v>
      </c>
      <c r="G2356" t="s">
        <v>7</v>
      </c>
      <c r="H2356">
        <v>-2</v>
      </c>
      <c r="K2356" t="s">
        <v>9</v>
      </c>
      <c r="L2356" s="8">
        <f t="shared" si="6123"/>
        <v>-1</v>
      </c>
      <c r="M2356" t="s">
        <v>2595</v>
      </c>
    </row>
    <row r="2357" spans="1:13" x14ac:dyDescent="0.35">
      <c r="A2357">
        <f t="shared" si="5745"/>
        <v>2353</v>
      </c>
      <c r="B2357" s="9">
        <f t="shared" ref="B2357" si="6308">B2356+H2357+I2357+J2357</f>
        <v>54.129999999999995</v>
      </c>
      <c r="C2357" s="3" t="s">
        <v>2591</v>
      </c>
      <c r="D2357">
        <f t="shared" ref="D2357" si="6309">_xlfn.NUMBERVALUE(LEFT(C2357,2))</f>
        <v>17</v>
      </c>
      <c r="E2357">
        <f t="shared" ref="E2357" si="6310">_xlfn.NUMBERVALUE(MID(C2357,4,2))</f>
        <v>3</v>
      </c>
      <c r="F2357">
        <f t="shared" ref="F2357" si="6311">_xlfn.NUMBERVALUE(RIGHT(C2357,4))</f>
        <v>2024</v>
      </c>
      <c r="G2357" t="s">
        <v>7</v>
      </c>
      <c r="H2357">
        <v>-2</v>
      </c>
      <c r="I2357">
        <v>6</v>
      </c>
      <c r="K2357" t="s">
        <v>10</v>
      </c>
      <c r="L2357" s="8">
        <f t="shared" si="6123"/>
        <v>2</v>
      </c>
      <c r="M2357" t="s">
        <v>2596</v>
      </c>
    </row>
    <row r="2358" spans="1:13" x14ac:dyDescent="0.35">
      <c r="A2358">
        <f t="shared" si="5745"/>
        <v>2354</v>
      </c>
      <c r="B2358" s="9">
        <f t="shared" ref="B2358" si="6312">B2357+H2358+I2358+J2358</f>
        <v>56.129999999999995</v>
      </c>
      <c r="C2358" s="3" t="s">
        <v>2591</v>
      </c>
      <c r="D2358">
        <f t="shared" ref="D2358" si="6313">_xlfn.NUMBERVALUE(LEFT(C2358,2))</f>
        <v>17</v>
      </c>
      <c r="E2358">
        <f t="shared" ref="E2358" si="6314">_xlfn.NUMBERVALUE(MID(C2358,4,2))</f>
        <v>3</v>
      </c>
      <c r="F2358">
        <f t="shared" ref="F2358" si="6315">_xlfn.NUMBERVALUE(RIGHT(C2358,4))</f>
        <v>2024</v>
      </c>
      <c r="G2358" t="s">
        <v>7</v>
      </c>
      <c r="H2358">
        <v>-2</v>
      </c>
      <c r="I2358">
        <v>4</v>
      </c>
      <c r="K2358" t="s">
        <v>10</v>
      </c>
      <c r="L2358" s="8">
        <f t="shared" si="6123"/>
        <v>1</v>
      </c>
      <c r="M2358" t="s">
        <v>2597</v>
      </c>
    </row>
    <row r="2359" spans="1:13" x14ac:dyDescent="0.35">
      <c r="A2359">
        <f t="shared" si="5745"/>
        <v>2355</v>
      </c>
      <c r="B2359" s="9">
        <f t="shared" ref="B2359" si="6316">B2358+H2359+I2359+J2359</f>
        <v>54.129999999999995</v>
      </c>
      <c r="C2359" s="3" t="s">
        <v>2591</v>
      </c>
      <c r="D2359">
        <f t="shared" ref="D2359" si="6317">_xlfn.NUMBERVALUE(LEFT(C2359,2))</f>
        <v>17</v>
      </c>
      <c r="E2359">
        <f t="shared" ref="E2359" si="6318">_xlfn.NUMBERVALUE(MID(C2359,4,2))</f>
        <v>3</v>
      </c>
      <c r="F2359">
        <f t="shared" ref="F2359" si="6319">_xlfn.NUMBERVALUE(RIGHT(C2359,4))</f>
        <v>2024</v>
      </c>
      <c r="G2359" t="s">
        <v>7</v>
      </c>
      <c r="H2359">
        <v>-2</v>
      </c>
      <c r="K2359" t="s">
        <v>9</v>
      </c>
      <c r="L2359" s="8">
        <f t="shared" si="6123"/>
        <v>-1</v>
      </c>
      <c r="M2359" t="s">
        <v>2598</v>
      </c>
    </row>
    <row r="2360" spans="1:13" x14ac:dyDescent="0.35">
      <c r="A2360">
        <f t="shared" si="5745"/>
        <v>2356</v>
      </c>
      <c r="B2360" s="9">
        <f t="shared" ref="B2360" si="6320">B2359+H2360+I2360+J2360</f>
        <v>52.129999999999995</v>
      </c>
      <c r="C2360" s="3" t="s">
        <v>2591</v>
      </c>
      <c r="D2360">
        <f t="shared" ref="D2360" si="6321">_xlfn.NUMBERVALUE(LEFT(C2360,2))</f>
        <v>17</v>
      </c>
      <c r="E2360">
        <f t="shared" ref="E2360" si="6322">_xlfn.NUMBERVALUE(MID(C2360,4,2))</f>
        <v>3</v>
      </c>
      <c r="F2360">
        <f t="shared" ref="F2360" si="6323">_xlfn.NUMBERVALUE(RIGHT(C2360,4))</f>
        <v>2024</v>
      </c>
      <c r="G2360" t="s">
        <v>7</v>
      </c>
      <c r="H2360">
        <v>-2</v>
      </c>
      <c r="K2360" t="s">
        <v>9</v>
      </c>
      <c r="L2360" s="8">
        <f t="shared" si="6123"/>
        <v>-1</v>
      </c>
      <c r="M2360" t="s">
        <v>2599</v>
      </c>
    </row>
    <row r="2361" spans="1:13" x14ac:dyDescent="0.35">
      <c r="A2361">
        <f t="shared" si="5745"/>
        <v>2357</v>
      </c>
      <c r="B2361" s="9">
        <f t="shared" ref="B2361" si="6324">B2360+H2361+I2361+J2361</f>
        <v>50.129999999999995</v>
      </c>
      <c r="C2361" s="3" t="s">
        <v>2591</v>
      </c>
      <c r="D2361">
        <f t="shared" ref="D2361" si="6325">_xlfn.NUMBERVALUE(LEFT(C2361,2))</f>
        <v>17</v>
      </c>
      <c r="E2361">
        <f t="shared" ref="E2361" si="6326">_xlfn.NUMBERVALUE(MID(C2361,4,2))</f>
        <v>3</v>
      </c>
      <c r="F2361">
        <f t="shared" ref="F2361" si="6327">_xlfn.NUMBERVALUE(RIGHT(C2361,4))</f>
        <v>2024</v>
      </c>
      <c r="G2361" t="s">
        <v>7</v>
      </c>
      <c r="H2361">
        <v>-2</v>
      </c>
      <c r="K2361" t="s">
        <v>9</v>
      </c>
      <c r="L2361" s="8">
        <f t="shared" si="6123"/>
        <v>-1</v>
      </c>
      <c r="M2361" t="s">
        <v>2600</v>
      </c>
    </row>
    <row r="2362" spans="1:13" x14ac:dyDescent="0.35">
      <c r="A2362">
        <f t="shared" si="5745"/>
        <v>2358</v>
      </c>
      <c r="B2362" s="9">
        <f t="shared" ref="B2362" si="6328">B2361+H2362+I2362+J2362</f>
        <v>48.129999999999995</v>
      </c>
      <c r="C2362" s="3" t="s">
        <v>2591</v>
      </c>
      <c r="D2362">
        <f t="shared" ref="D2362" si="6329">_xlfn.NUMBERVALUE(LEFT(C2362,2))</f>
        <v>17</v>
      </c>
      <c r="E2362">
        <f t="shared" ref="E2362" si="6330">_xlfn.NUMBERVALUE(MID(C2362,4,2))</f>
        <v>3</v>
      </c>
      <c r="F2362">
        <f t="shared" ref="F2362" si="6331">_xlfn.NUMBERVALUE(RIGHT(C2362,4))</f>
        <v>2024</v>
      </c>
      <c r="G2362" t="s">
        <v>7</v>
      </c>
      <c r="H2362">
        <v>-2</v>
      </c>
      <c r="K2362" t="s">
        <v>9</v>
      </c>
      <c r="L2362" s="8">
        <f t="shared" si="6123"/>
        <v>-1</v>
      </c>
      <c r="M2362" t="s">
        <v>2601</v>
      </c>
    </row>
    <row r="2363" spans="1:13" x14ac:dyDescent="0.35">
      <c r="A2363">
        <f t="shared" si="5745"/>
        <v>2359</v>
      </c>
      <c r="B2363" s="9">
        <f t="shared" ref="B2363" si="6332">B2362+H2363+I2363+J2363</f>
        <v>46.129999999999995</v>
      </c>
      <c r="C2363" s="3" t="s">
        <v>2591</v>
      </c>
      <c r="D2363">
        <f t="shared" ref="D2363" si="6333">_xlfn.NUMBERVALUE(LEFT(C2363,2))</f>
        <v>17</v>
      </c>
      <c r="E2363">
        <f t="shared" ref="E2363" si="6334">_xlfn.NUMBERVALUE(MID(C2363,4,2))</f>
        <v>3</v>
      </c>
      <c r="F2363">
        <f t="shared" ref="F2363" si="6335">_xlfn.NUMBERVALUE(RIGHT(C2363,4))</f>
        <v>2024</v>
      </c>
      <c r="G2363" t="s">
        <v>7</v>
      </c>
      <c r="H2363">
        <v>-2</v>
      </c>
      <c r="K2363" t="s">
        <v>9</v>
      </c>
      <c r="L2363" s="8">
        <f t="shared" si="6123"/>
        <v>-1</v>
      </c>
      <c r="M2363" t="s">
        <v>2602</v>
      </c>
    </row>
    <row r="2364" spans="1:13" x14ac:dyDescent="0.35">
      <c r="A2364">
        <f t="shared" si="5745"/>
        <v>2360</v>
      </c>
      <c r="B2364" s="9">
        <f t="shared" ref="B2364" si="6336">B2363+H2364+I2364+J2364</f>
        <v>50.129999999999995</v>
      </c>
      <c r="C2364" s="3" t="s">
        <v>2591</v>
      </c>
      <c r="D2364">
        <f t="shared" ref="D2364" si="6337">_xlfn.NUMBERVALUE(LEFT(C2364,2))</f>
        <v>17</v>
      </c>
      <c r="E2364">
        <f t="shared" ref="E2364" si="6338">_xlfn.NUMBERVALUE(MID(C2364,4,2))</f>
        <v>3</v>
      </c>
      <c r="F2364">
        <f t="shared" ref="F2364" si="6339">_xlfn.NUMBERVALUE(RIGHT(C2364,4))</f>
        <v>2024</v>
      </c>
      <c r="G2364" t="s">
        <v>7</v>
      </c>
      <c r="H2364">
        <v>-2</v>
      </c>
      <c r="I2364">
        <v>6</v>
      </c>
      <c r="K2364" t="s">
        <v>10</v>
      </c>
      <c r="L2364" s="8">
        <f t="shared" si="6123"/>
        <v>2</v>
      </c>
      <c r="M2364" t="s">
        <v>2603</v>
      </c>
    </row>
    <row r="2365" spans="1:13" x14ac:dyDescent="0.35">
      <c r="A2365">
        <f t="shared" si="5745"/>
        <v>2361</v>
      </c>
      <c r="B2365" s="9">
        <f t="shared" ref="B2365" si="6340">B2364+H2365+I2365+J2365</f>
        <v>48.129999999999995</v>
      </c>
      <c r="C2365" s="3" t="s">
        <v>2591</v>
      </c>
      <c r="D2365">
        <f t="shared" ref="D2365" si="6341">_xlfn.NUMBERVALUE(LEFT(C2365,2))</f>
        <v>17</v>
      </c>
      <c r="E2365">
        <f t="shared" ref="E2365" si="6342">_xlfn.NUMBERVALUE(MID(C2365,4,2))</f>
        <v>3</v>
      </c>
      <c r="F2365">
        <f t="shared" ref="F2365" si="6343">_xlfn.NUMBERVALUE(RIGHT(C2365,4))</f>
        <v>2024</v>
      </c>
      <c r="G2365" t="s">
        <v>7</v>
      </c>
      <c r="H2365">
        <v>-2</v>
      </c>
      <c r="K2365" t="s">
        <v>9</v>
      </c>
      <c r="L2365" s="8">
        <f t="shared" si="6123"/>
        <v>-1</v>
      </c>
      <c r="M2365" t="s">
        <v>2604</v>
      </c>
    </row>
    <row r="2366" spans="1:13" x14ac:dyDescent="0.35">
      <c r="A2366">
        <f t="shared" si="5745"/>
        <v>2362</v>
      </c>
      <c r="B2366" s="9">
        <f t="shared" ref="B2366" si="6344">B2365+H2366+I2366+J2366</f>
        <v>50.129999999999995</v>
      </c>
      <c r="C2366" s="3" t="s">
        <v>2591</v>
      </c>
      <c r="D2366">
        <f t="shared" ref="D2366" si="6345">_xlfn.NUMBERVALUE(LEFT(C2366,2))</f>
        <v>17</v>
      </c>
      <c r="E2366">
        <f t="shared" ref="E2366" si="6346">_xlfn.NUMBERVALUE(MID(C2366,4,2))</f>
        <v>3</v>
      </c>
      <c r="F2366">
        <f t="shared" ref="F2366" si="6347">_xlfn.NUMBERVALUE(RIGHT(C2366,4))</f>
        <v>2024</v>
      </c>
      <c r="G2366" t="s">
        <v>7</v>
      </c>
      <c r="H2366">
        <v>-2</v>
      </c>
      <c r="I2366">
        <v>4</v>
      </c>
      <c r="K2366" t="s">
        <v>10</v>
      </c>
      <c r="L2366" s="8">
        <f t="shared" si="6123"/>
        <v>1</v>
      </c>
      <c r="M2366" t="s">
        <v>2605</v>
      </c>
    </row>
    <row r="2367" spans="1:13" x14ac:dyDescent="0.35">
      <c r="A2367">
        <f t="shared" si="5745"/>
        <v>2363</v>
      </c>
      <c r="B2367" s="9">
        <f t="shared" ref="B2367" si="6348">B2366+H2367+I2367+J2367</f>
        <v>48.129999999999995</v>
      </c>
      <c r="C2367" s="3" t="s">
        <v>2591</v>
      </c>
      <c r="D2367">
        <f t="shared" ref="D2367" si="6349">_xlfn.NUMBERVALUE(LEFT(C2367,2))</f>
        <v>17</v>
      </c>
      <c r="E2367">
        <f t="shared" ref="E2367" si="6350">_xlfn.NUMBERVALUE(MID(C2367,4,2))</f>
        <v>3</v>
      </c>
      <c r="F2367">
        <f t="shared" ref="F2367" si="6351">_xlfn.NUMBERVALUE(RIGHT(C2367,4))</f>
        <v>2024</v>
      </c>
      <c r="G2367" t="s">
        <v>7</v>
      </c>
      <c r="H2367">
        <v>-2</v>
      </c>
      <c r="K2367" t="s">
        <v>9</v>
      </c>
      <c r="L2367" s="8">
        <f t="shared" si="6123"/>
        <v>-1</v>
      </c>
      <c r="M2367" t="s">
        <v>2606</v>
      </c>
    </row>
    <row r="2368" spans="1:13" x14ac:dyDescent="0.35">
      <c r="A2368">
        <f t="shared" si="5745"/>
        <v>2364</v>
      </c>
      <c r="B2368" s="9">
        <f t="shared" ref="B2368" si="6352">B2367+H2368+I2368+J2368</f>
        <v>46.129999999999995</v>
      </c>
      <c r="C2368" s="3" t="s">
        <v>2591</v>
      </c>
      <c r="D2368">
        <f t="shared" ref="D2368" si="6353">_xlfn.NUMBERVALUE(LEFT(C2368,2))</f>
        <v>17</v>
      </c>
      <c r="E2368">
        <f t="shared" ref="E2368" si="6354">_xlfn.NUMBERVALUE(MID(C2368,4,2))</f>
        <v>3</v>
      </c>
      <c r="F2368">
        <f t="shared" ref="F2368" si="6355">_xlfn.NUMBERVALUE(RIGHT(C2368,4))</f>
        <v>2024</v>
      </c>
      <c r="G2368" t="s">
        <v>7</v>
      </c>
      <c r="H2368">
        <v>-2</v>
      </c>
      <c r="K2368" t="s">
        <v>9</v>
      </c>
      <c r="L2368" s="8">
        <f t="shared" si="6123"/>
        <v>-1</v>
      </c>
      <c r="M2368" t="s">
        <v>2607</v>
      </c>
    </row>
    <row r="2369" spans="1:13" x14ac:dyDescent="0.35">
      <c r="A2369">
        <f t="shared" si="5745"/>
        <v>2365</v>
      </c>
      <c r="B2369" s="9">
        <f t="shared" ref="B2369" si="6356">B2368+H2369+I2369+J2369</f>
        <v>44.129999999999995</v>
      </c>
      <c r="C2369" s="3" t="s">
        <v>2591</v>
      </c>
      <c r="D2369">
        <f t="shared" ref="D2369" si="6357">_xlfn.NUMBERVALUE(LEFT(C2369,2))</f>
        <v>17</v>
      </c>
      <c r="E2369">
        <f t="shared" ref="E2369" si="6358">_xlfn.NUMBERVALUE(MID(C2369,4,2))</f>
        <v>3</v>
      </c>
      <c r="F2369">
        <f t="shared" ref="F2369" si="6359">_xlfn.NUMBERVALUE(RIGHT(C2369,4))</f>
        <v>2024</v>
      </c>
      <c r="G2369" t="s">
        <v>7</v>
      </c>
      <c r="H2369">
        <v>-2</v>
      </c>
      <c r="K2369" t="s">
        <v>9</v>
      </c>
      <c r="L2369" s="8">
        <f t="shared" si="6123"/>
        <v>-1</v>
      </c>
      <c r="M2369" t="s">
        <v>2608</v>
      </c>
    </row>
    <row r="2370" spans="1:13" x14ac:dyDescent="0.35">
      <c r="A2370">
        <f t="shared" si="5745"/>
        <v>2366</v>
      </c>
      <c r="B2370" s="9">
        <f t="shared" ref="B2370" si="6360">B2369+H2370+I2370+J2370</f>
        <v>48.129999999999995</v>
      </c>
      <c r="C2370" s="3" t="s">
        <v>2591</v>
      </c>
      <c r="D2370">
        <f t="shared" ref="D2370" si="6361">_xlfn.NUMBERVALUE(LEFT(C2370,2))</f>
        <v>17</v>
      </c>
      <c r="E2370">
        <f t="shared" ref="E2370" si="6362">_xlfn.NUMBERVALUE(MID(C2370,4,2))</f>
        <v>3</v>
      </c>
      <c r="F2370">
        <f t="shared" ref="F2370" si="6363">_xlfn.NUMBERVALUE(RIGHT(C2370,4))</f>
        <v>2024</v>
      </c>
      <c r="G2370" t="s">
        <v>7</v>
      </c>
      <c r="H2370">
        <v>-2</v>
      </c>
      <c r="I2370">
        <v>6</v>
      </c>
      <c r="K2370" t="s">
        <v>10</v>
      </c>
      <c r="L2370" s="8">
        <f t="shared" si="6123"/>
        <v>2</v>
      </c>
      <c r="M2370" t="s">
        <v>2609</v>
      </c>
    </row>
    <row r="2371" spans="1:13" x14ac:dyDescent="0.35">
      <c r="A2371">
        <f t="shared" si="5745"/>
        <v>2367</v>
      </c>
      <c r="B2371" s="9">
        <f t="shared" ref="B2371" si="6364">B2370+H2371+I2371+J2371</f>
        <v>46.129999999999995</v>
      </c>
      <c r="C2371" s="3" t="s">
        <v>2591</v>
      </c>
      <c r="D2371">
        <f t="shared" ref="D2371" si="6365">_xlfn.NUMBERVALUE(LEFT(C2371,2))</f>
        <v>17</v>
      </c>
      <c r="E2371">
        <f t="shared" ref="E2371" si="6366">_xlfn.NUMBERVALUE(MID(C2371,4,2))</f>
        <v>3</v>
      </c>
      <c r="F2371">
        <f t="shared" ref="F2371" si="6367">_xlfn.NUMBERVALUE(RIGHT(C2371,4))</f>
        <v>2024</v>
      </c>
      <c r="G2371" t="s">
        <v>7</v>
      </c>
      <c r="H2371">
        <v>-2</v>
      </c>
      <c r="K2371" t="s">
        <v>9</v>
      </c>
      <c r="L2371" s="8">
        <f t="shared" si="6123"/>
        <v>-1</v>
      </c>
      <c r="M2371" t="s">
        <v>2610</v>
      </c>
    </row>
    <row r="2372" spans="1:13" x14ac:dyDescent="0.35">
      <c r="A2372">
        <f t="shared" si="5745"/>
        <v>2368</v>
      </c>
      <c r="B2372" s="9">
        <f t="shared" ref="B2372" si="6368">B2371+H2372+I2372+J2372</f>
        <v>48.129999999999995</v>
      </c>
      <c r="C2372" s="3" t="s">
        <v>2591</v>
      </c>
      <c r="D2372">
        <f t="shared" ref="D2372" si="6369">_xlfn.NUMBERVALUE(LEFT(C2372,2))</f>
        <v>17</v>
      </c>
      <c r="E2372">
        <f t="shared" ref="E2372" si="6370">_xlfn.NUMBERVALUE(MID(C2372,4,2))</f>
        <v>3</v>
      </c>
      <c r="F2372">
        <f t="shared" ref="F2372" si="6371">_xlfn.NUMBERVALUE(RIGHT(C2372,4))</f>
        <v>2024</v>
      </c>
      <c r="G2372" t="s">
        <v>7</v>
      </c>
      <c r="H2372">
        <v>-2</v>
      </c>
      <c r="I2372">
        <v>4</v>
      </c>
      <c r="K2372" t="s">
        <v>10</v>
      </c>
      <c r="L2372" s="8">
        <f t="shared" si="6123"/>
        <v>1</v>
      </c>
      <c r="M2372" t="s">
        <v>2611</v>
      </c>
    </row>
    <row r="2373" spans="1:13" x14ac:dyDescent="0.35">
      <c r="A2373">
        <f t="shared" si="5745"/>
        <v>2369</v>
      </c>
      <c r="B2373" s="9">
        <f t="shared" ref="B2373" si="6372">B2372+H2373+I2373+J2373</f>
        <v>50.129999999999995</v>
      </c>
      <c r="C2373" s="3" t="s">
        <v>2591</v>
      </c>
      <c r="D2373">
        <f t="shared" ref="D2373" si="6373">_xlfn.NUMBERVALUE(LEFT(C2373,2))</f>
        <v>17</v>
      </c>
      <c r="E2373">
        <f t="shared" ref="E2373" si="6374">_xlfn.NUMBERVALUE(MID(C2373,4,2))</f>
        <v>3</v>
      </c>
      <c r="F2373">
        <f t="shared" ref="F2373" si="6375">_xlfn.NUMBERVALUE(RIGHT(C2373,4))</f>
        <v>2024</v>
      </c>
      <c r="G2373" t="s">
        <v>7</v>
      </c>
      <c r="H2373">
        <v>-2</v>
      </c>
      <c r="I2373">
        <v>4</v>
      </c>
      <c r="K2373" t="s">
        <v>10</v>
      </c>
      <c r="L2373" s="8">
        <f t="shared" si="6123"/>
        <v>1</v>
      </c>
      <c r="M2373" t="s">
        <v>2612</v>
      </c>
    </row>
    <row r="2374" spans="1:13" x14ac:dyDescent="0.35">
      <c r="A2374">
        <f t="shared" si="5745"/>
        <v>2370</v>
      </c>
      <c r="B2374" s="9">
        <f t="shared" ref="B2374" si="6376">B2373+H2374+I2374+J2374</f>
        <v>54.129999999999995</v>
      </c>
      <c r="C2374" s="3" t="s">
        <v>2591</v>
      </c>
      <c r="D2374">
        <f t="shared" ref="D2374" si="6377">_xlfn.NUMBERVALUE(LEFT(C2374,2))</f>
        <v>17</v>
      </c>
      <c r="E2374">
        <f t="shared" ref="E2374" si="6378">_xlfn.NUMBERVALUE(MID(C2374,4,2))</f>
        <v>3</v>
      </c>
      <c r="F2374">
        <f t="shared" ref="F2374" si="6379">_xlfn.NUMBERVALUE(RIGHT(C2374,4))</f>
        <v>2024</v>
      </c>
      <c r="G2374" t="s">
        <v>7</v>
      </c>
      <c r="H2374">
        <v>-2</v>
      </c>
      <c r="I2374">
        <v>6</v>
      </c>
      <c r="K2374" t="s">
        <v>10</v>
      </c>
      <c r="L2374" s="8">
        <f t="shared" ref="L2374:L2437" si="6380">IF(H2374="",0,(SUM(I2374:J2374)/-H2374)-1)</f>
        <v>2</v>
      </c>
      <c r="M2374" t="s">
        <v>2613</v>
      </c>
    </row>
    <row r="2375" spans="1:13" x14ac:dyDescent="0.35">
      <c r="A2375">
        <f t="shared" si="5745"/>
        <v>2371</v>
      </c>
      <c r="B2375" s="9">
        <f t="shared" ref="B2375" si="6381">B2374+H2375+I2375+J2375</f>
        <v>58.129999999999995</v>
      </c>
      <c r="C2375" s="3" t="s">
        <v>2591</v>
      </c>
      <c r="D2375">
        <f t="shared" ref="D2375" si="6382">_xlfn.NUMBERVALUE(LEFT(C2375,2))</f>
        <v>17</v>
      </c>
      <c r="E2375">
        <f t="shared" ref="E2375" si="6383">_xlfn.NUMBERVALUE(MID(C2375,4,2))</f>
        <v>3</v>
      </c>
      <c r="F2375">
        <f t="shared" ref="F2375" si="6384">_xlfn.NUMBERVALUE(RIGHT(C2375,4))</f>
        <v>2024</v>
      </c>
      <c r="G2375" t="s">
        <v>7</v>
      </c>
      <c r="H2375">
        <v>-2</v>
      </c>
      <c r="I2375">
        <v>6</v>
      </c>
      <c r="K2375" t="s">
        <v>10</v>
      </c>
      <c r="L2375" s="8">
        <f t="shared" si="6380"/>
        <v>2</v>
      </c>
      <c r="M2375" t="s">
        <v>2614</v>
      </c>
    </row>
    <row r="2376" spans="1:13" x14ac:dyDescent="0.35">
      <c r="A2376">
        <f t="shared" si="5745"/>
        <v>2372</v>
      </c>
      <c r="B2376" s="9">
        <f t="shared" ref="B2376" si="6385">B2375+H2376+I2376+J2376</f>
        <v>56.129999999999995</v>
      </c>
      <c r="C2376" s="3" t="s">
        <v>2591</v>
      </c>
      <c r="D2376">
        <f t="shared" ref="D2376" si="6386">_xlfn.NUMBERVALUE(LEFT(C2376,2))</f>
        <v>17</v>
      </c>
      <c r="E2376">
        <f t="shared" ref="E2376" si="6387">_xlfn.NUMBERVALUE(MID(C2376,4,2))</f>
        <v>3</v>
      </c>
      <c r="F2376">
        <f t="shared" ref="F2376" si="6388">_xlfn.NUMBERVALUE(RIGHT(C2376,4))</f>
        <v>2024</v>
      </c>
      <c r="G2376" t="s">
        <v>7</v>
      </c>
      <c r="H2376">
        <v>-2</v>
      </c>
      <c r="K2376" t="s">
        <v>9</v>
      </c>
      <c r="L2376" s="8">
        <f t="shared" si="6380"/>
        <v>-1</v>
      </c>
      <c r="M2376" t="s">
        <v>2615</v>
      </c>
    </row>
    <row r="2377" spans="1:13" x14ac:dyDescent="0.35">
      <c r="A2377">
        <f t="shared" si="5745"/>
        <v>2373</v>
      </c>
      <c r="B2377" s="9">
        <f t="shared" ref="B2377" si="6389">B2376+H2377+I2377+J2377</f>
        <v>60.129999999999995</v>
      </c>
      <c r="C2377" s="3" t="s">
        <v>2591</v>
      </c>
      <c r="D2377">
        <f t="shared" ref="D2377" si="6390">_xlfn.NUMBERVALUE(LEFT(C2377,2))</f>
        <v>17</v>
      </c>
      <c r="E2377">
        <f t="shared" ref="E2377" si="6391">_xlfn.NUMBERVALUE(MID(C2377,4,2))</f>
        <v>3</v>
      </c>
      <c r="F2377">
        <f t="shared" ref="F2377" si="6392">_xlfn.NUMBERVALUE(RIGHT(C2377,4))</f>
        <v>2024</v>
      </c>
      <c r="G2377" t="s">
        <v>7</v>
      </c>
      <c r="H2377">
        <v>-2</v>
      </c>
      <c r="I2377">
        <v>6</v>
      </c>
      <c r="K2377" t="s">
        <v>10</v>
      </c>
      <c r="L2377" s="8">
        <f t="shared" si="6380"/>
        <v>2</v>
      </c>
      <c r="M2377" t="s">
        <v>2616</v>
      </c>
    </row>
    <row r="2378" spans="1:13" x14ac:dyDescent="0.35">
      <c r="A2378">
        <f t="shared" si="5745"/>
        <v>2374</v>
      </c>
      <c r="B2378" s="9">
        <f t="shared" ref="B2378" si="6393">B2377+H2378+I2378+J2378</f>
        <v>58.129999999999995</v>
      </c>
      <c r="C2378" s="3" t="s">
        <v>2617</v>
      </c>
      <c r="D2378">
        <f t="shared" ref="D2378" si="6394">_xlfn.NUMBERVALUE(LEFT(C2378,2))</f>
        <v>18</v>
      </c>
      <c r="E2378">
        <f t="shared" ref="E2378" si="6395">_xlfn.NUMBERVALUE(MID(C2378,4,2))</f>
        <v>3</v>
      </c>
      <c r="F2378">
        <f t="shared" ref="F2378" si="6396">_xlfn.NUMBERVALUE(RIGHT(C2378,4))</f>
        <v>2024</v>
      </c>
      <c r="G2378" t="s">
        <v>7</v>
      </c>
      <c r="H2378">
        <v>-2</v>
      </c>
      <c r="K2378" t="s">
        <v>9</v>
      </c>
      <c r="L2378" s="8">
        <f t="shared" si="6380"/>
        <v>-1</v>
      </c>
      <c r="M2378" t="s">
        <v>2618</v>
      </c>
    </row>
    <row r="2379" spans="1:13" x14ac:dyDescent="0.35">
      <c r="A2379">
        <f t="shared" si="5745"/>
        <v>2375</v>
      </c>
      <c r="B2379" s="9">
        <f t="shared" ref="B2379" si="6397">B2378+H2379+I2379+J2379</f>
        <v>60.129999999999995</v>
      </c>
      <c r="C2379" s="3" t="s">
        <v>2617</v>
      </c>
      <c r="D2379">
        <f t="shared" ref="D2379" si="6398">_xlfn.NUMBERVALUE(LEFT(C2379,2))</f>
        <v>18</v>
      </c>
      <c r="E2379">
        <f t="shared" ref="E2379" si="6399">_xlfn.NUMBERVALUE(MID(C2379,4,2))</f>
        <v>3</v>
      </c>
      <c r="F2379">
        <f t="shared" ref="F2379" si="6400">_xlfn.NUMBERVALUE(RIGHT(C2379,4))</f>
        <v>2024</v>
      </c>
      <c r="G2379" t="s">
        <v>7</v>
      </c>
      <c r="H2379">
        <v>-2</v>
      </c>
      <c r="I2379">
        <v>4</v>
      </c>
      <c r="K2379" t="s">
        <v>10</v>
      </c>
      <c r="L2379" s="8">
        <f t="shared" si="6380"/>
        <v>1</v>
      </c>
      <c r="M2379" t="s">
        <v>2619</v>
      </c>
    </row>
    <row r="2380" spans="1:13" x14ac:dyDescent="0.35">
      <c r="A2380">
        <f t="shared" si="5745"/>
        <v>2376</v>
      </c>
      <c r="B2380" s="9">
        <f t="shared" ref="B2380" si="6401">B2379+H2380+I2380+J2380</f>
        <v>58.129999999999995</v>
      </c>
      <c r="C2380" s="3" t="s">
        <v>2622</v>
      </c>
      <c r="D2380">
        <f t="shared" ref="D2380" si="6402">_xlfn.NUMBERVALUE(LEFT(C2380,2))</f>
        <v>19</v>
      </c>
      <c r="E2380">
        <f t="shared" ref="E2380" si="6403">_xlfn.NUMBERVALUE(MID(C2380,4,2))</f>
        <v>3</v>
      </c>
      <c r="F2380">
        <f t="shared" ref="F2380" si="6404">_xlfn.NUMBERVALUE(RIGHT(C2380,4))</f>
        <v>2024</v>
      </c>
      <c r="G2380" t="s">
        <v>7</v>
      </c>
      <c r="H2380">
        <v>-2</v>
      </c>
      <c r="K2380" t="s">
        <v>9</v>
      </c>
      <c r="L2380" s="8">
        <f t="shared" si="6380"/>
        <v>-1</v>
      </c>
      <c r="M2380" t="s">
        <v>2621</v>
      </c>
    </row>
    <row r="2381" spans="1:13" x14ac:dyDescent="0.35">
      <c r="A2381">
        <f t="shared" si="5745"/>
        <v>2377</v>
      </c>
      <c r="B2381" s="9">
        <f t="shared" ref="B2381" si="6405">B2380+H2381+I2381+J2381</f>
        <v>60.129999999999995</v>
      </c>
      <c r="C2381" s="3" t="s">
        <v>2622</v>
      </c>
      <c r="D2381">
        <f t="shared" ref="D2381" si="6406">_xlfn.NUMBERVALUE(LEFT(C2381,2))</f>
        <v>19</v>
      </c>
      <c r="E2381">
        <f t="shared" ref="E2381" si="6407">_xlfn.NUMBERVALUE(MID(C2381,4,2))</f>
        <v>3</v>
      </c>
      <c r="F2381">
        <f t="shared" ref="F2381" si="6408">_xlfn.NUMBERVALUE(RIGHT(C2381,4))</f>
        <v>2024</v>
      </c>
      <c r="G2381" t="s">
        <v>7</v>
      </c>
      <c r="H2381">
        <v>-2</v>
      </c>
      <c r="I2381">
        <v>4</v>
      </c>
      <c r="K2381" t="s">
        <v>10</v>
      </c>
      <c r="L2381" s="8">
        <f t="shared" si="6380"/>
        <v>1</v>
      </c>
      <c r="M2381" t="s">
        <v>2623</v>
      </c>
    </row>
    <row r="2382" spans="1:13" x14ac:dyDescent="0.35">
      <c r="A2382">
        <f t="shared" si="5745"/>
        <v>2378</v>
      </c>
      <c r="B2382" s="9">
        <f t="shared" ref="B2382" si="6409">B2381+H2382+I2382+J2382</f>
        <v>58.129999999999995</v>
      </c>
      <c r="C2382" s="3" t="s">
        <v>2622</v>
      </c>
      <c r="D2382">
        <f t="shared" ref="D2382" si="6410">_xlfn.NUMBERVALUE(LEFT(C2382,2))</f>
        <v>19</v>
      </c>
      <c r="E2382">
        <f t="shared" ref="E2382" si="6411">_xlfn.NUMBERVALUE(MID(C2382,4,2))</f>
        <v>3</v>
      </c>
      <c r="F2382">
        <f t="shared" ref="F2382" si="6412">_xlfn.NUMBERVALUE(RIGHT(C2382,4))</f>
        <v>2024</v>
      </c>
      <c r="G2382" t="s">
        <v>7</v>
      </c>
      <c r="H2382">
        <v>-2</v>
      </c>
      <c r="K2382" t="s">
        <v>9</v>
      </c>
      <c r="L2382" s="8">
        <f t="shared" si="6380"/>
        <v>-1</v>
      </c>
      <c r="M2382" t="s">
        <v>2624</v>
      </c>
    </row>
    <row r="2383" spans="1:13" x14ac:dyDescent="0.35">
      <c r="A2383">
        <f t="shared" si="5745"/>
        <v>2379</v>
      </c>
      <c r="B2383" s="9">
        <f t="shared" ref="B2383" si="6413">B2382+H2383+I2383+J2383</f>
        <v>56.129999999999995</v>
      </c>
      <c r="C2383" s="3" t="s">
        <v>2622</v>
      </c>
      <c r="D2383">
        <f t="shared" ref="D2383" si="6414">_xlfn.NUMBERVALUE(LEFT(C2383,2))</f>
        <v>19</v>
      </c>
      <c r="E2383">
        <f t="shared" ref="E2383" si="6415">_xlfn.NUMBERVALUE(MID(C2383,4,2))</f>
        <v>3</v>
      </c>
      <c r="F2383">
        <f t="shared" ref="F2383" si="6416">_xlfn.NUMBERVALUE(RIGHT(C2383,4))</f>
        <v>2024</v>
      </c>
      <c r="G2383" t="s">
        <v>7</v>
      </c>
      <c r="H2383">
        <v>-2</v>
      </c>
      <c r="K2383" t="s">
        <v>9</v>
      </c>
      <c r="L2383" s="8">
        <f t="shared" si="6380"/>
        <v>-1</v>
      </c>
      <c r="M2383" t="s">
        <v>2625</v>
      </c>
    </row>
    <row r="2384" spans="1:13" x14ac:dyDescent="0.35">
      <c r="A2384">
        <f t="shared" si="5745"/>
        <v>2380</v>
      </c>
      <c r="B2384" s="9">
        <f t="shared" ref="B2384" si="6417">B2383+H2384+I2384+J2384</f>
        <v>54.129999999999995</v>
      </c>
      <c r="C2384" s="3" t="s">
        <v>2622</v>
      </c>
      <c r="D2384">
        <f t="shared" ref="D2384" si="6418">_xlfn.NUMBERVALUE(LEFT(C2384,2))</f>
        <v>19</v>
      </c>
      <c r="E2384">
        <f t="shared" ref="E2384" si="6419">_xlfn.NUMBERVALUE(MID(C2384,4,2))</f>
        <v>3</v>
      </c>
      <c r="F2384">
        <f t="shared" ref="F2384" si="6420">_xlfn.NUMBERVALUE(RIGHT(C2384,4))</f>
        <v>2024</v>
      </c>
      <c r="G2384" t="s">
        <v>7</v>
      </c>
      <c r="H2384">
        <v>-2</v>
      </c>
      <c r="K2384" t="s">
        <v>9</v>
      </c>
      <c r="L2384" s="8">
        <f t="shared" si="6380"/>
        <v>-1</v>
      </c>
      <c r="M2384" t="s">
        <v>2626</v>
      </c>
    </row>
    <row r="2385" spans="1:13" x14ac:dyDescent="0.35">
      <c r="A2385">
        <f t="shared" si="5745"/>
        <v>2381</v>
      </c>
      <c r="B2385" s="9">
        <f t="shared" ref="B2385" si="6421">B2384+H2385+I2385+J2385</f>
        <v>52.129999999999995</v>
      </c>
      <c r="C2385" s="3" t="s">
        <v>2622</v>
      </c>
      <c r="D2385">
        <f t="shared" ref="D2385" si="6422">_xlfn.NUMBERVALUE(LEFT(C2385,2))</f>
        <v>19</v>
      </c>
      <c r="E2385">
        <f t="shared" ref="E2385" si="6423">_xlfn.NUMBERVALUE(MID(C2385,4,2))</f>
        <v>3</v>
      </c>
      <c r="F2385">
        <f t="shared" ref="F2385" si="6424">_xlfn.NUMBERVALUE(RIGHT(C2385,4))</f>
        <v>2024</v>
      </c>
      <c r="G2385" t="s">
        <v>7</v>
      </c>
      <c r="H2385">
        <v>-2</v>
      </c>
      <c r="K2385" t="s">
        <v>9</v>
      </c>
      <c r="L2385" s="8">
        <f t="shared" si="6380"/>
        <v>-1</v>
      </c>
      <c r="M2385" t="s">
        <v>2627</v>
      </c>
    </row>
    <row r="2386" spans="1:13" x14ac:dyDescent="0.35">
      <c r="A2386">
        <f t="shared" si="5745"/>
        <v>2382</v>
      </c>
      <c r="B2386" s="9">
        <f t="shared" ref="B2386" si="6425">B2385+H2386+I2386+J2386</f>
        <v>56.129999999999995</v>
      </c>
      <c r="C2386" s="3" t="s">
        <v>2622</v>
      </c>
      <c r="D2386">
        <f t="shared" ref="D2386" si="6426">_xlfn.NUMBERVALUE(LEFT(C2386,2))</f>
        <v>19</v>
      </c>
      <c r="E2386">
        <f t="shared" ref="E2386" si="6427">_xlfn.NUMBERVALUE(MID(C2386,4,2))</f>
        <v>3</v>
      </c>
      <c r="F2386">
        <f t="shared" ref="F2386" si="6428">_xlfn.NUMBERVALUE(RIGHT(C2386,4))</f>
        <v>2024</v>
      </c>
      <c r="G2386" t="s">
        <v>7</v>
      </c>
      <c r="H2386">
        <v>-2</v>
      </c>
      <c r="I2386">
        <v>6</v>
      </c>
      <c r="K2386" t="s">
        <v>10</v>
      </c>
      <c r="L2386" s="8">
        <f t="shared" si="6380"/>
        <v>2</v>
      </c>
      <c r="M2386" t="s">
        <v>2628</v>
      </c>
    </row>
    <row r="2387" spans="1:13" x14ac:dyDescent="0.35">
      <c r="A2387">
        <f t="shared" si="5745"/>
        <v>2383</v>
      </c>
      <c r="B2387" s="9">
        <f t="shared" ref="B2387" si="6429">B2386+H2387+I2387+J2387</f>
        <v>54.129999999999995</v>
      </c>
      <c r="C2387" s="3" t="s">
        <v>2622</v>
      </c>
      <c r="D2387">
        <f t="shared" ref="D2387" si="6430">_xlfn.NUMBERVALUE(LEFT(C2387,2))</f>
        <v>19</v>
      </c>
      <c r="E2387">
        <f t="shared" ref="E2387" si="6431">_xlfn.NUMBERVALUE(MID(C2387,4,2))</f>
        <v>3</v>
      </c>
      <c r="F2387">
        <f t="shared" ref="F2387" si="6432">_xlfn.NUMBERVALUE(RIGHT(C2387,4))</f>
        <v>2024</v>
      </c>
      <c r="G2387" t="s">
        <v>7</v>
      </c>
      <c r="H2387">
        <v>-2</v>
      </c>
      <c r="K2387" t="s">
        <v>9</v>
      </c>
      <c r="L2387" s="8">
        <f t="shared" si="6380"/>
        <v>-1</v>
      </c>
      <c r="M2387" t="s">
        <v>2629</v>
      </c>
    </row>
    <row r="2388" spans="1:13" x14ac:dyDescent="0.35">
      <c r="A2388">
        <f t="shared" si="5745"/>
        <v>2384</v>
      </c>
      <c r="B2388" s="9">
        <f t="shared" ref="B2388" si="6433">B2387+H2388+I2388+J2388</f>
        <v>52.129999999999995</v>
      </c>
      <c r="C2388" s="3" t="s">
        <v>2622</v>
      </c>
      <c r="D2388">
        <f t="shared" ref="D2388" si="6434">_xlfn.NUMBERVALUE(LEFT(C2388,2))</f>
        <v>19</v>
      </c>
      <c r="E2388">
        <f t="shared" ref="E2388" si="6435">_xlfn.NUMBERVALUE(MID(C2388,4,2))</f>
        <v>3</v>
      </c>
      <c r="F2388">
        <f t="shared" ref="F2388" si="6436">_xlfn.NUMBERVALUE(RIGHT(C2388,4))</f>
        <v>2024</v>
      </c>
      <c r="G2388" t="s">
        <v>7</v>
      </c>
      <c r="H2388">
        <v>-2</v>
      </c>
      <c r="K2388" t="s">
        <v>9</v>
      </c>
      <c r="L2388" s="8">
        <f t="shared" si="6380"/>
        <v>-1</v>
      </c>
      <c r="M2388" t="s">
        <v>2630</v>
      </c>
    </row>
    <row r="2389" spans="1:13" x14ac:dyDescent="0.35">
      <c r="A2389">
        <f t="shared" si="5745"/>
        <v>2385</v>
      </c>
      <c r="B2389" s="9">
        <f t="shared" ref="B2389" si="6437">B2388+H2389+I2389+J2389</f>
        <v>56.129999999999995</v>
      </c>
      <c r="C2389" s="3" t="s">
        <v>2622</v>
      </c>
      <c r="D2389">
        <f t="shared" ref="D2389" si="6438">_xlfn.NUMBERVALUE(LEFT(C2389,2))</f>
        <v>19</v>
      </c>
      <c r="E2389">
        <f t="shared" ref="E2389" si="6439">_xlfn.NUMBERVALUE(MID(C2389,4,2))</f>
        <v>3</v>
      </c>
      <c r="F2389">
        <f t="shared" ref="F2389" si="6440">_xlfn.NUMBERVALUE(RIGHT(C2389,4))</f>
        <v>2024</v>
      </c>
      <c r="G2389" t="s">
        <v>7</v>
      </c>
      <c r="H2389">
        <v>-2</v>
      </c>
      <c r="I2389">
        <v>6</v>
      </c>
      <c r="K2389" t="s">
        <v>10</v>
      </c>
      <c r="L2389" s="8">
        <f t="shared" si="6380"/>
        <v>2</v>
      </c>
      <c r="M2389" t="s">
        <v>2631</v>
      </c>
    </row>
    <row r="2390" spans="1:13" x14ac:dyDescent="0.35">
      <c r="A2390">
        <f t="shared" si="5745"/>
        <v>2386</v>
      </c>
      <c r="B2390" s="9">
        <f t="shared" ref="B2390" si="6441">B2389+H2390+I2390+J2390</f>
        <v>54.129999999999995</v>
      </c>
      <c r="C2390" s="3" t="s">
        <v>2632</v>
      </c>
      <c r="D2390">
        <f t="shared" ref="D2390" si="6442">_xlfn.NUMBERVALUE(LEFT(C2390,2))</f>
        <v>20</v>
      </c>
      <c r="E2390">
        <f t="shared" ref="E2390" si="6443">_xlfn.NUMBERVALUE(MID(C2390,4,2))</f>
        <v>3</v>
      </c>
      <c r="F2390">
        <f t="shared" ref="F2390" si="6444">_xlfn.NUMBERVALUE(RIGHT(C2390,4))</f>
        <v>2024</v>
      </c>
      <c r="G2390" t="s">
        <v>7</v>
      </c>
      <c r="H2390">
        <v>-2</v>
      </c>
      <c r="K2390" t="s">
        <v>9</v>
      </c>
      <c r="L2390" s="8">
        <f t="shared" si="6380"/>
        <v>-1</v>
      </c>
      <c r="M2390" t="s">
        <v>2633</v>
      </c>
    </row>
    <row r="2391" spans="1:13" x14ac:dyDescent="0.35">
      <c r="A2391">
        <f t="shared" si="5745"/>
        <v>2387</v>
      </c>
      <c r="B2391" s="9">
        <f t="shared" ref="B2391" si="6445">B2390+H2391+I2391+J2391</f>
        <v>60.129999999999995</v>
      </c>
      <c r="C2391" s="3" t="s">
        <v>2632</v>
      </c>
      <c r="D2391">
        <f t="shared" ref="D2391" si="6446">_xlfn.NUMBERVALUE(LEFT(C2391,2))</f>
        <v>20</v>
      </c>
      <c r="E2391">
        <f t="shared" ref="E2391" si="6447">_xlfn.NUMBERVALUE(MID(C2391,4,2))</f>
        <v>3</v>
      </c>
      <c r="F2391">
        <f t="shared" ref="F2391" si="6448">_xlfn.NUMBERVALUE(RIGHT(C2391,4))</f>
        <v>2024</v>
      </c>
      <c r="G2391" t="s">
        <v>7</v>
      </c>
      <c r="H2391">
        <v>-2</v>
      </c>
      <c r="I2391">
        <v>8</v>
      </c>
      <c r="K2391" t="s">
        <v>10</v>
      </c>
      <c r="L2391" s="8">
        <f t="shared" si="6380"/>
        <v>3</v>
      </c>
      <c r="M2391" t="s">
        <v>2634</v>
      </c>
    </row>
    <row r="2392" spans="1:13" x14ac:dyDescent="0.35">
      <c r="A2392">
        <f t="shared" si="5745"/>
        <v>2388</v>
      </c>
      <c r="B2392" s="9">
        <f t="shared" ref="B2392" si="6449">B2391+H2392+I2392+J2392</f>
        <v>64.13</v>
      </c>
      <c r="C2392" s="3" t="s">
        <v>2632</v>
      </c>
      <c r="D2392">
        <f t="shared" ref="D2392" si="6450">_xlfn.NUMBERVALUE(LEFT(C2392,2))</f>
        <v>20</v>
      </c>
      <c r="E2392">
        <f t="shared" ref="E2392" si="6451">_xlfn.NUMBERVALUE(MID(C2392,4,2))</f>
        <v>3</v>
      </c>
      <c r="F2392">
        <f t="shared" ref="F2392" si="6452">_xlfn.NUMBERVALUE(RIGHT(C2392,4))</f>
        <v>2024</v>
      </c>
      <c r="G2392" t="s">
        <v>7</v>
      </c>
      <c r="H2392">
        <v>-2</v>
      </c>
      <c r="I2392">
        <v>6</v>
      </c>
      <c r="K2392" t="s">
        <v>10</v>
      </c>
      <c r="L2392" s="8">
        <f t="shared" si="6380"/>
        <v>2</v>
      </c>
      <c r="M2392" t="s">
        <v>2635</v>
      </c>
    </row>
    <row r="2393" spans="1:13" x14ac:dyDescent="0.35">
      <c r="A2393">
        <f t="shared" si="5745"/>
        <v>2389</v>
      </c>
      <c r="B2393" s="9">
        <f t="shared" ref="B2393" si="6453">B2392+H2393+I2393+J2393</f>
        <v>62.129999999999995</v>
      </c>
      <c r="C2393" s="3" t="s">
        <v>2632</v>
      </c>
      <c r="D2393">
        <f t="shared" ref="D2393" si="6454">_xlfn.NUMBERVALUE(LEFT(C2393,2))</f>
        <v>20</v>
      </c>
      <c r="E2393">
        <f t="shared" ref="E2393" si="6455">_xlfn.NUMBERVALUE(MID(C2393,4,2))</f>
        <v>3</v>
      </c>
      <c r="F2393">
        <f t="shared" ref="F2393" si="6456">_xlfn.NUMBERVALUE(RIGHT(C2393,4))</f>
        <v>2024</v>
      </c>
      <c r="G2393" t="s">
        <v>7</v>
      </c>
      <c r="H2393">
        <v>-2</v>
      </c>
      <c r="K2393" t="s">
        <v>9</v>
      </c>
      <c r="L2393" s="8">
        <f t="shared" si="6380"/>
        <v>-1</v>
      </c>
      <c r="M2393" t="s">
        <v>2636</v>
      </c>
    </row>
    <row r="2394" spans="1:13" x14ac:dyDescent="0.35">
      <c r="A2394">
        <f t="shared" si="5745"/>
        <v>2390</v>
      </c>
      <c r="B2394" s="9">
        <f t="shared" ref="B2394" si="6457">B2393+H2394+I2394+J2394</f>
        <v>60.129999999999995</v>
      </c>
      <c r="C2394" s="3" t="s">
        <v>2632</v>
      </c>
      <c r="D2394">
        <f t="shared" ref="D2394" si="6458">_xlfn.NUMBERVALUE(LEFT(C2394,2))</f>
        <v>20</v>
      </c>
      <c r="E2394">
        <f t="shared" ref="E2394" si="6459">_xlfn.NUMBERVALUE(MID(C2394,4,2))</f>
        <v>3</v>
      </c>
      <c r="F2394">
        <f t="shared" ref="F2394" si="6460">_xlfn.NUMBERVALUE(RIGHT(C2394,4))</f>
        <v>2024</v>
      </c>
      <c r="G2394" t="s">
        <v>7</v>
      </c>
      <c r="H2394">
        <v>-2</v>
      </c>
      <c r="K2394" t="s">
        <v>9</v>
      </c>
      <c r="L2394" s="8">
        <f t="shared" si="6380"/>
        <v>-1</v>
      </c>
      <c r="M2394" t="s">
        <v>2637</v>
      </c>
    </row>
    <row r="2395" spans="1:13" x14ac:dyDescent="0.35">
      <c r="A2395">
        <f t="shared" si="5745"/>
        <v>2391</v>
      </c>
      <c r="B2395" s="9">
        <f t="shared" ref="B2395" si="6461">B2394+H2395+I2395+J2395</f>
        <v>58.129999999999995</v>
      </c>
      <c r="C2395" s="3" t="s">
        <v>2632</v>
      </c>
      <c r="D2395">
        <f t="shared" ref="D2395" si="6462">_xlfn.NUMBERVALUE(LEFT(C2395,2))</f>
        <v>20</v>
      </c>
      <c r="E2395">
        <f t="shared" ref="E2395" si="6463">_xlfn.NUMBERVALUE(MID(C2395,4,2))</f>
        <v>3</v>
      </c>
      <c r="F2395">
        <f t="shared" ref="F2395" si="6464">_xlfn.NUMBERVALUE(RIGHT(C2395,4))</f>
        <v>2024</v>
      </c>
      <c r="G2395" t="s">
        <v>7</v>
      </c>
      <c r="H2395">
        <v>-2</v>
      </c>
      <c r="K2395" t="s">
        <v>9</v>
      </c>
      <c r="L2395" s="8">
        <f t="shared" si="6380"/>
        <v>-1</v>
      </c>
      <c r="M2395" t="s">
        <v>2638</v>
      </c>
    </row>
    <row r="2396" spans="1:13" x14ac:dyDescent="0.35">
      <c r="A2396">
        <f t="shared" si="5745"/>
        <v>2392</v>
      </c>
      <c r="B2396" s="9">
        <f t="shared" ref="B2396" si="6465">B2395+H2396+I2396+J2396</f>
        <v>64.13</v>
      </c>
      <c r="C2396" s="3" t="s">
        <v>2639</v>
      </c>
      <c r="D2396">
        <f t="shared" ref="D2396" si="6466">_xlfn.NUMBERVALUE(LEFT(C2396,2))</f>
        <v>22</v>
      </c>
      <c r="E2396">
        <f t="shared" ref="E2396" si="6467">_xlfn.NUMBERVALUE(MID(C2396,4,2))</f>
        <v>3</v>
      </c>
      <c r="F2396">
        <f t="shared" ref="F2396" si="6468">_xlfn.NUMBERVALUE(RIGHT(C2396,4))</f>
        <v>2024</v>
      </c>
      <c r="G2396" t="s">
        <v>7</v>
      </c>
      <c r="H2396">
        <v>-2</v>
      </c>
      <c r="I2396">
        <v>8</v>
      </c>
      <c r="K2396" t="s">
        <v>10</v>
      </c>
      <c r="L2396" s="8">
        <f t="shared" si="6380"/>
        <v>3</v>
      </c>
      <c r="M2396" t="s">
        <v>2640</v>
      </c>
    </row>
    <row r="2397" spans="1:13" x14ac:dyDescent="0.35">
      <c r="A2397">
        <f t="shared" si="5745"/>
        <v>2393</v>
      </c>
      <c r="B2397" s="9">
        <f t="shared" ref="B2397" si="6469">B2396+H2397+I2397+J2397</f>
        <v>62.129999999999995</v>
      </c>
      <c r="C2397" s="3" t="s">
        <v>2639</v>
      </c>
      <c r="D2397">
        <f t="shared" ref="D2397" si="6470">_xlfn.NUMBERVALUE(LEFT(C2397,2))</f>
        <v>22</v>
      </c>
      <c r="E2397">
        <f t="shared" ref="E2397" si="6471">_xlfn.NUMBERVALUE(MID(C2397,4,2))</f>
        <v>3</v>
      </c>
      <c r="F2397">
        <f t="shared" ref="F2397" si="6472">_xlfn.NUMBERVALUE(RIGHT(C2397,4))</f>
        <v>2024</v>
      </c>
      <c r="G2397" t="s">
        <v>7</v>
      </c>
      <c r="H2397">
        <v>-2</v>
      </c>
      <c r="K2397" t="s">
        <v>9</v>
      </c>
      <c r="L2397" s="8">
        <f t="shared" si="6380"/>
        <v>-1</v>
      </c>
      <c r="M2397" t="s">
        <v>2641</v>
      </c>
    </row>
    <row r="2398" spans="1:13" x14ac:dyDescent="0.35">
      <c r="A2398">
        <f t="shared" si="5745"/>
        <v>2394</v>
      </c>
      <c r="B2398" s="9">
        <f t="shared" ref="B2398" si="6473">B2397+H2398+I2398+J2398</f>
        <v>64.13</v>
      </c>
      <c r="C2398" s="3" t="s">
        <v>2639</v>
      </c>
      <c r="D2398">
        <f t="shared" ref="D2398" si="6474">_xlfn.NUMBERVALUE(LEFT(C2398,2))</f>
        <v>22</v>
      </c>
      <c r="E2398">
        <f t="shared" ref="E2398" si="6475">_xlfn.NUMBERVALUE(MID(C2398,4,2))</f>
        <v>3</v>
      </c>
      <c r="F2398">
        <f t="shared" ref="F2398" si="6476">_xlfn.NUMBERVALUE(RIGHT(C2398,4))</f>
        <v>2024</v>
      </c>
      <c r="G2398" t="s">
        <v>7</v>
      </c>
      <c r="H2398">
        <v>-2</v>
      </c>
      <c r="I2398">
        <v>4</v>
      </c>
      <c r="K2398" t="s">
        <v>10</v>
      </c>
      <c r="L2398" s="8">
        <f t="shared" si="6380"/>
        <v>1</v>
      </c>
      <c r="M2398" t="s">
        <v>2642</v>
      </c>
    </row>
    <row r="2399" spans="1:13" x14ac:dyDescent="0.35">
      <c r="A2399">
        <f t="shared" si="5745"/>
        <v>2395</v>
      </c>
      <c r="B2399" s="9">
        <f t="shared" ref="B2399" si="6477">B2398+H2399+I2399+J2399</f>
        <v>70.13</v>
      </c>
      <c r="C2399" s="3" t="s">
        <v>2639</v>
      </c>
      <c r="D2399">
        <f t="shared" ref="D2399" si="6478">_xlfn.NUMBERVALUE(LEFT(C2399,2))</f>
        <v>22</v>
      </c>
      <c r="E2399">
        <f t="shared" ref="E2399" si="6479">_xlfn.NUMBERVALUE(MID(C2399,4,2))</f>
        <v>3</v>
      </c>
      <c r="F2399">
        <f t="shared" ref="F2399" si="6480">_xlfn.NUMBERVALUE(RIGHT(C2399,4))</f>
        <v>2024</v>
      </c>
      <c r="G2399" t="s">
        <v>7</v>
      </c>
      <c r="H2399">
        <v>-2</v>
      </c>
      <c r="I2399">
        <v>8</v>
      </c>
      <c r="K2399" t="s">
        <v>10</v>
      </c>
      <c r="L2399" s="8">
        <f t="shared" si="6380"/>
        <v>3</v>
      </c>
      <c r="M2399" t="s">
        <v>2643</v>
      </c>
    </row>
    <row r="2400" spans="1:13" x14ac:dyDescent="0.35">
      <c r="A2400">
        <f t="shared" si="5745"/>
        <v>2396</v>
      </c>
      <c r="B2400" s="9">
        <f t="shared" ref="B2400" si="6481">B2399+H2400+I2400+J2400</f>
        <v>72.13</v>
      </c>
      <c r="C2400" s="3" t="s">
        <v>2639</v>
      </c>
      <c r="D2400">
        <f t="shared" ref="D2400" si="6482">_xlfn.NUMBERVALUE(LEFT(C2400,2))</f>
        <v>22</v>
      </c>
      <c r="E2400">
        <f t="shared" ref="E2400" si="6483">_xlfn.NUMBERVALUE(MID(C2400,4,2))</f>
        <v>3</v>
      </c>
      <c r="F2400">
        <f t="shared" ref="F2400" si="6484">_xlfn.NUMBERVALUE(RIGHT(C2400,4))</f>
        <v>2024</v>
      </c>
      <c r="G2400" t="s">
        <v>7</v>
      </c>
      <c r="H2400">
        <v>-2</v>
      </c>
      <c r="I2400">
        <v>4</v>
      </c>
      <c r="K2400" t="s">
        <v>10</v>
      </c>
      <c r="L2400" s="8">
        <f t="shared" si="6380"/>
        <v>1</v>
      </c>
      <c r="M2400" t="s">
        <v>2644</v>
      </c>
    </row>
    <row r="2401" spans="1:13" x14ac:dyDescent="0.35">
      <c r="A2401">
        <f t="shared" si="5745"/>
        <v>2397</v>
      </c>
      <c r="B2401" s="9">
        <f t="shared" ref="B2401" si="6485">B2400+H2401+I2401+J2401</f>
        <v>70.13</v>
      </c>
      <c r="C2401" s="3" t="s">
        <v>2639</v>
      </c>
      <c r="D2401">
        <f t="shared" ref="D2401" si="6486">_xlfn.NUMBERVALUE(LEFT(C2401,2))</f>
        <v>22</v>
      </c>
      <c r="E2401">
        <f t="shared" ref="E2401" si="6487">_xlfn.NUMBERVALUE(MID(C2401,4,2))</f>
        <v>3</v>
      </c>
      <c r="F2401">
        <f t="shared" ref="F2401" si="6488">_xlfn.NUMBERVALUE(RIGHT(C2401,4))</f>
        <v>2024</v>
      </c>
      <c r="G2401" t="s">
        <v>7</v>
      </c>
      <c r="H2401">
        <v>-2</v>
      </c>
      <c r="K2401" t="s">
        <v>9</v>
      </c>
      <c r="L2401" s="8">
        <f t="shared" si="6380"/>
        <v>-1</v>
      </c>
      <c r="M2401" t="s">
        <v>2645</v>
      </c>
    </row>
    <row r="2402" spans="1:13" x14ac:dyDescent="0.35">
      <c r="A2402">
        <f t="shared" si="5745"/>
        <v>2398</v>
      </c>
      <c r="B2402" s="9">
        <f t="shared" ref="B2402" si="6489">B2401+H2402+I2402+J2402</f>
        <v>68.13</v>
      </c>
      <c r="C2402" s="3" t="s">
        <v>2639</v>
      </c>
      <c r="D2402">
        <f t="shared" ref="D2402" si="6490">_xlfn.NUMBERVALUE(LEFT(C2402,2))</f>
        <v>22</v>
      </c>
      <c r="E2402">
        <f t="shared" ref="E2402" si="6491">_xlfn.NUMBERVALUE(MID(C2402,4,2))</f>
        <v>3</v>
      </c>
      <c r="F2402">
        <f t="shared" ref="F2402" si="6492">_xlfn.NUMBERVALUE(RIGHT(C2402,4))</f>
        <v>2024</v>
      </c>
      <c r="G2402" t="s">
        <v>7</v>
      </c>
      <c r="H2402">
        <v>-2</v>
      </c>
      <c r="K2402" t="s">
        <v>9</v>
      </c>
      <c r="L2402" s="8">
        <f t="shared" si="6380"/>
        <v>-1</v>
      </c>
      <c r="M2402" t="s">
        <v>2646</v>
      </c>
    </row>
    <row r="2403" spans="1:13" x14ac:dyDescent="0.35">
      <c r="A2403">
        <f t="shared" si="5745"/>
        <v>2399</v>
      </c>
      <c r="B2403" s="9">
        <f t="shared" ref="B2403" si="6493">B2402+H2403+I2403+J2403</f>
        <v>66.13</v>
      </c>
      <c r="C2403" s="3" t="s">
        <v>2639</v>
      </c>
      <c r="D2403">
        <f t="shared" ref="D2403" si="6494">_xlfn.NUMBERVALUE(LEFT(C2403,2))</f>
        <v>22</v>
      </c>
      <c r="E2403">
        <f t="shared" ref="E2403" si="6495">_xlfn.NUMBERVALUE(MID(C2403,4,2))</f>
        <v>3</v>
      </c>
      <c r="F2403">
        <f t="shared" ref="F2403" si="6496">_xlfn.NUMBERVALUE(RIGHT(C2403,4))</f>
        <v>2024</v>
      </c>
      <c r="G2403" t="s">
        <v>7</v>
      </c>
      <c r="H2403">
        <v>-2</v>
      </c>
      <c r="K2403" t="s">
        <v>9</v>
      </c>
      <c r="L2403" s="8">
        <f t="shared" si="6380"/>
        <v>-1</v>
      </c>
      <c r="M2403" t="s">
        <v>2647</v>
      </c>
    </row>
    <row r="2404" spans="1:13" x14ac:dyDescent="0.35">
      <c r="A2404">
        <f t="shared" si="5745"/>
        <v>2400</v>
      </c>
      <c r="B2404" s="9">
        <f t="shared" ref="B2404" si="6497">B2403+H2404+I2404+J2404</f>
        <v>64.13</v>
      </c>
      <c r="C2404" s="3" t="s">
        <v>2639</v>
      </c>
      <c r="D2404">
        <f t="shared" ref="D2404" si="6498">_xlfn.NUMBERVALUE(LEFT(C2404,2))</f>
        <v>22</v>
      </c>
      <c r="E2404">
        <f t="shared" ref="E2404" si="6499">_xlfn.NUMBERVALUE(MID(C2404,4,2))</f>
        <v>3</v>
      </c>
      <c r="F2404">
        <f t="shared" ref="F2404" si="6500">_xlfn.NUMBERVALUE(RIGHT(C2404,4))</f>
        <v>2024</v>
      </c>
      <c r="G2404" t="s">
        <v>7</v>
      </c>
      <c r="H2404">
        <v>-2</v>
      </c>
      <c r="K2404" t="s">
        <v>9</v>
      </c>
      <c r="L2404" s="8">
        <f t="shared" si="6380"/>
        <v>-1</v>
      </c>
      <c r="M2404" t="s">
        <v>2648</v>
      </c>
    </row>
    <row r="2405" spans="1:13" x14ac:dyDescent="0.35">
      <c r="A2405">
        <f t="shared" si="5745"/>
        <v>2401</v>
      </c>
      <c r="B2405" s="9">
        <f t="shared" ref="B2405" si="6501">B2404+H2405+I2405+J2405</f>
        <v>66.13</v>
      </c>
      <c r="C2405" s="3" t="s">
        <v>2639</v>
      </c>
      <c r="D2405">
        <f t="shared" ref="D2405" si="6502">_xlfn.NUMBERVALUE(LEFT(C2405,2))</f>
        <v>22</v>
      </c>
      <c r="E2405">
        <f t="shared" ref="E2405" si="6503">_xlfn.NUMBERVALUE(MID(C2405,4,2))</f>
        <v>3</v>
      </c>
      <c r="F2405">
        <f t="shared" ref="F2405" si="6504">_xlfn.NUMBERVALUE(RIGHT(C2405,4))</f>
        <v>2024</v>
      </c>
      <c r="G2405" t="s">
        <v>7</v>
      </c>
      <c r="H2405">
        <v>-2</v>
      </c>
      <c r="I2405">
        <v>4</v>
      </c>
      <c r="K2405" t="s">
        <v>10</v>
      </c>
      <c r="L2405" s="8">
        <f t="shared" si="6380"/>
        <v>1</v>
      </c>
      <c r="M2405" t="s">
        <v>2649</v>
      </c>
    </row>
    <row r="2406" spans="1:13" x14ac:dyDescent="0.35">
      <c r="A2406">
        <f t="shared" si="5745"/>
        <v>2402</v>
      </c>
      <c r="B2406" s="9">
        <f t="shared" ref="B2406" si="6505">B2405+H2406+I2406+J2406</f>
        <v>64.13</v>
      </c>
      <c r="C2406" s="3" t="s">
        <v>2639</v>
      </c>
      <c r="D2406">
        <f t="shared" ref="D2406" si="6506">_xlfn.NUMBERVALUE(LEFT(C2406,2))</f>
        <v>22</v>
      </c>
      <c r="E2406">
        <f t="shared" ref="E2406" si="6507">_xlfn.NUMBERVALUE(MID(C2406,4,2))</f>
        <v>3</v>
      </c>
      <c r="F2406">
        <f t="shared" ref="F2406" si="6508">_xlfn.NUMBERVALUE(RIGHT(C2406,4))</f>
        <v>2024</v>
      </c>
      <c r="G2406" t="s">
        <v>7</v>
      </c>
      <c r="H2406">
        <v>-2</v>
      </c>
      <c r="K2406" t="s">
        <v>9</v>
      </c>
      <c r="L2406" s="8">
        <f t="shared" si="6380"/>
        <v>-1</v>
      </c>
      <c r="M2406" t="s">
        <v>2650</v>
      </c>
    </row>
    <row r="2407" spans="1:13" x14ac:dyDescent="0.35">
      <c r="A2407">
        <f t="shared" si="5745"/>
        <v>2403</v>
      </c>
      <c r="B2407" s="9">
        <f t="shared" ref="B2407" si="6509">B2406+H2407+I2407+J2407</f>
        <v>66.13</v>
      </c>
      <c r="C2407" s="3" t="s">
        <v>2639</v>
      </c>
      <c r="D2407">
        <f t="shared" ref="D2407" si="6510">_xlfn.NUMBERVALUE(LEFT(C2407,2))</f>
        <v>22</v>
      </c>
      <c r="E2407">
        <f t="shared" ref="E2407" si="6511">_xlfn.NUMBERVALUE(MID(C2407,4,2))</f>
        <v>3</v>
      </c>
      <c r="F2407">
        <f t="shared" ref="F2407" si="6512">_xlfn.NUMBERVALUE(RIGHT(C2407,4))</f>
        <v>2024</v>
      </c>
      <c r="G2407" t="s">
        <v>7</v>
      </c>
      <c r="H2407">
        <v>-2</v>
      </c>
      <c r="I2407">
        <v>4</v>
      </c>
      <c r="K2407" t="s">
        <v>10</v>
      </c>
      <c r="L2407" s="8">
        <f t="shared" si="6380"/>
        <v>1</v>
      </c>
      <c r="M2407" t="s">
        <v>2651</v>
      </c>
    </row>
    <row r="2408" spans="1:13" x14ac:dyDescent="0.35">
      <c r="A2408">
        <f t="shared" si="5745"/>
        <v>2404</v>
      </c>
      <c r="B2408" s="9">
        <f t="shared" ref="B2408" si="6513">B2407+H2408+I2408+J2408</f>
        <v>70.13</v>
      </c>
      <c r="C2408" s="3" t="s">
        <v>2639</v>
      </c>
      <c r="D2408">
        <f t="shared" ref="D2408" si="6514">_xlfn.NUMBERVALUE(LEFT(C2408,2))</f>
        <v>22</v>
      </c>
      <c r="E2408">
        <f t="shared" ref="E2408" si="6515">_xlfn.NUMBERVALUE(MID(C2408,4,2))</f>
        <v>3</v>
      </c>
      <c r="F2408">
        <f t="shared" ref="F2408" si="6516">_xlfn.NUMBERVALUE(RIGHT(C2408,4))</f>
        <v>2024</v>
      </c>
      <c r="G2408" t="s">
        <v>7</v>
      </c>
      <c r="H2408">
        <v>-2</v>
      </c>
      <c r="I2408">
        <v>6</v>
      </c>
      <c r="K2408" t="s">
        <v>10</v>
      </c>
      <c r="L2408" s="8">
        <f t="shared" si="6380"/>
        <v>2</v>
      </c>
      <c r="M2408" t="s">
        <v>2652</v>
      </c>
    </row>
    <row r="2409" spans="1:13" x14ac:dyDescent="0.35">
      <c r="A2409">
        <f t="shared" si="5745"/>
        <v>2405</v>
      </c>
      <c r="B2409" s="9">
        <f t="shared" ref="B2409" si="6517">B2408+H2409+I2409+J2409</f>
        <v>68.13</v>
      </c>
      <c r="C2409" s="3" t="s">
        <v>2639</v>
      </c>
      <c r="D2409">
        <f t="shared" ref="D2409" si="6518">_xlfn.NUMBERVALUE(LEFT(C2409,2))</f>
        <v>22</v>
      </c>
      <c r="E2409">
        <f t="shared" ref="E2409" si="6519">_xlfn.NUMBERVALUE(MID(C2409,4,2))</f>
        <v>3</v>
      </c>
      <c r="F2409">
        <f t="shared" ref="F2409" si="6520">_xlfn.NUMBERVALUE(RIGHT(C2409,4))</f>
        <v>2024</v>
      </c>
      <c r="G2409" t="s">
        <v>7</v>
      </c>
      <c r="H2409">
        <v>-2</v>
      </c>
      <c r="K2409" t="s">
        <v>9</v>
      </c>
      <c r="L2409" s="8">
        <f t="shared" si="6380"/>
        <v>-1</v>
      </c>
      <c r="M2409" t="s">
        <v>2653</v>
      </c>
    </row>
    <row r="2410" spans="1:13" x14ac:dyDescent="0.35">
      <c r="A2410">
        <f t="shared" si="5745"/>
        <v>2406</v>
      </c>
      <c r="B2410" s="9">
        <f t="shared" ref="B2410" si="6521">B2409+H2410+I2410+J2410</f>
        <v>70.13</v>
      </c>
      <c r="C2410" s="3" t="s">
        <v>2639</v>
      </c>
      <c r="D2410">
        <f t="shared" ref="D2410" si="6522">_xlfn.NUMBERVALUE(LEFT(C2410,2))</f>
        <v>22</v>
      </c>
      <c r="E2410">
        <f t="shared" ref="E2410" si="6523">_xlfn.NUMBERVALUE(MID(C2410,4,2))</f>
        <v>3</v>
      </c>
      <c r="F2410">
        <f t="shared" ref="F2410" si="6524">_xlfn.NUMBERVALUE(RIGHT(C2410,4))</f>
        <v>2024</v>
      </c>
      <c r="G2410" t="s">
        <v>7</v>
      </c>
      <c r="H2410">
        <v>-2</v>
      </c>
      <c r="I2410">
        <v>4</v>
      </c>
      <c r="K2410" t="s">
        <v>10</v>
      </c>
      <c r="L2410" s="8">
        <f t="shared" si="6380"/>
        <v>1</v>
      </c>
      <c r="M2410" t="s">
        <v>2654</v>
      </c>
    </row>
    <row r="2411" spans="1:13" ht="13.5" customHeight="1" x14ac:dyDescent="0.35">
      <c r="A2411">
        <f t="shared" si="5745"/>
        <v>2407</v>
      </c>
      <c r="B2411" s="9">
        <f t="shared" ref="B2411" si="6525">B2410+H2411+I2411+J2411</f>
        <v>72.13</v>
      </c>
      <c r="C2411" s="3" t="s">
        <v>2639</v>
      </c>
      <c r="D2411">
        <f t="shared" ref="D2411" si="6526">_xlfn.NUMBERVALUE(LEFT(C2411,2))</f>
        <v>22</v>
      </c>
      <c r="E2411">
        <f t="shared" ref="E2411" si="6527">_xlfn.NUMBERVALUE(MID(C2411,4,2))</f>
        <v>3</v>
      </c>
      <c r="F2411">
        <f t="shared" ref="F2411" si="6528">_xlfn.NUMBERVALUE(RIGHT(C2411,4))</f>
        <v>2024</v>
      </c>
      <c r="G2411" t="s">
        <v>7</v>
      </c>
      <c r="H2411">
        <v>-2</v>
      </c>
      <c r="I2411">
        <v>4</v>
      </c>
      <c r="K2411" t="s">
        <v>10</v>
      </c>
      <c r="L2411" s="8">
        <f t="shared" si="6380"/>
        <v>1</v>
      </c>
      <c r="M2411" t="s">
        <v>2655</v>
      </c>
    </row>
    <row r="2412" spans="1:13" x14ac:dyDescent="0.35">
      <c r="A2412">
        <f t="shared" si="5745"/>
        <v>2408</v>
      </c>
      <c r="B2412" s="9">
        <f t="shared" ref="B2412" si="6529">B2411+H2412+I2412+J2412</f>
        <v>70.13</v>
      </c>
      <c r="C2412" s="3" t="s">
        <v>2639</v>
      </c>
      <c r="D2412">
        <f t="shared" ref="D2412" si="6530">_xlfn.NUMBERVALUE(LEFT(C2412,2))</f>
        <v>22</v>
      </c>
      <c r="E2412">
        <f t="shared" ref="E2412" si="6531">_xlfn.NUMBERVALUE(MID(C2412,4,2))</f>
        <v>3</v>
      </c>
      <c r="F2412">
        <f t="shared" ref="F2412" si="6532">_xlfn.NUMBERVALUE(RIGHT(C2412,4))</f>
        <v>2024</v>
      </c>
      <c r="G2412" t="s">
        <v>7</v>
      </c>
      <c r="H2412">
        <v>-2</v>
      </c>
      <c r="K2412" t="s">
        <v>9</v>
      </c>
      <c r="L2412" s="8">
        <f t="shared" si="6380"/>
        <v>-1</v>
      </c>
      <c r="M2412" t="s">
        <v>2656</v>
      </c>
    </row>
    <row r="2413" spans="1:13" x14ac:dyDescent="0.35">
      <c r="A2413">
        <f t="shared" si="5745"/>
        <v>2409</v>
      </c>
      <c r="B2413" s="9">
        <f t="shared" ref="B2413" si="6533">B2412+H2413+I2413+J2413</f>
        <v>68.13</v>
      </c>
      <c r="C2413" s="3" t="s">
        <v>2639</v>
      </c>
      <c r="D2413">
        <f t="shared" ref="D2413" si="6534">_xlfn.NUMBERVALUE(LEFT(C2413,2))</f>
        <v>22</v>
      </c>
      <c r="E2413">
        <f t="shared" ref="E2413" si="6535">_xlfn.NUMBERVALUE(MID(C2413,4,2))</f>
        <v>3</v>
      </c>
      <c r="F2413">
        <f t="shared" ref="F2413" si="6536">_xlfn.NUMBERVALUE(RIGHT(C2413,4))</f>
        <v>2024</v>
      </c>
      <c r="G2413" t="s">
        <v>7</v>
      </c>
      <c r="H2413">
        <v>-2</v>
      </c>
      <c r="K2413" t="s">
        <v>9</v>
      </c>
      <c r="L2413" s="8">
        <f t="shared" si="6380"/>
        <v>-1</v>
      </c>
      <c r="M2413" t="s">
        <v>2657</v>
      </c>
    </row>
    <row r="2414" spans="1:13" x14ac:dyDescent="0.35">
      <c r="A2414">
        <f t="shared" si="5745"/>
        <v>2410</v>
      </c>
      <c r="B2414" s="9">
        <f t="shared" ref="B2414" si="6537">B2413+H2414+I2414+J2414</f>
        <v>72.13</v>
      </c>
      <c r="C2414" s="3" t="s">
        <v>2639</v>
      </c>
      <c r="D2414">
        <f t="shared" ref="D2414" si="6538">_xlfn.NUMBERVALUE(LEFT(C2414,2))</f>
        <v>22</v>
      </c>
      <c r="E2414">
        <f t="shared" ref="E2414" si="6539">_xlfn.NUMBERVALUE(MID(C2414,4,2))</f>
        <v>3</v>
      </c>
      <c r="F2414">
        <f t="shared" ref="F2414" si="6540">_xlfn.NUMBERVALUE(RIGHT(C2414,4))</f>
        <v>2024</v>
      </c>
      <c r="G2414" t="s">
        <v>7</v>
      </c>
      <c r="H2414">
        <v>-2</v>
      </c>
      <c r="I2414">
        <v>6</v>
      </c>
      <c r="K2414" t="s">
        <v>10</v>
      </c>
      <c r="L2414" s="8">
        <f t="shared" si="6380"/>
        <v>2</v>
      </c>
      <c r="M2414" t="s">
        <v>2658</v>
      </c>
    </row>
    <row r="2415" spans="1:13" x14ac:dyDescent="0.35">
      <c r="A2415">
        <f t="shared" si="5745"/>
        <v>2411</v>
      </c>
      <c r="B2415" s="9">
        <f t="shared" ref="B2415" si="6541">B2414+H2415+I2415+J2415</f>
        <v>70.13</v>
      </c>
      <c r="C2415" s="3" t="s">
        <v>2639</v>
      </c>
      <c r="D2415">
        <f t="shared" ref="D2415" si="6542">_xlfn.NUMBERVALUE(LEFT(C2415,2))</f>
        <v>22</v>
      </c>
      <c r="E2415">
        <f t="shared" ref="E2415" si="6543">_xlfn.NUMBERVALUE(MID(C2415,4,2))</f>
        <v>3</v>
      </c>
      <c r="F2415">
        <f t="shared" ref="F2415" si="6544">_xlfn.NUMBERVALUE(RIGHT(C2415,4))</f>
        <v>2024</v>
      </c>
      <c r="G2415" t="s">
        <v>7</v>
      </c>
      <c r="H2415">
        <v>-2</v>
      </c>
      <c r="K2415" t="s">
        <v>9</v>
      </c>
      <c r="L2415" s="8">
        <f t="shared" si="6380"/>
        <v>-1</v>
      </c>
      <c r="M2415" t="s">
        <v>2659</v>
      </c>
    </row>
    <row r="2416" spans="1:13" x14ac:dyDescent="0.35">
      <c r="A2416">
        <f t="shared" si="5745"/>
        <v>2412</v>
      </c>
      <c r="B2416" s="9">
        <f t="shared" ref="B2416" si="6545">B2415+H2416+I2416+J2416</f>
        <v>68.13</v>
      </c>
      <c r="C2416" s="3" t="s">
        <v>2639</v>
      </c>
      <c r="D2416">
        <f t="shared" ref="D2416" si="6546">_xlfn.NUMBERVALUE(LEFT(C2416,2))</f>
        <v>22</v>
      </c>
      <c r="E2416">
        <f t="shared" ref="E2416" si="6547">_xlfn.NUMBERVALUE(MID(C2416,4,2))</f>
        <v>3</v>
      </c>
      <c r="F2416">
        <f t="shared" ref="F2416" si="6548">_xlfn.NUMBERVALUE(RIGHT(C2416,4))</f>
        <v>2024</v>
      </c>
      <c r="G2416" t="s">
        <v>7</v>
      </c>
      <c r="H2416">
        <v>-2</v>
      </c>
      <c r="K2416" t="s">
        <v>9</v>
      </c>
      <c r="L2416" s="8">
        <f t="shared" si="6380"/>
        <v>-1</v>
      </c>
      <c r="M2416" t="s">
        <v>2660</v>
      </c>
    </row>
    <row r="2417" spans="1:13" x14ac:dyDescent="0.35">
      <c r="A2417">
        <f t="shared" si="5745"/>
        <v>2413</v>
      </c>
      <c r="B2417" s="9">
        <f t="shared" ref="B2417" si="6549">B2416+H2417+I2417+J2417</f>
        <v>72.13</v>
      </c>
      <c r="C2417" s="3" t="s">
        <v>2639</v>
      </c>
      <c r="D2417">
        <f t="shared" ref="D2417" si="6550">_xlfn.NUMBERVALUE(LEFT(C2417,2))</f>
        <v>22</v>
      </c>
      <c r="E2417">
        <f t="shared" ref="E2417" si="6551">_xlfn.NUMBERVALUE(MID(C2417,4,2))</f>
        <v>3</v>
      </c>
      <c r="F2417">
        <f t="shared" ref="F2417" si="6552">_xlfn.NUMBERVALUE(RIGHT(C2417,4))</f>
        <v>2024</v>
      </c>
      <c r="G2417" t="s">
        <v>7</v>
      </c>
      <c r="H2417">
        <v>-2</v>
      </c>
      <c r="I2417">
        <v>6</v>
      </c>
      <c r="K2417" t="s">
        <v>10</v>
      </c>
      <c r="L2417" s="8">
        <f t="shared" si="6380"/>
        <v>2</v>
      </c>
      <c r="M2417" t="s">
        <v>2661</v>
      </c>
    </row>
    <row r="2418" spans="1:13" x14ac:dyDescent="0.35">
      <c r="A2418">
        <f t="shared" si="5745"/>
        <v>2414</v>
      </c>
      <c r="B2418" s="9">
        <f t="shared" ref="B2418" si="6553">B2417+H2418+I2418+J2418</f>
        <v>74.13</v>
      </c>
      <c r="C2418" s="3" t="s">
        <v>2662</v>
      </c>
      <c r="D2418">
        <f t="shared" ref="D2418" si="6554">_xlfn.NUMBERVALUE(LEFT(C2418,2))</f>
        <v>23</v>
      </c>
      <c r="E2418">
        <f t="shared" ref="E2418" si="6555">_xlfn.NUMBERVALUE(MID(C2418,4,2))</f>
        <v>3</v>
      </c>
      <c r="F2418">
        <f t="shared" ref="F2418" si="6556">_xlfn.NUMBERVALUE(RIGHT(C2418,4))</f>
        <v>2024</v>
      </c>
      <c r="G2418" t="s">
        <v>7</v>
      </c>
      <c r="H2418">
        <v>-2</v>
      </c>
      <c r="I2418">
        <v>4</v>
      </c>
      <c r="K2418" t="s">
        <v>10</v>
      </c>
      <c r="L2418" s="8">
        <f t="shared" si="6380"/>
        <v>1</v>
      </c>
      <c r="M2418" t="s">
        <v>2663</v>
      </c>
    </row>
    <row r="2419" spans="1:13" x14ac:dyDescent="0.35">
      <c r="A2419">
        <f t="shared" si="5745"/>
        <v>2415</v>
      </c>
      <c r="B2419" s="9">
        <f t="shared" ref="B2419" si="6557">B2418+H2419+I2419+J2419</f>
        <v>72.13</v>
      </c>
      <c r="C2419" s="3" t="s">
        <v>2662</v>
      </c>
      <c r="D2419">
        <f t="shared" ref="D2419" si="6558">_xlfn.NUMBERVALUE(LEFT(C2419,2))</f>
        <v>23</v>
      </c>
      <c r="E2419">
        <f t="shared" ref="E2419" si="6559">_xlfn.NUMBERVALUE(MID(C2419,4,2))</f>
        <v>3</v>
      </c>
      <c r="F2419">
        <f t="shared" ref="F2419" si="6560">_xlfn.NUMBERVALUE(RIGHT(C2419,4))</f>
        <v>2024</v>
      </c>
      <c r="G2419" t="s">
        <v>7</v>
      </c>
      <c r="H2419">
        <v>-2</v>
      </c>
      <c r="K2419" t="s">
        <v>9</v>
      </c>
      <c r="L2419" s="8">
        <f t="shared" si="6380"/>
        <v>-1</v>
      </c>
      <c r="M2419" t="s">
        <v>2664</v>
      </c>
    </row>
    <row r="2420" spans="1:13" x14ac:dyDescent="0.35">
      <c r="A2420">
        <f t="shared" si="5745"/>
        <v>2416</v>
      </c>
      <c r="B2420" s="9">
        <f t="shared" ref="B2420" si="6561">B2419+H2420+I2420+J2420</f>
        <v>70.13</v>
      </c>
      <c r="C2420" s="3" t="s">
        <v>2662</v>
      </c>
      <c r="D2420">
        <f t="shared" ref="D2420" si="6562">_xlfn.NUMBERVALUE(LEFT(C2420,2))</f>
        <v>23</v>
      </c>
      <c r="E2420">
        <f t="shared" ref="E2420" si="6563">_xlfn.NUMBERVALUE(MID(C2420,4,2))</f>
        <v>3</v>
      </c>
      <c r="F2420">
        <f t="shared" ref="F2420" si="6564">_xlfn.NUMBERVALUE(RIGHT(C2420,4))</f>
        <v>2024</v>
      </c>
      <c r="G2420" t="s">
        <v>7</v>
      </c>
      <c r="H2420">
        <v>-2</v>
      </c>
      <c r="K2420" t="s">
        <v>9</v>
      </c>
      <c r="L2420" s="8">
        <f t="shared" si="6380"/>
        <v>-1</v>
      </c>
      <c r="M2420" t="s">
        <v>2665</v>
      </c>
    </row>
    <row r="2421" spans="1:13" x14ac:dyDescent="0.35">
      <c r="A2421">
        <f t="shared" si="5745"/>
        <v>2417</v>
      </c>
      <c r="B2421" s="9">
        <f t="shared" ref="B2421" si="6565">B2420+H2421+I2421+J2421</f>
        <v>72.13</v>
      </c>
      <c r="C2421" s="3" t="s">
        <v>2662</v>
      </c>
      <c r="D2421">
        <f t="shared" ref="D2421" si="6566">_xlfn.NUMBERVALUE(LEFT(C2421,2))</f>
        <v>23</v>
      </c>
      <c r="E2421">
        <f t="shared" ref="E2421" si="6567">_xlfn.NUMBERVALUE(MID(C2421,4,2))</f>
        <v>3</v>
      </c>
      <c r="F2421">
        <f t="shared" ref="F2421" si="6568">_xlfn.NUMBERVALUE(RIGHT(C2421,4))</f>
        <v>2024</v>
      </c>
      <c r="G2421" t="s">
        <v>7</v>
      </c>
      <c r="H2421">
        <v>-2</v>
      </c>
      <c r="I2421">
        <v>4</v>
      </c>
      <c r="K2421" t="s">
        <v>10</v>
      </c>
      <c r="L2421" s="8">
        <f t="shared" si="6380"/>
        <v>1</v>
      </c>
      <c r="M2421" t="s">
        <v>2666</v>
      </c>
    </row>
    <row r="2422" spans="1:13" x14ac:dyDescent="0.35">
      <c r="A2422">
        <f t="shared" si="5745"/>
        <v>2418</v>
      </c>
      <c r="B2422" s="9">
        <f t="shared" ref="B2422" si="6569">B2421+H2422+I2422+J2422</f>
        <v>76.13</v>
      </c>
      <c r="C2422" s="3" t="s">
        <v>2662</v>
      </c>
      <c r="D2422">
        <f t="shared" ref="D2422" si="6570">_xlfn.NUMBERVALUE(LEFT(C2422,2))</f>
        <v>23</v>
      </c>
      <c r="E2422">
        <f t="shared" ref="E2422" si="6571">_xlfn.NUMBERVALUE(MID(C2422,4,2))</f>
        <v>3</v>
      </c>
      <c r="F2422">
        <f t="shared" ref="F2422" si="6572">_xlfn.NUMBERVALUE(RIGHT(C2422,4))</f>
        <v>2024</v>
      </c>
      <c r="G2422" t="s">
        <v>7</v>
      </c>
      <c r="H2422">
        <v>-2</v>
      </c>
      <c r="I2422">
        <v>6</v>
      </c>
      <c r="K2422" t="s">
        <v>10</v>
      </c>
      <c r="L2422" s="8">
        <f t="shared" si="6380"/>
        <v>2</v>
      </c>
      <c r="M2422" t="s">
        <v>2667</v>
      </c>
    </row>
    <row r="2423" spans="1:13" x14ac:dyDescent="0.35">
      <c r="A2423">
        <f t="shared" si="5745"/>
        <v>2419</v>
      </c>
      <c r="B2423" s="9">
        <f t="shared" ref="B2423" si="6573">B2422+H2423+I2423+J2423</f>
        <v>74.13</v>
      </c>
      <c r="C2423" s="3" t="s">
        <v>2662</v>
      </c>
      <c r="D2423">
        <f t="shared" ref="D2423" si="6574">_xlfn.NUMBERVALUE(LEFT(C2423,2))</f>
        <v>23</v>
      </c>
      <c r="E2423">
        <f t="shared" ref="E2423" si="6575">_xlfn.NUMBERVALUE(MID(C2423,4,2))</f>
        <v>3</v>
      </c>
      <c r="F2423">
        <f t="shared" ref="F2423" si="6576">_xlfn.NUMBERVALUE(RIGHT(C2423,4))</f>
        <v>2024</v>
      </c>
      <c r="G2423" t="s">
        <v>7</v>
      </c>
      <c r="H2423">
        <v>-2</v>
      </c>
      <c r="K2423" t="s">
        <v>9</v>
      </c>
      <c r="L2423" s="8">
        <f t="shared" si="6380"/>
        <v>-1</v>
      </c>
      <c r="M2423" t="s">
        <v>2668</v>
      </c>
    </row>
    <row r="2424" spans="1:13" x14ac:dyDescent="0.35">
      <c r="A2424">
        <f t="shared" si="5745"/>
        <v>2420</v>
      </c>
      <c r="B2424" s="9">
        <f t="shared" ref="B2424" si="6577">B2423+H2424+I2424+J2424</f>
        <v>78.13</v>
      </c>
      <c r="C2424" s="3" t="s">
        <v>2662</v>
      </c>
      <c r="D2424">
        <f t="shared" ref="D2424" si="6578">_xlfn.NUMBERVALUE(LEFT(C2424,2))</f>
        <v>23</v>
      </c>
      <c r="E2424">
        <f t="shared" ref="E2424" si="6579">_xlfn.NUMBERVALUE(MID(C2424,4,2))</f>
        <v>3</v>
      </c>
      <c r="F2424">
        <f t="shared" ref="F2424" si="6580">_xlfn.NUMBERVALUE(RIGHT(C2424,4))</f>
        <v>2024</v>
      </c>
      <c r="G2424" t="s">
        <v>7</v>
      </c>
      <c r="H2424">
        <v>-2</v>
      </c>
      <c r="I2424">
        <v>6</v>
      </c>
      <c r="K2424" t="s">
        <v>10</v>
      </c>
      <c r="L2424" s="8">
        <f t="shared" si="6380"/>
        <v>2</v>
      </c>
      <c r="M2424" t="s">
        <v>2669</v>
      </c>
    </row>
    <row r="2425" spans="1:13" x14ac:dyDescent="0.35">
      <c r="A2425">
        <f t="shared" si="5745"/>
        <v>2421</v>
      </c>
      <c r="B2425" s="9">
        <f t="shared" ref="B2425" si="6581">B2424+H2425+I2425+J2425</f>
        <v>76.13</v>
      </c>
      <c r="C2425" s="3" t="s">
        <v>2662</v>
      </c>
      <c r="D2425">
        <f t="shared" ref="D2425" si="6582">_xlfn.NUMBERVALUE(LEFT(C2425,2))</f>
        <v>23</v>
      </c>
      <c r="E2425">
        <f t="shared" ref="E2425" si="6583">_xlfn.NUMBERVALUE(MID(C2425,4,2))</f>
        <v>3</v>
      </c>
      <c r="F2425">
        <f t="shared" ref="F2425" si="6584">_xlfn.NUMBERVALUE(RIGHT(C2425,4))</f>
        <v>2024</v>
      </c>
      <c r="G2425" t="s">
        <v>7</v>
      </c>
      <c r="H2425">
        <v>-2</v>
      </c>
      <c r="K2425" t="s">
        <v>9</v>
      </c>
      <c r="L2425" s="8">
        <f t="shared" si="6380"/>
        <v>-1</v>
      </c>
      <c r="M2425" t="s">
        <v>2670</v>
      </c>
    </row>
    <row r="2426" spans="1:13" x14ac:dyDescent="0.35">
      <c r="A2426">
        <f t="shared" si="5745"/>
        <v>2422</v>
      </c>
      <c r="B2426" s="9">
        <f t="shared" ref="B2426:B2427" si="6585">B2425+H2426+I2426+J2426</f>
        <v>74.13</v>
      </c>
      <c r="C2426" s="3" t="s">
        <v>2662</v>
      </c>
      <c r="D2426">
        <f t="shared" ref="D2426:D2427" si="6586">_xlfn.NUMBERVALUE(LEFT(C2426,2))</f>
        <v>23</v>
      </c>
      <c r="E2426">
        <f t="shared" ref="E2426:E2427" si="6587">_xlfn.NUMBERVALUE(MID(C2426,4,2))</f>
        <v>3</v>
      </c>
      <c r="F2426">
        <f t="shared" ref="F2426:F2427" si="6588">_xlfn.NUMBERVALUE(RIGHT(C2426,4))</f>
        <v>2024</v>
      </c>
      <c r="G2426" t="s">
        <v>7</v>
      </c>
      <c r="H2426">
        <v>-2</v>
      </c>
      <c r="K2426" t="s">
        <v>9</v>
      </c>
      <c r="L2426" s="8">
        <f t="shared" si="6380"/>
        <v>-1</v>
      </c>
      <c r="M2426" t="s">
        <v>2671</v>
      </c>
    </row>
    <row r="2427" spans="1:13" x14ac:dyDescent="0.35">
      <c r="A2427">
        <f t="shared" si="5745"/>
        <v>2423</v>
      </c>
      <c r="B2427" s="9">
        <f t="shared" si="6585"/>
        <v>72.5</v>
      </c>
      <c r="C2427" s="3" t="s">
        <v>2662</v>
      </c>
      <c r="D2427">
        <f t="shared" si="6586"/>
        <v>23</v>
      </c>
      <c r="E2427">
        <f t="shared" si="6587"/>
        <v>3</v>
      </c>
      <c r="F2427">
        <f t="shared" si="6588"/>
        <v>2024</v>
      </c>
      <c r="G2427" t="s">
        <v>44</v>
      </c>
      <c r="H2427">
        <v>-3.3</v>
      </c>
      <c r="J2427">
        <v>1.67</v>
      </c>
      <c r="K2427" t="s">
        <v>9</v>
      </c>
      <c r="L2427" s="8">
        <f t="shared" si="6380"/>
        <v>-0.4939393939393939</v>
      </c>
      <c r="M2427" t="s">
        <v>2672</v>
      </c>
    </row>
    <row r="2428" spans="1:13" x14ac:dyDescent="0.35">
      <c r="A2428">
        <f t="shared" si="5745"/>
        <v>2424</v>
      </c>
      <c r="B2428" s="9">
        <f t="shared" ref="B2428" si="6589">B2427+H2428+I2428+J2428</f>
        <v>74.5</v>
      </c>
      <c r="C2428" s="3" t="s">
        <v>2662</v>
      </c>
      <c r="D2428">
        <f t="shared" ref="D2428" si="6590">_xlfn.NUMBERVALUE(LEFT(C2428,2))</f>
        <v>23</v>
      </c>
      <c r="E2428">
        <f t="shared" ref="E2428" si="6591">_xlfn.NUMBERVALUE(MID(C2428,4,2))</f>
        <v>3</v>
      </c>
      <c r="F2428">
        <f t="shared" ref="F2428" si="6592">_xlfn.NUMBERVALUE(RIGHT(C2428,4))</f>
        <v>2024</v>
      </c>
      <c r="G2428" t="s">
        <v>7</v>
      </c>
      <c r="H2428">
        <v>-2</v>
      </c>
      <c r="I2428">
        <v>4</v>
      </c>
      <c r="K2428" t="s">
        <v>10</v>
      </c>
      <c r="L2428" s="8">
        <f t="shared" si="6380"/>
        <v>1</v>
      </c>
      <c r="M2428" t="s">
        <v>2673</v>
      </c>
    </row>
    <row r="2429" spans="1:13" x14ac:dyDescent="0.35">
      <c r="A2429">
        <f t="shared" si="5745"/>
        <v>2425</v>
      </c>
      <c r="B2429" s="9">
        <f t="shared" ref="B2429" si="6593">B2428+H2429+I2429+J2429</f>
        <v>76.5</v>
      </c>
      <c r="C2429" s="3" t="s">
        <v>2662</v>
      </c>
      <c r="D2429">
        <f t="shared" ref="D2429" si="6594">_xlfn.NUMBERVALUE(LEFT(C2429,2))</f>
        <v>23</v>
      </c>
      <c r="E2429">
        <f t="shared" ref="E2429" si="6595">_xlfn.NUMBERVALUE(MID(C2429,4,2))</f>
        <v>3</v>
      </c>
      <c r="F2429">
        <f t="shared" ref="F2429" si="6596">_xlfn.NUMBERVALUE(RIGHT(C2429,4))</f>
        <v>2024</v>
      </c>
      <c r="G2429" t="s">
        <v>7</v>
      </c>
      <c r="H2429">
        <v>-2</v>
      </c>
      <c r="I2429">
        <v>4</v>
      </c>
      <c r="K2429" t="s">
        <v>10</v>
      </c>
      <c r="L2429" s="8">
        <f t="shared" si="6380"/>
        <v>1</v>
      </c>
      <c r="M2429" t="s">
        <v>2674</v>
      </c>
    </row>
    <row r="2430" spans="1:13" x14ac:dyDescent="0.35">
      <c r="A2430">
        <f t="shared" si="5745"/>
        <v>2426</v>
      </c>
      <c r="B2430" s="9">
        <f t="shared" ref="B2430" si="6597">B2429+H2430+I2430+J2430</f>
        <v>74.5</v>
      </c>
      <c r="C2430" s="3" t="s">
        <v>2662</v>
      </c>
      <c r="D2430">
        <f t="shared" ref="D2430" si="6598">_xlfn.NUMBERVALUE(LEFT(C2430,2))</f>
        <v>23</v>
      </c>
      <c r="E2430">
        <f t="shared" ref="E2430" si="6599">_xlfn.NUMBERVALUE(MID(C2430,4,2))</f>
        <v>3</v>
      </c>
      <c r="F2430">
        <f t="shared" ref="F2430" si="6600">_xlfn.NUMBERVALUE(RIGHT(C2430,4))</f>
        <v>2024</v>
      </c>
      <c r="G2430" t="s">
        <v>7</v>
      </c>
      <c r="H2430">
        <v>-2</v>
      </c>
      <c r="K2430" t="s">
        <v>9</v>
      </c>
      <c r="L2430" s="8">
        <f t="shared" si="6380"/>
        <v>-1</v>
      </c>
      <c r="M2430" t="s">
        <v>2675</v>
      </c>
    </row>
    <row r="2431" spans="1:13" x14ac:dyDescent="0.35">
      <c r="A2431">
        <f t="shared" si="5745"/>
        <v>2427</v>
      </c>
      <c r="B2431" s="9">
        <f t="shared" ref="B2431" si="6601">B2430+H2431+I2431+J2431</f>
        <v>72.5</v>
      </c>
      <c r="C2431" s="3" t="s">
        <v>2662</v>
      </c>
      <c r="D2431">
        <f t="shared" ref="D2431" si="6602">_xlfn.NUMBERVALUE(LEFT(C2431,2))</f>
        <v>23</v>
      </c>
      <c r="E2431">
        <f t="shared" ref="E2431" si="6603">_xlfn.NUMBERVALUE(MID(C2431,4,2))</f>
        <v>3</v>
      </c>
      <c r="F2431">
        <f t="shared" ref="F2431" si="6604">_xlfn.NUMBERVALUE(RIGHT(C2431,4))</f>
        <v>2024</v>
      </c>
      <c r="G2431" t="s">
        <v>7</v>
      </c>
      <c r="H2431">
        <v>-2</v>
      </c>
      <c r="K2431" t="s">
        <v>9</v>
      </c>
      <c r="L2431" s="8">
        <f t="shared" si="6380"/>
        <v>-1</v>
      </c>
      <c r="M2431" t="s">
        <v>2676</v>
      </c>
    </row>
    <row r="2432" spans="1:13" x14ac:dyDescent="0.35">
      <c r="A2432">
        <f t="shared" si="5745"/>
        <v>2428</v>
      </c>
      <c r="B2432" s="9">
        <f t="shared" ref="B2432" si="6605">B2431+H2432+I2432+J2432</f>
        <v>70.5</v>
      </c>
      <c r="C2432" s="3" t="s">
        <v>2677</v>
      </c>
      <c r="D2432">
        <f t="shared" ref="D2432" si="6606">_xlfn.NUMBERVALUE(LEFT(C2432,2))</f>
        <v>24</v>
      </c>
      <c r="E2432">
        <f t="shared" ref="E2432" si="6607">_xlfn.NUMBERVALUE(MID(C2432,4,2))</f>
        <v>3</v>
      </c>
      <c r="F2432">
        <f t="shared" ref="F2432" si="6608">_xlfn.NUMBERVALUE(RIGHT(C2432,4))</f>
        <v>2024</v>
      </c>
      <c r="G2432" t="s">
        <v>7</v>
      </c>
      <c r="H2432">
        <v>-2</v>
      </c>
      <c r="K2432" t="s">
        <v>9</v>
      </c>
      <c r="L2432" s="8">
        <f t="shared" si="6380"/>
        <v>-1</v>
      </c>
      <c r="M2432" t="s">
        <v>2678</v>
      </c>
    </row>
    <row r="2433" spans="1:13" x14ac:dyDescent="0.35">
      <c r="A2433">
        <f t="shared" si="5745"/>
        <v>2429</v>
      </c>
      <c r="B2433" s="9">
        <f t="shared" ref="B2433" si="6609">B2432+H2433+I2433+J2433</f>
        <v>68.5</v>
      </c>
      <c r="C2433" s="3" t="s">
        <v>2677</v>
      </c>
      <c r="D2433">
        <f t="shared" ref="D2433" si="6610">_xlfn.NUMBERVALUE(LEFT(C2433,2))</f>
        <v>24</v>
      </c>
      <c r="E2433">
        <f t="shared" ref="E2433" si="6611">_xlfn.NUMBERVALUE(MID(C2433,4,2))</f>
        <v>3</v>
      </c>
      <c r="F2433">
        <f t="shared" ref="F2433" si="6612">_xlfn.NUMBERVALUE(RIGHT(C2433,4))</f>
        <v>2024</v>
      </c>
      <c r="G2433" t="s">
        <v>7</v>
      </c>
      <c r="H2433">
        <v>-2</v>
      </c>
      <c r="K2433" t="s">
        <v>9</v>
      </c>
      <c r="L2433" s="8">
        <f t="shared" si="6380"/>
        <v>-1</v>
      </c>
      <c r="M2433" t="s">
        <v>2679</v>
      </c>
    </row>
    <row r="2434" spans="1:13" x14ac:dyDescent="0.35">
      <c r="A2434">
        <f t="shared" si="5745"/>
        <v>2430</v>
      </c>
      <c r="B2434" s="9">
        <f t="shared" ref="B2434" si="6613">B2433+H2434+I2434+J2434</f>
        <v>72.5</v>
      </c>
      <c r="C2434" s="3" t="s">
        <v>2677</v>
      </c>
      <c r="D2434">
        <f t="shared" ref="D2434" si="6614">_xlfn.NUMBERVALUE(LEFT(C2434,2))</f>
        <v>24</v>
      </c>
      <c r="E2434">
        <f t="shared" ref="E2434" si="6615">_xlfn.NUMBERVALUE(MID(C2434,4,2))</f>
        <v>3</v>
      </c>
      <c r="F2434">
        <f t="shared" ref="F2434" si="6616">_xlfn.NUMBERVALUE(RIGHT(C2434,4))</f>
        <v>2024</v>
      </c>
      <c r="G2434" t="s">
        <v>7</v>
      </c>
      <c r="H2434">
        <v>-2</v>
      </c>
      <c r="I2434">
        <v>6</v>
      </c>
      <c r="K2434" t="s">
        <v>10</v>
      </c>
      <c r="L2434" s="8">
        <f t="shared" si="6380"/>
        <v>2</v>
      </c>
      <c r="M2434" t="s">
        <v>2680</v>
      </c>
    </row>
    <row r="2435" spans="1:13" x14ac:dyDescent="0.35">
      <c r="A2435">
        <f t="shared" si="5745"/>
        <v>2431</v>
      </c>
      <c r="B2435" s="9">
        <f t="shared" ref="B2435" si="6617">B2434+H2435+I2435+J2435</f>
        <v>70.5</v>
      </c>
      <c r="C2435" s="3" t="s">
        <v>2677</v>
      </c>
      <c r="D2435">
        <f t="shared" ref="D2435" si="6618">_xlfn.NUMBERVALUE(LEFT(C2435,2))</f>
        <v>24</v>
      </c>
      <c r="E2435">
        <f t="shared" ref="E2435" si="6619">_xlfn.NUMBERVALUE(MID(C2435,4,2))</f>
        <v>3</v>
      </c>
      <c r="F2435">
        <f t="shared" ref="F2435" si="6620">_xlfn.NUMBERVALUE(RIGHT(C2435,4))</f>
        <v>2024</v>
      </c>
      <c r="G2435" t="s">
        <v>7</v>
      </c>
      <c r="H2435">
        <v>-2</v>
      </c>
      <c r="K2435" t="s">
        <v>9</v>
      </c>
      <c r="L2435" s="8">
        <f t="shared" si="6380"/>
        <v>-1</v>
      </c>
      <c r="M2435" t="s">
        <v>2681</v>
      </c>
    </row>
    <row r="2436" spans="1:13" x14ac:dyDescent="0.35">
      <c r="A2436">
        <f t="shared" si="5745"/>
        <v>2432</v>
      </c>
      <c r="B2436" s="9">
        <f t="shared" ref="B2436" si="6621">B2435+H2436+I2436+J2436</f>
        <v>68.5</v>
      </c>
      <c r="C2436" s="3" t="s">
        <v>2677</v>
      </c>
      <c r="D2436">
        <f t="shared" ref="D2436" si="6622">_xlfn.NUMBERVALUE(LEFT(C2436,2))</f>
        <v>24</v>
      </c>
      <c r="E2436">
        <f t="shared" ref="E2436" si="6623">_xlfn.NUMBERVALUE(MID(C2436,4,2))</f>
        <v>3</v>
      </c>
      <c r="F2436">
        <f t="shared" ref="F2436" si="6624">_xlfn.NUMBERVALUE(RIGHT(C2436,4))</f>
        <v>2024</v>
      </c>
      <c r="G2436" t="s">
        <v>7</v>
      </c>
      <c r="H2436">
        <v>-2</v>
      </c>
      <c r="K2436" t="s">
        <v>9</v>
      </c>
      <c r="L2436" s="8">
        <f t="shared" si="6380"/>
        <v>-1</v>
      </c>
      <c r="M2436" t="s">
        <v>2682</v>
      </c>
    </row>
    <row r="2437" spans="1:13" x14ac:dyDescent="0.35">
      <c r="A2437">
        <f t="shared" si="5745"/>
        <v>2433</v>
      </c>
      <c r="B2437" s="9">
        <f t="shared" ref="B2437" si="6625">B2436+H2437+I2437+J2437</f>
        <v>72.5</v>
      </c>
      <c r="C2437" s="3" t="s">
        <v>2677</v>
      </c>
      <c r="D2437">
        <f t="shared" ref="D2437" si="6626">_xlfn.NUMBERVALUE(LEFT(C2437,2))</f>
        <v>24</v>
      </c>
      <c r="E2437">
        <f t="shared" ref="E2437" si="6627">_xlfn.NUMBERVALUE(MID(C2437,4,2))</f>
        <v>3</v>
      </c>
      <c r="F2437">
        <f t="shared" ref="F2437" si="6628">_xlfn.NUMBERVALUE(RIGHT(C2437,4))</f>
        <v>2024</v>
      </c>
      <c r="G2437" t="s">
        <v>7</v>
      </c>
      <c r="H2437">
        <v>-2</v>
      </c>
      <c r="I2437">
        <v>6</v>
      </c>
      <c r="K2437" t="s">
        <v>10</v>
      </c>
      <c r="L2437" s="8">
        <f t="shared" si="6380"/>
        <v>2</v>
      </c>
      <c r="M2437" t="s">
        <v>2683</v>
      </c>
    </row>
    <row r="2438" spans="1:13" x14ac:dyDescent="0.35">
      <c r="A2438">
        <f t="shared" si="5745"/>
        <v>2434</v>
      </c>
      <c r="B2438" s="9">
        <f t="shared" ref="B2438" si="6629">B2437+H2438+I2438+J2438</f>
        <v>70.5</v>
      </c>
      <c r="C2438" s="3" t="s">
        <v>2677</v>
      </c>
      <c r="D2438">
        <f t="shared" ref="D2438" si="6630">_xlfn.NUMBERVALUE(LEFT(C2438,2))</f>
        <v>24</v>
      </c>
      <c r="E2438">
        <f t="shared" ref="E2438" si="6631">_xlfn.NUMBERVALUE(MID(C2438,4,2))</f>
        <v>3</v>
      </c>
      <c r="F2438">
        <f t="shared" ref="F2438" si="6632">_xlfn.NUMBERVALUE(RIGHT(C2438,4))</f>
        <v>2024</v>
      </c>
      <c r="G2438" t="s">
        <v>7</v>
      </c>
      <c r="H2438">
        <v>-2</v>
      </c>
      <c r="K2438" t="s">
        <v>9</v>
      </c>
      <c r="L2438" s="8">
        <f t="shared" ref="L2438:L2501" si="6633">IF(H2438="",0,(SUM(I2438:J2438)/-H2438)-1)</f>
        <v>-1</v>
      </c>
      <c r="M2438" t="s">
        <v>2684</v>
      </c>
    </row>
    <row r="2439" spans="1:13" x14ac:dyDescent="0.35">
      <c r="A2439">
        <f t="shared" si="5745"/>
        <v>2435</v>
      </c>
      <c r="B2439" s="9">
        <f t="shared" ref="B2439" si="6634">B2438+H2439+I2439+J2439</f>
        <v>72.5</v>
      </c>
      <c r="C2439" s="3" t="s">
        <v>2677</v>
      </c>
      <c r="D2439">
        <f t="shared" ref="D2439" si="6635">_xlfn.NUMBERVALUE(LEFT(C2439,2))</f>
        <v>24</v>
      </c>
      <c r="E2439">
        <f t="shared" ref="E2439" si="6636">_xlfn.NUMBERVALUE(MID(C2439,4,2))</f>
        <v>3</v>
      </c>
      <c r="F2439">
        <f t="shared" ref="F2439" si="6637">_xlfn.NUMBERVALUE(RIGHT(C2439,4))</f>
        <v>2024</v>
      </c>
      <c r="G2439" t="s">
        <v>7</v>
      </c>
      <c r="H2439">
        <v>-2</v>
      </c>
      <c r="I2439">
        <v>4</v>
      </c>
      <c r="K2439" t="s">
        <v>10</v>
      </c>
      <c r="L2439" s="8">
        <f t="shared" si="6633"/>
        <v>1</v>
      </c>
      <c r="M2439" t="s">
        <v>2685</v>
      </c>
    </row>
    <row r="2440" spans="1:13" x14ac:dyDescent="0.35">
      <c r="A2440">
        <f t="shared" si="5745"/>
        <v>2436</v>
      </c>
      <c r="B2440" s="9">
        <f t="shared" ref="B2440" si="6638">B2439+H2440+I2440+J2440</f>
        <v>70.5</v>
      </c>
      <c r="C2440" s="3" t="s">
        <v>2677</v>
      </c>
      <c r="D2440">
        <f t="shared" ref="D2440" si="6639">_xlfn.NUMBERVALUE(LEFT(C2440,2))</f>
        <v>24</v>
      </c>
      <c r="E2440">
        <f t="shared" ref="E2440" si="6640">_xlfn.NUMBERVALUE(MID(C2440,4,2))</f>
        <v>3</v>
      </c>
      <c r="F2440">
        <f t="shared" ref="F2440" si="6641">_xlfn.NUMBERVALUE(RIGHT(C2440,4))</f>
        <v>2024</v>
      </c>
      <c r="G2440" t="s">
        <v>7</v>
      </c>
      <c r="H2440">
        <v>-2</v>
      </c>
      <c r="K2440" t="s">
        <v>9</v>
      </c>
      <c r="L2440" s="8">
        <f t="shared" si="6633"/>
        <v>-1</v>
      </c>
      <c r="M2440" t="s">
        <v>2686</v>
      </c>
    </row>
    <row r="2441" spans="1:13" x14ac:dyDescent="0.35">
      <c r="A2441">
        <f t="shared" si="5745"/>
        <v>2437</v>
      </c>
      <c r="B2441" s="9">
        <f t="shared" ref="B2441" si="6642">B2440+H2441+I2441+J2441</f>
        <v>72.5</v>
      </c>
      <c r="C2441" s="3" t="s">
        <v>2677</v>
      </c>
      <c r="D2441">
        <f t="shared" ref="D2441" si="6643">_xlfn.NUMBERVALUE(LEFT(C2441,2))</f>
        <v>24</v>
      </c>
      <c r="E2441">
        <f t="shared" ref="E2441" si="6644">_xlfn.NUMBERVALUE(MID(C2441,4,2))</f>
        <v>3</v>
      </c>
      <c r="F2441">
        <f t="shared" ref="F2441" si="6645">_xlfn.NUMBERVALUE(RIGHT(C2441,4))</f>
        <v>2024</v>
      </c>
      <c r="G2441" t="s">
        <v>7</v>
      </c>
      <c r="H2441">
        <v>-2</v>
      </c>
      <c r="I2441">
        <v>4</v>
      </c>
      <c r="K2441" t="s">
        <v>10</v>
      </c>
      <c r="L2441" s="8">
        <f t="shared" si="6633"/>
        <v>1</v>
      </c>
      <c r="M2441" t="s">
        <v>2687</v>
      </c>
    </row>
    <row r="2442" spans="1:13" x14ac:dyDescent="0.35">
      <c r="A2442">
        <f t="shared" si="5745"/>
        <v>2438</v>
      </c>
      <c r="B2442" s="9">
        <f t="shared" ref="B2442" si="6646">B2441+H2442+I2442+J2442</f>
        <v>74.5</v>
      </c>
      <c r="C2442" s="3" t="s">
        <v>2677</v>
      </c>
      <c r="D2442">
        <f t="shared" ref="D2442" si="6647">_xlfn.NUMBERVALUE(LEFT(C2442,2))</f>
        <v>24</v>
      </c>
      <c r="E2442">
        <f t="shared" ref="E2442" si="6648">_xlfn.NUMBERVALUE(MID(C2442,4,2))</f>
        <v>3</v>
      </c>
      <c r="F2442">
        <f t="shared" ref="F2442" si="6649">_xlfn.NUMBERVALUE(RIGHT(C2442,4))</f>
        <v>2024</v>
      </c>
      <c r="G2442" t="s">
        <v>7</v>
      </c>
      <c r="H2442">
        <v>-2</v>
      </c>
      <c r="I2442">
        <v>4</v>
      </c>
      <c r="K2442" t="s">
        <v>10</v>
      </c>
      <c r="L2442" s="8">
        <f t="shared" si="6633"/>
        <v>1</v>
      </c>
      <c r="M2442" t="s">
        <v>2688</v>
      </c>
    </row>
    <row r="2443" spans="1:13" x14ac:dyDescent="0.35">
      <c r="A2443">
        <f t="shared" si="5745"/>
        <v>2439</v>
      </c>
      <c r="B2443" s="9">
        <f t="shared" ref="B2443:B2444" si="6650">B2442+H2443+I2443+J2443</f>
        <v>78.5</v>
      </c>
      <c r="C2443" s="3" t="s">
        <v>2677</v>
      </c>
      <c r="D2443">
        <f t="shared" ref="D2443:D2444" si="6651">_xlfn.NUMBERVALUE(LEFT(C2443,2))</f>
        <v>24</v>
      </c>
      <c r="E2443">
        <f t="shared" ref="E2443:E2444" si="6652">_xlfn.NUMBERVALUE(MID(C2443,4,2))</f>
        <v>3</v>
      </c>
      <c r="F2443">
        <f t="shared" ref="F2443:F2444" si="6653">_xlfn.NUMBERVALUE(RIGHT(C2443,4))</f>
        <v>2024</v>
      </c>
      <c r="G2443" t="s">
        <v>7</v>
      </c>
      <c r="H2443">
        <v>-2</v>
      </c>
      <c r="I2443">
        <v>6</v>
      </c>
      <c r="K2443" t="s">
        <v>10</v>
      </c>
      <c r="L2443" s="8">
        <f t="shared" si="6633"/>
        <v>2</v>
      </c>
      <c r="M2443" t="s">
        <v>2689</v>
      </c>
    </row>
    <row r="2444" spans="1:13" x14ac:dyDescent="0.35">
      <c r="A2444">
        <f t="shared" si="5745"/>
        <v>2440</v>
      </c>
      <c r="B2444" s="9">
        <f t="shared" si="6650"/>
        <v>76.5</v>
      </c>
      <c r="C2444" s="3" t="s">
        <v>2677</v>
      </c>
      <c r="D2444">
        <f t="shared" si="6651"/>
        <v>24</v>
      </c>
      <c r="E2444">
        <f t="shared" si="6652"/>
        <v>3</v>
      </c>
      <c r="F2444">
        <f t="shared" si="6653"/>
        <v>2024</v>
      </c>
      <c r="G2444" t="s">
        <v>7</v>
      </c>
      <c r="H2444">
        <v>-2</v>
      </c>
      <c r="K2444" t="s">
        <v>9</v>
      </c>
      <c r="L2444" s="8">
        <f t="shared" si="6633"/>
        <v>-1</v>
      </c>
      <c r="M2444" t="s">
        <v>2690</v>
      </c>
    </row>
    <row r="2445" spans="1:13" x14ac:dyDescent="0.35">
      <c r="A2445">
        <f t="shared" si="5745"/>
        <v>2441</v>
      </c>
      <c r="B2445" s="9">
        <f t="shared" ref="B2445:B2446" si="6654">B2444+H2445+I2445+J2445</f>
        <v>71.5</v>
      </c>
      <c r="C2445" s="3" t="s">
        <v>2677</v>
      </c>
      <c r="D2445">
        <f t="shared" ref="D2445:D2446" si="6655">_xlfn.NUMBERVALUE(LEFT(C2445,2))</f>
        <v>24</v>
      </c>
      <c r="E2445">
        <f t="shared" ref="E2445:E2446" si="6656">_xlfn.NUMBERVALUE(MID(C2445,4,2))</f>
        <v>3</v>
      </c>
      <c r="F2445">
        <f t="shared" ref="F2445:F2446" si="6657">_xlfn.NUMBERVALUE(RIGHT(C2445,4))</f>
        <v>2024</v>
      </c>
      <c r="G2445" t="s">
        <v>7</v>
      </c>
      <c r="H2445">
        <v>-5</v>
      </c>
      <c r="K2445" t="s">
        <v>9</v>
      </c>
      <c r="L2445" s="8">
        <f t="shared" si="6633"/>
        <v>-1</v>
      </c>
      <c r="M2445" t="s">
        <v>2691</v>
      </c>
    </row>
    <row r="2446" spans="1:13" x14ac:dyDescent="0.35">
      <c r="A2446">
        <f t="shared" si="5745"/>
        <v>2442</v>
      </c>
      <c r="B2446" s="9">
        <f t="shared" si="6654"/>
        <v>71.5</v>
      </c>
      <c r="C2446" s="3" t="s">
        <v>2677</v>
      </c>
      <c r="D2446">
        <f t="shared" si="6655"/>
        <v>24</v>
      </c>
      <c r="E2446">
        <f t="shared" si="6656"/>
        <v>3</v>
      </c>
      <c r="F2446">
        <f t="shared" si="6657"/>
        <v>2024</v>
      </c>
      <c r="G2446" t="s">
        <v>7</v>
      </c>
      <c r="K2446" t="s">
        <v>9</v>
      </c>
      <c r="L2446" s="8">
        <f t="shared" si="6633"/>
        <v>0</v>
      </c>
      <c r="M2446" t="s">
        <v>2692</v>
      </c>
    </row>
    <row r="2447" spans="1:13" x14ac:dyDescent="0.35">
      <c r="A2447">
        <f t="shared" si="5745"/>
        <v>2443</v>
      </c>
      <c r="B2447" s="9">
        <f t="shared" ref="B2447" si="6658">B2446+H2447+I2447+J2447</f>
        <v>61.5</v>
      </c>
      <c r="C2447" s="3" t="s">
        <v>2677</v>
      </c>
      <c r="D2447">
        <f t="shared" ref="D2447" si="6659">_xlfn.NUMBERVALUE(LEFT(C2447,2))</f>
        <v>24</v>
      </c>
      <c r="E2447">
        <f t="shared" ref="E2447" si="6660">_xlfn.NUMBERVALUE(MID(C2447,4,2))</f>
        <v>3</v>
      </c>
      <c r="F2447">
        <f t="shared" ref="F2447" si="6661">_xlfn.NUMBERVALUE(RIGHT(C2447,4))</f>
        <v>2024</v>
      </c>
      <c r="G2447" t="s">
        <v>7</v>
      </c>
      <c r="H2447">
        <v>-10</v>
      </c>
      <c r="K2447" t="s">
        <v>9</v>
      </c>
      <c r="L2447" s="8">
        <f t="shared" si="6633"/>
        <v>-1</v>
      </c>
      <c r="M2447" t="s">
        <v>2693</v>
      </c>
    </row>
    <row r="2448" spans="1:13" x14ac:dyDescent="0.35">
      <c r="A2448">
        <f t="shared" si="5745"/>
        <v>2444</v>
      </c>
      <c r="B2448" s="9">
        <f t="shared" ref="B2448" si="6662">B2447+H2448+I2448+J2448</f>
        <v>71.5</v>
      </c>
      <c r="C2448" s="3" t="s">
        <v>2677</v>
      </c>
      <c r="D2448">
        <f t="shared" ref="D2448" si="6663">_xlfn.NUMBERVALUE(LEFT(C2448,2))</f>
        <v>24</v>
      </c>
      <c r="E2448">
        <f t="shared" ref="E2448" si="6664">_xlfn.NUMBERVALUE(MID(C2448,4,2))</f>
        <v>3</v>
      </c>
      <c r="F2448">
        <f t="shared" ref="F2448" si="6665">_xlfn.NUMBERVALUE(RIGHT(C2448,4))</f>
        <v>2024</v>
      </c>
      <c r="G2448" t="s">
        <v>7</v>
      </c>
      <c r="H2448">
        <v>-10</v>
      </c>
      <c r="I2448">
        <v>20</v>
      </c>
      <c r="K2448" t="s">
        <v>10</v>
      </c>
      <c r="L2448" s="8">
        <f t="shared" si="6633"/>
        <v>1</v>
      </c>
      <c r="M2448" t="s">
        <v>2694</v>
      </c>
    </row>
    <row r="2449" spans="1:13" x14ac:dyDescent="0.35">
      <c r="A2449">
        <f t="shared" si="5745"/>
        <v>2445</v>
      </c>
      <c r="B2449" s="9">
        <f t="shared" ref="B2449" si="6666">B2448+H2449+I2449+J2449</f>
        <v>61.5</v>
      </c>
      <c r="C2449" s="3" t="s">
        <v>2677</v>
      </c>
      <c r="D2449">
        <f t="shared" ref="D2449" si="6667">_xlfn.NUMBERVALUE(LEFT(C2449,2))</f>
        <v>24</v>
      </c>
      <c r="E2449">
        <f t="shared" ref="E2449" si="6668">_xlfn.NUMBERVALUE(MID(C2449,4,2))</f>
        <v>3</v>
      </c>
      <c r="F2449">
        <f t="shared" ref="F2449" si="6669">_xlfn.NUMBERVALUE(RIGHT(C2449,4))</f>
        <v>2024</v>
      </c>
      <c r="G2449" t="s">
        <v>7</v>
      </c>
      <c r="H2449">
        <v>-10</v>
      </c>
      <c r="K2449" t="s">
        <v>9</v>
      </c>
      <c r="L2449" s="8">
        <f t="shared" si="6633"/>
        <v>-1</v>
      </c>
      <c r="M2449" t="s">
        <v>2695</v>
      </c>
    </row>
    <row r="2450" spans="1:13" x14ac:dyDescent="0.35">
      <c r="A2450">
        <f t="shared" si="5745"/>
        <v>2446</v>
      </c>
      <c r="B2450" s="9">
        <f t="shared" ref="B2450" si="6670">B2449+H2450+I2450+J2450</f>
        <v>51.5</v>
      </c>
      <c r="C2450" s="3" t="s">
        <v>2677</v>
      </c>
      <c r="D2450">
        <f t="shared" ref="D2450" si="6671">_xlfn.NUMBERVALUE(LEFT(C2450,2))</f>
        <v>24</v>
      </c>
      <c r="E2450">
        <f t="shared" ref="E2450" si="6672">_xlfn.NUMBERVALUE(MID(C2450,4,2))</f>
        <v>3</v>
      </c>
      <c r="F2450">
        <f t="shared" ref="F2450" si="6673">_xlfn.NUMBERVALUE(RIGHT(C2450,4))</f>
        <v>2024</v>
      </c>
      <c r="G2450" t="s">
        <v>7</v>
      </c>
      <c r="H2450">
        <v>-10</v>
      </c>
      <c r="K2450" t="s">
        <v>9</v>
      </c>
      <c r="L2450" s="8">
        <f t="shared" si="6633"/>
        <v>-1</v>
      </c>
      <c r="M2450" t="s">
        <v>2696</v>
      </c>
    </row>
    <row r="2451" spans="1:13" x14ac:dyDescent="0.35">
      <c r="A2451">
        <f t="shared" si="5745"/>
        <v>2447</v>
      </c>
      <c r="B2451" s="9">
        <f t="shared" ref="B2451" si="6674">B2450+H2451+I2451+J2451</f>
        <v>41.5</v>
      </c>
      <c r="C2451" s="3" t="s">
        <v>2677</v>
      </c>
      <c r="D2451">
        <f t="shared" ref="D2451" si="6675">_xlfn.NUMBERVALUE(LEFT(C2451,2))</f>
        <v>24</v>
      </c>
      <c r="E2451">
        <f t="shared" ref="E2451" si="6676">_xlfn.NUMBERVALUE(MID(C2451,4,2))</f>
        <v>3</v>
      </c>
      <c r="F2451">
        <f t="shared" ref="F2451" si="6677">_xlfn.NUMBERVALUE(RIGHT(C2451,4))</f>
        <v>2024</v>
      </c>
      <c r="G2451" t="s">
        <v>7</v>
      </c>
      <c r="H2451">
        <v>-10</v>
      </c>
      <c r="K2451" t="s">
        <v>9</v>
      </c>
      <c r="L2451" s="8">
        <f t="shared" si="6633"/>
        <v>-1</v>
      </c>
      <c r="M2451" t="s">
        <v>2697</v>
      </c>
    </row>
    <row r="2452" spans="1:13" x14ac:dyDescent="0.35">
      <c r="A2452">
        <f t="shared" si="5745"/>
        <v>2448</v>
      </c>
      <c r="B2452" s="9">
        <f t="shared" ref="B2452" si="6678">B2451+H2452+I2452+J2452</f>
        <v>31.5</v>
      </c>
      <c r="C2452" s="3" t="s">
        <v>2677</v>
      </c>
      <c r="D2452">
        <f t="shared" ref="D2452" si="6679">_xlfn.NUMBERVALUE(LEFT(C2452,2))</f>
        <v>24</v>
      </c>
      <c r="E2452">
        <f t="shared" ref="E2452" si="6680">_xlfn.NUMBERVALUE(MID(C2452,4,2))</f>
        <v>3</v>
      </c>
      <c r="F2452">
        <f t="shared" ref="F2452" si="6681">_xlfn.NUMBERVALUE(RIGHT(C2452,4))</f>
        <v>2024</v>
      </c>
      <c r="G2452" t="s">
        <v>7</v>
      </c>
      <c r="H2452">
        <v>-10</v>
      </c>
      <c r="K2452" t="s">
        <v>9</v>
      </c>
      <c r="L2452" s="8">
        <f t="shared" si="6633"/>
        <v>-1</v>
      </c>
      <c r="M2452" t="s">
        <v>2698</v>
      </c>
    </row>
    <row r="2453" spans="1:13" x14ac:dyDescent="0.35">
      <c r="A2453">
        <f t="shared" si="5745"/>
        <v>2449</v>
      </c>
      <c r="B2453" s="9">
        <f t="shared" ref="B2453:B2454" si="6682">B2452+H2453+I2453+J2453</f>
        <v>6.5</v>
      </c>
      <c r="C2453" s="3" t="s">
        <v>2677</v>
      </c>
      <c r="D2453">
        <f t="shared" ref="D2453:D2454" si="6683">_xlfn.NUMBERVALUE(LEFT(C2453,2))</f>
        <v>24</v>
      </c>
      <c r="E2453">
        <f t="shared" ref="E2453:E2454" si="6684">_xlfn.NUMBERVALUE(MID(C2453,4,2))</f>
        <v>3</v>
      </c>
      <c r="F2453">
        <f t="shared" ref="F2453:F2454" si="6685">_xlfn.NUMBERVALUE(RIGHT(C2453,4))</f>
        <v>2024</v>
      </c>
      <c r="G2453" t="s">
        <v>7</v>
      </c>
      <c r="H2453">
        <v>-25</v>
      </c>
      <c r="K2453" t="s">
        <v>9</v>
      </c>
      <c r="L2453" s="8">
        <f t="shared" si="6633"/>
        <v>-1</v>
      </c>
      <c r="M2453" t="s">
        <v>2699</v>
      </c>
    </row>
    <row r="2454" spans="1:13" x14ac:dyDescent="0.35">
      <c r="A2454">
        <f t="shared" si="5745"/>
        <v>2450</v>
      </c>
      <c r="B2454" s="9">
        <f t="shared" si="6682"/>
        <v>1.5</v>
      </c>
      <c r="C2454" s="3" t="s">
        <v>2677</v>
      </c>
      <c r="D2454">
        <f t="shared" si="6683"/>
        <v>24</v>
      </c>
      <c r="E2454">
        <f t="shared" si="6684"/>
        <v>3</v>
      </c>
      <c r="F2454">
        <f t="shared" si="6685"/>
        <v>2024</v>
      </c>
      <c r="G2454" t="s">
        <v>7</v>
      </c>
      <c r="H2454">
        <v>-5</v>
      </c>
      <c r="K2454" t="s">
        <v>9</v>
      </c>
      <c r="L2454" s="8">
        <f t="shared" si="6633"/>
        <v>-1</v>
      </c>
      <c r="M2454" t="s">
        <v>2700</v>
      </c>
    </row>
    <row r="2455" spans="1:13" x14ac:dyDescent="0.35">
      <c r="A2455">
        <f t="shared" si="5745"/>
        <v>2451</v>
      </c>
      <c r="B2455" s="9">
        <f t="shared" ref="B2455:B2456" si="6686">B2454+H2455+I2455+J2455</f>
        <v>57.19</v>
      </c>
      <c r="C2455" s="3" t="s">
        <v>2677</v>
      </c>
      <c r="D2455">
        <f t="shared" ref="D2455:D2456" si="6687">_xlfn.NUMBERVALUE(LEFT(C2455,2))</f>
        <v>24</v>
      </c>
      <c r="E2455">
        <f t="shared" ref="E2455:E2456" si="6688">_xlfn.NUMBERVALUE(MID(C2455,4,2))</f>
        <v>3</v>
      </c>
      <c r="F2455">
        <f t="shared" ref="F2455:F2456" si="6689">_xlfn.NUMBERVALUE(RIGHT(C2455,4))</f>
        <v>2024</v>
      </c>
      <c r="G2455" t="s">
        <v>3362</v>
      </c>
      <c r="I2455">
        <v>55.69</v>
      </c>
      <c r="L2455" s="8"/>
    </row>
    <row r="2456" spans="1:13" x14ac:dyDescent="0.35">
      <c r="A2456">
        <f t="shared" si="5745"/>
        <v>2452</v>
      </c>
      <c r="B2456" s="9">
        <f t="shared" si="6686"/>
        <v>55.19</v>
      </c>
      <c r="C2456" s="3" t="s">
        <v>2677</v>
      </c>
      <c r="D2456">
        <f t="shared" si="6687"/>
        <v>24</v>
      </c>
      <c r="E2456">
        <f t="shared" si="6688"/>
        <v>3</v>
      </c>
      <c r="F2456">
        <f t="shared" si="6689"/>
        <v>2024</v>
      </c>
      <c r="G2456" t="s">
        <v>7</v>
      </c>
      <c r="H2456">
        <v>-2</v>
      </c>
      <c r="K2456" t="s">
        <v>9</v>
      </c>
      <c r="L2456" s="8">
        <f t="shared" si="6633"/>
        <v>-1</v>
      </c>
      <c r="M2456" t="s">
        <v>2701</v>
      </c>
    </row>
    <row r="2457" spans="1:13" x14ac:dyDescent="0.35">
      <c r="A2457">
        <f t="shared" si="5745"/>
        <v>2453</v>
      </c>
      <c r="B2457" s="9">
        <f t="shared" ref="B2457" si="6690">B2456+H2457+I2457+J2457</f>
        <v>53.19</v>
      </c>
      <c r="C2457" s="3" t="s">
        <v>2702</v>
      </c>
      <c r="D2457">
        <f t="shared" ref="D2457" si="6691">_xlfn.NUMBERVALUE(LEFT(C2457,2))</f>
        <v>28</v>
      </c>
      <c r="E2457">
        <f t="shared" ref="E2457" si="6692">_xlfn.NUMBERVALUE(MID(C2457,4,2))</f>
        <v>3</v>
      </c>
      <c r="F2457">
        <f t="shared" ref="F2457" si="6693">_xlfn.NUMBERVALUE(RIGHT(C2457,4))</f>
        <v>2024</v>
      </c>
      <c r="G2457" t="s">
        <v>7</v>
      </c>
      <c r="H2457">
        <v>-2</v>
      </c>
      <c r="K2457" t="s">
        <v>9</v>
      </c>
      <c r="L2457" s="8">
        <f t="shared" si="6633"/>
        <v>-1</v>
      </c>
      <c r="M2457" t="s">
        <v>2703</v>
      </c>
    </row>
    <row r="2458" spans="1:13" x14ac:dyDescent="0.35">
      <c r="A2458">
        <f t="shared" si="5745"/>
        <v>2454</v>
      </c>
      <c r="B2458" s="9">
        <f t="shared" ref="B2458" si="6694">B2457+H2458+I2458+J2458</f>
        <v>55.19</v>
      </c>
      <c r="C2458" s="3" t="s">
        <v>2702</v>
      </c>
      <c r="D2458">
        <f t="shared" ref="D2458" si="6695">_xlfn.NUMBERVALUE(LEFT(C2458,2))</f>
        <v>28</v>
      </c>
      <c r="E2458">
        <f t="shared" ref="E2458" si="6696">_xlfn.NUMBERVALUE(MID(C2458,4,2))</f>
        <v>3</v>
      </c>
      <c r="F2458">
        <f t="shared" ref="F2458" si="6697">_xlfn.NUMBERVALUE(RIGHT(C2458,4))</f>
        <v>2024</v>
      </c>
      <c r="G2458" t="s">
        <v>7</v>
      </c>
      <c r="H2458">
        <v>-2</v>
      </c>
      <c r="I2458">
        <v>4</v>
      </c>
      <c r="K2458" t="s">
        <v>10</v>
      </c>
      <c r="L2458" s="8">
        <f t="shared" si="6633"/>
        <v>1</v>
      </c>
      <c r="M2458" t="s">
        <v>2704</v>
      </c>
    </row>
    <row r="2459" spans="1:13" x14ac:dyDescent="0.35">
      <c r="A2459">
        <f t="shared" si="5745"/>
        <v>2455</v>
      </c>
      <c r="B2459" s="9">
        <f t="shared" ref="B2459" si="6698">B2458+H2459+I2459+J2459</f>
        <v>53.19</v>
      </c>
      <c r="C2459" s="3" t="s">
        <v>2702</v>
      </c>
      <c r="D2459">
        <f t="shared" ref="D2459" si="6699">_xlfn.NUMBERVALUE(LEFT(C2459,2))</f>
        <v>28</v>
      </c>
      <c r="E2459">
        <f t="shared" ref="E2459" si="6700">_xlfn.NUMBERVALUE(MID(C2459,4,2))</f>
        <v>3</v>
      </c>
      <c r="F2459">
        <f t="shared" ref="F2459" si="6701">_xlfn.NUMBERVALUE(RIGHT(C2459,4))</f>
        <v>2024</v>
      </c>
      <c r="G2459" t="s">
        <v>7</v>
      </c>
      <c r="H2459">
        <v>-2</v>
      </c>
      <c r="K2459" t="s">
        <v>9</v>
      </c>
      <c r="L2459" s="8">
        <f t="shared" si="6633"/>
        <v>-1</v>
      </c>
      <c r="M2459" t="s">
        <v>2705</v>
      </c>
    </row>
    <row r="2460" spans="1:13" x14ac:dyDescent="0.35">
      <c r="A2460">
        <f t="shared" si="5745"/>
        <v>2456</v>
      </c>
      <c r="B2460" s="9">
        <f t="shared" ref="B2460" si="6702">B2459+H2460+I2460+J2460</f>
        <v>51.19</v>
      </c>
      <c r="C2460" s="3" t="s">
        <v>2720</v>
      </c>
      <c r="D2460">
        <f t="shared" ref="D2460" si="6703">_xlfn.NUMBERVALUE(LEFT(C2460,2))</f>
        <v>29</v>
      </c>
      <c r="E2460">
        <f t="shared" ref="E2460" si="6704">_xlfn.NUMBERVALUE(MID(C2460,4,2))</f>
        <v>3</v>
      </c>
      <c r="F2460">
        <f t="shared" ref="F2460" si="6705">_xlfn.NUMBERVALUE(RIGHT(C2460,4))</f>
        <v>2024</v>
      </c>
      <c r="G2460" t="s">
        <v>7</v>
      </c>
      <c r="H2460">
        <v>-2</v>
      </c>
      <c r="K2460" t="s">
        <v>9</v>
      </c>
      <c r="L2460" s="8">
        <f t="shared" si="6633"/>
        <v>-1</v>
      </c>
      <c r="M2460" t="s">
        <v>2706</v>
      </c>
    </row>
    <row r="2461" spans="1:13" x14ac:dyDescent="0.35">
      <c r="A2461">
        <f t="shared" si="5745"/>
        <v>2457</v>
      </c>
      <c r="B2461" s="9">
        <f t="shared" ref="B2461" si="6706">B2460+H2461+I2461+J2461</f>
        <v>49.19</v>
      </c>
      <c r="C2461" s="3" t="s">
        <v>2720</v>
      </c>
      <c r="D2461">
        <f t="shared" ref="D2461" si="6707">_xlfn.NUMBERVALUE(LEFT(C2461,2))</f>
        <v>29</v>
      </c>
      <c r="E2461">
        <f t="shared" ref="E2461" si="6708">_xlfn.NUMBERVALUE(MID(C2461,4,2))</f>
        <v>3</v>
      </c>
      <c r="F2461">
        <f t="shared" ref="F2461" si="6709">_xlfn.NUMBERVALUE(RIGHT(C2461,4))</f>
        <v>2024</v>
      </c>
      <c r="G2461" t="s">
        <v>7</v>
      </c>
      <c r="H2461">
        <v>-2</v>
      </c>
      <c r="K2461" t="s">
        <v>9</v>
      </c>
      <c r="L2461" s="8">
        <f t="shared" si="6633"/>
        <v>-1</v>
      </c>
      <c r="M2461" t="s">
        <v>2707</v>
      </c>
    </row>
    <row r="2462" spans="1:13" x14ac:dyDescent="0.35">
      <c r="A2462">
        <f t="shared" si="5745"/>
        <v>2458</v>
      </c>
      <c r="B2462" s="9">
        <f t="shared" ref="B2462" si="6710">B2461+H2462+I2462+J2462</f>
        <v>53.19</v>
      </c>
      <c r="C2462" s="3" t="s">
        <v>2720</v>
      </c>
      <c r="D2462">
        <f t="shared" ref="D2462" si="6711">_xlfn.NUMBERVALUE(LEFT(C2462,2))</f>
        <v>29</v>
      </c>
      <c r="E2462">
        <f t="shared" ref="E2462" si="6712">_xlfn.NUMBERVALUE(MID(C2462,4,2))</f>
        <v>3</v>
      </c>
      <c r="F2462">
        <f t="shared" ref="F2462" si="6713">_xlfn.NUMBERVALUE(RIGHT(C2462,4))</f>
        <v>2024</v>
      </c>
      <c r="G2462" t="s">
        <v>7</v>
      </c>
      <c r="H2462">
        <v>-2</v>
      </c>
      <c r="I2462">
        <v>6</v>
      </c>
      <c r="K2462" t="s">
        <v>10</v>
      </c>
      <c r="L2462" s="8">
        <f t="shared" si="6633"/>
        <v>2</v>
      </c>
      <c r="M2462" t="s">
        <v>2708</v>
      </c>
    </row>
    <row r="2463" spans="1:13" x14ac:dyDescent="0.35">
      <c r="A2463">
        <f t="shared" si="5745"/>
        <v>2459</v>
      </c>
      <c r="B2463" s="9">
        <f t="shared" ref="B2463" si="6714">B2462+H2463+I2463+J2463</f>
        <v>51.19</v>
      </c>
      <c r="C2463" s="3" t="s">
        <v>2720</v>
      </c>
      <c r="D2463">
        <f t="shared" ref="D2463" si="6715">_xlfn.NUMBERVALUE(LEFT(C2463,2))</f>
        <v>29</v>
      </c>
      <c r="E2463">
        <f t="shared" ref="E2463" si="6716">_xlfn.NUMBERVALUE(MID(C2463,4,2))</f>
        <v>3</v>
      </c>
      <c r="F2463">
        <f t="shared" ref="F2463" si="6717">_xlfn.NUMBERVALUE(RIGHT(C2463,4))</f>
        <v>2024</v>
      </c>
      <c r="G2463" t="s">
        <v>7</v>
      </c>
      <c r="H2463">
        <v>-2</v>
      </c>
      <c r="K2463" t="s">
        <v>9</v>
      </c>
      <c r="L2463" s="8">
        <f t="shared" si="6633"/>
        <v>-1</v>
      </c>
      <c r="M2463" t="s">
        <v>2709</v>
      </c>
    </row>
    <row r="2464" spans="1:13" x14ac:dyDescent="0.35">
      <c r="A2464">
        <f t="shared" si="5745"/>
        <v>2460</v>
      </c>
      <c r="B2464" s="9">
        <f t="shared" ref="B2464" si="6718">B2463+H2464+I2464+J2464</f>
        <v>49.19</v>
      </c>
      <c r="C2464" s="3" t="s">
        <v>2720</v>
      </c>
      <c r="D2464">
        <f t="shared" ref="D2464" si="6719">_xlfn.NUMBERVALUE(LEFT(C2464,2))</f>
        <v>29</v>
      </c>
      <c r="E2464">
        <f t="shared" ref="E2464" si="6720">_xlfn.NUMBERVALUE(MID(C2464,4,2))</f>
        <v>3</v>
      </c>
      <c r="F2464">
        <f t="shared" ref="F2464" si="6721">_xlfn.NUMBERVALUE(RIGHT(C2464,4))</f>
        <v>2024</v>
      </c>
      <c r="G2464" t="s">
        <v>7</v>
      </c>
      <c r="H2464">
        <v>-2</v>
      </c>
      <c r="K2464" t="s">
        <v>9</v>
      </c>
      <c r="L2464" s="8">
        <f t="shared" si="6633"/>
        <v>-1</v>
      </c>
      <c r="M2464" t="s">
        <v>2710</v>
      </c>
    </row>
    <row r="2465" spans="1:13" x14ac:dyDescent="0.35">
      <c r="A2465">
        <f t="shared" si="5745"/>
        <v>2461</v>
      </c>
      <c r="B2465" s="9">
        <f t="shared" ref="B2465" si="6722">B2464+H2465+I2465+J2465</f>
        <v>47.19</v>
      </c>
      <c r="C2465" s="3" t="s">
        <v>2720</v>
      </c>
      <c r="D2465">
        <f t="shared" ref="D2465" si="6723">_xlfn.NUMBERVALUE(LEFT(C2465,2))</f>
        <v>29</v>
      </c>
      <c r="E2465">
        <f t="shared" ref="E2465" si="6724">_xlfn.NUMBERVALUE(MID(C2465,4,2))</f>
        <v>3</v>
      </c>
      <c r="F2465">
        <f t="shared" ref="F2465" si="6725">_xlfn.NUMBERVALUE(RIGHT(C2465,4))</f>
        <v>2024</v>
      </c>
      <c r="G2465" t="s">
        <v>7</v>
      </c>
      <c r="H2465">
        <v>-2</v>
      </c>
      <c r="K2465" t="s">
        <v>9</v>
      </c>
      <c r="L2465" s="8">
        <f t="shared" si="6633"/>
        <v>-1</v>
      </c>
      <c r="M2465" t="s">
        <v>2711</v>
      </c>
    </row>
    <row r="2466" spans="1:13" x14ac:dyDescent="0.35">
      <c r="A2466">
        <f t="shared" si="5745"/>
        <v>2462</v>
      </c>
      <c r="B2466" s="9">
        <f t="shared" ref="B2466" si="6726">B2465+H2466+I2466+J2466</f>
        <v>45.19</v>
      </c>
      <c r="C2466" s="3" t="s">
        <v>2720</v>
      </c>
      <c r="D2466">
        <f t="shared" ref="D2466" si="6727">_xlfn.NUMBERVALUE(LEFT(C2466,2))</f>
        <v>29</v>
      </c>
      <c r="E2466">
        <f t="shared" ref="E2466" si="6728">_xlfn.NUMBERVALUE(MID(C2466,4,2))</f>
        <v>3</v>
      </c>
      <c r="F2466">
        <f t="shared" ref="F2466" si="6729">_xlfn.NUMBERVALUE(RIGHT(C2466,4))</f>
        <v>2024</v>
      </c>
      <c r="G2466" t="s">
        <v>7</v>
      </c>
      <c r="H2466">
        <v>-2</v>
      </c>
      <c r="K2466" t="s">
        <v>9</v>
      </c>
      <c r="L2466" s="8">
        <f t="shared" si="6633"/>
        <v>-1</v>
      </c>
      <c r="M2466" t="s">
        <v>2712</v>
      </c>
    </row>
    <row r="2467" spans="1:13" x14ac:dyDescent="0.35">
      <c r="A2467">
        <f t="shared" ref="A2467:A2690" si="6730">A2466+1</f>
        <v>2463</v>
      </c>
      <c r="B2467" s="9">
        <f t="shared" ref="B2467" si="6731">B2466+H2467+I2467+J2467</f>
        <v>43.19</v>
      </c>
      <c r="C2467" s="3" t="s">
        <v>2720</v>
      </c>
      <c r="D2467">
        <f t="shared" ref="D2467" si="6732">_xlfn.NUMBERVALUE(LEFT(C2467,2))</f>
        <v>29</v>
      </c>
      <c r="E2467">
        <f t="shared" ref="E2467" si="6733">_xlfn.NUMBERVALUE(MID(C2467,4,2))</f>
        <v>3</v>
      </c>
      <c r="F2467">
        <f t="shared" ref="F2467" si="6734">_xlfn.NUMBERVALUE(RIGHT(C2467,4))</f>
        <v>2024</v>
      </c>
      <c r="G2467" t="s">
        <v>7</v>
      </c>
      <c r="H2467">
        <v>-2</v>
      </c>
      <c r="K2467" t="s">
        <v>9</v>
      </c>
      <c r="L2467" s="8">
        <f t="shared" si="6633"/>
        <v>-1</v>
      </c>
      <c r="M2467" t="s">
        <v>2713</v>
      </c>
    </row>
    <row r="2468" spans="1:13" x14ac:dyDescent="0.35">
      <c r="A2468">
        <f t="shared" si="6730"/>
        <v>2464</v>
      </c>
      <c r="B2468" s="9">
        <f t="shared" ref="B2468" si="6735">B2467+H2468+I2468+J2468</f>
        <v>41.19</v>
      </c>
      <c r="C2468" s="3" t="s">
        <v>2720</v>
      </c>
      <c r="D2468">
        <f t="shared" ref="D2468" si="6736">_xlfn.NUMBERVALUE(LEFT(C2468,2))</f>
        <v>29</v>
      </c>
      <c r="E2468">
        <f t="shared" ref="E2468" si="6737">_xlfn.NUMBERVALUE(MID(C2468,4,2))</f>
        <v>3</v>
      </c>
      <c r="F2468">
        <f t="shared" ref="F2468" si="6738">_xlfn.NUMBERVALUE(RIGHT(C2468,4))</f>
        <v>2024</v>
      </c>
      <c r="G2468" t="s">
        <v>7</v>
      </c>
      <c r="H2468">
        <v>-2</v>
      </c>
      <c r="K2468" t="s">
        <v>9</v>
      </c>
      <c r="L2468" s="8">
        <f t="shared" si="6633"/>
        <v>-1</v>
      </c>
      <c r="M2468" t="s">
        <v>2714</v>
      </c>
    </row>
    <row r="2469" spans="1:13" x14ac:dyDescent="0.35">
      <c r="A2469">
        <f t="shared" si="6730"/>
        <v>2465</v>
      </c>
      <c r="B2469" s="9">
        <f t="shared" ref="B2469" si="6739">B2468+H2469+I2469+J2469</f>
        <v>43.19</v>
      </c>
      <c r="C2469" s="3" t="s">
        <v>2720</v>
      </c>
      <c r="D2469">
        <f t="shared" ref="D2469" si="6740">_xlfn.NUMBERVALUE(LEFT(C2469,2))</f>
        <v>29</v>
      </c>
      <c r="E2469">
        <f t="shared" ref="E2469" si="6741">_xlfn.NUMBERVALUE(MID(C2469,4,2))</f>
        <v>3</v>
      </c>
      <c r="F2469">
        <f t="shared" ref="F2469" si="6742">_xlfn.NUMBERVALUE(RIGHT(C2469,4))</f>
        <v>2024</v>
      </c>
      <c r="G2469" t="s">
        <v>7</v>
      </c>
      <c r="H2469">
        <v>-2</v>
      </c>
      <c r="I2469">
        <v>4</v>
      </c>
      <c r="K2469" t="s">
        <v>10</v>
      </c>
      <c r="L2469" s="8">
        <f t="shared" si="6633"/>
        <v>1</v>
      </c>
      <c r="M2469" t="s">
        <v>2715</v>
      </c>
    </row>
    <row r="2470" spans="1:13" x14ac:dyDescent="0.35">
      <c r="A2470">
        <f t="shared" si="6730"/>
        <v>2466</v>
      </c>
      <c r="B2470" s="9">
        <f t="shared" ref="B2470" si="6743">B2469+H2470+I2470+J2470</f>
        <v>41.19</v>
      </c>
      <c r="C2470" s="3" t="s">
        <v>2720</v>
      </c>
      <c r="D2470">
        <f t="shared" ref="D2470" si="6744">_xlfn.NUMBERVALUE(LEFT(C2470,2))</f>
        <v>29</v>
      </c>
      <c r="E2470">
        <f t="shared" ref="E2470" si="6745">_xlfn.NUMBERVALUE(MID(C2470,4,2))</f>
        <v>3</v>
      </c>
      <c r="F2470">
        <f t="shared" ref="F2470" si="6746">_xlfn.NUMBERVALUE(RIGHT(C2470,4))</f>
        <v>2024</v>
      </c>
      <c r="G2470" t="s">
        <v>7</v>
      </c>
      <c r="H2470">
        <v>-2</v>
      </c>
      <c r="K2470" t="s">
        <v>9</v>
      </c>
      <c r="L2470" s="8">
        <f t="shared" si="6633"/>
        <v>-1</v>
      </c>
      <c r="M2470" t="s">
        <v>2716</v>
      </c>
    </row>
    <row r="2471" spans="1:13" x14ac:dyDescent="0.35">
      <c r="A2471">
        <f t="shared" si="6730"/>
        <v>2467</v>
      </c>
      <c r="B2471" s="9">
        <f t="shared" ref="B2471" si="6747">B2470+H2471+I2471+J2471</f>
        <v>39.19</v>
      </c>
      <c r="C2471" s="3" t="s">
        <v>2720</v>
      </c>
      <c r="D2471">
        <f t="shared" ref="D2471" si="6748">_xlfn.NUMBERVALUE(LEFT(C2471,2))</f>
        <v>29</v>
      </c>
      <c r="E2471">
        <f t="shared" ref="E2471" si="6749">_xlfn.NUMBERVALUE(MID(C2471,4,2))</f>
        <v>3</v>
      </c>
      <c r="F2471">
        <f t="shared" ref="F2471" si="6750">_xlfn.NUMBERVALUE(RIGHT(C2471,4))</f>
        <v>2024</v>
      </c>
      <c r="G2471" t="s">
        <v>7</v>
      </c>
      <c r="H2471">
        <v>-2</v>
      </c>
      <c r="K2471" t="s">
        <v>9</v>
      </c>
      <c r="L2471" s="8">
        <f t="shared" si="6633"/>
        <v>-1</v>
      </c>
      <c r="M2471" t="s">
        <v>2717</v>
      </c>
    </row>
    <row r="2472" spans="1:13" x14ac:dyDescent="0.35">
      <c r="A2472">
        <f t="shared" si="6730"/>
        <v>2468</v>
      </c>
      <c r="B2472" s="9">
        <f t="shared" ref="B2472" si="6751">B2471+H2472+I2472+J2472</f>
        <v>43.19</v>
      </c>
      <c r="C2472" s="3" t="s">
        <v>2720</v>
      </c>
      <c r="D2472">
        <f t="shared" ref="D2472" si="6752">_xlfn.NUMBERVALUE(LEFT(C2472,2))</f>
        <v>29</v>
      </c>
      <c r="E2472">
        <f t="shared" ref="E2472" si="6753">_xlfn.NUMBERVALUE(MID(C2472,4,2))</f>
        <v>3</v>
      </c>
      <c r="F2472">
        <f t="shared" ref="F2472" si="6754">_xlfn.NUMBERVALUE(RIGHT(C2472,4))</f>
        <v>2024</v>
      </c>
      <c r="G2472" t="s">
        <v>7</v>
      </c>
      <c r="H2472">
        <v>-2</v>
      </c>
      <c r="I2472">
        <v>6</v>
      </c>
      <c r="K2472" t="s">
        <v>10</v>
      </c>
      <c r="L2472" s="8">
        <f t="shared" si="6633"/>
        <v>2</v>
      </c>
      <c r="M2472" t="s">
        <v>2718</v>
      </c>
    </row>
    <row r="2473" spans="1:13" x14ac:dyDescent="0.35">
      <c r="A2473">
        <f t="shared" si="6730"/>
        <v>2469</v>
      </c>
      <c r="B2473" s="9">
        <f t="shared" ref="B2473" si="6755">B2472+H2473+I2473+J2473</f>
        <v>45.19</v>
      </c>
      <c r="C2473" s="3" t="s">
        <v>2720</v>
      </c>
      <c r="D2473">
        <f t="shared" ref="D2473" si="6756">_xlfn.NUMBERVALUE(LEFT(C2473,2))</f>
        <v>29</v>
      </c>
      <c r="E2473">
        <f t="shared" ref="E2473" si="6757">_xlfn.NUMBERVALUE(MID(C2473,4,2))</f>
        <v>3</v>
      </c>
      <c r="F2473">
        <f t="shared" ref="F2473" si="6758">_xlfn.NUMBERVALUE(RIGHT(C2473,4))</f>
        <v>2024</v>
      </c>
      <c r="G2473" t="s">
        <v>7</v>
      </c>
      <c r="H2473">
        <v>-2</v>
      </c>
      <c r="I2473">
        <v>4</v>
      </c>
      <c r="K2473" t="s">
        <v>10</v>
      </c>
      <c r="L2473" s="8">
        <f t="shared" si="6633"/>
        <v>1</v>
      </c>
      <c r="M2473" t="s">
        <v>2719</v>
      </c>
    </row>
    <row r="2474" spans="1:13" x14ac:dyDescent="0.35">
      <c r="A2474">
        <f t="shared" si="6730"/>
        <v>2470</v>
      </c>
      <c r="B2474" s="9">
        <f t="shared" ref="B2474" si="6759">B2473+H2474+I2474+J2474</f>
        <v>43.19</v>
      </c>
      <c r="C2474" s="3" t="s">
        <v>2728</v>
      </c>
      <c r="D2474">
        <f t="shared" ref="D2474" si="6760">_xlfn.NUMBERVALUE(LEFT(C2474,2))</f>
        <v>30</v>
      </c>
      <c r="E2474">
        <f t="shared" ref="E2474" si="6761">_xlfn.NUMBERVALUE(MID(C2474,4,2))</f>
        <v>3</v>
      </c>
      <c r="F2474">
        <f t="shared" ref="F2474" si="6762">_xlfn.NUMBERVALUE(RIGHT(C2474,4))</f>
        <v>2024</v>
      </c>
      <c r="G2474" t="s">
        <v>7</v>
      </c>
      <c r="H2474">
        <v>-2</v>
      </c>
      <c r="K2474" t="s">
        <v>9</v>
      </c>
      <c r="L2474" s="8">
        <f t="shared" si="6633"/>
        <v>-1</v>
      </c>
      <c r="M2474" t="s">
        <v>2721</v>
      </c>
    </row>
    <row r="2475" spans="1:13" x14ac:dyDescent="0.35">
      <c r="A2475">
        <f t="shared" si="6730"/>
        <v>2471</v>
      </c>
      <c r="B2475" s="9">
        <f t="shared" ref="B2475" si="6763">B2474+H2475+I2475+J2475</f>
        <v>47.19</v>
      </c>
      <c r="C2475" s="3" t="s">
        <v>2728</v>
      </c>
      <c r="D2475">
        <f t="shared" ref="D2475" si="6764">_xlfn.NUMBERVALUE(LEFT(C2475,2))</f>
        <v>30</v>
      </c>
      <c r="E2475">
        <f t="shared" ref="E2475" si="6765">_xlfn.NUMBERVALUE(MID(C2475,4,2))</f>
        <v>3</v>
      </c>
      <c r="F2475">
        <f t="shared" ref="F2475" si="6766">_xlfn.NUMBERVALUE(RIGHT(C2475,4))</f>
        <v>2024</v>
      </c>
      <c r="G2475" t="s">
        <v>7</v>
      </c>
      <c r="H2475">
        <v>-2</v>
      </c>
      <c r="I2475">
        <v>6</v>
      </c>
      <c r="K2475" t="s">
        <v>10</v>
      </c>
      <c r="L2475" s="8">
        <f t="shared" si="6633"/>
        <v>2</v>
      </c>
      <c r="M2475" t="s">
        <v>2722</v>
      </c>
    </row>
    <row r="2476" spans="1:13" x14ac:dyDescent="0.35">
      <c r="A2476">
        <f t="shared" si="6730"/>
        <v>2472</v>
      </c>
      <c r="B2476" s="9">
        <f t="shared" ref="B2476" si="6767">B2475+H2476+I2476+J2476</f>
        <v>45.19</v>
      </c>
      <c r="C2476" s="3" t="s">
        <v>2728</v>
      </c>
      <c r="D2476">
        <f t="shared" ref="D2476" si="6768">_xlfn.NUMBERVALUE(LEFT(C2476,2))</f>
        <v>30</v>
      </c>
      <c r="E2476">
        <f t="shared" ref="E2476" si="6769">_xlfn.NUMBERVALUE(MID(C2476,4,2))</f>
        <v>3</v>
      </c>
      <c r="F2476">
        <f t="shared" ref="F2476" si="6770">_xlfn.NUMBERVALUE(RIGHT(C2476,4))</f>
        <v>2024</v>
      </c>
      <c r="G2476" t="s">
        <v>7</v>
      </c>
      <c r="H2476">
        <v>-2</v>
      </c>
      <c r="K2476" t="s">
        <v>9</v>
      </c>
      <c r="L2476" s="8">
        <f t="shared" si="6633"/>
        <v>-1</v>
      </c>
      <c r="M2476" t="s">
        <v>2723</v>
      </c>
    </row>
    <row r="2477" spans="1:13" x14ac:dyDescent="0.35">
      <c r="A2477">
        <f t="shared" si="6730"/>
        <v>2473</v>
      </c>
      <c r="B2477" s="9">
        <f t="shared" ref="B2477" si="6771">B2476+H2477+I2477+J2477</f>
        <v>47.19</v>
      </c>
      <c r="C2477" s="3" t="s">
        <v>2728</v>
      </c>
      <c r="D2477">
        <f t="shared" ref="D2477" si="6772">_xlfn.NUMBERVALUE(LEFT(C2477,2))</f>
        <v>30</v>
      </c>
      <c r="E2477">
        <f t="shared" ref="E2477" si="6773">_xlfn.NUMBERVALUE(MID(C2477,4,2))</f>
        <v>3</v>
      </c>
      <c r="F2477">
        <f t="shared" ref="F2477" si="6774">_xlfn.NUMBERVALUE(RIGHT(C2477,4))</f>
        <v>2024</v>
      </c>
      <c r="G2477" t="s">
        <v>7</v>
      </c>
      <c r="H2477">
        <v>-2</v>
      </c>
      <c r="I2477">
        <v>4</v>
      </c>
      <c r="K2477" t="s">
        <v>10</v>
      </c>
      <c r="L2477" s="8">
        <f t="shared" si="6633"/>
        <v>1</v>
      </c>
      <c r="M2477" t="s">
        <v>2724</v>
      </c>
    </row>
    <row r="2478" spans="1:13" x14ac:dyDescent="0.35">
      <c r="A2478">
        <f t="shared" si="6730"/>
        <v>2474</v>
      </c>
      <c r="B2478" s="9">
        <f t="shared" ref="B2478" si="6775">B2477+H2478+I2478+J2478</f>
        <v>45.19</v>
      </c>
      <c r="C2478" s="3" t="s">
        <v>2728</v>
      </c>
      <c r="D2478">
        <f t="shared" ref="D2478" si="6776">_xlfn.NUMBERVALUE(LEFT(C2478,2))</f>
        <v>30</v>
      </c>
      <c r="E2478">
        <f t="shared" ref="E2478" si="6777">_xlfn.NUMBERVALUE(MID(C2478,4,2))</f>
        <v>3</v>
      </c>
      <c r="F2478">
        <f t="shared" ref="F2478" si="6778">_xlfn.NUMBERVALUE(RIGHT(C2478,4))</f>
        <v>2024</v>
      </c>
      <c r="G2478" t="s">
        <v>7</v>
      </c>
      <c r="H2478">
        <v>-2</v>
      </c>
      <c r="K2478" t="s">
        <v>9</v>
      </c>
      <c r="L2478" s="8">
        <f t="shared" si="6633"/>
        <v>-1</v>
      </c>
      <c r="M2478" t="s">
        <v>2725</v>
      </c>
    </row>
    <row r="2479" spans="1:13" x14ac:dyDescent="0.35">
      <c r="A2479">
        <f t="shared" si="6730"/>
        <v>2475</v>
      </c>
      <c r="B2479" s="9">
        <f t="shared" ref="B2479" si="6779">B2478+H2479+I2479+J2479</f>
        <v>43.19</v>
      </c>
      <c r="C2479" s="3" t="s">
        <v>2728</v>
      </c>
      <c r="D2479">
        <f t="shared" ref="D2479" si="6780">_xlfn.NUMBERVALUE(LEFT(C2479,2))</f>
        <v>30</v>
      </c>
      <c r="E2479">
        <f t="shared" ref="E2479" si="6781">_xlfn.NUMBERVALUE(MID(C2479,4,2))</f>
        <v>3</v>
      </c>
      <c r="F2479">
        <f t="shared" ref="F2479" si="6782">_xlfn.NUMBERVALUE(RIGHT(C2479,4))</f>
        <v>2024</v>
      </c>
      <c r="G2479" t="s">
        <v>7</v>
      </c>
      <c r="H2479">
        <v>-2</v>
      </c>
      <c r="K2479" t="s">
        <v>9</v>
      </c>
      <c r="L2479" s="8">
        <f t="shared" si="6633"/>
        <v>-1</v>
      </c>
      <c r="M2479" t="s">
        <v>2726</v>
      </c>
    </row>
    <row r="2480" spans="1:13" x14ac:dyDescent="0.35">
      <c r="A2480">
        <f t="shared" si="6730"/>
        <v>2476</v>
      </c>
      <c r="B2480" s="9">
        <f t="shared" ref="B2480" si="6783">B2479+H2480+I2480+J2480</f>
        <v>41.19</v>
      </c>
      <c r="C2480" s="3" t="s">
        <v>2728</v>
      </c>
      <c r="D2480">
        <f t="shared" ref="D2480" si="6784">_xlfn.NUMBERVALUE(LEFT(C2480,2))</f>
        <v>30</v>
      </c>
      <c r="E2480">
        <f t="shared" ref="E2480" si="6785">_xlfn.NUMBERVALUE(MID(C2480,4,2))</f>
        <v>3</v>
      </c>
      <c r="F2480">
        <f t="shared" ref="F2480" si="6786">_xlfn.NUMBERVALUE(RIGHT(C2480,4))</f>
        <v>2024</v>
      </c>
      <c r="G2480" t="s">
        <v>7</v>
      </c>
      <c r="H2480">
        <v>-2</v>
      </c>
      <c r="K2480" t="s">
        <v>9</v>
      </c>
      <c r="L2480" s="8">
        <f t="shared" si="6633"/>
        <v>-1</v>
      </c>
      <c r="M2480" t="s">
        <v>2727</v>
      </c>
    </row>
    <row r="2481" spans="1:13" x14ac:dyDescent="0.35">
      <c r="A2481">
        <f t="shared" si="6730"/>
        <v>2477</v>
      </c>
      <c r="B2481" s="9">
        <f t="shared" ref="B2481" si="6787">B2480+H2481+I2481+J2481</f>
        <v>39.19</v>
      </c>
      <c r="C2481" s="3" t="s">
        <v>2728</v>
      </c>
      <c r="D2481">
        <f t="shared" ref="D2481" si="6788">_xlfn.NUMBERVALUE(LEFT(C2481,2))</f>
        <v>30</v>
      </c>
      <c r="E2481">
        <f t="shared" ref="E2481" si="6789">_xlfn.NUMBERVALUE(MID(C2481,4,2))</f>
        <v>3</v>
      </c>
      <c r="F2481">
        <f t="shared" ref="F2481" si="6790">_xlfn.NUMBERVALUE(RIGHT(C2481,4))</f>
        <v>2024</v>
      </c>
      <c r="G2481" t="s">
        <v>7</v>
      </c>
      <c r="H2481">
        <v>-2</v>
      </c>
      <c r="K2481" t="s">
        <v>9</v>
      </c>
      <c r="L2481" s="8">
        <f t="shared" si="6633"/>
        <v>-1</v>
      </c>
      <c r="M2481" t="s">
        <v>2729</v>
      </c>
    </row>
    <row r="2482" spans="1:13" x14ac:dyDescent="0.35">
      <c r="A2482">
        <f t="shared" si="6730"/>
        <v>2478</v>
      </c>
      <c r="B2482" s="9">
        <f t="shared" ref="B2482" si="6791">B2481+H2482+I2482+J2482</f>
        <v>37.19</v>
      </c>
      <c r="C2482" s="3" t="s">
        <v>2728</v>
      </c>
      <c r="D2482">
        <f t="shared" ref="D2482" si="6792">_xlfn.NUMBERVALUE(LEFT(C2482,2))</f>
        <v>30</v>
      </c>
      <c r="E2482">
        <f t="shared" ref="E2482" si="6793">_xlfn.NUMBERVALUE(MID(C2482,4,2))</f>
        <v>3</v>
      </c>
      <c r="F2482">
        <f t="shared" ref="F2482" si="6794">_xlfn.NUMBERVALUE(RIGHT(C2482,4))</f>
        <v>2024</v>
      </c>
      <c r="G2482" t="s">
        <v>7</v>
      </c>
      <c r="H2482">
        <v>-2</v>
      </c>
      <c r="K2482" t="s">
        <v>9</v>
      </c>
      <c r="L2482" s="8">
        <f t="shared" si="6633"/>
        <v>-1</v>
      </c>
      <c r="M2482" t="s">
        <v>2730</v>
      </c>
    </row>
    <row r="2483" spans="1:13" x14ac:dyDescent="0.35">
      <c r="A2483">
        <f t="shared" si="6730"/>
        <v>2479</v>
      </c>
      <c r="B2483" s="9">
        <f t="shared" ref="B2483" si="6795">B2482+H2483+I2483+J2483</f>
        <v>35.19</v>
      </c>
      <c r="C2483" s="3" t="s">
        <v>2728</v>
      </c>
      <c r="D2483">
        <f t="shared" ref="D2483" si="6796">_xlfn.NUMBERVALUE(LEFT(C2483,2))</f>
        <v>30</v>
      </c>
      <c r="E2483">
        <f t="shared" ref="E2483" si="6797">_xlfn.NUMBERVALUE(MID(C2483,4,2))</f>
        <v>3</v>
      </c>
      <c r="F2483">
        <f t="shared" ref="F2483" si="6798">_xlfn.NUMBERVALUE(RIGHT(C2483,4))</f>
        <v>2024</v>
      </c>
      <c r="G2483" t="s">
        <v>7</v>
      </c>
      <c r="H2483">
        <v>-2</v>
      </c>
      <c r="K2483" t="s">
        <v>9</v>
      </c>
      <c r="L2483" s="8">
        <f t="shared" si="6633"/>
        <v>-1</v>
      </c>
      <c r="M2483" t="s">
        <v>2731</v>
      </c>
    </row>
    <row r="2484" spans="1:13" x14ac:dyDescent="0.35">
      <c r="A2484">
        <f t="shared" si="6730"/>
        <v>2480</v>
      </c>
      <c r="B2484" s="9">
        <f t="shared" ref="B2484" si="6799">B2483+H2484+I2484+J2484</f>
        <v>30.189999999999998</v>
      </c>
      <c r="C2484" s="3" t="s">
        <v>2728</v>
      </c>
      <c r="D2484">
        <f t="shared" ref="D2484" si="6800">_xlfn.NUMBERVALUE(LEFT(C2484,2))</f>
        <v>30</v>
      </c>
      <c r="E2484">
        <f t="shared" ref="E2484" si="6801">_xlfn.NUMBERVALUE(MID(C2484,4,2))</f>
        <v>3</v>
      </c>
      <c r="F2484">
        <f t="shared" ref="F2484" si="6802">_xlfn.NUMBERVALUE(RIGHT(C2484,4))</f>
        <v>2024</v>
      </c>
      <c r="G2484" t="s">
        <v>7</v>
      </c>
      <c r="H2484">
        <v>-5</v>
      </c>
      <c r="K2484" t="s">
        <v>9</v>
      </c>
      <c r="L2484" s="8">
        <f t="shared" si="6633"/>
        <v>-1</v>
      </c>
      <c r="M2484" t="s">
        <v>2732</v>
      </c>
    </row>
    <row r="2485" spans="1:13" x14ac:dyDescent="0.35">
      <c r="A2485">
        <f t="shared" si="6730"/>
        <v>2481</v>
      </c>
      <c r="B2485" s="9">
        <f t="shared" ref="B2485" si="6803">B2484+H2485+I2485+J2485</f>
        <v>40.19</v>
      </c>
      <c r="C2485" s="3" t="s">
        <v>2728</v>
      </c>
      <c r="D2485">
        <f t="shared" ref="D2485" si="6804">_xlfn.NUMBERVALUE(LEFT(C2485,2))</f>
        <v>30</v>
      </c>
      <c r="E2485">
        <f t="shared" ref="E2485" si="6805">_xlfn.NUMBERVALUE(MID(C2485,4,2))</f>
        <v>3</v>
      </c>
      <c r="F2485">
        <f t="shared" ref="F2485" si="6806">_xlfn.NUMBERVALUE(RIGHT(C2485,4))</f>
        <v>2024</v>
      </c>
      <c r="G2485" t="s">
        <v>7</v>
      </c>
      <c r="H2485">
        <v>-10</v>
      </c>
      <c r="I2485">
        <v>20</v>
      </c>
      <c r="K2485" t="s">
        <v>10</v>
      </c>
      <c r="L2485" s="8">
        <f t="shared" si="6633"/>
        <v>1</v>
      </c>
      <c r="M2485" t="s">
        <v>2733</v>
      </c>
    </row>
    <row r="2486" spans="1:13" x14ac:dyDescent="0.35">
      <c r="A2486">
        <f t="shared" si="6730"/>
        <v>2482</v>
      </c>
      <c r="B2486" s="9">
        <f t="shared" ref="B2486" si="6807">B2485+H2486+I2486+J2486</f>
        <v>30.189999999999998</v>
      </c>
      <c r="C2486" s="3" t="s">
        <v>2728</v>
      </c>
      <c r="D2486">
        <f t="shared" ref="D2486" si="6808">_xlfn.NUMBERVALUE(LEFT(C2486,2))</f>
        <v>30</v>
      </c>
      <c r="E2486">
        <f t="shared" ref="E2486" si="6809">_xlfn.NUMBERVALUE(MID(C2486,4,2))</f>
        <v>3</v>
      </c>
      <c r="F2486">
        <f t="shared" ref="F2486" si="6810">_xlfn.NUMBERVALUE(RIGHT(C2486,4))</f>
        <v>2024</v>
      </c>
      <c r="G2486" t="s">
        <v>7</v>
      </c>
      <c r="H2486">
        <v>-10</v>
      </c>
      <c r="K2486" t="s">
        <v>9</v>
      </c>
      <c r="L2486" s="8">
        <f t="shared" si="6633"/>
        <v>-1</v>
      </c>
      <c r="M2486" t="s">
        <v>2734</v>
      </c>
    </row>
    <row r="2487" spans="1:13" x14ac:dyDescent="0.35">
      <c r="A2487">
        <f t="shared" si="6730"/>
        <v>2483</v>
      </c>
      <c r="B2487" s="9">
        <f t="shared" ref="B2487" si="6811">B2486+H2487+I2487+J2487</f>
        <v>50.19</v>
      </c>
      <c r="C2487" s="3" t="s">
        <v>2728</v>
      </c>
      <c r="D2487">
        <f t="shared" ref="D2487" si="6812">_xlfn.NUMBERVALUE(LEFT(C2487,2))</f>
        <v>30</v>
      </c>
      <c r="E2487">
        <f t="shared" ref="E2487" si="6813">_xlfn.NUMBERVALUE(MID(C2487,4,2))</f>
        <v>3</v>
      </c>
      <c r="F2487">
        <f t="shared" ref="F2487" si="6814">_xlfn.NUMBERVALUE(RIGHT(C2487,4))</f>
        <v>2024</v>
      </c>
      <c r="G2487" t="s">
        <v>7</v>
      </c>
      <c r="H2487">
        <v>-10</v>
      </c>
      <c r="I2487">
        <v>30</v>
      </c>
      <c r="K2487" t="s">
        <v>10</v>
      </c>
      <c r="L2487" s="8">
        <f t="shared" si="6633"/>
        <v>2</v>
      </c>
      <c r="M2487" t="s">
        <v>2735</v>
      </c>
    </row>
    <row r="2488" spans="1:13" x14ac:dyDescent="0.35">
      <c r="A2488">
        <f t="shared" si="6730"/>
        <v>2484</v>
      </c>
      <c r="B2488" s="9">
        <f t="shared" ref="B2488:B2489" si="6815">B2487+H2488+I2488+J2488</f>
        <v>60.19</v>
      </c>
      <c r="C2488" s="3" t="s">
        <v>2728</v>
      </c>
      <c r="D2488">
        <f t="shared" ref="D2488:D2489" si="6816">_xlfn.NUMBERVALUE(LEFT(C2488,2))</f>
        <v>30</v>
      </c>
      <c r="E2488">
        <f t="shared" ref="E2488:E2489" si="6817">_xlfn.NUMBERVALUE(MID(C2488,4,2))</f>
        <v>3</v>
      </c>
      <c r="F2488">
        <f t="shared" ref="F2488:F2489" si="6818">_xlfn.NUMBERVALUE(RIGHT(C2488,4))</f>
        <v>2024</v>
      </c>
      <c r="G2488" t="s">
        <v>7</v>
      </c>
      <c r="H2488">
        <v>-10</v>
      </c>
      <c r="I2488">
        <v>20</v>
      </c>
      <c r="K2488" t="s">
        <v>10</v>
      </c>
      <c r="L2488" s="8">
        <f t="shared" si="6633"/>
        <v>1</v>
      </c>
      <c r="M2488" t="s">
        <v>2736</v>
      </c>
    </row>
    <row r="2489" spans="1:13" x14ac:dyDescent="0.35">
      <c r="A2489">
        <f t="shared" si="6730"/>
        <v>2485</v>
      </c>
      <c r="B2489" s="9">
        <f t="shared" si="6815"/>
        <v>58.19</v>
      </c>
      <c r="C2489" s="3" t="s">
        <v>2737</v>
      </c>
      <c r="D2489">
        <f t="shared" si="6816"/>
        <v>31</v>
      </c>
      <c r="E2489">
        <f t="shared" si="6817"/>
        <v>3</v>
      </c>
      <c r="F2489">
        <f t="shared" si="6818"/>
        <v>2024</v>
      </c>
      <c r="G2489" t="s">
        <v>7</v>
      </c>
      <c r="H2489">
        <v>-2</v>
      </c>
      <c r="K2489" t="s">
        <v>9</v>
      </c>
      <c r="L2489" s="8">
        <f t="shared" si="6633"/>
        <v>-1</v>
      </c>
      <c r="M2489" t="s">
        <v>2738</v>
      </c>
    </row>
    <row r="2490" spans="1:13" x14ac:dyDescent="0.35">
      <c r="A2490">
        <f t="shared" si="6730"/>
        <v>2486</v>
      </c>
      <c r="B2490" s="9">
        <f t="shared" ref="B2490" si="6819">B2489+H2490+I2490+J2490</f>
        <v>60.19</v>
      </c>
      <c r="C2490" s="3" t="s">
        <v>2737</v>
      </c>
      <c r="D2490">
        <f t="shared" ref="D2490" si="6820">_xlfn.NUMBERVALUE(LEFT(C2490,2))</f>
        <v>31</v>
      </c>
      <c r="E2490">
        <f t="shared" ref="E2490" si="6821">_xlfn.NUMBERVALUE(MID(C2490,4,2))</f>
        <v>3</v>
      </c>
      <c r="F2490">
        <f t="shared" ref="F2490" si="6822">_xlfn.NUMBERVALUE(RIGHT(C2490,4))</f>
        <v>2024</v>
      </c>
      <c r="G2490" t="s">
        <v>7</v>
      </c>
      <c r="H2490">
        <v>-2</v>
      </c>
      <c r="I2490">
        <v>4</v>
      </c>
      <c r="K2490" t="s">
        <v>10</v>
      </c>
      <c r="L2490" s="8">
        <f t="shared" si="6633"/>
        <v>1</v>
      </c>
      <c r="M2490" t="s">
        <v>2739</v>
      </c>
    </row>
    <row r="2491" spans="1:13" x14ac:dyDescent="0.35">
      <c r="A2491">
        <f t="shared" si="6730"/>
        <v>2487</v>
      </c>
      <c r="B2491" s="9">
        <f t="shared" ref="B2491" si="6823">B2490+H2491+I2491+J2491</f>
        <v>58.19</v>
      </c>
      <c r="C2491" s="3" t="s">
        <v>2737</v>
      </c>
      <c r="D2491">
        <f t="shared" ref="D2491" si="6824">_xlfn.NUMBERVALUE(LEFT(C2491,2))</f>
        <v>31</v>
      </c>
      <c r="E2491">
        <f t="shared" ref="E2491" si="6825">_xlfn.NUMBERVALUE(MID(C2491,4,2))</f>
        <v>3</v>
      </c>
      <c r="F2491">
        <f t="shared" ref="F2491" si="6826">_xlfn.NUMBERVALUE(RIGHT(C2491,4))</f>
        <v>2024</v>
      </c>
      <c r="G2491" t="s">
        <v>7</v>
      </c>
      <c r="H2491">
        <v>-2</v>
      </c>
      <c r="K2491" t="s">
        <v>9</v>
      </c>
      <c r="L2491" s="8">
        <f t="shared" si="6633"/>
        <v>-1</v>
      </c>
      <c r="M2491" t="s">
        <v>2740</v>
      </c>
    </row>
    <row r="2492" spans="1:13" x14ac:dyDescent="0.35">
      <c r="A2492">
        <f t="shared" si="6730"/>
        <v>2488</v>
      </c>
      <c r="B2492" s="9">
        <f t="shared" ref="B2492" si="6827">B2491+H2492+I2492+J2492</f>
        <v>60.19</v>
      </c>
      <c r="C2492" s="3" t="s">
        <v>2737</v>
      </c>
      <c r="D2492">
        <f t="shared" ref="D2492" si="6828">_xlfn.NUMBERVALUE(LEFT(C2492,2))</f>
        <v>31</v>
      </c>
      <c r="E2492">
        <f t="shared" ref="E2492" si="6829">_xlfn.NUMBERVALUE(MID(C2492,4,2))</f>
        <v>3</v>
      </c>
      <c r="F2492">
        <f t="shared" ref="F2492" si="6830">_xlfn.NUMBERVALUE(RIGHT(C2492,4))</f>
        <v>2024</v>
      </c>
      <c r="G2492" t="s">
        <v>7</v>
      </c>
      <c r="H2492">
        <v>-2</v>
      </c>
      <c r="I2492">
        <v>4</v>
      </c>
      <c r="K2492" t="s">
        <v>10</v>
      </c>
      <c r="L2492" s="8">
        <f t="shared" si="6633"/>
        <v>1</v>
      </c>
      <c r="M2492" t="s">
        <v>2741</v>
      </c>
    </row>
    <row r="2493" spans="1:13" x14ac:dyDescent="0.35">
      <c r="A2493">
        <f t="shared" si="6730"/>
        <v>2489</v>
      </c>
      <c r="B2493" s="9">
        <f t="shared" ref="B2493" si="6831">B2492+H2493+I2493+J2493</f>
        <v>58.19</v>
      </c>
      <c r="C2493" s="3" t="s">
        <v>2737</v>
      </c>
      <c r="D2493">
        <f t="shared" ref="D2493" si="6832">_xlfn.NUMBERVALUE(LEFT(C2493,2))</f>
        <v>31</v>
      </c>
      <c r="E2493">
        <f t="shared" ref="E2493" si="6833">_xlfn.NUMBERVALUE(MID(C2493,4,2))</f>
        <v>3</v>
      </c>
      <c r="F2493">
        <f t="shared" ref="F2493" si="6834">_xlfn.NUMBERVALUE(RIGHT(C2493,4))</f>
        <v>2024</v>
      </c>
      <c r="G2493" t="s">
        <v>7</v>
      </c>
      <c r="H2493">
        <v>-2</v>
      </c>
      <c r="K2493" t="s">
        <v>9</v>
      </c>
      <c r="L2493" s="8">
        <f t="shared" si="6633"/>
        <v>-1</v>
      </c>
      <c r="M2493" t="s">
        <v>2742</v>
      </c>
    </row>
    <row r="2494" spans="1:13" x14ac:dyDescent="0.35">
      <c r="A2494">
        <f t="shared" si="6730"/>
        <v>2490</v>
      </c>
      <c r="B2494" s="9">
        <f t="shared" ref="B2494" si="6835">B2493+H2494+I2494+J2494</f>
        <v>56.19</v>
      </c>
      <c r="C2494" s="3" t="s">
        <v>2737</v>
      </c>
      <c r="D2494">
        <f t="shared" ref="D2494" si="6836">_xlfn.NUMBERVALUE(LEFT(C2494,2))</f>
        <v>31</v>
      </c>
      <c r="E2494">
        <f t="shared" ref="E2494" si="6837">_xlfn.NUMBERVALUE(MID(C2494,4,2))</f>
        <v>3</v>
      </c>
      <c r="F2494">
        <f t="shared" ref="F2494" si="6838">_xlfn.NUMBERVALUE(RIGHT(C2494,4))</f>
        <v>2024</v>
      </c>
      <c r="G2494" t="s">
        <v>7</v>
      </c>
      <c r="H2494">
        <v>-2</v>
      </c>
      <c r="K2494" t="s">
        <v>9</v>
      </c>
      <c r="L2494" s="8">
        <f t="shared" si="6633"/>
        <v>-1</v>
      </c>
      <c r="M2494" t="s">
        <v>2743</v>
      </c>
    </row>
    <row r="2495" spans="1:13" x14ac:dyDescent="0.35">
      <c r="A2495">
        <f t="shared" si="6730"/>
        <v>2491</v>
      </c>
      <c r="B2495" s="9">
        <f t="shared" ref="B2495" si="6839">B2494+H2495+I2495+J2495</f>
        <v>54.19</v>
      </c>
      <c r="C2495" s="3" t="s">
        <v>2737</v>
      </c>
      <c r="D2495">
        <f t="shared" ref="D2495" si="6840">_xlfn.NUMBERVALUE(LEFT(C2495,2))</f>
        <v>31</v>
      </c>
      <c r="E2495">
        <f t="shared" ref="E2495" si="6841">_xlfn.NUMBERVALUE(MID(C2495,4,2))</f>
        <v>3</v>
      </c>
      <c r="F2495">
        <f t="shared" ref="F2495" si="6842">_xlfn.NUMBERVALUE(RIGHT(C2495,4))</f>
        <v>2024</v>
      </c>
      <c r="G2495" t="s">
        <v>7</v>
      </c>
      <c r="H2495">
        <v>-2</v>
      </c>
      <c r="K2495" t="s">
        <v>9</v>
      </c>
      <c r="L2495" s="8">
        <f t="shared" si="6633"/>
        <v>-1</v>
      </c>
      <c r="M2495" t="s">
        <v>2744</v>
      </c>
    </row>
    <row r="2496" spans="1:13" x14ac:dyDescent="0.35">
      <c r="A2496">
        <f t="shared" si="6730"/>
        <v>2492</v>
      </c>
      <c r="B2496" s="9">
        <f t="shared" ref="B2496" si="6843">B2495+H2496+I2496+J2496</f>
        <v>56.19</v>
      </c>
      <c r="C2496" s="3" t="s">
        <v>2737</v>
      </c>
      <c r="D2496">
        <f t="shared" ref="D2496" si="6844">_xlfn.NUMBERVALUE(LEFT(C2496,2))</f>
        <v>31</v>
      </c>
      <c r="E2496">
        <f t="shared" ref="E2496" si="6845">_xlfn.NUMBERVALUE(MID(C2496,4,2))</f>
        <v>3</v>
      </c>
      <c r="F2496">
        <f t="shared" ref="F2496" si="6846">_xlfn.NUMBERVALUE(RIGHT(C2496,4))</f>
        <v>2024</v>
      </c>
      <c r="G2496" t="s">
        <v>7</v>
      </c>
      <c r="H2496">
        <v>-2</v>
      </c>
      <c r="I2496">
        <v>4</v>
      </c>
      <c r="K2496" t="s">
        <v>10</v>
      </c>
      <c r="L2496" s="8">
        <f t="shared" si="6633"/>
        <v>1</v>
      </c>
      <c r="M2496" t="s">
        <v>2745</v>
      </c>
    </row>
    <row r="2497" spans="1:13" x14ac:dyDescent="0.35">
      <c r="A2497">
        <f t="shared" si="6730"/>
        <v>2493</v>
      </c>
      <c r="B2497" s="9">
        <f t="shared" ref="B2497" si="6847">B2496+H2497+I2497+J2497</f>
        <v>54.19</v>
      </c>
      <c r="C2497" s="3" t="s">
        <v>2737</v>
      </c>
      <c r="D2497">
        <f t="shared" ref="D2497" si="6848">_xlfn.NUMBERVALUE(LEFT(C2497,2))</f>
        <v>31</v>
      </c>
      <c r="E2497">
        <f t="shared" ref="E2497" si="6849">_xlfn.NUMBERVALUE(MID(C2497,4,2))</f>
        <v>3</v>
      </c>
      <c r="F2497">
        <f t="shared" ref="F2497" si="6850">_xlfn.NUMBERVALUE(RIGHT(C2497,4))</f>
        <v>2024</v>
      </c>
      <c r="G2497" t="s">
        <v>7</v>
      </c>
      <c r="H2497">
        <v>-2</v>
      </c>
      <c r="K2497" t="s">
        <v>9</v>
      </c>
      <c r="L2497" s="8">
        <f t="shared" si="6633"/>
        <v>-1</v>
      </c>
      <c r="M2497" t="s">
        <v>2746</v>
      </c>
    </row>
    <row r="2498" spans="1:13" x14ac:dyDescent="0.35">
      <c r="A2498">
        <f t="shared" si="6730"/>
        <v>2494</v>
      </c>
      <c r="B2498" s="9">
        <f t="shared" ref="B2498" si="6851">B2497+H2498+I2498+J2498</f>
        <v>56.19</v>
      </c>
      <c r="C2498" s="3" t="s">
        <v>2737</v>
      </c>
      <c r="D2498">
        <f t="shared" ref="D2498" si="6852">_xlfn.NUMBERVALUE(LEFT(C2498,2))</f>
        <v>31</v>
      </c>
      <c r="E2498">
        <f t="shared" ref="E2498" si="6853">_xlfn.NUMBERVALUE(MID(C2498,4,2))</f>
        <v>3</v>
      </c>
      <c r="F2498">
        <f t="shared" ref="F2498" si="6854">_xlfn.NUMBERVALUE(RIGHT(C2498,4))</f>
        <v>2024</v>
      </c>
      <c r="G2498" t="s">
        <v>7</v>
      </c>
      <c r="H2498">
        <v>-2</v>
      </c>
      <c r="I2498">
        <v>4</v>
      </c>
      <c r="K2498" t="s">
        <v>10</v>
      </c>
      <c r="L2498" s="8">
        <f t="shared" si="6633"/>
        <v>1</v>
      </c>
      <c r="M2498" t="s">
        <v>2747</v>
      </c>
    </row>
    <row r="2499" spans="1:13" x14ac:dyDescent="0.35">
      <c r="A2499">
        <f t="shared" si="6730"/>
        <v>2495</v>
      </c>
      <c r="B2499" s="9">
        <f t="shared" ref="B2499" si="6855">B2498+H2499+I2499+J2499</f>
        <v>62.19</v>
      </c>
      <c r="C2499" s="3" t="s">
        <v>2737</v>
      </c>
      <c r="D2499">
        <f t="shared" ref="D2499" si="6856">_xlfn.NUMBERVALUE(LEFT(C2499,2))</f>
        <v>31</v>
      </c>
      <c r="E2499">
        <f t="shared" ref="E2499" si="6857">_xlfn.NUMBERVALUE(MID(C2499,4,2))</f>
        <v>3</v>
      </c>
      <c r="F2499">
        <f t="shared" ref="F2499" si="6858">_xlfn.NUMBERVALUE(RIGHT(C2499,4))</f>
        <v>2024</v>
      </c>
      <c r="G2499" t="s">
        <v>7</v>
      </c>
      <c r="H2499">
        <v>-2</v>
      </c>
      <c r="I2499">
        <v>8</v>
      </c>
      <c r="K2499" t="s">
        <v>10</v>
      </c>
      <c r="L2499" s="8">
        <f t="shared" si="6633"/>
        <v>3</v>
      </c>
      <c r="M2499" t="s">
        <v>2748</v>
      </c>
    </row>
    <row r="2500" spans="1:13" x14ac:dyDescent="0.35">
      <c r="A2500">
        <f t="shared" si="6730"/>
        <v>2496</v>
      </c>
      <c r="B2500" s="9">
        <f t="shared" ref="B2500" si="6859">B2499+H2500+I2500+J2500</f>
        <v>60.19</v>
      </c>
      <c r="C2500" s="3" t="s">
        <v>2737</v>
      </c>
      <c r="D2500">
        <f t="shared" ref="D2500" si="6860">_xlfn.NUMBERVALUE(LEFT(C2500,2))</f>
        <v>31</v>
      </c>
      <c r="E2500">
        <f t="shared" ref="E2500" si="6861">_xlfn.NUMBERVALUE(MID(C2500,4,2))</f>
        <v>3</v>
      </c>
      <c r="F2500">
        <f t="shared" ref="F2500" si="6862">_xlfn.NUMBERVALUE(RIGHT(C2500,4))</f>
        <v>2024</v>
      </c>
      <c r="G2500" t="s">
        <v>7</v>
      </c>
      <c r="H2500">
        <v>-2</v>
      </c>
      <c r="K2500" t="s">
        <v>9</v>
      </c>
      <c r="L2500" s="8">
        <f t="shared" si="6633"/>
        <v>-1</v>
      </c>
      <c r="M2500" t="s">
        <v>2749</v>
      </c>
    </row>
    <row r="2501" spans="1:13" x14ac:dyDescent="0.35">
      <c r="A2501">
        <f t="shared" si="6730"/>
        <v>2497</v>
      </c>
      <c r="B2501" s="9">
        <f t="shared" ref="B2501" si="6863">B2500+H2501+I2501+J2501</f>
        <v>58.19</v>
      </c>
      <c r="C2501" s="3" t="s">
        <v>2737</v>
      </c>
      <c r="D2501">
        <f t="shared" ref="D2501" si="6864">_xlfn.NUMBERVALUE(LEFT(C2501,2))</f>
        <v>31</v>
      </c>
      <c r="E2501">
        <f t="shared" ref="E2501" si="6865">_xlfn.NUMBERVALUE(MID(C2501,4,2))</f>
        <v>3</v>
      </c>
      <c r="F2501">
        <f t="shared" ref="F2501" si="6866">_xlfn.NUMBERVALUE(RIGHT(C2501,4))</f>
        <v>2024</v>
      </c>
      <c r="G2501" t="s">
        <v>7</v>
      </c>
      <c r="H2501">
        <v>-2</v>
      </c>
      <c r="K2501" t="s">
        <v>9</v>
      </c>
      <c r="L2501" s="8">
        <f t="shared" si="6633"/>
        <v>-1</v>
      </c>
      <c r="M2501" t="s">
        <v>2750</v>
      </c>
    </row>
    <row r="2502" spans="1:13" x14ac:dyDescent="0.35">
      <c r="A2502">
        <f t="shared" si="6730"/>
        <v>2498</v>
      </c>
      <c r="B2502" s="9">
        <f t="shared" ref="B2502" si="6867">B2501+H2502+I2502+J2502</f>
        <v>56.19</v>
      </c>
      <c r="C2502" s="3" t="s">
        <v>2737</v>
      </c>
      <c r="D2502">
        <f t="shared" ref="D2502" si="6868">_xlfn.NUMBERVALUE(LEFT(C2502,2))</f>
        <v>31</v>
      </c>
      <c r="E2502">
        <f t="shared" ref="E2502" si="6869">_xlfn.NUMBERVALUE(MID(C2502,4,2))</f>
        <v>3</v>
      </c>
      <c r="F2502">
        <f t="shared" ref="F2502" si="6870">_xlfn.NUMBERVALUE(RIGHT(C2502,4))</f>
        <v>2024</v>
      </c>
      <c r="G2502" t="s">
        <v>7</v>
      </c>
      <c r="H2502">
        <v>-2</v>
      </c>
      <c r="K2502" t="s">
        <v>9</v>
      </c>
      <c r="L2502" s="8">
        <f t="shared" ref="L2502:L2565" si="6871">IF(H2502="",0,(SUM(I2502:J2502)/-H2502)-1)</f>
        <v>-1</v>
      </c>
      <c r="M2502" t="s">
        <v>2751</v>
      </c>
    </row>
    <row r="2503" spans="1:13" x14ac:dyDescent="0.35">
      <c r="A2503">
        <f t="shared" si="6730"/>
        <v>2499</v>
      </c>
      <c r="B2503" s="9">
        <f t="shared" ref="B2503" si="6872">B2502+H2503+I2503+J2503</f>
        <v>58.19</v>
      </c>
      <c r="C2503" s="3" t="s">
        <v>2737</v>
      </c>
      <c r="D2503">
        <f t="shared" ref="D2503" si="6873">_xlfn.NUMBERVALUE(LEFT(C2503,2))</f>
        <v>31</v>
      </c>
      <c r="E2503">
        <f t="shared" ref="E2503" si="6874">_xlfn.NUMBERVALUE(MID(C2503,4,2))</f>
        <v>3</v>
      </c>
      <c r="F2503">
        <f t="shared" ref="F2503" si="6875">_xlfn.NUMBERVALUE(RIGHT(C2503,4))</f>
        <v>2024</v>
      </c>
      <c r="G2503" t="s">
        <v>7</v>
      </c>
      <c r="H2503">
        <v>-2</v>
      </c>
      <c r="I2503">
        <v>4</v>
      </c>
      <c r="K2503" t="s">
        <v>10</v>
      </c>
      <c r="L2503" s="8">
        <f t="shared" si="6871"/>
        <v>1</v>
      </c>
      <c r="M2503" t="s">
        <v>2752</v>
      </c>
    </row>
    <row r="2504" spans="1:13" x14ac:dyDescent="0.35">
      <c r="A2504">
        <f t="shared" si="6730"/>
        <v>2500</v>
      </c>
      <c r="B2504" s="9">
        <f t="shared" ref="B2504" si="6876">B2503+H2504+I2504+J2504</f>
        <v>62.19</v>
      </c>
      <c r="C2504" s="3" t="s">
        <v>2737</v>
      </c>
      <c r="D2504">
        <f t="shared" ref="D2504" si="6877">_xlfn.NUMBERVALUE(LEFT(C2504,2))</f>
        <v>31</v>
      </c>
      <c r="E2504">
        <f t="shared" ref="E2504" si="6878">_xlfn.NUMBERVALUE(MID(C2504,4,2))</f>
        <v>3</v>
      </c>
      <c r="F2504">
        <f t="shared" ref="F2504" si="6879">_xlfn.NUMBERVALUE(RIGHT(C2504,4))</f>
        <v>2024</v>
      </c>
      <c r="G2504" t="s">
        <v>7</v>
      </c>
      <c r="H2504">
        <v>-2</v>
      </c>
      <c r="I2504">
        <v>6</v>
      </c>
      <c r="K2504" t="s">
        <v>10</v>
      </c>
      <c r="L2504" s="8">
        <f t="shared" si="6871"/>
        <v>2</v>
      </c>
      <c r="M2504" t="s">
        <v>2753</v>
      </c>
    </row>
    <row r="2505" spans="1:13" x14ac:dyDescent="0.35">
      <c r="A2505">
        <f t="shared" si="6730"/>
        <v>2501</v>
      </c>
      <c r="B2505" s="9">
        <f t="shared" ref="B2505" si="6880">B2504+H2505+I2505+J2505</f>
        <v>60.19</v>
      </c>
      <c r="C2505" s="3" t="s">
        <v>2737</v>
      </c>
      <c r="D2505">
        <f t="shared" ref="D2505" si="6881">_xlfn.NUMBERVALUE(LEFT(C2505,2))</f>
        <v>31</v>
      </c>
      <c r="E2505">
        <f t="shared" ref="E2505" si="6882">_xlfn.NUMBERVALUE(MID(C2505,4,2))</f>
        <v>3</v>
      </c>
      <c r="F2505">
        <f t="shared" ref="F2505" si="6883">_xlfn.NUMBERVALUE(RIGHT(C2505,4))</f>
        <v>2024</v>
      </c>
      <c r="G2505" t="s">
        <v>7</v>
      </c>
      <c r="H2505">
        <v>-2</v>
      </c>
      <c r="K2505" t="s">
        <v>9</v>
      </c>
      <c r="L2505" s="8">
        <f t="shared" si="6871"/>
        <v>-1</v>
      </c>
      <c r="M2505" t="s">
        <v>2754</v>
      </c>
    </row>
    <row r="2506" spans="1:13" x14ac:dyDescent="0.35">
      <c r="A2506">
        <f t="shared" si="6730"/>
        <v>2502</v>
      </c>
      <c r="B2506" s="9">
        <f t="shared" ref="B2506" si="6884">B2505+H2506+I2506+J2506</f>
        <v>58.19</v>
      </c>
      <c r="C2506" s="3" t="s">
        <v>2737</v>
      </c>
      <c r="D2506">
        <f t="shared" ref="D2506" si="6885">_xlfn.NUMBERVALUE(LEFT(C2506,2))</f>
        <v>31</v>
      </c>
      <c r="E2506">
        <f t="shared" ref="E2506" si="6886">_xlfn.NUMBERVALUE(MID(C2506,4,2))</f>
        <v>3</v>
      </c>
      <c r="F2506">
        <f t="shared" ref="F2506" si="6887">_xlfn.NUMBERVALUE(RIGHT(C2506,4))</f>
        <v>2024</v>
      </c>
      <c r="G2506" t="s">
        <v>7</v>
      </c>
      <c r="H2506">
        <v>-2</v>
      </c>
      <c r="K2506" t="s">
        <v>9</v>
      </c>
      <c r="L2506" s="8">
        <f t="shared" si="6871"/>
        <v>-1</v>
      </c>
      <c r="M2506" t="s">
        <v>2755</v>
      </c>
    </row>
    <row r="2507" spans="1:13" x14ac:dyDescent="0.35">
      <c r="A2507">
        <f t="shared" si="6730"/>
        <v>2503</v>
      </c>
      <c r="B2507" s="9">
        <f t="shared" ref="B2507" si="6888">B2506+H2507+I2507+J2507</f>
        <v>56.19</v>
      </c>
      <c r="C2507" s="3" t="s">
        <v>2756</v>
      </c>
      <c r="D2507">
        <f t="shared" ref="D2507" si="6889">_xlfn.NUMBERVALUE(LEFT(C2507,2))</f>
        <v>1</v>
      </c>
      <c r="E2507">
        <f t="shared" ref="E2507" si="6890">_xlfn.NUMBERVALUE(MID(C2507,4,2))</f>
        <v>4</v>
      </c>
      <c r="F2507">
        <f t="shared" ref="F2507" si="6891">_xlfn.NUMBERVALUE(RIGHT(C2507,4))</f>
        <v>2024</v>
      </c>
      <c r="G2507" t="s">
        <v>7</v>
      </c>
      <c r="H2507">
        <v>-2</v>
      </c>
      <c r="K2507" t="s">
        <v>9</v>
      </c>
      <c r="L2507" s="8">
        <f t="shared" si="6871"/>
        <v>-1</v>
      </c>
      <c r="M2507" t="s">
        <v>2757</v>
      </c>
    </row>
    <row r="2508" spans="1:13" x14ac:dyDescent="0.35">
      <c r="A2508">
        <f t="shared" si="6730"/>
        <v>2504</v>
      </c>
      <c r="B2508" s="9">
        <f t="shared" ref="B2508" si="6892">B2507+H2508+I2508+J2508</f>
        <v>54.19</v>
      </c>
      <c r="C2508" s="3" t="s">
        <v>2756</v>
      </c>
      <c r="D2508">
        <f t="shared" ref="D2508" si="6893">_xlfn.NUMBERVALUE(LEFT(C2508,2))</f>
        <v>1</v>
      </c>
      <c r="E2508">
        <f t="shared" ref="E2508" si="6894">_xlfn.NUMBERVALUE(MID(C2508,4,2))</f>
        <v>4</v>
      </c>
      <c r="F2508">
        <f t="shared" ref="F2508" si="6895">_xlfn.NUMBERVALUE(RIGHT(C2508,4))</f>
        <v>2024</v>
      </c>
      <c r="G2508" t="s">
        <v>7</v>
      </c>
      <c r="H2508">
        <v>-2</v>
      </c>
      <c r="K2508" t="s">
        <v>9</v>
      </c>
      <c r="L2508" s="8">
        <f t="shared" si="6871"/>
        <v>-1</v>
      </c>
      <c r="M2508" t="s">
        <v>2758</v>
      </c>
    </row>
    <row r="2509" spans="1:13" x14ac:dyDescent="0.35">
      <c r="A2509">
        <f t="shared" si="6730"/>
        <v>2505</v>
      </c>
      <c r="B2509" s="9">
        <f t="shared" ref="B2509" si="6896">B2508+H2509+I2509+J2509</f>
        <v>52.19</v>
      </c>
      <c r="C2509" s="3" t="s">
        <v>2756</v>
      </c>
      <c r="D2509">
        <f t="shared" ref="D2509" si="6897">_xlfn.NUMBERVALUE(LEFT(C2509,2))</f>
        <v>1</v>
      </c>
      <c r="E2509">
        <f t="shared" ref="E2509" si="6898">_xlfn.NUMBERVALUE(MID(C2509,4,2))</f>
        <v>4</v>
      </c>
      <c r="F2509">
        <f t="shared" ref="F2509" si="6899">_xlfn.NUMBERVALUE(RIGHT(C2509,4))</f>
        <v>2024</v>
      </c>
      <c r="G2509" t="s">
        <v>7</v>
      </c>
      <c r="H2509">
        <v>-2</v>
      </c>
      <c r="K2509" t="s">
        <v>9</v>
      </c>
      <c r="L2509" s="8">
        <f t="shared" si="6871"/>
        <v>-1</v>
      </c>
      <c r="M2509" t="s">
        <v>2759</v>
      </c>
    </row>
    <row r="2510" spans="1:13" x14ac:dyDescent="0.35">
      <c r="A2510">
        <f t="shared" si="6730"/>
        <v>2506</v>
      </c>
      <c r="B2510" s="9">
        <f t="shared" ref="B2510" si="6900">B2509+H2510+I2510+J2510</f>
        <v>50.19</v>
      </c>
      <c r="C2510" s="3" t="s">
        <v>2756</v>
      </c>
      <c r="D2510">
        <f t="shared" ref="D2510" si="6901">_xlfn.NUMBERVALUE(LEFT(C2510,2))</f>
        <v>1</v>
      </c>
      <c r="E2510">
        <f t="shared" ref="E2510" si="6902">_xlfn.NUMBERVALUE(MID(C2510,4,2))</f>
        <v>4</v>
      </c>
      <c r="F2510">
        <f t="shared" ref="F2510" si="6903">_xlfn.NUMBERVALUE(RIGHT(C2510,4))</f>
        <v>2024</v>
      </c>
      <c r="G2510" t="s">
        <v>7</v>
      </c>
      <c r="H2510">
        <v>-2</v>
      </c>
      <c r="K2510" t="s">
        <v>9</v>
      </c>
      <c r="L2510" s="8">
        <f t="shared" si="6871"/>
        <v>-1</v>
      </c>
      <c r="M2510" t="s">
        <v>2760</v>
      </c>
    </row>
    <row r="2511" spans="1:13" x14ac:dyDescent="0.35">
      <c r="A2511">
        <f t="shared" si="6730"/>
        <v>2507</v>
      </c>
      <c r="B2511" s="9">
        <f t="shared" ref="B2511" si="6904">B2510+H2511+I2511+J2511</f>
        <v>60.19</v>
      </c>
      <c r="C2511" s="3" t="s">
        <v>2756</v>
      </c>
      <c r="D2511">
        <f t="shared" ref="D2511" si="6905">_xlfn.NUMBERVALUE(LEFT(C2511,2))</f>
        <v>1</v>
      </c>
      <c r="E2511">
        <f t="shared" ref="E2511" si="6906">_xlfn.NUMBERVALUE(MID(C2511,4,2))</f>
        <v>4</v>
      </c>
      <c r="F2511">
        <f t="shared" ref="F2511" si="6907">_xlfn.NUMBERVALUE(RIGHT(C2511,4))</f>
        <v>2024</v>
      </c>
      <c r="G2511" t="s">
        <v>7</v>
      </c>
      <c r="H2511">
        <v>-10</v>
      </c>
      <c r="I2511">
        <v>20</v>
      </c>
      <c r="K2511" t="s">
        <v>10</v>
      </c>
      <c r="L2511" s="8">
        <f t="shared" si="6871"/>
        <v>1</v>
      </c>
      <c r="M2511" t="s">
        <v>2761</v>
      </c>
    </row>
    <row r="2512" spans="1:13" x14ac:dyDescent="0.35">
      <c r="A2512">
        <f t="shared" si="6730"/>
        <v>2508</v>
      </c>
      <c r="B2512" s="9">
        <f t="shared" ref="B2512:B2513" si="6908">B2511+H2512+I2512+J2512</f>
        <v>80.19</v>
      </c>
      <c r="C2512" s="3" t="s">
        <v>2756</v>
      </c>
      <c r="D2512">
        <f t="shared" ref="D2512:D2513" si="6909">_xlfn.NUMBERVALUE(LEFT(C2512,2))</f>
        <v>1</v>
      </c>
      <c r="E2512">
        <f t="shared" ref="E2512:E2513" si="6910">_xlfn.NUMBERVALUE(MID(C2512,4,2))</f>
        <v>4</v>
      </c>
      <c r="F2512">
        <f t="shared" ref="F2512:F2513" si="6911">_xlfn.NUMBERVALUE(RIGHT(C2512,4))</f>
        <v>2024</v>
      </c>
      <c r="G2512" t="s">
        <v>7</v>
      </c>
      <c r="H2512">
        <v>-10</v>
      </c>
      <c r="I2512">
        <v>30</v>
      </c>
      <c r="K2512" t="s">
        <v>10</v>
      </c>
      <c r="L2512" s="8">
        <f t="shared" si="6871"/>
        <v>2</v>
      </c>
      <c r="M2512" t="s">
        <v>2762</v>
      </c>
    </row>
    <row r="2513" spans="1:13" x14ac:dyDescent="0.35">
      <c r="A2513">
        <f t="shared" si="6730"/>
        <v>2509</v>
      </c>
      <c r="B2513" s="9">
        <f t="shared" si="6908"/>
        <v>78.19</v>
      </c>
      <c r="C2513" s="3" t="s">
        <v>2756</v>
      </c>
      <c r="D2513">
        <f t="shared" si="6909"/>
        <v>1</v>
      </c>
      <c r="E2513">
        <f t="shared" si="6910"/>
        <v>4</v>
      </c>
      <c r="F2513">
        <f t="shared" si="6911"/>
        <v>2024</v>
      </c>
      <c r="G2513" t="s">
        <v>7</v>
      </c>
      <c r="H2513">
        <v>-2</v>
      </c>
      <c r="K2513" t="s">
        <v>9</v>
      </c>
      <c r="L2513" s="8">
        <f t="shared" si="6871"/>
        <v>-1</v>
      </c>
      <c r="M2513" t="s">
        <v>2763</v>
      </c>
    </row>
    <row r="2514" spans="1:13" x14ac:dyDescent="0.35">
      <c r="A2514">
        <f t="shared" si="6730"/>
        <v>2510</v>
      </c>
      <c r="B2514" s="9">
        <f t="shared" ref="B2514:B2515" si="6912">B2513+H2514+I2514+J2514</f>
        <v>80.19</v>
      </c>
      <c r="C2514" s="3" t="s">
        <v>2756</v>
      </c>
      <c r="D2514">
        <f t="shared" ref="D2514:D2515" si="6913">_xlfn.NUMBERVALUE(LEFT(C2514,2))</f>
        <v>1</v>
      </c>
      <c r="E2514">
        <f t="shared" ref="E2514:E2515" si="6914">_xlfn.NUMBERVALUE(MID(C2514,4,2))</f>
        <v>4</v>
      </c>
      <c r="F2514">
        <f t="shared" ref="F2514:F2515" si="6915">_xlfn.NUMBERVALUE(RIGHT(C2514,4))</f>
        <v>2024</v>
      </c>
      <c r="G2514" t="s">
        <v>7</v>
      </c>
      <c r="H2514">
        <v>-2</v>
      </c>
      <c r="I2514">
        <v>4</v>
      </c>
      <c r="K2514" t="s">
        <v>10</v>
      </c>
      <c r="L2514" s="8">
        <f t="shared" si="6871"/>
        <v>1</v>
      </c>
      <c r="M2514" t="s">
        <v>2764</v>
      </c>
    </row>
    <row r="2515" spans="1:13" x14ac:dyDescent="0.35">
      <c r="A2515">
        <f t="shared" si="6730"/>
        <v>2511</v>
      </c>
      <c r="B2515" s="9">
        <f t="shared" si="6912"/>
        <v>78.19</v>
      </c>
      <c r="C2515" s="3" t="s">
        <v>2756</v>
      </c>
      <c r="D2515">
        <f t="shared" si="6913"/>
        <v>1</v>
      </c>
      <c r="E2515">
        <f t="shared" si="6914"/>
        <v>4</v>
      </c>
      <c r="F2515">
        <f t="shared" si="6915"/>
        <v>2024</v>
      </c>
      <c r="G2515" t="s">
        <v>7</v>
      </c>
      <c r="H2515">
        <v>-2</v>
      </c>
      <c r="K2515" t="s">
        <v>9</v>
      </c>
      <c r="L2515" s="8">
        <f t="shared" si="6871"/>
        <v>-1</v>
      </c>
      <c r="M2515" t="s">
        <v>2765</v>
      </c>
    </row>
    <row r="2516" spans="1:13" x14ac:dyDescent="0.35">
      <c r="A2516">
        <f t="shared" si="6730"/>
        <v>2512</v>
      </c>
      <c r="B2516" s="9">
        <f t="shared" ref="B2516" si="6916">B2515+H2516+I2516+J2516</f>
        <v>80.19</v>
      </c>
      <c r="C2516" s="3" t="s">
        <v>2767</v>
      </c>
      <c r="D2516">
        <f t="shared" ref="D2516" si="6917">_xlfn.NUMBERVALUE(LEFT(C2516,2))</f>
        <v>2</v>
      </c>
      <c r="E2516">
        <f t="shared" ref="E2516" si="6918">_xlfn.NUMBERVALUE(MID(C2516,4,2))</f>
        <v>4</v>
      </c>
      <c r="F2516">
        <f t="shared" ref="F2516" si="6919">_xlfn.NUMBERVALUE(RIGHT(C2516,4))</f>
        <v>2024</v>
      </c>
      <c r="G2516" t="s">
        <v>7</v>
      </c>
      <c r="H2516">
        <v>-2</v>
      </c>
      <c r="I2516">
        <v>4</v>
      </c>
      <c r="K2516" t="s">
        <v>10</v>
      </c>
      <c r="L2516" s="8">
        <f t="shared" si="6871"/>
        <v>1</v>
      </c>
      <c r="M2516" t="s">
        <v>2766</v>
      </c>
    </row>
    <row r="2517" spans="1:13" x14ac:dyDescent="0.35">
      <c r="A2517">
        <f t="shared" si="6730"/>
        <v>2513</v>
      </c>
      <c r="B2517" s="9">
        <f t="shared" ref="B2517" si="6920">B2516+H2517+I2517+J2517</f>
        <v>78.19</v>
      </c>
      <c r="C2517" s="3" t="s">
        <v>2767</v>
      </c>
      <c r="D2517">
        <f t="shared" ref="D2517" si="6921">_xlfn.NUMBERVALUE(LEFT(C2517,2))</f>
        <v>2</v>
      </c>
      <c r="E2517">
        <f t="shared" ref="E2517" si="6922">_xlfn.NUMBERVALUE(MID(C2517,4,2))</f>
        <v>4</v>
      </c>
      <c r="F2517">
        <f t="shared" ref="F2517" si="6923">_xlfn.NUMBERVALUE(RIGHT(C2517,4))</f>
        <v>2024</v>
      </c>
      <c r="G2517" t="s">
        <v>7</v>
      </c>
      <c r="H2517">
        <v>-2</v>
      </c>
      <c r="K2517" t="s">
        <v>9</v>
      </c>
      <c r="L2517" s="8">
        <f t="shared" si="6871"/>
        <v>-1</v>
      </c>
      <c r="M2517" t="s">
        <v>2768</v>
      </c>
    </row>
    <row r="2518" spans="1:13" x14ac:dyDescent="0.35">
      <c r="A2518">
        <f t="shared" si="6730"/>
        <v>2514</v>
      </c>
      <c r="B2518" s="9">
        <f t="shared" ref="B2518" si="6924">B2517+H2518+I2518+J2518</f>
        <v>76.19</v>
      </c>
      <c r="C2518" s="3" t="s">
        <v>2769</v>
      </c>
      <c r="D2518">
        <f t="shared" ref="D2518" si="6925">_xlfn.NUMBERVALUE(LEFT(C2518,2))</f>
        <v>3</v>
      </c>
      <c r="E2518">
        <f t="shared" ref="E2518" si="6926">_xlfn.NUMBERVALUE(MID(C2518,4,2))</f>
        <v>4</v>
      </c>
      <c r="F2518">
        <f t="shared" ref="F2518" si="6927">_xlfn.NUMBERVALUE(RIGHT(C2518,4))</f>
        <v>2024</v>
      </c>
      <c r="G2518" t="s">
        <v>7</v>
      </c>
      <c r="H2518">
        <v>-2</v>
      </c>
      <c r="K2518" t="s">
        <v>9</v>
      </c>
      <c r="L2518" s="8">
        <f t="shared" si="6871"/>
        <v>-1</v>
      </c>
      <c r="M2518" t="s">
        <v>2770</v>
      </c>
    </row>
    <row r="2519" spans="1:13" x14ac:dyDescent="0.35">
      <c r="A2519">
        <f t="shared" si="6730"/>
        <v>2515</v>
      </c>
      <c r="B2519" s="9">
        <f t="shared" ref="B2519" si="6928">B2518+H2519+I2519+J2519</f>
        <v>78.19</v>
      </c>
      <c r="C2519" s="3" t="s">
        <v>2769</v>
      </c>
      <c r="D2519">
        <f t="shared" ref="D2519" si="6929">_xlfn.NUMBERVALUE(LEFT(C2519,2))</f>
        <v>3</v>
      </c>
      <c r="E2519">
        <f t="shared" ref="E2519" si="6930">_xlfn.NUMBERVALUE(MID(C2519,4,2))</f>
        <v>4</v>
      </c>
      <c r="F2519">
        <f t="shared" ref="F2519" si="6931">_xlfn.NUMBERVALUE(RIGHT(C2519,4))</f>
        <v>2024</v>
      </c>
      <c r="G2519" t="s">
        <v>7</v>
      </c>
      <c r="H2519">
        <v>-2</v>
      </c>
      <c r="I2519">
        <v>4</v>
      </c>
      <c r="K2519" t="s">
        <v>10</v>
      </c>
      <c r="L2519" s="8">
        <f t="shared" si="6871"/>
        <v>1</v>
      </c>
      <c r="M2519" t="s">
        <v>2771</v>
      </c>
    </row>
    <row r="2520" spans="1:13" x14ac:dyDescent="0.35">
      <c r="A2520">
        <f t="shared" si="6730"/>
        <v>2516</v>
      </c>
      <c r="B2520" s="9">
        <f t="shared" ref="B2520" si="6932">B2519+H2520+I2520+J2520</f>
        <v>76.19</v>
      </c>
      <c r="C2520" s="3" t="s">
        <v>2769</v>
      </c>
      <c r="D2520">
        <f t="shared" ref="D2520" si="6933">_xlfn.NUMBERVALUE(LEFT(C2520,2))</f>
        <v>3</v>
      </c>
      <c r="E2520">
        <f t="shared" ref="E2520" si="6934">_xlfn.NUMBERVALUE(MID(C2520,4,2))</f>
        <v>4</v>
      </c>
      <c r="F2520">
        <f t="shared" ref="F2520" si="6935">_xlfn.NUMBERVALUE(RIGHT(C2520,4))</f>
        <v>2024</v>
      </c>
      <c r="G2520" t="s">
        <v>7</v>
      </c>
      <c r="H2520">
        <v>-2</v>
      </c>
      <c r="K2520" t="s">
        <v>9</v>
      </c>
      <c r="L2520" s="8">
        <f t="shared" si="6871"/>
        <v>-1</v>
      </c>
      <c r="M2520" t="s">
        <v>2772</v>
      </c>
    </row>
    <row r="2521" spans="1:13" x14ac:dyDescent="0.35">
      <c r="A2521">
        <f t="shared" si="6730"/>
        <v>2517</v>
      </c>
      <c r="B2521" s="9">
        <f t="shared" ref="B2521" si="6936">B2520+H2521+I2521+J2521</f>
        <v>80.19</v>
      </c>
      <c r="C2521" s="3" t="s">
        <v>2773</v>
      </c>
      <c r="D2521">
        <f t="shared" ref="D2521" si="6937">_xlfn.NUMBERVALUE(LEFT(C2521,2))</f>
        <v>4</v>
      </c>
      <c r="E2521">
        <f t="shared" ref="E2521" si="6938">_xlfn.NUMBERVALUE(MID(C2521,4,2))</f>
        <v>4</v>
      </c>
      <c r="F2521">
        <f t="shared" ref="F2521" si="6939">_xlfn.NUMBERVALUE(RIGHT(C2521,4))</f>
        <v>2024</v>
      </c>
      <c r="G2521" t="s">
        <v>7</v>
      </c>
      <c r="H2521">
        <v>-2</v>
      </c>
      <c r="I2521">
        <v>6</v>
      </c>
      <c r="K2521" t="s">
        <v>10</v>
      </c>
      <c r="L2521" s="8">
        <f t="shared" si="6871"/>
        <v>2</v>
      </c>
      <c r="M2521" t="s">
        <v>2774</v>
      </c>
    </row>
    <row r="2522" spans="1:13" x14ac:dyDescent="0.35">
      <c r="A2522">
        <f t="shared" si="6730"/>
        <v>2518</v>
      </c>
      <c r="B2522" s="9">
        <f t="shared" ref="B2522" si="6940">B2521+H2522+I2522+J2522</f>
        <v>84.19</v>
      </c>
      <c r="C2522" s="3" t="s">
        <v>2773</v>
      </c>
      <c r="D2522">
        <f t="shared" ref="D2522" si="6941">_xlfn.NUMBERVALUE(LEFT(C2522,2))</f>
        <v>4</v>
      </c>
      <c r="E2522">
        <f t="shared" ref="E2522" si="6942">_xlfn.NUMBERVALUE(MID(C2522,4,2))</f>
        <v>4</v>
      </c>
      <c r="F2522">
        <f t="shared" ref="F2522" si="6943">_xlfn.NUMBERVALUE(RIGHT(C2522,4))</f>
        <v>2024</v>
      </c>
      <c r="G2522" t="s">
        <v>7</v>
      </c>
      <c r="H2522">
        <v>-2</v>
      </c>
      <c r="I2522">
        <v>6</v>
      </c>
      <c r="K2522" t="s">
        <v>10</v>
      </c>
      <c r="L2522" s="8">
        <f t="shared" si="6871"/>
        <v>2</v>
      </c>
      <c r="M2522" t="s">
        <v>2775</v>
      </c>
    </row>
    <row r="2523" spans="1:13" x14ac:dyDescent="0.35">
      <c r="A2523">
        <f t="shared" si="6730"/>
        <v>2519</v>
      </c>
      <c r="B2523" s="9">
        <f t="shared" ref="B2523" si="6944">B2522+H2523+I2523+J2523</f>
        <v>82.19</v>
      </c>
      <c r="C2523" s="3" t="s">
        <v>2776</v>
      </c>
      <c r="D2523">
        <f t="shared" ref="D2523" si="6945">_xlfn.NUMBERVALUE(LEFT(C2523,2))</f>
        <v>5</v>
      </c>
      <c r="E2523">
        <f t="shared" ref="E2523" si="6946">_xlfn.NUMBERVALUE(MID(C2523,4,2))</f>
        <v>4</v>
      </c>
      <c r="F2523">
        <f t="shared" ref="F2523" si="6947">_xlfn.NUMBERVALUE(RIGHT(C2523,4))</f>
        <v>2024</v>
      </c>
      <c r="G2523" t="s">
        <v>7</v>
      </c>
      <c r="H2523">
        <v>-2</v>
      </c>
      <c r="K2523" t="s">
        <v>9</v>
      </c>
      <c r="L2523" s="8">
        <f t="shared" si="6871"/>
        <v>-1</v>
      </c>
      <c r="M2523" t="s">
        <v>2777</v>
      </c>
    </row>
    <row r="2524" spans="1:13" x14ac:dyDescent="0.35">
      <c r="A2524">
        <f t="shared" si="6730"/>
        <v>2520</v>
      </c>
      <c r="B2524" s="9">
        <f t="shared" ref="B2524" si="6948">B2523+H2524+I2524+J2524</f>
        <v>80.19</v>
      </c>
      <c r="C2524" s="3" t="s">
        <v>2776</v>
      </c>
      <c r="D2524">
        <f t="shared" ref="D2524" si="6949">_xlfn.NUMBERVALUE(LEFT(C2524,2))</f>
        <v>5</v>
      </c>
      <c r="E2524">
        <f t="shared" ref="E2524" si="6950">_xlfn.NUMBERVALUE(MID(C2524,4,2))</f>
        <v>4</v>
      </c>
      <c r="F2524">
        <f t="shared" ref="F2524" si="6951">_xlfn.NUMBERVALUE(RIGHT(C2524,4))</f>
        <v>2024</v>
      </c>
      <c r="G2524" t="s">
        <v>7</v>
      </c>
      <c r="H2524">
        <v>-2</v>
      </c>
      <c r="K2524" t="s">
        <v>9</v>
      </c>
      <c r="L2524" s="8">
        <f t="shared" si="6871"/>
        <v>-1</v>
      </c>
      <c r="M2524" t="s">
        <v>2778</v>
      </c>
    </row>
    <row r="2525" spans="1:13" x14ac:dyDescent="0.35">
      <c r="A2525">
        <f t="shared" si="6730"/>
        <v>2521</v>
      </c>
      <c r="B2525" s="9">
        <f t="shared" ref="B2525" si="6952">B2524+H2525+I2525+J2525</f>
        <v>78.19</v>
      </c>
      <c r="C2525" s="3" t="s">
        <v>2776</v>
      </c>
      <c r="D2525">
        <f t="shared" ref="D2525" si="6953">_xlfn.NUMBERVALUE(LEFT(C2525,2))</f>
        <v>5</v>
      </c>
      <c r="E2525">
        <f t="shared" ref="E2525" si="6954">_xlfn.NUMBERVALUE(MID(C2525,4,2))</f>
        <v>4</v>
      </c>
      <c r="F2525">
        <f t="shared" ref="F2525" si="6955">_xlfn.NUMBERVALUE(RIGHT(C2525,4))</f>
        <v>2024</v>
      </c>
      <c r="G2525" t="s">
        <v>7</v>
      </c>
      <c r="H2525">
        <v>-2</v>
      </c>
      <c r="K2525" t="s">
        <v>9</v>
      </c>
      <c r="L2525" s="8">
        <f t="shared" si="6871"/>
        <v>-1</v>
      </c>
      <c r="M2525" t="s">
        <v>2779</v>
      </c>
    </row>
    <row r="2526" spans="1:13" x14ac:dyDescent="0.35">
      <c r="A2526">
        <f t="shared" si="6730"/>
        <v>2522</v>
      </c>
      <c r="B2526" s="9">
        <f t="shared" ref="B2526" si="6956">B2525+H2526+I2526+J2526</f>
        <v>76.19</v>
      </c>
      <c r="C2526" s="3" t="s">
        <v>2780</v>
      </c>
      <c r="D2526">
        <f t="shared" ref="D2526" si="6957">_xlfn.NUMBERVALUE(LEFT(C2526,2))</f>
        <v>6</v>
      </c>
      <c r="E2526">
        <f t="shared" ref="E2526" si="6958">_xlfn.NUMBERVALUE(MID(C2526,4,2))</f>
        <v>4</v>
      </c>
      <c r="F2526">
        <f t="shared" ref="F2526" si="6959">_xlfn.NUMBERVALUE(RIGHT(C2526,4))</f>
        <v>2024</v>
      </c>
      <c r="G2526" t="s">
        <v>7</v>
      </c>
      <c r="H2526">
        <v>-2</v>
      </c>
      <c r="K2526" t="s">
        <v>9</v>
      </c>
      <c r="L2526" s="8">
        <f t="shared" si="6871"/>
        <v>-1</v>
      </c>
      <c r="M2526" t="s">
        <v>2781</v>
      </c>
    </row>
    <row r="2527" spans="1:13" x14ac:dyDescent="0.35">
      <c r="A2527">
        <f t="shared" si="6730"/>
        <v>2523</v>
      </c>
      <c r="B2527" s="9">
        <f t="shared" ref="B2527" si="6960">B2526+H2527+I2527+J2527</f>
        <v>74.19</v>
      </c>
      <c r="C2527" s="3" t="s">
        <v>2780</v>
      </c>
      <c r="D2527">
        <f t="shared" ref="D2527" si="6961">_xlfn.NUMBERVALUE(LEFT(C2527,2))</f>
        <v>6</v>
      </c>
      <c r="E2527">
        <f t="shared" ref="E2527" si="6962">_xlfn.NUMBERVALUE(MID(C2527,4,2))</f>
        <v>4</v>
      </c>
      <c r="F2527">
        <f t="shared" ref="F2527" si="6963">_xlfn.NUMBERVALUE(RIGHT(C2527,4))</f>
        <v>2024</v>
      </c>
      <c r="G2527" t="s">
        <v>7</v>
      </c>
      <c r="H2527">
        <v>-2</v>
      </c>
      <c r="K2527" t="s">
        <v>9</v>
      </c>
      <c r="L2527" s="8">
        <f t="shared" si="6871"/>
        <v>-1</v>
      </c>
      <c r="M2527" t="s">
        <v>2782</v>
      </c>
    </row>
    <row r="2528" spans="1:13" x14ac:dyDescent="0.35">
      <c r="A2528">
        <f t="shared" si="6730"/>
        <v>2524</v>
      </c>
      <c r="B2528" s="9">
        <f t="shared" ref="B2528" si="6964">B2527+H2528+I2528+J2528</f>
        <v>72.19</v>
      </c>
      <c r="C2528" s="3" t="s">
        <v>2780</v>
      </c>
      <c r="D2528">
        <f t="shared" ref="D2528" si="6965">_xlfn.NUMBERVALUE(LEFT(C2528,2))</f>
        <v>6</v>
      </c>
      <c r="E2528">
        <f t="shared" ref="E2528" si="6966">_xlfn.NUMBERVALUE(MID(C2528,4,2))</f>
        <v>4</v>
      </c>
      <c r="F2528">
        <f t="shared" ref="F2528" si="6967">_xlfn.NUMBERVALUE(RIGHT(C2528,4))</f>
        <v>2024</v>
      </c>
      <c r="G2528" t="s">
        <v>7</v>
      </c>
      <c r="H2528">
        <v>-2</v>
      </c>
      <c r="K2528" t="s">
        <v>9</v>
      </c>
      <c r="L2528" s="8">
        <f t="shared" si="6871"/>
        <v>-1</v>
      </c>
      <c r="M2528" t="s">
        <v>2783</v>
      </c>
    </row>
    <row r="2529" spans="1:13" x14ac:dyDescent="0.35">
      <c r="A2529">
        <f t="shared" si="6730"/>
        <v>2525</v>
      </c>
      <c r="B2529" s="9">
        <f t="shared" ref="B2529" si="6968">B2528+H2529+I2529+J2529</f>
        <v>70.19</v>
      </c>
      <c r="C2529" s="3" t="s">
        <v>2780</v>
      </c>
      <c r="D2529">
        <f t="shared" ref="D2529" si="6969">_xlfn.NUMBERVALUE(LEFT(C2529,2))</f>
        <v>6</v>
      </c>
      <c r="E2529">
        <f t="shared" ref="E2529" si="6970">_xlfn.NUMBERVALUE(MID(C2529,4,2))</f>
        <v>4</v>
      </c>
      <c r="F2529">
        <f t="shared" ref="F2529" si="6971">_xlfn.NUMBERVALUE(RIGHT(C2529,4))</f>
        <v>2024</v>
      </c>
      <c r="G2529" t="s">
        <v>7</v>
      </c>
      <c r="H2529">
        <v>-2</v>
      </c>
      <c r="K2529" t="s">
        <v>9</v>
      </c>
      <c r="L2529" s="8">
        <f t="shared" si="6871"/>
        <v>-1</v>
      </c>
      <c r="M2529" t="s">
        <v>2784</v>
      </c>
    </row>
    <row r="2530" spans="1:13" x14ac:dyDescent="0.35">
      <c r="A2530">
        <f t="shared" si="6730"/>
        <v>2526</v>
      </c>
      <c r="B2530" s="9">
        <f t="shared" ref="B2530" si="6972">B2529+H2530+I2530+J2530</f>
        <v>74.19</v>
      </c>
      <c r="C2530" s="3" t="s">
        <v>2780</v>
      </c>
      <c r="D2530">
        <f t="shared" ref="D2530" si="6973">_xlfn.NUMBERVALUE(LEFT(C2530,2))</f>
        <v>6</v>
      </c>
      <c r="E2530">
        <f t="shared" ref="E2530" si="6974">_xlfn.NUMBERVALUE(MID(C2530,4,2))</f>
        <v>4</v>
      </c>
      <c r="F2530">
        <f t="shared" ref="F2530" si="6975">_xlfn.NUMBERVALUE(RIGHT(C2530,4))</f>
        <v>2024</v>
      </c>
      <c r="G2530" t="s">
        <v>7</v>
      </c>
      <c r="H2530">
        <v>-2</v>
      </c>
      <c r="I2530">
        <v>6</v>
      </c>
      <c r="K2530" t="s">
        <v>10</v>
      </c>
      <c r="L2530" s="8">
        <f t="shared" si="6871"/>
        <v>2</v>
      </c>
      <c r="M2530" t="s">
        <v>2785</v>
      </c>
    </row>
    <row r="2531" spans="1:13" x14ac:dyDescent="0.35">
      <c r="A2531">
        <f t="shared" si="6730"/>
        <v>2527</v>
      </c>
      <c r="B2531" s="9">
        <f t="shared" ref="B2531" si="6976">B2530+H2531+I2531+J2531</f>
        <v>72.19</v>
      </c>
      <c r="C2531" s="3" t="s">
        <v>2780</v>
      </c>
      <c r="D2531">
        <f t="shared" ref="D2531" si="6977">_xlfn.NUMBERVALUE(LEFT(C2531,2))</f>
        <v>6</v>
      </c>
      <c r="E2531">
        <f t="shared" ref="E2531" si="6978">_xlfn.NUMBERVALUE(MID(C2531,4,2))</f>
        <v>4</v>
      </c>
      <c r="F2531">
        <f t="shared" ref="F2531" si="6979">_xlfn.NUMBERVALUE(RIGHT(C2531,4))</f>
        <v>2024</v>
      </c>
      <c r="G2531" t="s">
        <v>7</v>
      </c>
      <c r="H2531">
        <v>-2</v>
      </c>
      <c r="K2531" t="s">
        <v>9</v>
      </c>
      <c r="L2531" s="8">
        <f t="shared" si="6871"/>
        <v>-1</v>
      </c>
      <c r="M2531" t="s">
        <v>2786</v>
      </c>
    </row>
    <row r="2532" spans="1:13" x14ac:dyDescent="0.35">
      <c r="A2532">
        <f t="shared" si="6730"/>
        <v>2528</v>
      </c>
      <c r="B2532" s="9">
        <f t="shared" ref="B2532" si="6980">B2531+H2532+I2532+J2532</f>
        <v>80.19</v>
      </c>
      <c r="C2532" s="3" t="s">
        <v>2780</v>
      </c>
      <c r="D2532">
        <f t="shared" ref="D2532" si="6981">_xlfn.NUMBERVALUE(LEFT(C2532,2))</f>
        <v>6</v>
      </c>
      <c r="E2532">
        <f t="shared" ref="E2532" si="6982">_xlfn.NUMBERVALUE(MID(C2532,4,2))</f>
        <v>4</v>
      </c>
      <c r="F2532">
        <f t="shared" ref="F2532" si="6983">_xlfn.NUMBERVALUE(RIGHT(C2532,4))</f>
        <v>2024</v>
      </c>
      <c r="G2532" t="s">
        <v>7</v>
      </c>
      <c r="H2532">
        <v>-2</v>
      </c>
      <c r="I2532">
        <v>10</v>
      </c>
      <c r="K2532" t="s">
        <v>10</v>
      </c>
      <c r="L2532" s="8">
        <f t="shared" si="6871"/>
        <v>4</v>
      </c>
      <c r="M2532" t="s">
        <v>2787</v>
      </c>
    </row>
    <row r="2533" spans="1:13" x14ac:dyDescent="0.35">
      <c r="A2533">
        <f t="shared" si="6730"/>
        <v>2529</v>
      </c>
      <c r="B2533" s="9">
        <f t="shared" ref="B2533" si="6984">B2532+H2533+I2533+J2533</f>
        <v>84.19</v>
      </c>
      <c r="C2533" s="3" t="s">
        <v>2780</v>
      </c>
      <c r="D2533">
        <f t="shared" ref="D2533" si="6985">_xlfn.NUMBERVALUE(LEFT(C2533,2))</f>
        <v>6</v>
      </c>
      <c r="E2533">
        <f t="shared" ref="E2533" si="6986">_xlfn.NUMBERVALUE(MID(C2533,4,2))</f>
        <v>4</v>
      </c>
      <c r="F2533">
        <f t="shared" ref="F2533" si="6987">_xlfn.NUMBERVALUE(RIGHT(C2533,4))</f>
        <v>2024</v>
      </c>
      <c r="G2533" t="s">
        <v>7</v>
      </c>
      <c r="H2533">
        <v>-2</v>
      </c>
      <c r="I2533">
        <v>6</v>
      </c>
      <c r="K2533" t="s">
        <v>10</v>
      </c>
      <c r="L2533" s="8">
        <f t="shared" si="6871"/>
        <v>2</v>
      </c>
      <c r="M2533" t="s">
        <v>2788</v>
      </c>
    </row>
    <row r="2534" spans="1:13" x14ac:dyDescent="0.35">
      <c r="A2534">
        <f t="shared" si="6730"/>
        <v>2530</v>
      </c>
      <c r="B2534" s="9">
        <f t="shared" ref="B2534" si="6988">B2533+H2534+I2534+J2534</f>
        <v>82.19</v>
      </c>
      <c r="C2534" s="3" t="s">
        <v>2780</v>
      </c>
      <c r="D2534">
        <f t="shared" ref="D2534" si="6989">_xlfn.NUMBERVALUE(LEFT(C2534,2))</f>
        <v>6</v>
      </c>
      <c r="E2534">
        <f t="shared" ref="E2534" si="6990">_xlfn.NUMBERVALUE(MID(C2534,4,2))</f>
        <v>4</v>
      </c>
      <c r="F2534">
        <f t="shared" ref="F2534" si="6991">_xlfn.NUMBERVALUE(RIGHT(C2534,4))</f>
        <v>2024</v>
      </c>
      <c r="G2534" t="s">
        <v>7</v>
      </c>
      <c r="H2534">
        <v>-2</v>
      </c>
      <c r="K2534" t="s">
        <v>9</v>
      </c>
      <c r="L2534" s="8">
        <f t="shared" si="6871"/>
        <v>-1</v>
      </c>
      <c r="M2534" t="s">
        <v>2789</v>
      </c>
    </row>
    <row r="2535" spans="1:13" x14ac:dyDescent="0.35">
      <c r="A2535">
        <f t="shared" si="6730"/>
        <v>2531</v>
      </c>
      <c r="B2535" s="9">
        <f t="shared" ref="B2535" si="6992">B2534+H2535+I2535+J2535</f>
        <v>80.19</v>
      </c>
      <c r="C2535" s="3" t="s">
        <v>2780</v>
      </c>
      <c r="D2535">
        <f t="shared" ref="D2535" si="6993">_xlfn.NUMBERVALUE(LEFT(C2535,2))</f>
        <v>6</v>
      </c>
      <c r="E2535">
        <f t="shared" ref="E2535" si="6994">_xlfn.NUMBERVALUE(MID(C2535,4,2))</f>
        <v>4</v>
      </c>
      <c r="F2535">
        <f t="shared" ref="F2535" si="6995">_xlfn.NUMBERVALUE(RIGHT(C2535,4))</f>
        <v>2024</v>
      </c>
      <c r="G2535" t="s">
        <v>7</v>
      </c>
      <c r="H2535">
        <v>-2</v>
      </c>
      <c r="K2535" t="s">
        <v>9</v>
      </c>
      <c r="L2535" s="8">
        <f t="shared" si="6871"/>
        <v>-1</v>
      </c>
      <c r="M2535" t="s">
        <v>2790</v>
      </c>
    </row>
    <row r="2536" spans="1:13" x14ac:dyDescent="0.35">
      <c r="A2536">
        <f t="shared" si="6730"/>
        <v>2532</v>
      </c>
      <c r="B2536" s="9">
        <f t="shared" ref="B2536" si="6996">B2535+H2536+I2536+J2536</f>
        <v>78.19</v>
      </c>
      <c r="C2536" s="3" t="s">
        <v>2791</v>
      </c>
      <c r="D2536">
        <f t="shared" ref="D2536" si="6997">_xlfn.NUMBERVALUE(LEFT(C2536,2))</f>
        <v>7</v>
      </c>
      <c r="E2536">
        <f t="shared" ref="E2536" si="6998">_xlfn.NUMBERVALUE(MID(C2536,4,2))</f>
        <v>4</v>
      </c>
      <c r="F2536">
        <f t="shared" ref="F2536" si="6999">_xlfn.NUMBERVALUE(RIGHT(C2536,4))</f>
        <v>2024</v>
      </c>
      <c r="G2536" t="s">
        <v>7</v>
      </c>
      <c r="H2536">
        <v>-2</v>
      </c>
      <c r="K2536" t="s">
        <v>9</v>
      </c>
      <c r="L2536" s="8">
        <f t="shared" si="6871"/>
        <v>-1</v>
      </c>
      <c r="M2536" t="s">
        <v>2792</v>
      </c>
    </row>
    <row r="2537" spans="1:13" x14ac:dyDescent="0.35">
      <c r="A2537">
        <f t="shared" si="6730"/>
        <v>2533</v>
      </c>
      <c r="B2537" s="9">
        <f t="shared" ref="B2537" si="7000">B2536+H2537+I2537+J2537</f>
        <v>76.19</v>
      </c>
      <c r="C2537" s="3" t="s">
        <v>2791</v>
      </c>
      <c r="D2537">
        <f t="shared" ref="D2537" si="7001">_xlfn.NUMBERVALUE(LEFT(C2537,2))</f>
        <v>7</v>
      </c>
      <c r="E2537">
        <f t="shared" ref="E2537" si="7002">_xlfn.NUMBERVALUE(MID(C2537,4,2))</f>
        <v>4</v>
      </c>
      <c r="F2537">
        <f t="shared" ref="F2537" si="7003">_xlfn.NUMBERVALUE(RIGHT(C2537,4))</f>
        <v>2024</v>
      </c>
      <c r="G2537" t="s">
        <v>7</v>
      </c>
      <c r="H2537">
        <v>-2</v>
      </c>
      <c r="K2537" t="s">
        <v>9</v>
      </c>
      <c r="L2537" s="8">
        <f t="shared" si="6871"/>
        <v>-1</v>
      </c>
      <c r="M2537" t="s">
        <v>2793</v>
      </c>
    </row>
    <row r="2538" spans="1:13" x14ac:dyDescent="0.35">
      <c r="A2538">
        <f t="shared" si="6730"/>
        <v>2534</v>
      </c>
      <c r="B2538" s="9">
        <f t="shared" ref="B2538" si="7004">B2537+H2538+I2538+J2538</f>
        <v>80.19</v>
      </c>
      <c r="C2538" s="3" t="s">
        <v>2791</v>
      </c>
      <c r="D2538">
        <f t="shared" ref="D2538" si="7005">_xlfn.NUMBERVALUE(LEFT(C2538,2))</f>
        <v>7</v>
      </c>
      <c r="E2538">
        <f t="shared" ref="E2538" si="7006">_xlfn.NUMBERVALUE(MID(C2538,4,2))</f>
        <v>4</v>
      </c>
      <c r="F2538">
        <f t="shared" ref="F2538" si="7007">_xlfn.NUMBERVALUE(RIGHT(C2538,4))</f>
        <v>2024</v>
      </c>
      <c r="G2538" t="s">
        <v>7</v>
      </c>
      <c r="H2538">
        <v>-2</v>
      </c>
      <c r="I2538">
        <v>6</v>
      </c>
      <c r="K2538" t="s">
        <v>10</v>
      </c>
      <c r="L2538" s="8">
        <f t="shared" si="6871"/>
        <v>2</v>
      </c>
      <c r="M2538" t="s">
        <v>2794</v>
      </c>
    </row>
    <row r="2539" spans="1:13" x14ac:dyDescent="0.35">
      <c r="A2539">
        <f t="shared" si="6730"/>
        <v>2535</v>
      </c>
      <c r="B2539" s="9">
        <f t="shared" ref="B2539" si="7008">B2538+H2539+I2539+J2539</f>
        <v>78.19</v>
      </c>
      <c r="C2539" s="3" t="s">
        <v>2791</v>
      </c>
      <c r="D2539">
        <f t="shared" ref="D2539" si="7009">_xlfn.NUMBERVALUE(LEFT(C2539,2))</f>
        <v>7</v>
      </c>
      <c r="E2539">
        <f t="shared" ref="E2539" si="7010">_xlfn.NUMBERVALUE(MID(C2539,4,2))</f>
        <v>4</v>
      </c>
      <c r="F2539">
        <f t="shared" ref="F2539" si="7011">_xlfn.NUMBERVALUE(RIGHT(C2539,4))</f>
        <v>2024</v>
      </c>
      <c r="G2539" t="s">
        <v>7</v>
      </c>
      <c r="H2539">
        <v>-2</v>
      </c>
      <c r="K2539" t="s">
        <v>9</v>
      </c>
      <c r="L2539" s="8">
        <f t="shared" si="6871"/>
        <v>-1</v>
      </c>
      <c r="M2539" t="s">
        <v>2795</v>
      </c>
    </row>
    <row r="2540" spans="1:13" x14ac:dyDescent="0.35">
      <c r="A2540">
        <f t="shared" si="6730"/>
        <v>2536</v>
      </c>
      <c r="B2540" s="9">
        <f t="shared" ref="B2540" si="7012">B2539+H2540+I2540+J2540</f>
        <v>76.19</v>
      </c>
      <c r="C2540" s="3" t="s">
        <v>2791</v>
      </c>
      <c r="D2540">
        <f t="shared" ref="D2540" si="7013">_xlfn.NUMBERVALUE(LEFT(C2540,2))</f>
        <v>7</v>
      </c>
      <c r="E2540">
        <f t="shared" ref="E2540" si="7014">_xlfn.NUMBERVALUE(MID(C2540,4,2))</f>
        <v>4</v>
      </c>
      <c r="F2540">
        <f t="shared" ref="F2540" si="7015">_xlfn.NUMBERVALUE(RIGHT(C2540,4))</f>
        <v>2024</v>
      </c>
      <c r="G2540" t="s">
        <v>7</v>
      </c>
      <c r="H2540">
        <v>-2</v>
      </c>
      <c r="K2540" t="s">
        <v>9</v>
      </c>
      <c r="L2540" s="8">
        <f t="shared" si="6871"/>
        <v>-1</v>
      </c>
      <c r="M2540" t="s">
        <v>2796</v>
      </c>
    </row>
    <row r="2541" spans="1:13" x14ac:dyDescent="0.35">
      <c r="A2541">
        <f t="shared" si="6730"/>
        <v>2537</v>
      </c>
      <c r="B2541" s="9">
        <f t="shared" ref="B2541" si="7016">B2540+H2541+I2541+J2541</f>
        <v>74.19</v>
      </c>
      <c r="C2541" s="3" t="s">
        <v>2791</v>
      </c>
      <c r="D2541">
        <f t="shared" ref="D2541" si="7017">_xlfn.NUMBERVALUE(LEFT(C2541,2))</f>
        <v>7</v>
      </c>
      <c r="E2541">
        <f t="shared" ref="E2541" si="7018">_xlfn.NUMBERVALUE(MID(C2541,4,2))</f>
        <v>4</v>
      </c>
      <c r="F2541">
        <f t="shared" ref="F2541" si="7019">_xlfn.NUMBERVALUE(RIGHT(C2541,4))</f>
        <v>2024</v>
      </c>
      <c r="G2541" t="s">
        <v>7</v>
      </c>
      <c r="H2541">
        <v>-2</v>
      </c>
      <c r="K2541" t="s">
        <v>9</v>
      </c>
      <c r="L2541" s="8">
        <f t="shared" si="6871"/>
        <v>-1</v>
      </c>
      <c r="M2541" t="s">
        <v>2797</v>
      </c>
    </row>
    <row r="2542" spans="1:13" x14ac:dyDescent="0.35">
      <c r="A2542">
        <f t="shared" si="6730"/>
        <v>2538</v>
      </c>
      <c r="B2542" s="9">
        <f t="shared" ref="B2542" si="7020">B2541+H2542+I2542+J2542</f>
        <v>72.19</v>
      </c>
      <c r="C2542" s="3" t="s">
        <v>2791</v>
      </c>
      <c r="D2542">
        <f t="shared" ref="D2542" si="7021">_xlfn.NUMBERVALUE(LEFT(C2542,2))</f>
        <v>7</v>
      </c>
      <c r="E2542">
        <f t="shared" ref="E2542" si="7022">_xlfn.NUMBERVALUE(MID(C2542,4,2))</f>
        <v>4</v>
      </c>
      <c r="F2542">
        <f t="shared" ref="F2542" si="7023">_xlfn.NUMBERVALUE(RIGHT(C2542,4))</f>
        <v>2024</v>
      </c>
      <c r="G2542" t="s">
        <v>7</v>
      </c>
      <c r="H2542">
        <v>-2</v>
      </c>
      <c r="K2542" t="s">
        <v>9</v>
      </c>
      <c r="L2542" s="8">
        <f t="shared" si="6871"/>
        <v>-1</v>
      </c>
      <c r="M2542" t="s">
        <v>2798</v>
      </c>
    </row>
    <row r="2543" spans="1:13" x14ac:dyDescent="0.35">
      <c r="A2543">
        <f t="shared" si="6730"/>
        <v>2539</v>
      </c>
      <c r="B2543" s="9">
        <f t="shared" ref="B2543" si="7024">B2542+H2543+I2543+J2543</f>
        <v>70.19</v>
      </c>
      <c r="C2543" s="3" t="s">
        <v>2799</v>
      </c>
      <c r="D2543">
        <f t="shared" ref="D2543" si="7025">_xlfn.NUMBERVALUE(LEFT(C2543,2))</f>
        <v>8</v>
      </c>
      <c r="E2543">
        <f t="shared" ref="E2543" si="7026">_xlfn.NUMBERVALUE(MID(C2543,4,2))</f>
        <v>4</v>
      </c>
      <c r="F2543">
        <f t="shared" ref="F2543" si="7027">_xlfn.NUMBERVALUE(RIGHT(C2543,4))</f>
        <v>2024</v>
      </c>
      <c r="G2543" t="s">
        <v>7</v>
      </c>
      <c r="H2543">
        <v>-2</v>
      </c>
      <c r="K2543" t="s">
        <v>9</v>
      </c>
      <c r="L2543" s="8">
        <f t="shared" si="6871"/>
        <v>-1</v>
      </c>
      <c r="M2543" t="s">
        <v>2800</v>
      </c>
    </row>
    <row r="2544" spans="1:13" x14ac:dyDescent="0.35">
      <c r="A2544">
        <f t="shared" si="6730"/>
        <v>2540</v>
      </c>
      <c r="B2544" s="9">
        <f t="shared" ref="B2544" si="7028">B2543+H2544+I2544+J2544</f>
        <v>68.19</v>
      </c>
      <c r="C2544" s="3" t="s">
        <v>2799</v>
      </c>
      <c r="D2544">
        <f t="shared" ref="D2544" si="7029">_xlfn.NUMBERVALUE(LEFT(C2544,2))</f>
        <v>8</v>
      </c>
      <c r="E2544">
        <f t="shared" ref="E2544" si="7030">_xlfn.NUMBERVALUE(MID(C2544,4,2))</f>
        <v>4</v>
      </c>
      <c r="F2544">
        <f t="shared" ref="F2544" si="7031">_xlfn.NUMBERVALUE(RIGHT(C2544,4))</f>
        <v>2024</v>
      </c>
      <c r="G2544" t="s">
        <v>7</v>
      </c>
      <c r="H2544">
        <v>-2</v>
      </c>
      <c r="K2544" t="s">
        <v>9</v>
      </c>
      <c r="L2544" s="8">
        <f t="shared" si="6871"/>
        <v>-1</v>
      </c>
      <c r="M2544" t="s">
        <v>2801</v>
      </c>
    </row>
    <row r="2545" spans="1:13" x14ac:dyDescent="0.35">
      <c r="A2545">
        <f t="shared" si="6730"/>
        <v>2541</v>
      </c>
      <c r="B2545" s="9">
        <f t="shared" ref="B2545" si="7032">B2544+H2545+I2545+J2545</f>
        <v>66.19</v>
      </c>
      <c r="C2545" s="3" t="s">
        <v>2799</v>
      </c>
      <c r="D2545">
        <f t="shared" ref="D2545" si="7033">_xlfn.NUMBERVALUE(LEFT(C2545,2))</f>
        <v>8</v>
      </c>
      <c r="E2545">
        <f t="shared" ref="E2545" si="7034">_xlfn.NUMBERVALUE(MID(C2545,4,2))</f>
        <v>4</v>
      </c>
      <c r="F2545">
        <f t="shared" ref="F2545" si="7035">_xlfn.NUMBERVALUE(RIGHT(C2545,4))</f>
        <v>2024</v>
      </c>
      <c r="G2545" t="s">
        <v>7</v>
      </c>
      <c r="H2545">
        <v>-2</v>
      </c>
      <c r="K2545" t="s">
        <v>9</v>
      </c>
      <c r="L2545" s="8">
        <f t="shared" si="6871"/>
        <v>-1</v>
      </c>
      <c r="M2545" t="s">
        <v>2802</v>
      </c>
    </row>
    <row r="2546" spans="1:13" x14ac:dyDescent="0.35">
      <c r="A2546">
        <f t="shared" si="6730"/>
        <v>2542</v>
      </c>
      <c r="B2546" s="9">
        <f t="shared" ref="B2546" si="7036">B2545+H2546+I2546+J2546</f>
        <v>64.19</v>
      </c>
      <c r="C2546" s="3" t="s">
        <v>2799</v>
      </c>
      <c r="D2546">
        <f t="shared" ref="D2546" si="7037">_xlfn.NUMBERVALUE(LEFT(C2546,2))</f>
        <v>8</v>
      </c>
      <c r="E2546">
        <f t="shared" ref="E2546" si="7038">_xlfn.NUMBERVALUE(MID(C2546,4,2))</f>
        <v>4</v>
      </c>
      <c r="F2546">
        <f t="shared" ref="F2546" si="7039">_xlfn.NUMBERVALUE(RIGHT(C2546,4))</f>
        <v>2024</v>
      </c>
      <c r="G2546" t="s">
        <v>7</v>
      </c>
      <c r="H2546">
        <v>-2</v>
      </c>
      <c r="K2546" t="s">
        <v>9</v>
      </c>
      <c r="L2546" s="8">
        <f t="shared" si="6871"/>
        <v>-1</v>
      </c>
      <c r="M2546" t="s">
        <v>2803</v>
      </c>
    </row>
    <row r="2547" spans="1:13" x14ac:dyDescent="0.35">
      <c r="A2547">
        <f t="shared" si="6730"/>
        <v>2543</v>
      </c>
      <c r="B2547" s="9">
        <f t="shared" ref="B2547" si="7040">B2546+H2547+I2547+J2547</f>
        <v>62.19</v>
      </c>
      <c r="C2547" s="3" t="s">
        <v>2804</v>
      </c>
      <c r="D2547">
        <f t="shared" ref="D2547" si="7041">_xlfn.NUMBERVALUE(LEFT(C2547,2))</f>
        <v>9</v>
      </c>
      <c r="E2547">
        <f t="shared" ref="E2547" si="7042">_xlfn.NUMBERVALUE(MID(C2547,4,2))</f>
        <v>4</v>
      </c>
      <c r="F2547">
        <f t="shared" ref="F2547" si="7043">_xlfn.NUMBERVALUE(RIGHT(C2547,4))</f>
        <v>2024</v>
      </c>
      <c r="G2547" t="s">
        <v>7</v>
      </c>
      <c r="H2547">
        <v>-2</v>
      </c>
      <c r="K2547" t="s">
        <v>9</v>
      </c>
      <c r="L2547" s="8">
        <f t="shared" si="6871"/>
        <v>-1</v>
      </c>
      <c r="M2547" t="s">
        <v>2805</v>
      </c>
    </row>
    <row r="2548" spans="1:13" x14ac:dyDescent="0.35">
      <c r="A2548">
        <f t="shared" si="6730"/>
        <v>2544</v>
      </c>
      <c r="B2548" s="9">
        <f t="shared" ref="B2548" si="7044">B2547+H2548+I2548+J2548</f>
        <v>64.19</v>
      </c>
      <c r="C2548" s="3" t="s">
        <v>2804</v>
      </c>
      <c r="D2548">
        <f t="shared" ref="D2548" si="7045">_xlfn.NUMBERVALUE(LEFT(C2548,2))</f>
        <v>9</v>
      </c>
      <c r="E2548">
        <f t="shared" ref="E2548" si="7046">_xlfn.NUMBERVALUE(MID(C2548,4,2))</f>
        <v>4</v>
      </c>
      <c r="F2548">
        <f t="shared" ref="F2548" si="7047">_xlfn.NUMBERVALUE(RIGHT(C2548,4))</f>
        <v>2024</v>
      </c>
      <c r="G2548" t="s">
        <v>7</v>
      </c>
      <c r="H2548">
        <v>-2</v>
      </c>
      <c r="I2548">
        <v>4</v>
      </c>
      <c r="K2548" t="s">
        <v>10</v>
      </c>
      <c r="L2548" s="8">
        <f t="shared" si="6871"/>
        <v>1</v>
      </c>
      <c r="M2548" t="s">
        <v>2806</v>
      </c>
    </row>
    <row r="2549" spans="1:13" x14ac:dyDescent="0.35">
      <c r="A2549">
        <f t="shared" si="6730"/>
        <v>2545</v>
      </c>
      <c r="B2549" s="9">
        <f t="shared" ref="B2549" si="7048">B2548+H2549+I2549+J2549</f>
        <v>66.19</v>
      </c>
      <c r="C2549" s="3" t="s">
        <v>2804</v>
      </c>
      <c r="D2549">
        <f t="shared" ref="D2549" si="7049">_xlfn.NUMBERVALUE(LEFT(C2549,2))</f>
        <v>9</v>
      </c>
      <c r="E2549">
        <f t="shared" ref="E2549" si="7050">_xlfn.NUMBERVALUE(MID(C2549,4,2))</f>
        <v>4</v>
      </c>
      <c r="F2549">
        <f t="shared" ref="F2549" si="7051">_xlfn.NUMBERVALUE(RIGHT(C2549,4))</f>
        <v>2024</v>
      </c>
      <c r="G2549" t="s">
        <v>7</v>
      </c>
      <c r="H2549">
        <v>-2</v>
      </c>
      <c r="I2549">
        <v>4</v>
      </c>
      <c r="K2549" t="s">
        <v>10</v>
      </c>
      <c r="L2549" s="8">
        <f t="shared" si="6871"/>
        <v>1</v>
      </c>
      <c r="M2549" t="s">
        <v>2807</v>
      </c>
    </row>
    <row r="2550" spans="1:13" x14ac:dyDescent="0.35">
      <c r="A2550">
        <f t="shared" si="6730"/>
        <v>2546</v>
      </c>
      <c r="B2550" s="9">
        <f t="shared" ref="B2550" si="7052">B2549+H2550+I2550+J2550</f>
        <v>64.19</v>
      </c>
      <c r="C2550" s="3" t="s">
        <v>2804</v>
      </c>
      <c r="D2550">
        <f t="shared" ref="D2550" si="7053">_xlfn.NUMBERVALUE(LEFT(C2550,2))</f>
        <v>9</v>
      </c>
      <c r="E2550">
        <f t="shared" ref="E2550" si="7054">_xlfn.NUMBERVALUE(MID(C2550,4,2))</f>
        <v>4</v>
      </c>
      <c r="F2550">
        <f t="shared" ref="F2550" si="7055">_xlfn.NUMBERVALUE(RIGHT(C2550,4))</f>
        <v>2024</v>
      </c>
      <c r="G2550" t="s">
        <v>7</v>
      </c>
      <c r="H2550">
        <v>-2</v>
      </c>
      <c r="K2550" t="s">
        <v>9</v>
      </c>
      <c r="L2550" s="8">
        <f t="shared" si="6871"/>
        <v>-1</v>
      </c>
      <c r="M2550" t="s">
        <v>2808</v>
      </c>
    </row>
    <row r="2551" spans="1:13" x14ac:dyDescent="0.35">
      <c r="A2551">
        <f t="shared" si="6730"/>
        <v>2547</v>
      </c>
      <c r="B2551" s="9">
        <f t="shared" ref="B2551" si="7056">B2550+H2551+I2551+J2551</f>
        <v>62.19</v>
      </c>
      <c r="C2551" s="3" t="s">
        <v>2804</v>
      </c>
      <c r="D2551">
        <f t="shared" ref="D2551" si="7057">_xlfn.NUMBERVALUE(LEFT(C2551,2))</f>
        <v>9</v>
      </c>
      <c r="E2551">
        <f t="shared" ref="E2551" si="7058">_xlfn.NUMBERVALUE(MID(C2551,4,2))</f>
        <v>4</v>
      </c>
      <c r="F2551">
        <f t="shared" ref="F2551" si="7059">_xlfn.NUMBERVALUE(RIGHT(C2551,4))</f>
        <v>2024</v>
      </c>
      <c r="G2551" t="s">
        <v>7</v>
      </c>
      <c r="H2551">
        <v>-2</v>
      </c>
      <c r="K2551" t="s">
        <v>9</v>
      </c>
      <c r="L2551" s="8">
        <f t="shared" si="6871"/>
        <v>-1</v>
      </c>
      <c r="M2551" t="s">
        <v>2809</v>
      </c>
    </row>
    <row r="2552" spans="1:13" x14ac:dyDescent="0.35">
      <c r="A2552">
        <f t="shared" si="6730"/>
        <v>2548</v>
      </c>
      <c r="B2552" s="9">
        <f t="shared" ref="B2552" si="7060">B2551+H2552+I2552+J2552</f>
        <v>60.19</v>
      </c>
      <c r="C2552" s="3" t="s">
        <v>2804</v>
      </c>
      <c r="D2552">
        <f t="shared" ref="D2552" si="7061">_xlfn.NUMBERVALUE(LEFT(C2552,2))</f>
        <v>9</v>
      </c>
      <c r="E2552">
        <f t="shared" ref="E2552" si="7062">_xlfn.NUMBERVALUE(MID(C2552,4,2))</f>
        <v>4</v>
      </c>
      <c r="F2552">
        <f t="shared" ref="F2552" si="7063">_xlfn.NUMBERVALUE(RIGHT(C2552,4))</f>
        <v>2024</v>
      </c>
      <c r="G2552" t="s">
        <v>7</v>
      </c>
      <c r="H2552">
        <v>-2</v>
      </c>
      <c r="K2552" t="s">
        <v>9</v>
      </c>
      <c r="L2552" s="8">
        <f t="shared" si="6871"/>
        <v>-1</v>
      </c>
      <c r="M2552" t="s">
        <v>2810</v>
      </c>
    </row>
    <row r="2553" spans="1:13" x14ac:dyDescent="0.35">
      <c r="A2553">
        <f t="shared" si="6730"/>
        <v>2549</v>
      </c>
      <c r="B2553" s="9">
        <f t="shared" ref="B2553" si="7064">B2552+H2553+I2553+J2553</f>
        <v>58.19</v>
      </c>
      <c r="C2553" s="3" t="s">
        <v>2804</v>
      </c>
      <c r="D2553">
        <f t="shared" ref="D2553" si="7065">_xlfn.NUMBERVALUE(LEFT(C2553,2))</f>
        <v>9</v>
      </c>
      <c r="E2553">
        <f t="shared" ref="E2553" si="7066">_xlfn.NUMBERVALUE(MID(C2553,4,2))</f>
        <v>4</v>
      </c>
      <c r="F2553">
        <f t="shared" ref="F2553" si="7067">_xlfn.NUMBERVALUE(RIGHT(C2553,4))</f>
        <v>2024</v>
      </c>
      <c r="G2553" t="s">
        <v>7</v>
      </c>
      <c r="H2553">
        <v>-2</v>
      </c>
      <c r="K2553" t="s">
        <v>9</v>
      </c>
      <c r="L2553" s="8">
        <f t="shared" si="6871"/>
        <v>-1</v>
      </c>
      <c r="M2553" t="s">
        <v>2811</v>
      </c>
    </row>
    <row r="2554" spans="1:13" x14ac:dyDescent="0.35">
      <c r="A2554">
        <f t="shared" si="6730"/>
        <v>2550</v>
      </c>
      <c r="B2554" s="9">
        <f t="shared" ref="B2554" si="7068">B2553+H2554+I2554+J2554</f>
        <v>56.19</v>
      </c>
      <c r="C2554" s="3" t="s">
        <v>2804</v>
      </c>
      <c r="D2554">
        <f t="shared" ref="D2554" si="7069">_xlfn.NUMBERVALUE(LEFT(C2554,2))</f>
        <v>9</v>
      </c>
      <c r="E2554">
        <f t="shared" ref="E2554" si="7070">_xlfn.NUMBERVALUE(MID(C2554,4,2))</f>
        <v>4</v>
      </c>
      <c r="F2554">
        <f t="shared" ref="F2554" si="7071">_xlfn.NUMBERVALUE(RIGHT(C2554,4))</f>
        <v>2024</v>
      </c>
      <c r="G2554" t="s">
        <v>7</v>
      </c>
      <c r="H2554">
        <v>-2</v>
      </c>
      <c r="K2554" t="s">
        <v>9</v>
      </c>
      <c r="L2554" s="8">
        <f t="shared" si="6871"/>
        <v>-1</v>
      </c>
      <c r="M2554" t="s">
        <v>2812</v>
      </c>
    </row>
    <row r="2555" spans="1:13" x14ac:dyDescent="0.35">
      <c r="A2555">
        <f t="shared" si="6730"/>
        <v>2551</v>
      </c>
      <c r="B2555" s="9">
        <f t="shared" ref="B2555" si="7072">B2554+H2555+I2555+J2555</f>
        <v>58.19</v>
      </c>
      <c r="C2555" s="3" t="s">
        <v>2804</v>
      </c>
      <c r="D2555">
        <f t="shared" ref="D2555" si="7073">_xlfn.NUMBERVALUE(LEFT(C2555,2))</f>
        <v>9</v>
      </c>
      <c r="E2555">
        <f t="shared" ref="E2555" si="7074">_xlfn.NUMBERVALUE(MID(C2555,4,2))</f>
        <v>4</v>
      </c>
      <c r="F2555">
        <f t="shared" ref="F2555" si="7075">_xlfn.NUMBERVALUE(RIGHT(C2555,4))</f>
        <v>2024</v>
      </c>
      <c r="G2555" t="s">
        <v>7</v>
      </c>
      <c r="H2555">
        <v>-2</v>
      </c>
      <c r="I2555">
        <v>4</v>
      </c>
      <c r="K2555" t="s">
        <v>10</v>
      </c>
      <c r="L2555" s="8">
        <f t="shared" si="6871"/>
        <v>1</v>
      </c>
      <c r="M2555" t="s">
        <v>2813</v>
      </c>
    </row>
    <row r="2556" spans="1:13" x14ac:dyDescent="0.35">
      <c r="A2556">
        <f t="shared" si="6730"/>
        <v>2552</v>
      </c>
      <c r="B2556" s="9">
        <f t="shared" ref="B2556" si="7076">B2555+H2556+I2556+J2556</f>
        <v>60.19</v>
      </c>
      <c r="C2556" s="3" t="s">
        <v>2815</v>
      </c>
      <c r="D2556">
        <f t="shared" ref="D2556" si="7077">_xlfn.NUMBERVALUE(LEFT(C2556,2))</f>
        <v>10</v>
      </c>
      <c r="E2556">
        <f t="shared" ref="E2556" si="7078">_xlfn.NUMBERVALUE(MID(C2556,4,2))</f>
        <v>4</v>
      </c>
      <c r="F2556">
        <f t="shared" ref="F2556" si="7079">_xlfn.NUMBERVALUE(RIGHT(C2556,4))</f>
        <v>2024</v>
      </c>
      <c r="G2556" t="s">
        <v>7</v>
      </c>
      <c r="H2556">
        <v>-2</v>
      </c>
      <c r="I2556">
        <v>4</v>
      </c>
      <c r="K2556" t="s">
        <v>10</v>
      </c>
      <c r="L2556" s="8">
        <f t="shared" si="6871"/>
        <v>1</v>
      </c>
      <c r="M2556" t="s">
        <v>2816</v>
      </c>
    </row>
    <row r="2557" spans="1:13" x14ac:dyDescent="0.35">
      <c r="A2557">
        <f t="shared" si="6730"/>
        <v>2553</v>
      </c>
      <c r="B2557" s="9">
        <f t="shared" ref="B2557" si="7080">B2556+H2557+I2557+J2557</f>
        <v>62.19</v>
      </c>
      <c r="C2557" s="3" t="s">
        <v>2817</v>
      </c>
      <c r="D2557">
        <f t="shared" ref="D2557" si="7081">_xlfn.NUMBERVALUE(LEFT(C2557,2))</f>
        <v>15</v>
      </c>
      <c r="E2557">
        <f t="shared" ref="E2557" si="7082">_xlfn.NUMBERVALUE(MID(C2557,4,2))</f>
        <v>4</v>
      </c>
      <c r="F2557">
        <f t="shared" ref="F2557" si="7083">_xlfn.NUMBERVALUE(RIGHT(C2557,4))</f>
        <v>2024</v>
      </c>
      <c r="G2557" t="s">
        <v>7</v>
      </c>
      <c r="H2557">
        <v>-2</v>
      </c>
      <c r="I2557">
        <v>4</v>
      </c>
      <c r="K2557" t="s">
        <v>10</v>
      </c>
      <c r="L2557" s="8">
        <f t="shared" si="6871"/>
        <v>1</v>
      </c>
      <c r="M2557" t="s">
        <v>2818</v>
      </c>
    </row>
    <row r="2558" spans="1:13" x14ac:dyDescent="0.35">
      <c r="A2558">
        <f t="shared" si="6730"/>
        <v>2554</v>
      </c>
      <c r="B2558" s="9">
        <f t="shared" ref="B2558" si="7084">B2557+H2558+I2558+J2558</f>
        <v>60.19</v>
      </c>
      <c r="C2558" s="3" t="s">
        <v>2821</v>
      </c>
      <c r="D2558">
        <f t="shared" ref="D2558" si="7085">_xlfn.NUMBERVALUE(LEFT(C2558,2))</f>
        <v>17</v>
      </c>
      <c r="E2558">
        <f t="shared" ref="E2558" si="7086">_xlfn.NUMBERVALUE(MID(C2558,4,2))</f>
        <v>4</v>
      </c>
      <c r="F2558">
        <f t="shared" ref="F2558" si="7087">_xlfn.NUMBERVALUE(RIGHT(C2558,4))</f>
        <v>2024</v>
      </c>
      <c r="G2558" t="s">
        <v>7</v>
      </c>
      <c r="H2558">
        <v>-2</v>
      </c>
      <c r="K2558" t="s">
        <v>9</v>
      </c>
      <c r="L2558" s="8">
        <f t="shared" si="6871"/>
        <v>-1</v>
      </c>
      <c r="M2558" t="s">
        <v>2819</v>
      </c>
    </row>
    <row r="2559" spans="1:13" x14ac:dyDescent="0.35">
      <c r="A2559">
        <f t="shared" si="6730"/>
        <v>2555</v>
      </c>
      <c r="B2559" s="9">
        <f t="shared" ref="B2559" si="7088">B2558+H2559+I2559+J2559</f>
        <v>58.19</v>
      </c>
      <c r="C2559" s="3" t="s">
        <v>2821</v>
      </c>
      <c r="D2559">
        <f t="shared" ref="D2559" si="7089">_xlfn.NUMBERVALUE(LEFT(C2559,2))</f>
        <v>17</v>
      </c>
      <c r="E2559">
        <f t="shared" ref="E2559" si="7090">_xlfn.NUMBERVALUE(MID(C2559,4,2))</f>
        <v>4</v>
      </c>
      <c r="F2559">
        <f t="shared" ref="F2559" si="7091">_xlfn.NUMBERVALUE(RIGHT(C2559,4))</f>
        <v>2024</v>
      </c>
      <c r="G2559" t="s">
        <v>7</v>
      </c>
      <c r="H2559">
        <v>-2</v>
      </c>
      <c r="K2559" t="s">
        <v>9</v>
      </c>
      <c r="L2559" s="8">
        <f t="shared" si="6871"/>
        <v>-1</v>
      </c>
      <c r="M2559" t="s">
        <v>2820</v>
      </c>
    </row>
    <row r="2560" spans="1:13" x14ac:dyDescent="0.35">
      <c r="A2560">
        <f t="shared" si="6730"/>
        <v>2556</v>
      </c>
      <c r="B2560" s="9">
        <f t="shared" ref="B2560" si="7092">B2559+H2560+I2560+J2560</f>
        <v>56.19</v>
      </c>
      <c r="C2560" s="3" t="s">
        <v>2822</v>
      </c>
      <c r="D2560">
        <f t="shared" ref="D2560" si="7093">_xlfn.NUMBERVALUE(LEFT(C2560,2))</f>
        <v>18</v>
      </c>
      <c r="E2560">
        <f t="shared" ref="E2560" si="7094">_xlfn.NUMBERVALUE(MID(C2560,4,2))</f>
        <v>4</v>
      </c>
      <c r="F2560">
        <f t="shared" ref="F2560" si="7095">_xlfn.NUMBERVALUE(RIGHT(C2560,4))</f>
        <v>2024</v>
      </c>
      <c r="G2560" t="s">
        <v>7</v>
      </c>
      <c r="H2560">
        <v>-2</v>
      </c>
      <c r="K2560" t="s">
        <v>9</v>
      </c>
      <c r="L2560" s="8">
        <f t="shared" si="6871"/>
        <v>-1</v>
      </c>
      <c r="M2560" t="s">
        <v>2823</v>
      </c>
    </row>
    <row r="2561" spans="1:13" x14ac:dyDescent="0.35">
      <c r="A2561">
        <f t="shared" si="6730"/>
        <v>2557</v>
      </c>
      <c r="B2561" s="9">
        <f t="shared" ref="B2561" si="7096">B2560+H2561+I2561+J2561</f>
        <v>54.19</v>
      </c>
      <c r="C2561" s="3" t="s">
        <v>2822</v>
      </c>
      <c r="D2561">
        <f t="shared" ref="D2561" si="7097">_xlfn.NUMBERVALUE(LEFT(C2561,2))</f>
        <v>18</v>
      </c>
      <c r="E2561">
        <f t="shared" ref="E2561" si="7098">_xlfn.NUMBERVALUE(MID(C2561,4,2))</f>
        <v>4</v>
      </c>
      <c r="F2561">
        <f t="shared" ref="F2561" si="7099">_xlfn.NUMBERVALUE(RIGHT(C2561,4))</f>
        <v>2024</v>
      </c>
      <c r="G2561" t="s">
        <v>7</v>
      </c>
      <c r="H2561">
        <v>-2</v>
      </c>
      <c r="K2561" t="s">
        <v>9</v>
      </c>
      <c r="L2561" s="8">
        <f t="shared" si="6871"/>
        <v>-1</v>
      </c>
      <c r="M2561" t="s">
        <v>2824</v>
      </c>
    </row>
    <row r="2562" spans="1:13" x14ac:dyDescent="0.35">
      <c r="A2562">
        <f t="shared" si="6730"/>
        <v>2558</v>
      </c>
      <c r="B2562" s="9">
        <f t="shared" ref="B2562" si="7100">B2561+H2562+I2562+J2562</f>
        <v>56.19</v>
      </c>
      <c r="C2562" s="3" t="s">
        <v>2822</v>
      </c>
      <c r="D2562">
        <f t="shared" ref="D2562" si="7101">_xlfn.NUMBERVALUE(LEFT(C2562,2))</f>
        <v>18</v>
      </c>
      <c r="E2562">
        <f t="shared" ref="E2562" si="7102">_xlfn.NUMBERVALUE(MID(C2562,4,2))</f>
        <v>4</v>
      </c>
      <c r="F2562">
        <f t="shared" ref="F2562" si="7103">_xlfn.NUMBERVALUE(RIGHT(C2562,4))</f>
        <v>2024</v>
      </c>
      <c r="G2562" t="s">
        <v>7</v>
      </c>
      <c r="H2562">
        <v>-2</v>
      </c>
      <c r="I2562">
        <v>4</v>
      </c>
      <c r="K2562" t="s">
        <v>10</v>
      </c>
      <c r="L2562" s="8">
        <f t="shared" si="6871"/>
        <v>1</v>
      </c>
      <c r="M2562" t="s">
        <v>2825</v>
      </c>
    </row>
    <row r="2563" spans="1:13" x14ac:dyDescent="0.35">
      <c r="A2563">
        <f t="shared" si="6730"/>
        <v>2559</v>
      </c>
      <c r="B2563" s="9">
        <f t="shared" ref="B2563" si="7104">B2562+H2563+I2563+J2563</f>
        <v>60.19</v>
      </c>
      <c r="C2563" s="3" t="s">
        <v>2822</v>
      </c>
      <c r="D2563">
        <f t="shared" ref="D2563" si="7105">_xlfn.NUMBERVALUE(LEFT(C2563,2))</f>
        <v>18</v>
      </c>
      <c r="E2563">
        <f t="shared" ref="E2563" si="7106">_xlfn.NUMBERVALUE(MID(C2563,4,2))</f>
        <v>4</v>
      </c>
      <c r="F2563">
        <f t="shared" ref="F2563" si="7107">_xlfn.NUMBERVALUE(RIGHT(C2563,4))</f>
        <v>2024</v>
      </c>
      <c r="G2563" t="s">
        <v>7</v>
      </c>
      <c r="H2563">
        <v>-2</v>
      </c>
      <c r="I2563">
        <v>6</v>
      </c>
      <c r="K2563" t="s">
        <v>10</v>
      </c>
      <c r="L2563" s="8">
        <f t="shared" si="6871"/>
        <v>2</v>
      </c>
      <c r="M2563" t="s">
        <v>2826</v>
      </c>
    </row>
    <row r="2564" spans="1:13" x14ac:dyDescent="0.35">
      <c r="A2564">
        <f t="shared" si="6730"/>
        <v>2560</v>
      </c>
      <c r="B2564" s="9">
        <f t="shared" ref="B2564:B2565" si="7108">B2563+H2564+I2564+J2564</f>
        <v>70.19</v>
      </c>
      <c r="C2564" s="3" t="s">
        <v>2822</v>
      </c>
      <c r="D2564">
        <f t="shared" ref="D2564:D2565" si="7109">_xlfn.NUMBERVALUE(LEFT(C2564,2))</f>
        <v>18</v>
      </c>
      <c r="E2564">
        <f t="shared" ref="E2564:E2565" si="7110">_xlfn.NUMBERVALUE(MID(C2564,4,2))</f>
        <v>4</v>
      </c>
      <c r="F2564">
        <f t="shared" ref="F2564:F2565" si="7111">_xlfn.NUMBERVALUE(RIGHT(C2564,4))</f>
        <v>2024</v>
      </c>
      <c r="G2564" t="s">
        <v>7</v>
      </c>
      <c r="H2564">
        <v>-10</v>
      </c>
      <c r="I2564">
        <v>20</v>
      </c>
      <c r="K2564" t="s">
        <v>10</v>
      </c>
      <c r="L2564" s="8">
        <f t="shared" si="6871"/>
        <v>1</v>
      </c>
      <c r="M2564" t="s">
        <v>2827</v>
      </c>
    </row>
    <row r="2565" spans="1:13" x14ac:dyDescent="0.35">
      <c r="A2565">
        <f t="shared" si="6730"/>
        <v>2561</v>
      </c>
      <c r="B2565" s="9">
        <f t="shared" si="7108"/>
        <v>72.19</v>
      </c>
      <c r="C2565" s="3" t="s">
        <v>2828</v>
      </c>
      <c r="D2565">
        <f t="shared" si="7109"/>
        <v>19</v>
      </c>
      <c r="E2565">
        <f t="shared" si="7110"/>
        <v>4</v>
      </c>
      <c r="F2565">
        <f t="shared" si="7111"/>
        <v>2024</v>
      </c>
      <c r="G2565" t="s">
        <v>7</v>
      </c>
      <c r="H2565">
        <v>-2</v>
      </c>
      <c r="I2565">
        <v>4</v>
      </c>
      <c r="K2565" t="s">
        <v>10</v>
      </c>
      <c r="L2565" s="8">
        <f t="shared" si="6871"/>
        <v>1</v>
      </c>
      <c r="M2565" t="s">
        <v>2829</v>
      </c>
    </row>
    <row r="2566" spans="1:13" x14ac:dyDescent="0.35">
      <c r="A2566">
        <f t="shared" si="6730"/>
        <v>2562</v>
      </c>
      <c r="B2566" s="9">
        <f t="shared" ref="B2566" si="7112">B2565+H2566+I2566+J2566</f>
        <v>76.19</v>
      </c>
      <c r="C2566" s="3" t="s">
        <v>2828</v>
      </c>
      <c r="D2566">
        <f t="shared" ref="D2566" si="7113">_xlfn.NUMBERVALUE(LEFT(C2566,2))</f>
        <v>19</v>
      </c>
      <c r="E2566">
        <f t="shared" ref="E2566" si="7114">_xlfn.NUMBERVALUE(MID(C2566,4,2))</f>
        <v>4</v>
      </c>
      <c r="F2566">
        <f t="shared" ref="F2566" si="7115">_xlfn.NUMBERVALUE(RIGHT(C2566,4))</f>
        <v>2024</v>
      </c>
      <c r="G2566" t="s">
        <v>7</v>
      </c>
      <c r="H2566">
        <v>-2</v>
      </c>
      <c r="I2566">
        <v>6</v>
      </c>
      <c r="K2566" t="s">
        <v>10</v>
      </c>
      <c r="L2566" s="8">
        <f t="shared" ref="L2566:L2629" si="7116">IF(H2566="",0,(SUM(I2566:J2566)/-H2566)-1)</f>
        <v>2</v>
      </c>
      <c r="M2566" t="s">
        <v>2830</v>
      </c>
    </row>
    <row r="2567" spans="1:13" x14ac:dyDescent="0.35">
      <c r="A2567">
        <f t="shared" si="6730"/>
        <v>2563</v>
      </c>
      <c r="B2567" s="9">
        <f t="shared" ref="B2567" si="7117">B2566+H2567+I2567+J2567</f>
        <v>74.19</v>
      </c>
      <c r="C2567" s="3" t="s">
        <v>2831</v>
      </c>
      <c r="D2567">
        <f t="shared" ref="D2567" si="7118">_xlfn.NUMBERVALUE(LEFT(C2567,2))</f>
        <v>20</v>
      </c>
      <c r="E2567">
        <f t="shared" ref="E2567" si="7119">_xlfn.NUMBERVALUE(MID(C2567,4,2))</f>
        <v>4</v>
      </c>
      <c r="F2567">
        <f t="shared" ref="F2567" si="7120">_xlfn.NUMBERVALUE(RIGHT(C2567,4))</f>
        <v>2024</v>
      </c>
      <c r="G2567" t="s">
        <v>7</v>
      </c>
      <c r="H2567">
        <v>-2</v>
      </c>
      <c r="K2567" t="s">
        <v>9</v>
      </c>
      <c r="L2567" s="8">
        <f t="shared" si="7116"/>
        <v>-1</v>
      </c>
      <c r="M2567" t="s">
        <v>2832</v>
      </c>
    </row>
    <row r="2568" spans="1:13" x14ac:dyDescent="0.35">
      <c r="A2568">
        <f t="shared" si="6730"/>
        <v>2564</v>
      </c>
      <c r="B2568" s="9">
        <f t="shared" ref="B2568" si="7121">B2567+H2568+I2568+J2568</f>
        <v>72.19</v>
      </c>
      <c r="C2568" s="3" t="s">
        <v>2831</v>
      </c>
      <c r="D2568">
        <f t="shared" ref="D2568" si="7122">_xlfn.NUMBERVALUE(LEFT(C2568,2))</f>
        <v>20</v>
      </c>
      <c r="E2568">
        <f t="shared" ref="E2568" si="7123">_xlfn.NUMBERVALUE(MID(C2568,4,2))</f>
        <v>4</v>
      </c>
      <c r="F2568">
        <f t="shared" ref="F2568" si="7124">_xlfn.NUMBERVALUE(RIGHT(C2568,4))</f>
        <v>2024</v>
      </c>
      <c r="G2568" t="s">
        <v>7</v>
      </c>
      <c r="H2568">
        <v>-2</v>
      </c>
      <c r="K2568" t="s">
        <v>9</v>
      </c>
      <c r="L2568" s="8">
        <f t="shared" si="7116"/>
        <v>-1</v>
      </c>
      <c r="M2568" t="s">
        <v>2833</v>
      </c>
    </row>
    <row r="2569" spans="1:13" x14ac:dyDescent="0.35">
      <c r="A2569">
        <f t="shared" si="6730"/>
        <v>2565</v>
      </c>
      <c r="B2569" s="9">
        <f t="shared" ref="B2569" si="7125">B2568+H2569+I2569+J2569</f>
        <v>70.19</v>
      </c>
      <c r="C2569" s="3" t="s">
        <v>2834</v>
      </c>
      <c r="D2569">
        <f t="shared" ref="D2569" si="7126">_xlfn.NUMBERVALUE(LEFT(C2569,2))</f>
        <v>22</v>
      </c>
      <c r="E2569">
        <f t="shared" ref="E2569" si="7127">_xlfn.NUMBERVALUE(MID(C2569,4,2))</f>
        <v>4</v>
      </c>
      <c r="F2569">
        <f t="shared" ref="F2569" si="7128">_xlfn.NUMBERVALUE(RIGHT(C2569,4))</f>
        <v>2024</v>
      </c>
      <c r="G2569" t="s">
        <v>7</v>
      </c>
      <c r="H2569">
        <v>-2</v>
      </c>
      <c r="K2569" t="s">
        <v>9</v>
      </c>
      <c r="L2569" s="8">
        <f t="shared" si="7116"/>
        <v>-1</v>
      </c>
      <c r="M2569" t="s">
        <v>2835</v>
      </c>
    </row>
    <row r="2570" spans="1:13" x14ac:dyDescent="0.35">
      <c r="A2570">
        <f t="shared" si="6730"/>
        <v>2566</v>
      </c>
      <c r="B2570" s="9">
        <f t="shared" ref="B2570" si="7129">B2569+H2570+I2570+J2570</f>
        <v>76.19</v>
      </c>
      <c r="C2570" s="3" t="s">
        <v>2834</v>
      </c>
      <c r="D2570">
        <f t="shared" ref="D2570" si="7130">_xlfn.NUMBERVALUE(LEFT(C2570,2))</f>
        <v>22</v>
      </c>
      <c r="E2570">
        <f t="shared" ref="E2570" si="7131">_xlfn.NUMBERVALUE(MID(C2570,4,2))</f>
        <v>4</v>
      </c>
      <c r="F2570">
        <f t="shared" ref="F2570" si="7132">_xlfn.NUMBERVALUE(RIGHT(C2570,4))</f>
        <v>2024</v>
      </c>
      <c r="G2570" t="s">
        <v>7</v>
      </c>
      <c r="H2570">
        <v>-2</v>
      </c>
      <c r="I2570">
        <v>8</v>
      </c>
      <c r="K2570" t="s">
        <v>10</v>
      </c>
      <c r="L2570" s="8">
        <f t="shared" si="7116"/>
        <v>3</v>
      </c>
      <c r="M2570" t="s">
        <v>2836</v>
      </c>
    </row>
    <row r="2571" spans="1:13" x14ac:dyDescent="0.35">
      <c r="A2571">
        <f t="shared" si="6730"/>
        <v>2567</v>
      </c>
      <c r="B2571" s="9">
        <f t="shared" ref="B2571" si="7133">B2570+H2571+I2571+J2571</f>
        <v>78.19</v>
      </c>
      <c r="C2571" s="3" t="s">
        <v>2834</v>
      </c>
      <c r="D2571">
        <f t="shared" ref="D2571" si="7134">_xlfn.NUMBERVALUE(LEFT(C2571,2))</f>
        <v>22</v>
      </c>
      <c r="E2571">
        <f t="shared" ref="E2571" si="7135">_xlfn.NUMBERVALUE(MID(C2571,4,2))</f>
        <v>4</v>
      </c>
      <c r="F2571">
        <f t="shared" ref="F2571" si="7136">_xlfn.NUMBERVALUE(RIGHT(C2571,4))</f>
        <v>2024</v>
      </c>
      <c r="G2571" t="s">
        <v>7</v>
      </c>
      <c r="H2571">
        <v>-2</v>
      </c>
      <c r="I2571">
        <v>4</v>
      </c>
      <c r="K2571" t="s">
        <v>10</v>
      </c>
      <c r="L2571" s="8">
        <f t="shared" si="7116"/>
        <v>1</v>
      </c>
      <c r="M2571" t="s">
        <v>2837</v>
      </c>
    </row>
    <row r="2572" spans="1:13" x14ac:dyDescent="0.35">
      <c r="A2572">
        <f t="shared" si="6730"/>
        <v>2568</v>
      </c>
      <c r="B2572" s="9">
        <f t="shared" ref="B2572" si="7137">B2571+H2572+I2572+J2572</f>
        <v>76.19</v>
      </c>
      <c r="C2572" s="3" t="s">
        <v>2838</v>
      </c>
      <c r="D2572">
        <f t="shared" ref="D2572" si="7138">_xlfn.NUMBERVALUE(LEFT(C2572,2))</f>
        <v>23</v>
      </c>
      <c r="E2572">
        <f t="shared" ref="E2572" si="7139">_xlfn.NUMBERVALUE(MID(C2572,4,2))</f>
        <v>4</v>
      </c>
      <c r="F2572">
        <f t="shared" ref="F2572" si="7140">_xlfn.NUMBERVALUE(RIGHT(C2572,4))</f>
        <v>2024</v>
      </c>
      <c r="G2572" t="s">
        <v>7</v>
      </c>
      <c r="H2572">
        <v>-2</v>
      </c>
      <c r="K2572" t="s">
        <v>9</v>
      </c>
      <c r="L2572" s="8">
        <f t="shared" si="7116"/>
        <v>-1</v>
      </c>
      <c r="M2572" t="s">
        <v>2839</v>
      </c>
    </row>
    <row r="2573" spans="1:13" x14ac:dyDescent="0.35">
      <c r="A2573">
        <f t="shared" si="6730"/>
        <v>2569</v>
      </c>
      <c r="B2573" s="9">
        <f t="shared" ref="B2573" si="7141">B2572+H2573+I2573+J2573</f>
        <v>74.19</v>
      </c>
      <c r="C2573" s="3" t="s">
        <v>2838</v>
      </c>
      <c r="D2573">
        <f t="shared" ref="D2573" si="7142">_xlfn.NUMBERVALUE(LEFT(C2573,2))</f>
        <v>23</v>
      </c>
      <c r="E2573">
        <f t="shared" ref="E2573" si="7143">_xlfn.NUMBERVALUE(MID(C2573,4,2))</f>
        <v>4</v>
      </c>
      <c r="F2573">
        <f t="shared" ref="F2573" si="7144">_xlfn.NUMBERVALUE(RIGHT(C2573,4))</f>
        <v>2024</v>
      </c>
      <c r="G2573" t="s">
        <v>7</v>
      </c>
      <c r="H2573">
        <v>-2</v>
      </c>
      <c r="K2573" t="s">
        <v>9</v>
      </c>
      <c r="L2573" s="8">
        <f t="shared" si="7116"/>
        <v>-1</v>
      </c>
      <c r="M2573" t="s">
        <v>2840</v>
      </c>
    </row>
    <row r="2574" spans="1:13" x14ac:dyDescent="0.35">
      <c r="A2574">
        <f t="shared" si="6730"/>
        <v>2570</v>
      </c>
      <c r="B2574" s="9">
        <f t="shared" ref="B2574" si="7145">B2573+H2574+I2574+J2574</f>
        <v>72.19</v>
      </c>
      <c r="C2574" s="3" t="s">
        <v>2838</v>
      </c>
      <c r="D2574">
        <f t="shared" ref="D2574" si="7146">_xlfn.NUMBERVALUE(LEFT(C2574,2))</f>
        <v>23</v>
      </c>
      <c r="E2574">
        <f t="shared" ref="E2574" si="7147">_xlfn.NUMBERVALUE(MID(C2574,4,2))</f>
        <v>4</v>
      </c>
      <c r="F2574">
        <f t="shared" ref="F2574" si="7148">_xlfn.NUMBERVALUE(RIGHT(C2574,4))</f>
        <v>2024</v>
      </c>
      <c r="G2574" t="s">
        <v>7</v>
      </c>
      <c r="H2574">
        <v>-2</v>
      </c>
      <c r="K2574" t="s">
        <v>9</v>
      </c>
      <c r="L2574" s="8">
        <f t="shared" si="7116"/>
        <v>-1</v>
      </c>
      <c r="M2574" t="s">
        <v>2841</v>
      </c>
    </row>
    <row r="2575" spans="1:13" x14ac:dyDescent="0.35">
      <c r="A2575">
        <f t="shared" si="6730"/>
        <v>2571</v>
      </c>
      <c r="B2575" s="9">
        <f t="shared" ref="B2575" si="7149">B2574+H2575+I2575+J2575</f>
        <v>70.19</v>
      </c>
      <c r="C2575" s="3" t="s">
        <v>2842</v>
      </c>
      <c r="D2575">
        <f t="shared" ref="D2575" si="7150">_xlfn.NUMBERVALUE(LEFT(C2575,2))</f>
        <v>24</v>
      </c>
      <c r="E2575">
        <f t="shared" ref="E2575" si="7151">_xlfn.NUMBERVALUE(MID(C2575,4,2))</f>
        <v>4</v>
      </c>
      <c r="F2575">
        <f t="shared" ref="F2575" si="7152">_xlfn.NUMBERVALUE(RIGHT(C2575,4))</f>
        <v>2024</v>
      </c>
      <c r="G2575" t="s">
        <v>7</v>
      </c>
      <c r="H2575">
        <v>-2</v>
      </c>
      <c r="K2575" t="s">
        <v>9</v>
      </c>
      <c r="L2575" s="8">
        <f t="shared" si="7116"/>
        <v>-1</v>
      </c>
      <c r="M2575" t="s">
        <v>2843</v>
      </c>
    </row>
    <row r="2576" spans="1:13" x14ac:dyDescent="0.35">
      <c r="A2576">
        <f t="shared" si="6730"/>
        <v>2572</v>
      </c>
      <c r="B2576" s="9">
        <f t="shared" ref="B2576" si="7153">B2575+H2576+I2576+J2576</f>
        <v>68.19</v>
      </c>
      <c r="C2576" s="3" t="s">
        <v>2842</v>
      </c>
      <c r="D2576">
        <f t="shared" ref="D2576" si="7154">_xlfn.NUMBERVALUE(LEFT(C2576,2))</f>
        <v>24</v>
      </c>
      <c r="E2576">
        <f t="shared" ref="E2576" si="7155">_xlfn.NUMBERVALUE(MID(C2576,4,2))</f>
        <v>4</v>
      </c>
      <c r="F2576">
        <f t="shared" ref="F2576" si="7156">_xlfn.NUMBERVALUE(RIGHT(C2576,4))</f>
        <v>2024</v>
      </c>
      <c r="G2576" t="s">
        <v>7</v>
      </c>
      <c r="H2576">
        <v>-2</v>
      </c>
      <c r="K2576" t="s">
        <v>9</v>
      </c>
      <c r="L2576" s="8">
        <f t="shared" si="7116"/>
        <v>-1</v>
      </c>
      <c r="M2576" t="s">
        <v>2844</v>
      </c>
    </row>
    <row r="2577" spans="1:13" x14ac:dyDescent="0.35">
      <c r="A2577">
        <f t="shared" si="6730"/>
        <v>2573</v>
      </c>
      <c r="B2577" s="9">
        <f t="shared" ref="B2577" si="7157">B2576+H2577+I2577+J2577</f>
        <v>66.19</v>
      </c>
      <c r="C2577" s="3" t="s">
        <v>2842</v>
      </c>
      <c r="D2577">
        <f t="shared" ref="D2577" si="7158">_xlfn.NUMBERVALUE(LEFT(C2577,2))</f>
        <v>24</v>
      </c>
      <c r="E2577">
        <f t="shared" ref="E2577" si="7159">_xlfn.NUMBERVALUE(MID(C2577,4,2))</f>
        <v>4</v>
      </c>
      <c r="F2577">
        <f t="shared" ref="F2577" si="7160">_xlfn.NUMBERVALUE(RIGHT(C2577,4))</f>
        <v>2024</v>
      </c>
      <c r="G2577" t="s">
        <v>7</v>
      </c>
      <c r="H2577">
        <v>-2</v>
      </c>
      <c r="K2577" t="s">
        <v>9</v>
      </c>
      <c r="L2577" s="8">
        <f t="shared" si="7116"/>
        <v>-1</v>
      </c>
      <c r="M2577" t="s">
        <v>2845</v>
      </c>
    </row>
    <row r="2578" spans="1:13" x14ac:dyDescent="0.35">
      <c r="A2578">
        <f t="shared" si="6730"/>
        <v>2574</v>
      </c>
      <c r="B2578" s="9">
        <f t="shared" ref="B2578" si="7161">B2577+H2578+I2578+J2578</f>
        <v>64.19</v>
      </c>
      <c r="C2578" s="3" t="s">
        <v>2842</v>
      </c>
      <c r="D2578">
        <f t="shared" ref="D2578" si="7162">_xlfn.NUMBERVALUE(LEFT(C2578,2))</f>
        <v>24</v>
      </c>
      <c r="E2578">
        <f t="shared" ref="E2578" si="7163">_xlfn.NUMBERVALUE(MID(C2578,4,2))</f>
        <v>4</v>
      </c>
      <c r="F2578">
        <f t="shared" ref="F2578" si="7164">_xlfn.NUMBERVALUE(RIGHT(C2578,4))</f>
        <v>2024</v>
      </c>
      <c r="G2578" t="s">
        <v>7</v>
      </c>
      <c r="H2578">
        <v>-2</v>
      </c>
      <c r="K2578" t="s">
        <v>9</v>
      </c>
      <c r="L2578" s="8">
        <f t="shared" si="7116"/>
        <v>-1</v>
      </c>
      <c r="M2578" t="s">
        <v>2846</v>
      </c>
    </row>
    <row r="2579" spans="1:13" x14ac:dyDescent="0.35">
      <c r="A2579">
        <f t="shared" si="6730"/>
        <v>2575</v>
      </c>
      <c r="B2579" s="9">
        <f t="shared" ref="B2579" si="7165">B2578+H2579+I2579+J2579</f>
        <v>68.19</v>
      </c>
      <c r="C2579" s="3" t="s">
        <v>2842</v>
      </c>
      <c r="D2579">
        <f t="shared" ref="D2579" si="7166">_xlfn.NUMBERVALUE(LEFT(C2579,2))</f>
        <v>24</v>
      </c>
      <c r="E2579">
        <f t="shared" ref="E2579" si="7167">_xlfn.NUMBERVALUE(MID(C2579,4,2))</f>
        <v>4</v>
      </c>
      <c r="F2579">
        <f t="shared" ref="F2579" si="7168">_xlfn.NUMBERVALUE(RIGHT(C2579,4))</f>
        <v>2024</v>
      </c>
      <c r="G2579" t="s">
        <v>7</v>
      </c>
      <c r="H2579">
        <v>-2</v>
      </c>
      <c r="I2579">
        <v>6</v>
      </c>
      <c r="K2579" t="s">
        <v>10</v>
      </c>
      <c r="L2579" s="8">
        <f t="shared" si="7116"/>
        <v>2</v>
      </c>
      <c r="M2579" t="s">
        <v>2847</v>
      </c>
    </row>
    <row r="2580" spans="1:13" x14ac:dyDescent="0.35">
      <c r="A2580">
        <f t="shared" si="6730"/>
        <v>2576</v>
      </c>
      <c r="B2580" s="9">
        <f t="shared" ref="B2580" si="7169">B2579+H2580+I2580+J2580</f>
        <v>72.19</v>
      </c>
      <c r="C2580" s="3" t="s">
        <v>2842</v>
      </c>
      <c r="D2580">
        <f t="shared" ref="D2580" si="7170">_xlfn.NUMBERVALUE(LEFT(C2580,2))</f>
        <v>24</v>
      </c>
      <c r="E2580">
        <f t="shared" ref="E2580" si="7171">_xlfn.NUMBERVALUE(MID(C2580,4,2))</f>
        <v>4</v>
      </c>
      <c r="F2580">
        <f t="shared" ref="F2580" si="7172">_xlfn.NUMBERVALUE(RIGHT(C2580,4))</f>
        <v>2024</v>
      </c>
      <c r="G2580" t="s">
        <v>7</v>
      </c>
      <c r="H2580">
        <v>-2</v>
      </c>
      <c r="I2580">
        <v>6</v>
      </c>
      <c r="K2580" t="s">
        <v>10</v>
      </c>
      <c r="L2580" s="8">
        <f t="shared" si="7116"/>
        <v>2</v>
      </c>
      <c r="M2580" t="s">
        <v>2848</v>
      </c>
    </row>
    <row r="2581" spans="1:13" x14ac:dyDescent="0.35">
      <c r="A2581">
        <f t="shared" si="6730"/>
        <v>2577</v>
      </c>
      <c r="B2581" s="9">
        <f t="shared" ref="B2581" si="7173">B2580+H2581+I2581+J2581</f>
        <v>70.19</v>
      </c>
      <c r="C2581" s="3" t="s">
        <v>2842</v>
      </c>
      <c r="D2581">
        <f t="shared" ref="D2581" si="7174">_xlfn.NUMBERVALUE(LEFT(C2581,2))</f>
        <v>24</v>
      </c>
      <c r="E2581">
        <f t="shared" ref="E2581" si="7175">_xlfn.NUMBERVALUE(MID(C2581,4,2))</f>
        <v>4</v>
      </c>
      <c r="F2581">
        <f t="shared" ref="F2581" si="7176">_xlfn.NUMBERVALUE(RIGHT(C2581,4))</f>
        <v>2024</v>
      </c>
      <c r="G2581" t="s">
        <v>7</v>
      </c>
      <c r="H2581">
        <v>-2</v>
      </c>
      <c r="K2581" t="s">
        <v>9</v>
      </c>
      <c r="L2581" s="8">
        <f t="shared" si="7116"/>
        <v>-1</v>
      </c>
      <c r="M2581" t="s">
        <v>2849</v>
      </c>
    </row>
    <row r="2582" spans="1:13" x14ac:dyDescent="0.35">
      <c r="A2582">
        <f t="shared" si="6730"/>
        <v>2578</v>
      </c>
      <c r="B2582" s="9">
        <f t="shared" ref="B2582" si="7177">B2581+H2582+I2582+J2582</f>
        <v>68.19</v>
      </c>
      <c r="C2582" s="3" t="s">
        <v>2850</v>
      </c>
      <c r="D2582">
        <f t="shared" ref="D2582" si="7178">_xlfn.NUMBERVALUE(LEFT(C2582,2))</f>
        <v>26</v>
      </c>
      <c r="E2582">
        <f t="shared" ref="E2582" si="7179">_xlfn.NUMBERVALUE(MID(C2582,4,2))</f>
        <v>4</v>
      </c>
      <c r="F2582">
        <f t="shared" ref="F2582" si="7180">_xlfn.NUMBERVALUE(RIGHT(C2582,4))</f>
        <v>2024</v>
      </c>
      <c r="G2582" t="s">
        <v>7</v>
      </c>
      <c r="H2582">
        <v>-2</v>
      </c>
      <c r="K2582" t="s">
        <v>9</v>
      </c>
      <c r="L2582" s="8">
        <f t="shared" si="7116"/>
        <v>-1</v>
      </c>
      <c r="M2582" t="s">
        <v>2851</v>
      </c>
    </row>
    <row r="2583" spans="1:13" x14ac:dyDescent="0.35">
      <c r="A2583">
        <f t="shared" si="6730"/>
        <v>2579</v>
      </c>
      <c r="B2583" s="9">
        <f t="shared" ref="B2583" si="7181">B2582+H2583+I2583+J2583</f>
        <v>70.19</v>
      </c>
      <c r="C2583" s="3" t="s">
        <v>2850</v>
      </c>
      <c r="D2583">
        <f t="shared" ref="D2583" si="7182">_xlfn.NUMBERVALUE(LEFT(C2583,2))</f>
        <v>26</v>
      </c>
      <c r="E2583">
        <f t="shared" ref="E2583" si="7183">_xlfn.NUMBERVALUE(MID(C2583,4,2))</f>
        <v>4</v>
      </c>
      <c r="F2583">
        <f t="shared" ref="F2583" si="7184">_xlfn.NUMBERVALUE(RIGHT(C2583,4))</f>
        <v>2024</v>
      </c>
      <c r="G2583" t="s">
        <v>7</v>
      </c>
      <c r="H2583">
        <v>-2</v>
      </c>
      <c r="I2583">
        <v>4</v>
      </c>
      <c r="K2583" t="s">
        <v>10</v>
      </c>
      <c r="L2583" s="8">
        <f t="shared" si="7116"/>
        <v>1</v>
      </c>
      <c r="M2583" t="s">
        <v>2852</v>
      </c>
    </row>
    <row r="2584" spans="1:13" x14ac:dyDescent="0.35">
      <c r="A2584">
        <f t="shared" si="6730"/>
        <v>2580</v>
      </c>
      <c r="B2584" s="9">
        <f t="shared" ref="B2584" si="7185">B2583+H2584+I2584+J2584</f>
        <v>74.19</v>
      </c>
      <c r="C2584" s="3" t="s">
        <v>2850</v>
      </c>
      <c r="D2584">
        <f t="shared" ref="D2584" si="7186">_xlfn.NUMBERVALUE(LEFT(C2584,2))</f>
        <v>26</v>
      </c>
      <c r="E2584">
        <f t="shared" ref="E2584" si="7187">_xlfn.NUMBERVALUE(MID(C2584,4,2))</f>
        <v>4</v>
      </c>
      <c r="F2584">
        <f t="shared" ref="F2584" si="7188">_xlfn.NUMBERVALUE(RIGHT(C2584,4))</f>
        <v>2024</v>
      </c>
      <c r="G2584" t="s">
        <v>7</v>
      </c>
      <c r="H2584">
        <v>-2</v>
      </c>
      <c r="I2584">
        <v>6</v>
      </c>
      <c r="K2584" t="s">
        <v>10</v>
      </c>
      <c r="L2584" s="8">
        <f t="shared" si="7116"/>
        <v>2</v>
      </c>
      <c r="M2584" t="s">
        <v>2853</v>
      </c>
    </row>
    <row r="2585" spans="1:13" x14ac:dyDescent="0.35">
      <c r="A2585">
        <f t="shared" si="6730"/>
        <v>2581</v>
      </c>
      <c r="B2585" s="9">
        <f t="shared" ref="B2585" si="7189">B2584+H2585+I2585+J2585</f>
        <v>72.19</v>
      </c>
      <c r="C2585" s="3" t="s">
        <v>2850</v>
      </c>
      <c r="D2585">
        <f t="shared" ref="D2585" si="7190">_xlfn.NUMBERVALUE(LEFT(C2585,2))</f>
        <v>26</v>
      </c>
      <c r="E2585">
        <f t="shared" ref="E2585" si="7191">_xlfn.NUMBERVALUE(MID(C2585,4,2))</f>
        <v>4</v>
      </c>
      <c r="F2585">
        <f t="shared" ref="F2585" si="7192">_xlfn.NUMBERVALUE(RIGHT(C2585,4))</f>
        <v>2024</v>
      </c>
      <c r="G2585" t="s">
        <v>7</v>
      </c>
      <c r="H2585">
        <v>-2</v>
      </c>
      <c r="K2585" t="s">
        <v>9</v>
      </c>
      <c r="L2585" s="8">
        <f t="shared" si="7116"/>
        <v>-1</v>
      </c>
      <c r="M2585" t="s">
        <v>2854</v>
      </c>
    </row>
    <row r="2586" spans="1:13" x14ac:dyDescent="0.35">
      <c r="A2586">
        <f t="shared" si="6730"/>
        <v>2582</v>
      </c>
      <c r="B2586" s="9">
        <f t="shared" ref="B2586" si="7193">B2585+H2586+I2586+J2586</f>
        <v>70.19</v>
      </c>
      <c r="C2586" s="3" t="s">
        <v>2850</v>
      </c>
      <c r="D2586">
        <f t="shared" ref="D2586" si="7194">_xlfn.NUMBERVALUE(LEFT(C2586,2))</f>
        <v>26</v>
      </c>
      <c r="E2586">
        <f t="shared" ref="E2586" si="7195">_xlfn.NUMBERVALUE(MID(C2586,4,2))</f>
        <v>4</v>
      </c>
      <c r="F2586">
        <f t="shared" ref="F2586" si="7196">_xlfn.NUMBERVALUE(RIGHT(C2586,4))</f>
        <v>2024</v>
      </c>
      <c r="G2586" t="s">
        <v>7</v>
      </c>
      <c r="H2586">
        <v>-2</v>
      </c>
      <c r="K2586" t="s">
        <v>9</v>
      </c>
      <c r="L2586" s="8">
        <f t="shared" si="7116"/>
        <v>-1</v>
      </c>
      <c r="M2586" t="s">
        <v>2855</v>
      </c>
    </row>
    <row r="2587" spans="1:13" x14ac:dyDescent="0.35">
      <c r="A2587">
        <f t="shared" si="6730"/>
        <v>2583</v>
      </c>
      <c r="B2587" s="9">
        <f t="shared" ref="B2587" si="7197">B2586+H2587+I2587+J2587</f>
        <v>68.19</v>
      </c>
      <c r="C2587" s="3" t="s">
        <v>2850</v>
      </c>
      <c r="D2587">
        <f t="shared" ref="D2587" si="7198">_xlfn.NUMBERVALUE(LEFT(C2587,2))</f>
        <v>26</v>
      </c>
      <c r="E2587">
        <f t="shared" ref="E2587" si="7199">_xlfn.NUMBERVALUE(MID(C2587,4,2))</f>
        <v>4</v>
      </c>
      <c r="F2587">
        <f t="shared" ref="F2587" si="7200">_xlfn.NUMBERVALUE(RIGHT(C2587,4))</f>
        <v>2024</v>
      </c>
      <c r="G2587" t="s">
        <v>7</v>
      </c>
      <c r="H2587">
        <v>-2</v>
      </c>
      <c r="K2587" t="s">
        <v>9</v>
      </c>
      <c r="L2587" s="8">
        <f t="shared" si="7116"/>
        <v>-1</v>
      </c>
      <c r="M2587" t="s">
        <v>2856</v>
      </c>
    </row>
    <row r="2588" spans="1:13" x14ac:dyDescent="0.35">
      <c r="A2588">
        <f t="shared" si="6730"/>
        <v>2584</v>
      </c>
      <c r="B2588" s="9">
        <f t="shared" ref="B2588" si="7201">B2587+H2588+I2588+J2588</f>
        <v>66.19</v>
      </c>
      <c r="C2588" s="3" t="s">
        <v>2850</v>
      </c>
      <c r="D2588">
        <f t="shared" ref="D2588" si="7202">_xlfn.NUMBERVALUE(LEFT(C2588,2))</f>
        <v>26</v>
      </c>
      <c r="E2588">
        <f t="shared" ref="E2588" si="7203">_xlfn.NUMBERVALUE(MID(C2588,4,2))</f>
        <v>4</v>
      </c>
      <c r="F2588">
        <f t="shared" ref="F2588" si="7204">_xlfn.NUMBERVALUE(RIGHT(C2588,4))</f>
        <v>2024</v>
      </c>
      <c r="G2588" t="s">
        <v>7</v>
      </c>
      <c r="H2588">
        <v>-2</v>
      </c>
      <c r="K2588" t="s">
        <v>9</v>
      </c>
      <c r="L2588" s="8">
        <f t="shared" si="7116"/>
        <v>-1</v>
      </c>
      <c r="M2588" t="s">
        <v>2857</v>
      </c>
    </row>
    <row r="2589" spans="1:13" x14ac:dyDescent="0.35">
      <c r="A2589">
        <f t="shared" si="6730"/>
        <v>2585</v>
      </c>
      <c r="B2589" s="9">
        <f t="shared" ref="B2589" si="7205">B2588+H2589+I2589+J2589</f>
        <v>64.19</v>
      </c>
      <c r="C2589" s="3" t="s">
        <v>2850</v>
      </c>
      <c r="D2589">
        <f t="shared" ref="D2589" si="7206">_xlfn.NUMBERVALUE(LEFT(C2589,2))</f>
        <v>26</v>
      </c>
      <c r="E2589">
        <f t="shared" ref="E2589" si="7207">_xlfn.NUMBERVALUE(MID(C2589,4,2))</f>
        <v>4</v>
      </c>
      <c r="F2589">
        <f t="shared" ref="F2589" si="7208">_xlfn.NUMBERVALUE(RIGHT(C2589,4))</f>
        <v>2024</v>
      </c>
      <c r="G2589" t="s">
        <v>7</v>
      </c>
      <c r="H2589">
        <v>-2</v>
      </c>
      <c r="K2589" t="s">
        <v>9</v>
      </c>
      <c r="L2589" s="8">
        <f t="shared" si="7116"/>
        <v>-1</v>
      </c>
      <c r="M2589" t="s">
        <v>2858</v>
      </c>
    </row>
    <row r="2590" spans="1:13" x14ac:dyDescent="0.35">
      <c r="A2590">
        <f t="shared" si="6730"/>
        <v>2586</v>
      </c>
      <c r="B2590" s="9">
        <f t="shared" ref="B2590" si="7209">B2589+H2590+I2590+J2590</f>
        <v>68.19</v>
      </c>
      <c r="C2590" s="3" t="s">
        <v>2850</v>
      </c>
      <c r="D2590">
        <f t="shared" ref="D2590" si="7210">_xlfn.NUMBERVALUE(LEFT(C2590,2))</f>
        <v>26</v>
      </c>
      <c r="E2590">
        <f t="shared" ref="E2590" si="7211">_xlfn.NUMBERVALUE(MID(C2590,4,2))</f>
        <v>4</v>
      </c>
      <c r="F2590">
        <f t="shared" ref="F2590" si="7212">_xlfn.NUMBERVALUE(RIGHT(C2590,4))</f>
        <v>2024</v>
      </c>
      <c r="G2590" t="s">
        <v>7</v>
      </c>
      <c r="H2590">
        <v>-2</v>
      </c>
      <c r="I2590">
        <v>6</v>
      </c>
      <c r="K2590" t="s">
        <v>10</v>
      </c>
      <c r="L2590" s="8">
        <f t="shared" si="7116"/>
        <v>2</v>
      </c>
      <c r="M2590" t="s">
        <v>2859</v>
      </c>
    </row>
    <row r="2591" spans="1:13" x14ac:dyDescent="0.35">
      <c r="A2591">
        <f t="shared" si="6730"/>
        <v>2587</v>
      </c>
      <c r="B2591" s="9">
        <f t="shared" ref="B2591" si="7213">B2590+H2591+I2591+J2591</f>
        <v>72.19</v>
      </c>
      <c r="C2591" s="3" t="s">
        <v>2860</v>
      </c>
      <c r="D2591">
        <f t="shared" ref="D2591" si="7214">_xlfn.NUMBERVALUE(LEFT(C2591,2))</f>
        <v>27</v>
      </c>
      <c r="E2591">
        <f t="shared" ref="E2591" si="7215">_xlfn.NUMBERVALUE(MID(C2591,4,2))</f>
        <v>4</v>
      </c>
      <c r="F2591">
        <f t="shared" ref="F2591" si="7216">_xlfn.NUMBERVALUE(RIGHT(C2591,4))</f>
        <v>2024</v>
      </c>
      <c r="G2591" t="s">
        <v>7</v>
      </c>
      <c r="H2591">
        <v>-2</v>
      </c>
      <c r="I2591">
        <v>6</v>
      </c>
      <c r="K2591" t="s">
        <v>10</v>
      </c>
      <c r="L2591" s="8">
        <f t="shared" si="7116"/>
        <v>2</v>
      </c>
      <c r="M2591" t="s">
        <v>2861</v>
      </c>
    </row>
    <row r="2592" spans="1:13" x14ac:dyDescent="0.35">
      <c r="A2592">
        <f t="shared" si="6730"/>
        <v>2588</v>
      </c>
      <c r="B2592" s="9">
        <f t="shared" ref="B2592" si="7217">B2591+H2592+I2592+J2592</f>
        <v>70.19</v>
      </c>
      <c r="C2592" s="3" t="s">
        <v>2860</v>
      </c>
      <c r="D2592">
        <f t="shared" ref="D2592" si="7218">_xlfn.NUMBERVALUE(LEFT(C2592,2))</f>
        <v>27</v>
      </c>
      <c r="E2592">
        <f t="shared" ref="E2592" si="7219">_xlfn.NUMBERVALUE(MID(C2592,4,2))</f>
        <v>4</v>
      </c>
      <c r="F2592">
        <f t="shared" ref="F2592" si="7220">_xlfn.NUMBERVALUE(RIGHT(C2592,4))</f>
        <v>2024</v>
      </c>
      <c r="G2592" t="s">
        <v>7</v>
      </c>
      <c r="H2592">
        <v>-2</v>
      </c>
      <c r="K2592" t="s">
        <v>9</v>
      </c>
      <c r="L2592" s="8">
        <f t="shared" si="7116"/>
        <v>-1</v>
      </c>
      <c r="M2592" t="s">
        <v>2862</v>
      </c>
    </row>
    <row r="2593" spans="1:13" x14ac:dyDescent="0.35">
      <c r="A2593">
        <f t="shared" si="6730"/>
        <v>2589</v>
      </c>
      <c r="B2593" s="9">
        <f t="shared" ref="B2593" si="7221">B2592+H2593+I2593+J2593</f>
        <v>68.19</v>
      </c>
      <c r="C2593" s="3" t="s">
        <v>2863</v>
      </c>
      <c r="D2593">
        <f t="shared" ref="D2593" si="7222">_xlfn.NUMBERVALUE(LEFT(C2593,2))</f>
        <v>28</v>
      </c>
      <c r="E2593">
        <f t="shared" ref="E2593" si="7223">_xlfn.NUMBERVALUE(MID(C2593,4,2))</f>
        <v>4</v>
      </c>
      <c r="F2593">
        <f t="shared" ref="F2593" si="7224">_xlfn.NUMBERVALUE(RIGHT(C2593,4))</f>
        <v>2024</v>
      </c>
      <c r="G2593" t="s">
        <v>7</v>
      </c>
      <c r="H2593">
        <v>-2</v>
      </c>
      <c r="K2593" t="s">
        <v>9</v>
      </c>
      <c r="L2593" s="8">
        <f t="shared" si="7116"/>
        <v>-1</v>
      </c>
      <c r="M2593" t="s">
        <v>2864</v>
      </c>
    </row>
    <row r="2594" spans="1:13" x14ac:dyDescent="0.35">
      <c r="A2594">
        <f t="shared" si="6730"/>
        <v>2590</v>
      </c>
      <c r="B2594" s="9">
        <f t="shared" ref="B2594" si="7225">B2593+H2594+I2594+J2594</f>
        <v>66.19</v>
      </c>
      <c r="C2594" s="3" t="s">
        <v>2863</v>
      </c>
      <c r="D2594">
        <f t="shared" ref="D2594" si="7226">_xlfn.NUMBERVALUE(LEFT(C2594,2))</f>
        <v>28</v>
      </c>
      <c r="E2594">
        <f t="shared" ref="E2594" si="7227">_xlfn.NUMBERVALUE(MID(C2594,4,2))</f>
        <v>4</v>
      </c>
      <c r="F2594">
        <f t="shared" ref="F2594" si="7228">_xlfn.NUMBERVALUE(RIGHT(C2594,4))</f>
        <v>2024</v>
      </c>
      <c r="G2594" t="s">
        <v>7</v>
      </c>
      <c r="H2594">
        <v>-2</v>
      </c>
      <c r="K2594" t="s">
        <v>9</v>
      </c>
      <c r="L2594" s="8">
        <f t="shared" si="7116"/>
        <v>-1</v>
      </c>
      <c r="M2594" t="s">
        <v>2865</v>
      </c>
    </row>
    <row r="2595" spans="1:13" x14ac:dyDescent="0.35">
      <c r="A2595">
        <f t="shared" si="6730"/>
        <v>2591</v>
      </c>
      <c r="B2595" s="9">
        <f t="shared" ref="B2595" si="7229">B2594+H2595+I2595+J2595</f>
        <v>64.19</v>
      </c>
      <c r="C2595" s="3" t="s">
        <v>2863</v>
      </c>
      <c r="D2595">
        <f t="shared" ref="D2595" si="7230">_xlfn.NUMBERVALUE(LEFT(C2595,2))</f>
        <v>28</v>
      </c>
      <c r="E2595">
        <f t="shared" ref="E2595" si="7231">_xlfn.NUMBERVALUE(MID(C2595,4,2))</f>
        <v>4</v>
      </c>
      <c r="F2595">
        <f t="shared" ref="F2595" si="7232">_xlfn.NUMBERVALUE(RIGHT(C2595,4))</f>
        <v>2024</v>
      </c>
      <c r="G2595" t="s">
        <v>7</v>
      </c>
      <c r="H2595">
        <v>-2</v>
      </c>
      <c r="K2595" t="s">
        <v>9</v>
      </c>
      <c r="L2595" s="8">
        <f t="shared" si="7116"/>
        <v>-1</v>
      </c>
      <c r="M2595" t="s">
        <v>2866</v>
      </c>
    </row>
    <row r="2596" spans="1:13" x14ac:dyDescent="0.35">
      <c r="A2596">
        <f t="shared" si="6730"/>
        <v>2592</v>
      </c>
      <c r="B2596" s="9">
        <f t="shared" ref="B2596" si="7233">B2595+H2596+I2596+J2596</f>
        <v>62.19</v>
      </c>
      <c r="C2596" s="3" t="s">
        <v>2867</v>
      </c>
      <c r="D2596">
        <f t="shared" ref="D2596" si="7234">_xlfn.NUMBERVALUE(LEFT(C2596,2))</f>
        <v>1</v>
      </c>
      <c r="E2596">
        <f t="shared" ref="E2596" si="7235">_xlfn.NUMBERVALUE(MID(C2596,4,2))</f>
        <v>5</v>
      </c>
      <c r="F2596">
        <f t="shared" ref="F2596" si="7236">_xlfn.NUMBERVALUE(RIGHT(C2596,4))</f>
        <v>2024</v>
      </c>
      <c r="G2596" t="s">
        <v>7</v>
      </c>
      <c r="H2596">
        <v>-2</v>
      </c>
      <c r="K2596" t="s">
        <v>9</v>
      </c>
      <c r="L2596" s="8">
        <f t="shared" si="7116"/>
        <v>-1</v>
      </c>
      <c r="M2596" t="s">
        <v>2868</v>
      </c>
    </row>
    <row r="2597" spans="1:13" x14ac:dyDescent="0.35">
      <c r="A2597">
        <f t="shared" si="6730"/>
        <v>2593</v>
      </c>
      <c r="B2597" s="9">
        <f t="shared" ref="B2597" si="7237">B2596+H2597+I2597+J2597</f>
        <v>60.19</v>
      </c>
      <c r="C2597" s="3" t="s">
        <v>2867</v>
      </c>
      <c r="D2597">
        <f t="shared" ref="D2597" si="7238">_xlfn.NUMBERVALUE(LEFT(C2597,2))</f>
        <v>1</v>
      </c>
      <c r="E2597">
        <f t="shared" ref="E2597" si="7239">_xlfn.NUMBERVALUE(MID(C2597,4,2))</f>
        <v>5</v>
      </c>
      <c r="F2597">
        <f t="shared" ref="F2597" si="7240">_xlfn.NUMBERVALUE(RIGHT(C2597,4))</f>
        <v>2024</v>
      </c>
      <c r="G2597" t="s">
        <v>7</v>
      </c>
      <c r="H2597">
        <v>-2</v>
      </c>
      <c r="K2597" t="s">
        <v>9</v>
      </c>
      <c r="L2597" s="8">
        <f t="shared" si="7116"/>
        <v>-1</v>
      </c>
      <c r="M2597" t="s">
        <v>2869</v>
      </c>
    </row>
    <row r="2598" spans="1:13" x14ac:dyDescent="0.35">
      <c r="A2598">
        <f t="shared" si="6730"/>
        <v>2594</v>
      </c>
      <c r="B2598" s="9">
        <f t="shared" ref="B2598" si="7241">B2597+H2598+I2598+J2598</f>
        <v>58.19</v>
      </c>
      <c r="C2598" s="3" t="s">
        <v>2867</v>
      </c>
      <c r="D2598">
        <f t="shared" ref="D2598" si="7242">_xlfn.NUMBERVALUE(LEFT(C2598,2))</f>
        <v>1</v>
      </c>
      <c r="E2598">
        <f t="shared" ref="E2598" si="7243">_xlfn.NUMBERVALUE(MID(C2598,4,2))</f>
        <v>5</v>
      </c>
      <c r="F2598">
        <f t="shared" ref="F2598" si="7244">_xlfn.NUMBERVALUE(RIGHT(C2598,4))</f>
        <v>2024</v>
      </c>
      <c r="G2598" t="s">
        <v>7</v>
      </c>
      <c r="H2598">
        <v>-2</v>
      </c>
      <c r="K2598" t="s">
        <v>9</v>
      </c>
      <c r="L2598" s="8">
        <f t="shared" si="7116"/>
        <v>-1</v>
      </c>
      <c r="M2598" t="s">
        <v>2870</v>
      </c>
    </row>
    <row r="2599" spans="1:13" x14ac:dyDescent="0.35">
      <c r="A2599">
        <f t="shared" si="6730"/>
        <v>2595</v>
      </c>
      <c r="B2599" s="9">
        <f t="shared" ref="B2599" si="7245">B2598+H2599+I2599+J2599</f>
        <v>62.19</v>
      </c>
      <c r="C2599" s="3" t="s">
        <v>2871</v>
      </c>
      <c r="D2599">
        <f t="shared" ref="D2599" si="7246">_xlfn.NUMBERVALUE(LEFT(C2599,2))</f>
        <v>6</v>
      </c>
      <c r="E2599">
        <f t="shared" ref="E2599" si="7247">_xlfn.NUMBERVALUE(MID(C2599,4,2))</f>
        <v>5</v>
      </c>
      <c r="F2599">
        <f t="shared" ref="F2599" si="7248">_xlfn.NUMBERVALUE(RIGHT(C2599,4))</f>
        <v>2024</v>
      </c>
      <c r="G2599" t="s">
        <v>7</v>
      </c>
      <c r="H2599">
        <v>-2</v>
      </c>
      <c r="I2599">
        <v>6</v>
      </c>
      <c r="K2599" t="s">
        <v>10</v>
      </c>
      <c r="L2599" s="8">
        <f t="shared" si="7116"/>
        <v>2</v>
      </c>
      <c r="M2599" t="s">
        <v>2872</v>
      </c>
    </row>
    <row r="2600" spans="1:13" x14ac:dyDescent="0.35">
      <c r="A2600">
        <f t="shared" si="6730"/>
        <v>2596</v>
      </c>
      <c r="B2600" s="9">
        <f t="shared" ref="B2600" si="7249">B2599+H2600+I2600+J2600</f>
        <v>60.19</v>
      </c>
      <c r="C2600" s="3" t="s">
        <v>2871</v>
      </c>
      <c r="D2600">
        <f t="shared" ref="D2600" si="7250">_xlfn.NUMBERVALUE(LEFT(C2600,2))</f>
        <v>6</v>
      </c>
      <c r="E2600">
        <f t="shared" ref="E2600" si="7251">_xlfn.NUMBERVALUE(MID(C2600,4,2))</f>
        <v>5</v>
      </c>
      <c r="F2600">
        <f t="shared" ref="F2600" si="7252">_xlfn.NUMBERVALUE(RIGHT(C2600,4))</f>
        <v>2024</v>
      </c>
      <c r="G2600" t="s">
        <v>7</v>
      </c>
      <c r="H2600">
        <v>-2</v>
      </c>
      <c r="K2600" t="s">
        <v>9</v>
      </c>
      <c r="L2600" s="8">
        <f t="shared" si="7116"/>
        <v>-1</v>
      </c>
      <c r="M2600" t="s">
        <v>2873</v>
      </c>
    </row>
    <row r="2601" spans="1:13" x14ac:dyDescent="0.35">
      <c r="A2601">
        <f t="shared" si="6730"/>
        <v>2597</v>
      </c>
      <c r="B2601" s="9">
        <f t="shared" ref="B2601" si="7253">B2600+H2601+I2601+J2601</f>
        <v>58.19</v>
      </c>
      <c r="C2601" s="3" t="s">
        <v>2871</v>
      </c>
      <c r="D2601">
        <f t="shared" ref="D2601" si="7254">_xlfn.NUMBERVALUE(LEFT(C2601,2))</f>
        <v>6</v>
      </c>
      <c r="E2601">
        <f t="shared" ref="E2601" si="7255">_xlfn.NUMBERVALUE(MID(C2601,4,2))</f>
        <v>5</v>
      </c>
      <c r="F2601">
        <f t="shared" ref="F2601" si="7256">_xlfn.NUMBERVALUE(RIGHT(C2601,4))</f>
        <v>2024</v>
      </c>
      <c r="G2601" t="s">
        <v>7</v>
      </c>
      <c r="H2601">
        <v>-2</v>
      </c>
      <c r="K2601" t="s">
        <v>9</v>
      </c>
      <c r="L2601" s="8">
        <f t="shared" si="7116"/>
        <v>-1</v>
      </c>
      <c r="M2601" t="s">
        <v>2874</v>
      </c>
    </row>
    <row r="2602" spans="1:13" x14ac:dyDescent="0.35">
      <c r="A2602">
        <f t="shared" si="6730"/>
        <v>2598</v>
      </c>
      <c r="B2602" s="9">
        <f t="shared" ref="B2602" si="7257">B2601+H2602+I2602+J2602</f>
        <v>56.19</v>
      </c>
      <c r="C2602" s="3" t="s">
        <v>2875</v>
      </c>
      <c r="D2602">
        <f t="shared" ref="D2602" si="7258">_xlfn.NUMBERVALUE(LEFT(C2602,2))</f>
        <v>9</v>
      </c>
      <c r="E2602">
        <f t="shared" ref="E2602" si="7259">_xlfn.NUMBERVALUE(MID(C2602,4,2))</f>
        <v>5</v>
      </c>
      <c r="F2602">
        <f t="shared" ref="F2602" si="7260">_xlfn.NUMBERVALUE(RIGHT(C2602,4))</f>
        <v>2024</v>
      </c>
      <c r="G2602" t="s">
        <v>7</v>
      </c>
      <c r="H2602">
        <v>-2</v>
      </c>
      <c r="K2602" t="s">
        <v>9</v>
      </c>
      <c r="L2602" s="8">
        <f t="shared" si="7116"/>
        <v>-1</v>
      </c>
      <c r="M2602" t="s">
        <v>2876</v>
      </c>
    </row>
    <row r="2603" spans="1:13" x14ac:dyDescent="0.35">
      <c r="A2603">
        <f t="shared" si="6730"/>
        <v>2599</v>
      </c>
      <c r="B2603" s="9">
        <f t="shared" ref="B2603" si="7261">B2602+H2603+I2603+J2603</f>
        <v>54.19</v>
      </c>
      <c r="C2603" s="3" t="s">
        <v>2875</v>
      </c>
      <c r="D2603">
        <f t="shared" ref="D2603" si="7262">_xlfn.NUMBERVALUE(LEFT(C2603,2))</f>
        <v>9</v>
      </c>
      <c r="E2603">
        <f t="shared" ref="E2603" si="7263">_xlfn.NUMBERVALUE(MID(C2603,4,2))</f>
        <v>5</v>
      </c>
      <c r="F2603">
        <f t="shared" ref="F2603" si="7264">_xlfn.NUMBERVALUE(RIGHT(C2603,4))</f>
        <v>2024</v>
      </c>
      <c r="G2603" t="s">
        <v>7</v>
      </c>
      <c r="H2603">
        <v>-2</v>
      </c>
      <c r="K2603" t="s">
        <v>9</v>
      </c>
      <c r="L2603" s="8">
        <f t="shared" si="7116"/>
        <v>-1</v>
      </c>
      <c r="M2603" t="s">
        <v>2877</v>
      </c>
    </row>
    <row r="2604" spans="1:13" x14ac:dyDescent="0.35">
      <c r="A2604">
        <f t="shared" si="6730"/>
        <v>2600</v>
      </c>
      <c r="B2604" s="9">
        <f t="shared" ref="B2604" si="7265">B2603+H2604+I2604+J2604</f>
        <v>52.19</v>
      </c>
      <c r="C2604" s="3" t="s">
        <v>2875</v>
      </c>
      <c r="D2604">
        <f t="shared" ref="D2604" si="7266">_xlfn.NUMBERVALUE(LEFT(C2604,2))</f>
        <v>9</v>
      </c>
      <c r="E2604">
        <f t="shared" ref="E2604" si="7267">_xlfn.NUMBERVALUE(MID(C2604,4,2))</f>
        <v>5</v>
      </c>
      <c r="F2604">
        <f t="shared" ref="F2604" si="7268">_xlfn.NUMBERVALUE(RIGHT(C2604,4))</f>
        <v>2024</v>
      </c>
      <c r="G2604" t="s">
        <v>7</v>
      </c>
      <c r="H2604">
        <v>-2</v>
      </c>
      <c r="K2604" t="s">
        <v>9</v>
      </c>
      <c r="L2604" s="8">
        <f t="shared" si="7116"/>
        <v>-1</v>
      </c>
      <c r="M2604" t="s">
        <v>2878</v>
      </c>
    </row>
    <row r="2605" spans="1:13" x14ac:dyDescent="0.35">
      <c r="A2605">
        <f t="shared" si="6730"/>
        <v>2601</v>
      </c>
      <c r="B2605" s="9">
        <f t="shared" ref="B2605" si="7269">B2604+H2605+I2605+J2605</f>
        <v>50.19</v>
      </c>
      <c r="C2605" s="3" t="s">
        <v>2875</v>
      </c>
      <c r="D2605">
        <f t="shared" ref="D2605" si="7270">_xlfn.NUMBERVALUE(LEFT(C2605,2))</f>
        <v>9</v>
      </c>
      <c r="E2605">
        <f t="shared" ref="E2605" si="7271">_xlfn.NUMBERVALUE(MID(C2605,4,2))</f>
        <v>5</v>
      </c>
      <c r="F2605">
        <f t="shared" ref="F2605" si="7272">_xlfn.NUMBERVALUE(RIGHT(C2605,4))</f>
        <v>2024</v>
      </c>
      <c r="G2605" t="s">
        <v>7</v>
      </c>
      <c r="H2605">
        <v>-2</v>
      </c>
      <c r="K2605" t="s">
        <v>9</v>
      </c>
      <c r="L2605" s="8">
        <f t="shared" si="7116"/>
        <v>-1</v>
      </c>
      <c r="M2605" t="s">
        <v>2879</v>
      </c>
    </row>
    <row r="2606" spans="1:13" x14ac:dyDescent="0.35">
      <c r="A2606">
        <f t="shared" si="6730"/>
        <v>2602</v>
      </c>
      <c r="B2606" s="9">
        <f t="shared" ref="B2606" si="7273">B2605+H2606+I2606+J2606</f>
        <v>52.19</v>
      </c>
      <c r="C2606" s="3" t="s">
        <v>2881</v>
      </c>
      <c r="D2606">
        <f t="shared" ref="D2606" si="7274">_xlfn.NUMBERVALUE(LEFT(C2606,2))</f>
        <v>10</v>
      </c>
      <c r="E2606">
        <f t="shared" ref="E2606" si="7275">_xlfn.NUMBERVALUE(MID(C2606,4,2))</f>
        <v>5</v>
      </c>
      <c r="F2606">
        <f t="shared" ref="F2606" si="7276">_xlfn.NUMBERVALUE(RIGHT(C2606,4))</f>
        <v>2024</v>
      </c>
      <c r="G2606" t="s">
        <v>7</v>
      </c>
      <c r="H2606">
        <v>-2</v>
      </c>
      <c r="I2606">
        <v>4</v>
      </c>
      <c r="K2606" t="s">
        <v>10</v>
      </c>
      <c r="L2606" s="8">
        <f t="shared" si="7116"/>
        <v>1</v>
      </c>
      <c r="M2606" t="s">
        <v>2880</v>
      </c>
    </row>
    <row r="2607" spans="1:13" x14ac:dyDescent="0.35">
      <c r="A2607">
        <f t="shared" si="6730"/>
        <v>2603</v>
      </c>
      <c r="B2607" s="9">
        <f t="shared" ref="B2607" si="7277">B2606+H2607+I2607+J2607</f>
        <v>50.19</v>
      </c>
      <c r="C2607" s="3" t="s">
        <v>2881</v>
      </c>
      <c r="D2607">
        <f t="shared" ref="D2607" si="7278">_xlfn.NUMBERVALUE(LEFT(C2607,2))</f>
        <v>10</v>
      </c>
      <c r="E2607">
        <f t="shared" ref="E2607" si="7279">_xlfn.NUMBERVALUE(MID(C2607,4,2))</f>
        <v>5</v>
      </c>
      <c r="F2607">
        <f t="shared" ref="F2607" si="7280">_xlfn.NUMBERVALUE(RIGHT(C2607,4))</f>
        <v>2024</v>
      </c>
      <c r="G2607" t="s">
        <v>7</v>
      </c>
      <c r="H2607">
        <v>-2</v>
      </c>
      <c r="K2607" t="s">
        <v>9</v>
      </c>
      <c r="L2607" s="8">
        <f t="shared" si="7116"/>
        <v>-1</v>
      </c>
      <c r="M2607" t="s">
        <v>2882</v>
      </c>
    </row>
    <row r="2608" spans="1:13" x14ac:dyDescent="0.35">
      <c r="A2608">
        <f t="shared" si="6730"/>
        <v>2604</v>
      </c>
      <c r="B2608" s="9">
        <f t="shared" ref="B2608" si="7281">B2607+H2608+I2608+J2608</f>
        <v>54.19</v>
      </c>
      <c r="C2608" s="3" t="s">
        <v>2881</v>
      </c>
      <c r="D2608">
        <f t="shared" ref="D2608" si="7282">_xlfn.NUMBERVALUE(LEFT(C2608,2))</f>
        <v>10</v>
      </c>
      <c r="E2608">
        <f t="shared" ref="E2608" si="7283">_xlfn.NUMBERVALUE(MID(C2608,4,2))</f>
        <v>5</v>
      </c>
      <c r="F2608">
        <f t="shared" ref="F2608" si="7284">_xlfn.NUMBERVALUE(RIGHT(C2608,4))</f>
        <v>2024</v>
      </c>
      <c r="G2608" t="s">
        <v>7</v>
      </c>
      <c r="H2608">
        <v>-2</v>
      </c>
      <c r="I2608">
        <v>6</v>
      </c>
      <c r="K2608" t="s">
        <v>10</v>
      </c>
      <c r="L2608" s="8">
        <f t="shared" si="7116"/>
        <v>2</v>
      </c>
      <c r="M2608" t="s">
        <v>2883</v>
      </c>
    </row>
    <row r="2609" spans="1:13" x14ac:dyDescent="0.35">
      <c r="A2609">
        <f t="shared" si="6730"/>
        <v>2605</v>
      </c>
      <c r="B2609" s="9">
        <f t="shared" ref="B2609" si="7285">B2608+H2609+I2609+J2609</f>
        <v>52.19</v>
      </c>
      <c r="C2609" s="3" t="s">
        <v>2885</v>
      </c>
      <c r="D2609">
        <f t="shared" ref="D2609" si="7286">_xlfn.NUMBERVALUE(LEFT(C2609,2))</f>
        <v>11</v>
      </c>
      <c r="E2609">
        <f t="shared" ref="E2609" si="7287">_xlfn.NUMBERVALUE(MID(C2609,4,2))</f>
        <v>5</v>
      </c>
      <c r="F2609">
        <f t="shared" ref="F2609" si="7288">_xlfn.NUMBERVALUE(RIGHT(C2609,4))</f>
        <v>2024</v>
      </c>
      <c r="G2609" t="s">
        <v>7</v>
      </c>
      <c r="H2609">
        <v>-2</v>
      </c>
      <c r="K2609" t="s">
        <v>9</v>
      </c>
      <c r="L2609" s="8">
        <f t="shared" si="7116"/>
        <v>-1</v>
      </c>
      <c r="M2609" t="s">
        <v>2884</v>
      </c>
    </row>
    <row r="2610" spans="1:13" x14ac:dyDescent="0.35">
      <c r="A2610">
        <f t="shared" si="6730"/>
        <v>2606</v>
      </c>
      <c r="B2610" s="9">
        <f t="shared" ref="B2610" si="7289">B2609+H2610+I2610+J2610</f>
        <v>50.19</v>
      </c>
      <c r="C2610" s="3" t="s">
        <v>2885</v>
      </c>
      <c r="D2610">
        <f t="shared" ref="D2610" si="7290">_xlfn.NUMBERVALUE(LEFT(C2610,2))</f>
        <v>11</v>
      </c>
      <c r="E2610">
        <f t="shared" ref="E2610" si="7291">_xlfn.NUMBERVALUE(MID(C2610,4,2))</f>
        <v>5</v>
      </c>
      <c r="F2610">
        <f t="shared" ref="F2610" si="7292">_xlfn.NUMBERVALUE(RIGHT(C2610,4))</f>
        <v>2024</v>
      </c>
      <c r="G2610" t="s">
        <v>7</v>
      </c>
      <c r="H2610">
        <v>-2</v>
      </c>
      <c r="K2610" t="s">
        <v>9</v>
      </c>
      <c r="L2610" s="8">
        <f t="shared" si="7116"/>
        <v>-1</v>
      </c>
      <c r="M2610" t="s">
        <v>2886</v>
      </c>
    </row>
    <row r="2611" spans="1:13" x14ac:dyDescent="0.35">
      <c r="A2611">
        <f t="shared" si="6730"/>
        <v>2607</v>
      </c>
      <c r="B2611" s="9">
        <f t="shared" ref="B2611" si="7293">B2610+H2611+I2611+J2611</f>
        <v>48.19</v>
      </c>
      <c r="C2611" s="3" t="s">
        <v>2887</v>
      </c>
      <c r="D2611">
        <f t="shared" ref="D2611" si="7294">_xlfn.NUMBERVALUE(LEFT(C2611,2))</f>
        <v>12</v>
      </c>
      <c r="E2611">
        <f t="shared" ref="E2611" si="7295">_xlfn.NUMBERVALUE(MID(C2611,4,2))</f>
        <v>5</v>
      </c>
      <c r="F2611">
        <f t="shared" ref="F2611" si="7296">_xlfn.NUMBERVALUE(RIGHT(C2611,4))</f>
        <v>2024</v>
      </c>
      <c r="G2611" t="s">
        <v>7</v>
      </c>
      <c r="H2611">
        <v>-2</v>
      </c>
      <c r="K2611" t="s">
        <v>9</v>
      </c>
      <c r="L2611" s="8">
        <f t="shared" si="7116"/>
        <v>-1</v>
      </c>
      <c r="M2611" t="s">
        <v>2888</v>
      </c>
    </row>
    <row r="2612" spans="1:13" x14ac:dyDescent="0.35">
      <c r="A2612">
        <f t="shared" si="6730"/>
        <v>2608</v>
      </c>
      <c r="B2612" s="9">
        <f t="shared" ref="B2612" si="7297">B2611+H2612+I2612+J2612</f>
        <v>46.19</v>
      </c>
      <c r="C2612" s="3" t="s">
        <v>2887</v>
      </c>
      <c r="D2612">
        <f t="shared" ref="D2612" si="7298">_xlfn.NUMBERVALUE(LEFT(C2612,2))</f>
        <v>12</v>
      </c>
      <c r="E2612">
        <f t="shared" ref="E2612" si="7299">_xlfn.NUMBERVALUE(MID(C2612,4,2))</f>
        <v>5</v>
      </c>
      <c r="F2612">
        <f t="shared" ref="F2612" si="7300">_xlfn.NUMBERVALUE(RIGHT(C2612,4))</f>
        <v>2024</v>
      </c>
      <c r="G2612" t="s">
        <v>7</v>
      </c>
      <c r="H2612">
        <v>-2</v>
      </c>
      <c r="K2612" t="s">
        <v>9</v>
      </c>
      <c r="L2612" s="8">
        <f t="shared" si="7116"/>
        <v>-1</v>
      </c>
      <c r="M2612" t="s">
        <v>2889</v>
      </c>
    </row>
    <row r="2613" spans="1:13" x14ac:dyDescent="0.35">
      <c r="A2613">
        <f t="shared" si="6730"/>
        <v>2609</v>
      </c>
      <c r="B2613" s="9">
        <f t="shared" ref="B2613" si="7301">B2612+H2613+I2613+J2613</f>
        <v>48.19</v>
      </c>
      <c r="C2613" s="3" t="s">
        <v>2887</v>
      </c>
      <c r="D2613">
        <f t="shared" ref="D2613" si="7302">_xlfn.NUMBERVALUE(LEFT(C2613,2))</f>
        <v>12</v>
      </c>
      <c r="E2613">
        <f t="shared" ref="E2613" si="7303">_xlfn.NUMBERVALUE(MID(C2613,4,2))</f>
        <v>5</v>
      </c>
      <c r="F2613">
        <f t="shared" ref="F2613" si="7304">_xlfn.NUMBERVALUE(RIGHT(C2613,4))</f>
        <v>2024</v>
      </c>
      <c r="G2613" t="s">
        <v>7</v>
      </c>
      <c r="H2613">
        <v>-2</v>
      </c>
      <c r="I2613">
        <v>4</v>
      </c>
      <c r="K2613" t="s">
        <v>10</v>
      </c>
      <c r="L2613" s="8">
        <f t="shared" si="7116"/>
        <v>1</v>
      </c>
      <c r="M2613" t="s">
        <v>2890</v>
      </c>
    </row>
    <row r="2614" spans="1:13" x14ac:dyDescent="0.35">
      <c r="A2614">
        <f t="shared" si="6730"/>
        <v>2610</v>
      </c>
      <c r="B2614" s="9">
        <f t="shared" ref="B2614" si="7305">B2613+H2614+I2614+J2614</f>
        <v>54.19</v>
      </c>
      <c r="C2614" s="3" t="s">
        <v>2887</v>
      </c>
      <c r="D2614">
        <f t="shared" ref="D2614" si="7306">_xlfn.NUMBERVALUE(LEFT(C2614,2))</f>
        <v>12</v>
      </c>
      <c r="E2614">
        <f t="shared" ref="E2614" si="7307">_xlfn.NUMBERVALUE(MID(C2614,4,2))</f>
        <v>5</v>
      </c>
      <c r="F2614">
        <f t="shared" ref="F2614" si="7308">_xlfn.NUMBERVALUE(RIGHT(C2614,4))</f>
        <v>2024</v>
      </c>
      <c r="G2614" t="s">
        <v>7</v>
      </c>
      <c r="H2614">
        <v>-2</v>
      </c>
      <c r="I2614">
        <v>8</v>
      </c>
      <c r="K2614" t="s">
        <v>10</v>
      </c>
      <c r="L2614" s="8">
        <f t="shared" si="7116"/>
        <v>3</v>
      </c>
      <c r="M2614" t="s">
        <v>2891</v>
      </c>
    </row>
    <row r="2615" spans="1:13" x14ac:dyDescent="0.35">
      <c r="A2615">
        <f t="shared" si="6730"/>
        <v>2611</v>
      </c>
      <c r="B2615" s="9">
        <f t="shared" ref="B2615" si="7309">B2614+H2615+I2615+J2615</f>
        <v>52.19</v>
      </c>
      <c r="C2615" s="3" t="s">
        <v>2893</v>
      </c>
      <c r="D2615">
        <f t="shared" ref="D2615" si="7310">_xlfn.NUMBERVALUE(LEFT(C2615,2))</f>
        <v>14</v>
      </c>
      <c r="E2615">
        <f t="shared" ref="E2615" si="7311">_xlfn.NUMBERVALUE(MID(C2615,4,2))</f>
        <v>5</v>
      </c>
      <c r="F2615">
        <f t="shared" ref="F2615" si="7312">_xlfn.NUMBERVALUE(RIGHT(C2615,4))</f>
        <v>2024</v>
      </c>
      <c r="G2615" t="s">
        <v>7</v>
      </c>
      <c r="H2615">
        <v>-2</v>
      </c>
      <c r="K2615" t="s">
        <v>9</v>
      </c>
      <c r="L2615" s="8">
        <f t="shared" si="7116"/>
        <v>-1</v>
      </c>
      <c r="M2615" t="s">
        <v>2892</v>
      </c>
    </row>
    <row r="2616" spans="1:13" x14ac:dyDescent="0.35">
      <c r="A2616">
        <f t="shared" si="6730"/>
        <v>2612</v>
      </c>
      <c r="B2616" s="9">
        <f t="shared" ref="B2616" si="7313">B2615+H2616+I2616+J2616</f>
        <v>52.19</v>
      </c>
      <c r="C2616" s="3" t="s">
        <v>2893</v>
      </c>
      <c r="D2616">
        <f t="shared" ref="D2616" si="7314">_xlfn.NUMBERVALUE(LEFT(C2616,2))</f>
        <v>14</v>
      </c>
      <c r="E2616">
        <f t="shared" ref="E2616" si="7315">_xlfn.NUMBERVALUE(MID(C2616,4,2))</f>
        <v>5</v>
      </c>
      <c r="F2616">
        <f t="shared" ref="F2616" si="7316">_xlfn.NUMBERVALUE(RIGHT(C2616,4))</f>
        <v>2024</v>
      </c>
      <c r="G2616" t="s">
        <v>3039</v>
      </c>
      <c r="K2616" t="s">
        <v>9</v>
      </c>
      <c r="L2616" s="8">
        <f t="shared" si="7116"/>
        <v>0</v>
      </c>
      <c r="M2616" t="s">
        <v>2894</v>
      </c>
    </row>
    <row r="2617" spans="1:13" x14ac:dyDescent="0.35">
      <c r="A2617">
        <f t="shared" si="6730"/>
        <v>2613</v>
      </c>
      <c r="B2617" s="9">
        <f t="shared" ref="B2617:B2618" si="7317">B2616+H2617+I2617+J2617</f>
        <v>52.19</v>
      </c>
      <c r="C2617" s="3" t="s">
        <v>2893</v>
      </c>
      <c r="D2617">
        <f t="shared" ref="D2617:D2618" si="7318">_xlfn.NUMBERVALUE(LEFT(C2617,2))</f>
        <v>14</v>
      </c>
      <c r="E2617">
        <f t="shared" ref="E2617:E2618" si="7319">_xlfn.NUMBERVALUE(MID(C2617,4,2))</f>
        <v>5</v>
      </c>
      <c r="F2617">
        <f t="shared" ref="F2617:F2618" si="7320">_xlfn.NUMBERVALUE(RIGHT(C2617,4))</f>
        <v>2024</v>
      </c>
      <c r="G2617" t="s">
        <v>3039</v>
      </c>
      <c r="K2617" t="s">
        <v>9</v>
      </c>
      <c r="L2617" s="8">
        <f t="shared" si="7116"/>
        <v>0</v>
      </c>
      <c r="M2617" t="s">
        <v>2895</v>
      </c>
    </row>
    <row r="2618" spans="1:13" x14ac:dyDescent="0.35">
      <c r="A2618">
        <f t="shared" si="6730"/>
        <v>2614</v>
      </c>
      <c r="B2618" s="9">
        <f t="shared" si="7317"/>
        <v>50.19</v>
      </c>
      <c r="C2618" s="3" t="s">
        <v>2893</v>
      </c>
      <c r="D2618">
        <f t="shared" si="7318"/>
        <v>14</v>
      </c>
      <c r="E2618">
        <f t="shared" si="7319"/>
        <v>5</v>
      </c>
      <c r="F2618">
        <f t="shared" si="7320"/>
        <v>2024</v>
      </c>
      <c r="G2618" t="s">
        <v>7</v>
      </c>
      <c r="H2618">
        <v>-2</v>
      </c>
      <c r="K2618" t="s">
        <v>9</v>
      </c>
      <c r="L2618" s="8">
        <f t="shared" si="7116"/>
        <v>-1</v>
      </c>
      <c r="M2618" t="s">
        <v>2896</v>
      </c>
    </row>
    <row r="2619" spans="1:13" x14ac:dyDescent="0.35">
      <c r="A2619">
        <f t="shared" si="6730"/>
        <v>2615</v>
      </c>
      <c r="B2619" s="9">
        <f t="shared" ref="B2619" si="7321">B2618+H2619+I2619+J2619</f>
        <v>48.19</v>
      </c>
      <c r="C2619" s="3" t="s">
        <v>2893</v>
      </c>
      <c r="D2619">
        <f t="shared" ref="D2619" si="7322">_xlfn.NUMBERVALUE(LEFT(C2619,2))</f>
        <v>14</v>
      </c>
      <c r="E2619">
        <f t="shared" ref="E2619" si="7323">_xlfn.NUMBERVALUE(MID(C2619,4,2))</f>
        <v>5</v>
      </c>
      <c r="F2619">
        <f t="shared" ref="F2619" si="7324">_xlfn.NUMBERVALUE(RIGHT(C2619,4))</f>
        <v>2024</v>
      </c>
      <c r="G2619" t="s">
        <v>7</v>
      </c>
      <c r="H2619">
        <v>-2</v>
      </c>
      <c r="K2619" t="s">
        <v>9</v>
      </c>
      <c r="L2619" s="8">
        <f t="shared" si="7116"/>
        <v>-1</v>
      </c>
      <c r="M2619" t="s">
        <v>2897</v>
      </c>
    </row>
    <row r="2620" spans="1:13" x14ac:dyDescent="0.35">
      <c r="A2620">
        <f t="shared" si="6730"/>
        <v>2616</v>
      </c>
      <c r="B2620" s="9">
        <f t="shared" ref="B2620" si="7325">B2619+H2620+I2620+J2620</f>
        <v>46.19</v>
      </c>
      <c r="C2620" s="3" t="s">
        <v>2898</v>
      </c>
      <c r="D2620">
        <f t="shared" ref="D2620" si="7326">_xlfn.NUMBERVALUE(LEFT(C2620,2))</f>
        <v>15</v>
      </c>
      <c r="E2620">
        <f t="shared" ref="E2620" si="7327">_xlfn.NUMBERVALUE(MID(C2620,4,2))</f>
        <v>5</v>
      </c>
      <c r="F2620">
        <f t="shared" ref="F2620" si="7328">_xlfn.NUMBERVALUE(RIGHT(C2620,4))</f>
        <v>2024</v>
      </c>
      <c r="G2620" t="s">
        <v>7</v>
      </c>
      <c r="H2620">
        <v>-2</v>
      </c>
      <c r="K2620" t="s">
        <v>9</v>
      </c>
      <c r="L2620" s="8">
        <f t="shared" si="7116"/>
        <v>-1</v>
      </c>
      <c r="M2620" t="s">
        <v>2899</v>
      </c>
    </row>
    <row r="2621" spans="1:13" x14ac:dyDescent="0.35">
      <c r="A2621">
        <f t="shared" si="6730"/>
        <v>2617</v>
      </c>
      <c r="B2621" s="9">
        <f t="shared" ref="B2621" si="7329">B2620+H2621+I2621+J2621</f>
        <v>44.19</v>
      </c>
      <c r="C2621" s="3" t="s">
        <v>2898</v>
      </c>
      <c r="D2621">
        <f t="shared" ref="D2621" si="7330">_xlfn.NUMBERVALUE(LEFT(C2621,2))</f>
        <v>15</v>
      </c>
      <c r="E2621">
        <f t="shared" ref="E2621" si="7331">_xlfn.NUMBERVALUE(MID(C2621,4,2))</f>
        <v>5</v>
      </c>
      <c r="F2621">
        <f t="shared" ref="F2621" si="7332">_xlfn.NUMBERVALUE(RIGHT(C2621,4))</f>
        <v>2024</v>
      </c>
      <c r="G2621" t="s">
        <v>7</v>
      </c>
      <c r="H2621">
        <v>-2</v>
      </c>
      <c r="K2621" t="s">
        <v>9</v>
      </c>
      <c r="L2621" s="8">
        <f t="shared" si="7116"/>
        <v>-1</v>
      </c>
      <c r="M2621" t="s">
        <v>2900</v>
      </c>
    </row>
    <row r="2622" spans="1:13" x14ac:dyDescent="0.35">
      <c r="A2622">
        <f t="shared" si="6730"/>
        <v>2618</v>
      </c>
      <c r="B2622" s="9">
        <f t="shared" ref="B2622" si="7333">B2621+H2622+I2622+J2622</f>
        <v>42.19</v>
      </c>
      <c r="C2622" s="3" t="s">
        <v>2898</v>
      </c>
      <c r="D2622">
        <f t="shared" ref="D2622" si="7334">_xlfn.NUMBERVALUE(LEFT(C2622,2))</f>
        <v>15</v>
      </c>
      <c r="E2622">
        <f t="shared" ref="E2622" si="7335">_xlfn.NUMBERVALUE(MID(C2622,4,2))</f>
        <v>5</v>
      </c>
      <c r="F2622">
        <f t="shared" ref="F2622" si="7336">_xlfn.NUMBERVALUE(RIGHT(C2622,4))</f>
        <v>2024</v>
      </c>
      <c r="G2622" t="s">
        <v>7</v>
      </c>
      <c r="H2622">
        <v>-2</v>
      </c>
      <c r="K2622" t="s">
        <v>9</v>
      </c>
      <c r="L2622" s="8">
        <f t="shared" si="7116"/>
        <v>-1</v>
      </c>
      <c r="M2622" t="s">
        <v>2901</v>
      </c>
    </row>
    <row r="2623" spans="1:13" x14ac:dyDescent="0.35">
      <c r="A2623">
        <f t="shared" si="6730"/>
        <v>2619</v>
      </c>
      <c r="B2623" s="9">
        <f t="shared" ref="B2623" si="7337">B2622+H2623+I2623+J2623</f>
        <v>44.19</v>
      </c>
      <c r="C2623" s="3" t="s">
        <v>2898</v>
      </c>
      <c r="D2623">
        <f t="shared" ref="D2623" si="7338">_xlfn.NUMBERVALUE(LEFT(C2623,2))</f>
        <v>15</v>
      </c>
      <c r="E2623">
        <f t="shared" ref="E2623" si="7339">_xlfn.NUMBERVALUE(MID(C2623,4,2))</f>
        <v>5</v>
      </c>
      <c r="F2623">
        <f t="shared" ref="F2623" si="7340">_xlfn.NUMBERVALUE(RIGHT(C2623,4))</f>
        <v>2024</v>
      </c>
      <c r="G2623" t="s">
        <v>7</v>
      </c>
      <c r="H2623">
        <v>-2</v>
      </c>
      <c r="I2623">
        <v>4</v>
      </c>
      <c r="K2623" t="s">
        <v>10</v>
      </c>
      <c r="L2623" s="8">
        <f t="shared" si="7116"/>
        <v>1</v>
      </c>
      <c r="M2623" t="s">
        <v>2902</v>
      </c>
    </row>
    <row r="2624" spans="1:13" x14ac:dyDescent="0.35">
      <c r="A2624">
        <f t="shared" si="6730"/>
        <v>2620</v>
      </c>
      <c r="B2624" s="9">
        <f t="shared" ref="B2624" si="7341">B2623+H2624+I2624+J2624</f>
        <v>42.19</v>
      </c>
      <c r="C2624" s="3" t="s">
        <v>2898</v>
      </c>
      <c r="D2624">
        <f t="shared" ref="D2624" si="7342">_xlfn.NUMBERVALUE(LEFT(C2624,2))</f>
        <v>15</v>
      </c>
      <c r="E2624">
        <f t="shared" ref="E2624" si="7343">_xlfn.NUMBERVALUE(MID(C2624,4,2))</f>
        <v>5</v>
      </c>
      <c r="F2624">
        <f t="shared" ref="F2624" si="7344">_xlfn.NUMBERVALUE(RIGHT(C2624,4))</f>
        <v>2024</v>
      </c>
      <c r="G2624" t="s">
        <v>7</v>
      </c>
      <c r="H2624">
        <v>-2</v>
      </c>
      <c r="K2624" t="s">
        <v>9</v>
      </c>
      <c r="L2624" s="8">
        <f t="shared" si="7116"/>
        <v>-1</v>
      </c>
      <c r="M2624" t="s">
        <v>2903</v>
      </c>
    </row>
    <row r="2625" spans="1:13" x14ac:dyDescent="0.35">
      <c r="A2625">
        <f t="shared" si="6730"/>
        <v>2621</v>
      </c>
      <c r="B2625" s="9">
        <f t="shared" ref="B2625" si="7345">B2624+H2625+I2625+J2625</f>
        <v>44.19</v>
      </c>
      <c r="C2625" s="3" t="s">
        <v>2898</v>
      </c>
      <c r="D2625">
        <f t="shared" ref="D2625" si="7346">_xlfn.NUMBERVALUE(LEFT(C2625,2))</f>
        <v>15</v>
      </c>
      <c r="E2625">
        <f t="shared" ref="E2625" si="7347">_xlfn.NUMBERVALUE(MID(C2625,4,2))</f>
        <v>5</v>
      </c>
      <c r="F2625">
        <f t="shared" ref="F2625" si="7348">_xlfn.NUMBERVALUE(RIGHT(C2625,4))</f>
        <v>2024</v>
      </c>
      <c r="G2625" t="s">
        <v>7</v>
      </c>
      <c r="H2625">
        <v>-2</v>
      </c>
      <c r="I2625">
        <v>4</v>
      </c>
      <c r="K2625" t="s">
        <v>10</v>
      </c>
      <c r="L2625" s="8">
        <f t="shared" si="7116"/>
        <v>1</v>
      </c>
      <c r="M2625" t="s">
        <v>2904</v>
      </c>
    </row>
    <row r="2626" spans="1:13" x14ac:dyDescent="0.35">
      <c r="A2626">
        <f t="shared" si="6730"/>
        <v>2622</v>
      </c>
      <c r="B2626" s="9">
        <f t="shared" ref="B2626" si="7349">B2625+H2626+I2626+J2626</f>
        <v>42.19</v>
      </c>
      <c r="C2626" s="3" t="s">
        <v>2898</v>
      </c>
      <c r="D2626">
        <f t="shared" ref="D2626" si="7350">_xlfn.NUMBERVALUE(LEFT(C2626,2))</f>
        <v>15</v>
      </c>
      <c r="E2626">
        <f t="shared" ref="E2626" si="7351">_xlfn.NUMBERVALUE(MID(C2626,4,2))</f>
        <v>5</v>
      </c>
      <c r="F2626">
        <f t="shared" ref="F2626" si="7352">_xlfn.NUMBERVALUE(RIGHT(C2626,4))</f>
        <v>2024</v>
      </c>
      <c r="G2626" t="s">
        <v>7</v>
      </c>
      <c r="H2626">
        <v>-2</v>
      </c>
      <c r="K2626" t="s">
        <v>9</v>
      </c>
      <c r="L2626" s="8">
        <f t="shared" si="7116"/>
        <v>-1</v>
      </c>
      <c r="M2626" t="s">
        <v>2905</v>
      </c>
    </row>
    <row r="2627" spans="1:13" x14ac:dyDescent="0.35">
      <c r="A2627">
        <f t="shared" si="6730"/>
        <v>2623</v>
      </c>
      <c r="B2627" s="9">
        <f t="shared" ref="B2627" si="7353">B2626+H2627+I2627+J2627</f>
        <v>46.19</v>
      </c>
      <c r="C2627" s="3" t="s">
        <v>2898</v>
      </c>
      <c r="D2627">
        <f t="shared" ref="D2627" si="7354">_xlfn.NUMBERVALUE(LEFT(C2627,2))</f>
        <v>15</v>
      </c>
      <c r="E2627">
        <f t="shared" ref="E2627" si="7355">_xlfn.NUMBERVALUE(MID(C2627,4,2))</f>
        <v>5</v>
      </c>
      <c r="F2627">
        <f t="shared" ref="F2627" si="7356">_xlfn.NUMBERVALUE(RIGHT(C2627,4))</f>
        <v>2024</v>
      </c>
      <c r="G2627" t="s">
        <v>7</v>
      </c>
      <c r="H2627">
        <v>-2</v>
      </c>
      <c r="I2627">
        <v>6</v>
      </c>
      <c r="K2627" t="s">
        <v>10</v>
      </c>
      <c r="L2627" s="8">
        <f t="shared" si="7116"/>
        <v>2</v>
      </c>
      <c r="M2627" t="s">
        <v>2906</v>
      </c>
    </row>
    <row r="2628" spans="1:13" x14ac:dyDescent="0.35">
      <c r="A2628">
        <f t="shared" si="6730"/>
        <v>2624</v>
      </c>
      <c r="B2628" s="9">
        <f t="shared" ref="B2628" si="7357">B2627+H2628+I2628+J2628</f>
        <v>44.19</v>
      </c>
      <c r="C2628" s="3" t="s">
        <v>2898</v>
      </c>
      <c r="D2628">
        <f t="shared" ref="D2628" si="7358">_xlfn.NUMBERVALUE(LEFT(C2628,2))</f>
        <v>15</v>
      </c>
      <c r="E2628">
        <f t="shared" ref="E2628" si="7359">_xlfn.NUMBERVALUE(MID(C2628,4,2))</f>
        <v>5</v>
      </c>
      <c r="F2628">
        <f t="shared" ref="F2628" si="7360">_xlfn.NUMBERVALUE(RIGHT(C2628,4))</f>
        <v>2024</v>
      </c>
      <c r="G2628" t="s">
        <v>7</v>
      </c>
      <c r="H2628">
        <v>-2</v>
      </c>
      <c r="K2628" t="s">
        <v>9</v>
      </c>
      <c r="L2628" s="8">
        <f t="shared" si="7116"/>
        <v>-1</v>
      </c>
      <c r="M2628" t="s">
        <v>2907</v>
      </c>
    </row>
    <row r="2629" spans="1:13" x14ac:dyDescent="0.35">
      <c r="A2629">
        <f t="shared" si="6730"/>
        <v>2625</v>
      </c>
      <c r="B2629" s="9">
        <f t="shared" ref="B2629" si="7361">B2628+H2629+I2629+J2629</f>
        <v>42.19</v>
      </c>
      <c r="C2629" s="3" t="s">
        <v>2898</v>
      </c>
      <c r="D2629">
        <f t="shared" ref="D2629" si="7362">_xlfn.NUMBERVALUE(LEFT(C2629,2))</f>
        <v>15</v>
      </c>
      <c r="E2629">
        <f t="shared" ref="E2629" si="7363">_xlfn.NUMBERVALUE(MID(C2629,4,2))</f>
        <v>5</v>
      </c>
      <c r="F2629">
        <f t="shared" ref="F2629" si="7364">_xlfn.NUMBERVALUE(RIGHT(C2629,4))</f>
        <v>2024</v>
      </c>
      <c r="G2629" t="s">
        <v>7</v>
      </c>
      <c r="H2629">
        <v>-2</v>
      </c>
      <c r="K2629" t="s">
        <v>9</v>
      </c>
      <c r="L2629" s="8">
        <f t="shared" si="7116"/>
        <v>-1</v>
      </c>
      <c r="M2629" t="s">
        <v>2908</v>
      </c>
    </row>
    <row r="2630" spans="1:13" x14ac:dyDescent="0.35">
      <c r="A2630">
        <f t="shared" si="6730"/>
        <v>2626</v>
      </c>
      <c r="B2630" s="9">
        <f t="shared" ref="B2630" si="7365">B2629+H2630+I2630+J2630</f>
        <v>40.19</v>
      </c>
      <c r="C2630" s="3" t="s">
        <v>2898</v>
      </c>
      <c r="D2630">
        <f t="shared" ref="D2630" si="7366">_xlfn.NUMBERVALUE(LEFT(C2630,2))</f>
        <v>15</v>
      </c>
      <c r="E2630">
        <f t="shared" ref="E2630" si="7367">_xlfn.NUMBERVALUE(MID(C2630,4,2))</f>
        <v>5</v>
      </c>
      <c r="F2630">
        <f t="shared" ref="F2630" si="7368">_xlfn.NUMBERVALUE(RIGHT(C2630,4))</f>
        <v>2024</v>
      </c>
      <c r="G2630" t="s">
        <v>7</v>
      </c>
      <c r="H2630">
        <v>-2</v>
      </c>
      <c r="K2630" t="s">
        <v>9</v>
      </c>
      <c r="L2630" s="8">
        <f t="shared" ref="L2630:L2693" si="7369">IF(H2630="",0,(SUM(I2630:J2630)/-H2630)-1)</f>
        <v>-1</v>
      </c>
      <c r="M2630" t="s">
        <v>2909</v>
      </c>
    </row>
    <row r="2631" spans="1:13" x14ac:dyDescent="0.35">
      <c r="A2631">
        <f t="shared" si="6730"/>
        <v>2627</v>
      </c>
      <c r="B2631" s="9">
        <f t="shared" ref="B2631:B2632" si="7370">B2630+H2631+I2631+J2631</f>
        <v>50.19</v>
      </c>
      <c r="C2631" s="3" t="s">
        <v>2898</v>
      </c>
      <c r="D2631">
        <f t="shared" ref="D2631:D2632" si="7371">_xlfn.NUMBERVALUE(LEFT(C2631,2))</f>
        <v>15</v>
      </c>
      <c r="E2631">
        <f t="shared" ref="E2631:E2632" si="7372">_xlfn.NUMBERVALUE(MID(C2631,4,2))</f>
        <v>5</v>
      </c>
      <c r="F2631">
        <f t="shared" ref="F2631:F2632" si="7373">_xlfn.NUMBERVALUE(RIGHT(C2631,4))</f>
        <v>2024</v>
      </c>
      <c r="G2631" t="s">
        <v>7</v>
      </c>
      <c r="H2631">
        <v>-10</v>
      </c>
      <c r="I2631">
        <v>20</v>
      </c>
      <c r="K2631" t="s">
        <v>10</v>
      </c>
      <c r="L2631" s="8">
        <f t="shared" si="7369"/>
        <v>1</v>
      </c>
      <c r="M2631" t="s">
        <v>2910</v>
      </c>
    </row>
    <row r="2632" spans="1:13" x14ac:dyDescent="0.35">
      <c r="A2632">
        <f t="shared" si="6730"/>
        <v>2628</v>
      </c>
      <c r="B2632" s="9">
        <f t="shared" si="7370"/>
        <v>56.19</v>
      </c>
      <c r="C2632" s="3" t="s">
        <v>2912</v>
      </c>
      <c r="D2632">
        <f t="shared" si="7371"/>
        <v>16</v>
      </c>
      <c r="E2632">
        <f t="shared" si="7372"/>
        <v>5</v>
      </c>
      <c r="F2632">
        <f t="shared" si="7373"/>
        <v>2024</v>
      </c>
      <c r="G2632" t="s">
        <v>7</v>
      </c>
      <c r="H2632">
        <v>-2</v>
      </c>
      <c r="I2632">
        <v>8</v>
      </c>
      <c r="K2632" t="s">
        <v>10</v>
      </c>
      <c r="L2632" s="8">
        <f t="shared" si="7369"/>
        <v>3</v>
      </c>
      <c r="M2632" t="s">
        <v>2911</v>
      </c>
    </row>
    <row r="2633" spans="1:13" x14ac:dyDescent="0.35">
      <c r="A2633">
        <f t="shared" si="6730"/>
        <v>2629</v>
      </c>
      <c r="B2633" s="9">
        <f t="shared" ref="B2633" si="7374">B2632+H2633+I2633+J2633</f>
        <v>54.19</v>
      </c>
      <c r="C2633" s="3" t="s">
        <v>2912</v>
      </c>
      <c r="D2633">
        <f t="shared" ref="D2633" si="7375">_xlfn.NUMBERVALUE(LEFT(C2633,2))</f>
        <v>16</v>
      </c>
      <c r="E2633">
        <f t="shared" ref="E2633" si="7376">_xlfn.NUMBERVALUE(MID(C2633,4,2))</f>
        <v>5</v>
      </c>
      <c r="F2633">
        <f t="shared" ref="F2633" si="7377">_xlfn.NUMBERVALUE(RIGHT(C2633,4))</f>
        <v>2024</v>
      </c>
      <c r="G2633" t="s">
        <v>7</v>
      </c>
      <c r="H2633">
        <v>-2</v>
      </c>
      <c r="K2633" t="s">
        <v>9</v>
      </c>
      <c r="L2633" s="8">
        <f t="shared" si="7369"/>
        <v>-1</v>
      </c>
      <c r="M2633" t="s">
        <v>2913</v>
      </c>
    </row>
    <row r="2634" spans="1:13" x14ac:dyDescent="0.35">
      <c r="A2634">
        <f t="shared" si="6730"/>
        <v>2630</v>
      </c>
      <c r="B2634" s="9">
        <f t="shared" ref="B2634" si="7378">B2633+H2634+I2634+J2634</f>
        <v>62.19</v>
      </c>
      <c r="C2634" s="3" t="s">
        <v>2912</v>
      </c>
      <c r="D2634">
        <f t="shared" ref="D2634" si="7379">_xlfn.NUMBERVALUE(LEFT(C2634,2))</f>
        <v>16</v>
      </c>
      <c r="E2634">
        <f t="shared" ref="E2634" si="7380">_xlfn.NUMBERVALUE(MID(C2634,4,2))</f>
        <v>5</v>
      </c>
      <c r="F2634">
        <f t="shared" ref="F2634" si="7381">_xlfn.NUMBERVALUE(RIGHT(C2634,4))</f>
        <v>2024</v>
      </c>
      <c r="G2634" t="s">
        <v>7</v>
      </c>
      <c r="H2634">
        <v>-2</v>
      </c>
      <c r="I2634">
        <v>10</v>
      </c>
      <c r="K2634" t="s">
        <v>10</v>
      </c>
      <c r="L2634" s="8">
        <f t="shared" si="7369"/>
        <v>4</v>
      </c>
      <c r="M2634" t="s">
        <v>2914</v>
      </c>
    </row>
    <row r="2635" spans="1:13" x14ac:dyDescent="0.35">
      <c r="A2635">
        <f t="shared" si="6730"/>
        <v>2631</v>
      </c>
      <c r="B2635" s="9">
        <f t="shared" ref="B2635" si="7382">B2634+H2635+I2635+J2635</f>
        <v>64.19</v>
      </c>
      <c r="C2635" s="3" t="s">
        <v>2915</v>
      </c>
      <c r="D2635">
        <f t="shared" ref="D2635" si="7383">_xlfn.NUMBERVALUE(LEFT(C2635,2))</f>
        <v>17</v>
      </c>
      <c r="E2635">
        <f t="shared" ref="E2635" si="7384">_xlfn.NUMBERVALUE(MID(C2635,4,2))</f>
        <v>5</v>
      </c>
      <c r="F2635">
        <f t="shared" ref="F2635" si="7385">_xlfn.NUMBERVALUE(RIGHT(C2635,4))</f>
        <v>2024</v>
      </c>
      <c r="G2635" t="s">
        <v>7</v>
      </c>
      <c r="H2635">
        <v>-2</v>
      </c>
      <c r="I2635">
        <v>4</v>
      </c>
      <c r="K2635" t="s">
        <v>10</v>
      </c>
      <c r="L2635" s="8">
        <f t="shared" si="7369"/>
        <v>1</v>
      </c>
      <c r="M2635" t="s">
        <v>2916</v>
      </c>
    </row>
    <row r="2636" spans="1:13" x14ac:dyDescent="0.35">
      <c r="A2636">
        <f t="shared" si="6730"/>
        <v>2632</v>
      </c>
      <c r="B2636" s="9">
        <f t="shared" ref="B2636" si="7386">B2635+H2636+I2636+J2636</f>
        <v>62.19</v>
      </c>
      <c r="C2636" s="3" t="s">
        <v>2915</v>
      </c>
      <c r="D2636">
        <f t="shared" ref="D2636" si="7387">_xlfn.NUMBERVALUE(LEFT(C2636,2))</f>
        <v>17</v>
      </c>
      <c r="E2636">
        <f t="shared" ref="E2636" si="7388">_xlfn.NUMBERVALUE(MID(C2636,4,2))</f>
        <v>5</v>
      </c>
      <c r="F2636">
        <f t="shared" ref="F2636" si="7389">_xlfn.NUMBERVALUE(RIGHT(C2636,4))</f>
        <v>2024</v>
      </c>
      <c r="G2636" t="s">
        <v>7</v>
      </c>
      <c r="H2636">
        <v>-2</v>
      </c>
      <c r="K2636" t="s">
        <v>9</v>
      </c>
      <c r="L2636" s="8">
        <f t="shared" si="7369"/>
        <v>-1</v>
      </c>
      <c r="M2636" t="s">
        <v>2917</v>
      </c>
    </row>
    <row r="2637" spans="1:13" x14ac:dyDescent="0.35">
      <c r="A2637">
        <f t="shared" si="6730"/>
        <v>2633</v>
      </c>
      <c r="B2637" s="9">
        <f t="shared" ref="B2637" si="7390">B2636+H2637+I2637+J2637</f>
        <v>64.19</v>
      </c>
      <c r="C2637" s="3" t="s">
        <v>2915</v>
      </c>
      <c r="D2637">
        <f t="shared" ref="D2637" si="7391">_xlfn.NUMBERVALUE(LEFT(C2637,2))</f>
        <v>17</v>
      </c>
      <c r="E2637">
        <f t="shared" ref="E2637" si="7392">_xlfn.NUMBERVALUE(MID(C2637,4,2))</f>
        <v>5</v>
      </c>
      <c r="F2637">
        <f t="shared" ref="F2637" si="7393">_xlfn.NUMBERVALUE(RIGHT(C2637,4))</f>
        <v>2024</v>
      </c>
      <c r="G2637" t="s">
        <v>7</v>
      </c>
      <c r="H2637">
        <v>-2</v>
      </c>
      <c r="I2637">
        <v>4</v>
      </c>
      <c r="K2637" t="s">
        <v>10</v>
      </c>
      <c r="L2637" s="8">
        <f t="shared" si="7369"/>
        <v>1</v>
      </c>
      <c r="M2637" t="s">
        <v>2918</v>
      </c>
    </row>
    <row r="2638" spans="1:13" x14ac:dyDescent="0.35">
      <c r="A2638">
        <f t="shared" si="6730"/>
        <v>2634</v>
      </c>
      <c r="B2638" s="9">
        <f t="shared" ref="B2638" si="7394">B2637+H2638+I2638+J2638</f>
        <v>62.19</v>
      </c>
      <c r="C2638" s="3" t="s">
        <v>2915</v>
      </c>
      <c r="D2638">
        <f t="shared" ref="D2638" si="7395">_xlfn.NUMBERVALUE(LEFT(C2638,2))</f>
        <v>17</v>
      </c>
      <c r="E2638">
        <f t="shared" ref="E2638" si="7396">_xlfn.NUMBERVALUE(MID(C2638,4,2))</f>
        <v>5</v>
      </c>
      <c r="F2638">
        <f t="shared" ref="F2638" si="7397">_xlfn.NUMBERVALUE(RIGHT(C2638,4))</f>
        <v>2024</v>
      </c>
      <c r="G2638" t="s">
        <v>7</v>
      </c>
      <c r="H2638">
        <v>-2</v>
      </c>
      <c r="K2638" t="s">
        <v>9</v>
      </c>
      <c r="L2638" s="8">
        <f t="shared" si="7369"/>
        <v>-1</v>
      </c>
      <c r="M2638" t="s">
        <v>2919</v>
      </c>
    </row>
    <row r="2639" spans="1:13" x14ac:dyDescent="0.35">
      <c r="A2639">
        <f t="shared" si="6730"/>
        <v>2635</v>
      </c>
      <c r="B2639" s="9">
        <f t="shared" ref="B2639" si="7398">B2638+H2639+I2639+J2639</f>
        <v>64.19</v>
      </c>
      <c r="C2639" s="3" t="s">
        <v>2915</v>
      </c>
      <c r="D2639">
        <f t="shared" ref="D2639" si="7399">_xlfn.NUMBERVALUE(LEFT(C2639,2))</f>
        <v>17</v>
      </c>
      <c r="E2639">
        <f t="shared" ref="E2639" si="7400">_xlfn.NUMBERVALUE(MID(C2639,4,2))</f>
        <v>5</v>
      </c>
      <c r="F2639">
        <f t="shared" ref="F2639" si="7401">_xlfn.NUMBERVALUE(RIGHT(C2639,4))</f>
        <v>2024</v>
      </c>
      <c r="G2639" t="s">
        <v>7</v>
      </c>
      <c r="H2639">
        <v>-2</v>
      </c>
      <c r="I2639">
        <v>4</v>
      </c>
      <c r="K2639" t="s">
        <v>10</v>
      </c>
      <c r="L2639" s="8">
        <f t="shared" si="7369"/>
        <v>1</v>
      </c>
      <c r="M2639" t="s">
        <v>2920</v>
      </c>
    </row>
    <row r="2640" spans="1:13" x14ac:dyDescent="0.35">
      <c r="A2640">
        <f t="shared" si="6730"/>
        <v>2636</v>
      </c>
      <c r="B2640" s="9">
        <f t="shared" ref="B2640" si="7402">B2639+H2640+I2640+J2640</f>
        <v>62.19</v>
      </c>
      <c r="C2640" s="3" t="s">
        <v>2915</v>
      </c>
      <c r="D2640">
        <f t="shared" ref="D2640" si="7403">_xlfn.NUMBERVALUE(LEFT(C2640,2))</f>
        <v>17</v>
      </c>
      <c r="E2640">
        <f t="shared" ref="E2640" si="7404">_xlfn.NUMBERVALUE(MID(C2640,4,2))</f>
        <v>5</v>
      </c>
      <c r="F2640">
        <f t="shared" ref="F2640" si="7405">_xlfn.NUMBERVALUE(RIGHT(C2640,4))</f>
        <v>2024</v>
      </c>
      <c r="G2640" t="s">
        <v>7</v>
      </c>
      <c r="H2640">
        <v>-2</v>
      </c>
      <c r="K2640" t="s">
        <v>9</v>
      </c>
      <c r="L2640" s="8">
        <f t="shared" si="7369"/>
        <v>-1</v>
      </c>
      <c r="M2640" t="s">
        <v>2921</v>
      </c>
    </row>
    <row r="2641" spans="1:13" x14ac:dyDescent="0.35">
      <c r="A2641">
        <f t="shared" si="6730"/>
        <v>2637</v>
      </c>
      <c r="B2641" s="9">
        <f t="shared" ref="B2641" si="7406">B2640+H2641+I2641+J2641</f>
        <v>60.19</v>
      </c>
      <c r="C2641" s="3" t="s">
        <v>2922</v>
      </c>
      <c r="D2641">
        <f t="shared" ref="D2641" si="7407">_xlfn.NUMBERVALUE(LEFT(C2641,2))</f>
        <v>20</v>
      </c>
      <c r="E2641">
        <f t="shared" ref="E2641" si="7408">_xlfn.NUMBERVALUE(MID(C2641,4,2))</f>
        <v>5</v>
      </c>
      <c r="F2641">
        <f t="shared" ref="F2641" si="7409">_xlfn.NUMBERVALUE(RIGHT(C2641,4))</f>
        <v>2024</v>
      </c>
      <c r="G2641" t="s">
        <v>7</v>
      </c>
      <c r="H2641">
        <v>-2</v>
      </c>
      <c r="K2641" t="s">
        <v>9</v>
      </c>
      <c r="L2641" s="8">
        <f t="shared" si="7369"/>
        <v>-1</v>
      </c>
      <c r="M2641" t="s">
        <v>2923</v>
      </c>
    </row>
    <row r="2642" spans="1:13" x14ac:dyDescent="0.35">
      <c r="A2642">
        <f t="shared" si="6730"/>
        <v>2638</v>
      </c>
      <c r="B2642" s="9">
        <f t="shared" ref="B2642:B2643" si="7410">B2641+H2642+I2642+J2642</f>
        <v>60.19</v>
      </c>
      <c r="C2642" s="3" t="s">
        <v>2922</v>
      </c>
      <c r="D2642">
        <f t="shared" ref="D2642:D2643" si="7411">_xlfn.NUMBERVALUE(LEFT(C2642,2))</f>
        <v>20</v>
      </c>
      <c r="E2642">
        <f t="shared" ref="E2642:E2643" si="7412">_xlfn.NUMBERVALUE(MID(C2642,4,2))</f>
        <v>5</v>
      </c>
      <c r="F2642">
        <f t="shared" ref="F2642:F2643" si="7413">_xlfn.NUMBERVALUE(RIGHT(C2642,4))</f>
        <v>2024</v>
      </c>
      <c r="G2642" t="s">
        <v>3039</v>
      </c>
      <c r="K2642" t="s">
        <v>9</v>
      </c>
      <c r="L2642" s="8">
        <f t="shared" si="7369"/>
        <v>0</v>
      </c>
      <c r="M2642" t="s">
        <v>2924</v>
      </c>
    </row>
    <row r="2643" spans="1:13" x14ac:dyDescent="0.35">
      <c r="A2643">
        <f t="shared" si="6730"/>
        <v>2639</v>
      </c>
      <c r="B2643" s="9">
        <f t="shared" si="7410"/>
        <v>60.19</v>
      </c>
      <c r="C2643" s="3" t="s">
        <v>2922</v>
      </c>
      <c r="D2643">
        <f t="shared" si="7411"/>
        <v>20</v>
      </c>
      <c r="E2643">
        <f t="shared" si="7412"/>
        <v>5</v>
      </c>
      <c r="F2643">
        <f t="shared" si="7413"/>
        <v>2024</v>
      </c>
      <c r="G2643" t="s">
        <v>3039</v>
      </c>
      <c r="K2643" t="s">
        <v>9</v>
      </c>
      <c r="L2643" s="8">
        <f t="shared" si="7369"/>
        <v>0</v>
      </c>
      <c r="M2643" t="s">
        <v>2925</v>
      </c>
    </row>
    <row r="2644" spans="1:13" x14ac:dyDescent="0.35">
      <c r="A2644">
        <f t="shared" si="6730"/>
        <v>2640</v>
      </c>
      <c r="B2644" s="9">
        <f t="shared" ref="B2644" si="7414">B2643+H2644+I2644+J2644</f>
        <v>60.19</v>
      </c>
      <c r="C2644" s="3" t="s">
        <v>2926</v>
      </c>
      <c r="D2644">
        <f t="shared" ref="D2644" si="7415">_xlfn.NUMBERVALUE(LEFT(C2644,2))</f>
        <v>22</v>
      </c>
      <c r="E2644">
        <f t="shared" ref="E2644" si="7416">_xlfn.NUMBERVALUE(MID(C2644,4,2))</f>
        <v>5</v>
      </c>
      <c r="F2644">
        <f t="shared" ref="F2644" si="7417">_xlfn.NUMBERVALUE(RIGHT(C2644,4))</f>
        <v>2024</v>
      </c>
      <c r="G2644" t="s">
        <v>3039</v>
      </c>
      <c r="K2644" t="s">
        <v>9</v>
      </c>
      <c r="L2644" s="8">
        <f t="shared" si="7369"/>
        <v>0</v>
      </c>
      <c r="M2644" t="s">
        <v>2927</v>
      </c>
    </row>
    <row r="2645" spans="1:13" x14ac:dyDescent="0.35">
      <c r="A2645">
        <f t="shared" si="6730"/>
        <v>2641</v>
      </c>
      <c r="B2645" s="9">
        <f t="shared" ref="B2645" si="7418">B2644+H2645+I2645+J2645</f>
        <v>58.19</v>
      </c>
      <c r="C2645" s="3" t="s">
        <v>2926</v>
      </c>
      <c r="D2645">
        <f t="shared" ref="D2645" si="7419">_xlfn.NUMBERVALUE(LEFT(C2645,2))</f>
        <v>22</v>
      </c>
      <c r="E2645">
        <f t="shared" ref="E2645" si="7420">_xlfn.NUMBERVALUE(MID(C2645,4,2))</f>
        <v>5</v>
      </c>
      <c r="F2645">
        <f t="shared" ref="F2645" si="7421">_xlfn.NUMBERVALUE(RIGHT(C2645,4))</f>
        <v>2024</v>
      </c>
      <c r="G2645" t="s">
        <v>7</v>
      </c>
      <c r="H2645">
        <v>-2</v>
      </c>
      <c r="K2645" t="s">
        <v>9</v>
      </c>
      <c r="L2645" s="8">
        <f t="shared" si="7369"/>
        <v>-1</v>
      </c>
      <c r="M2645" t="s">
        <v>2928</v>
      </c>
    </row>
    <row r="2646" spans="1:13" x14ac:dyDescent="0.35">
      <c r="A2646">
        <f t="shared" si="6730"/>
        <v>2642</v>
      </c>
      <c r="B2646" s="9">
        <f t="shared" ref="B2646" si="7422">B2645+H2646+I2646+J2646</f>
        <v>58.19</v>
      </c>
      <c r="C2646" s="3" t="s">
        <v>2926</v>
      </c>
      <c r="D2646">
        <f t="shared" ref="D2646" si="7423">_xlfn.NUMBERVALUE(LEFT(C2646,2))</f>
        <v>22</v>
      </c>
      <c r="E2646">
        <f t="shared" ref="E2646" si="7424">_xlfn.NUMBERVALUE(MID(C2646,4,2))</f>
        <v>5</v>
      </c>
      <c r="F2646">
        <f t="shared" ref="F2646" si="7425">_xlfn.NUMBERVALUE(RIGHT(C2646,4))</f>
        <v>2024</v>
      </c>
      <c r="G2646" t="s">
        <v>3039</v>
      </c>
      <c r="K2646" t="s">
        <v>9</v>
      </c>
      <c r="L2646" s="8">
        <f t="shared" si="7369"/>
        <v>0</v>
      </c>
      <c r="M2646" t="s">
        <v>2929</v>
      </c>
    </row>
    <row r="2647" spans="1:13" x14ac:dyDescent="0.35">
      <c r="A2647">
        <f t="shared" si="6730"/>
        <v>2643</v>
      </c>
      <c r="B2647" s="9">
        <f t="shared" ref="B2647" si="7426">B2646+H2647+I2647+J2647</f>
        <v>60.19</v>
      </c>
      <c r="C2647" s="3" t="s">
        <v>2930</v>
      </c>
      <c r="D2647">
        <f t="shared" ref="D2647" si="7427">_xlfn.NUMBERVALUE(LEFT(C2647,2))</f>
        <v>31</v>
      </c>
      <c r="E2647">
        <f t="shared" ref="E2647" si="7428">_xlfn.NUMBERVALUE(MID(C2647,4,2))</f>
        <v>5</v>
      </c>
      <c r="F2647">
        <f t="shared" ref="F2647" si="7429">_xlfn.NUMBERVALUE(RIGHT(C2647,4))</f>
        <v>2024</v>
      </c>
      <c r="G2647" t="s">
        <v>7</v>
      </c>
      <c r="H2647">
        <v>-2</v>
      </c>
      <c r="I2647">
        <v>4</v>
      </c>
      <c r="K2647" t="s">
        <v>10</v>
      </c>
      <c r="L2647" s="8">
        <f t="shared" si="7369"/>
        <v>1</v>
      </c>
      <c r="M2647" t="s">
        <v>2931</v>
      </c>
    </row>
    <row r="2648" spans="1:13" x14ac:dyDescent="0.35">
      <c r="A2648">
        <f t="shared" si="6730"/>
        <v>2644</v>
      </c>
      <c r="B2648" s="9">
        <f t="shared" ref="B2648" si="7430">B2647+H2648+I2648+J2648</f>
        <v>60.19</v>
      </c>
      <c r="C2648" s="3" t="s">
        <v>2930</v>
      </c>
      <c r="D2648">
        <f t="shared" ref="D2648" si="7431">_xlfn.NUMBERVALUE(LEFT(C2648,2))</f>
        <v>31</v>
      </c>
      <c r="E2648">
        <f t="shared" ref="E2648" si="7432">_xlfn.NUMBERVALUE(MID(C2648,4,2))</f>
        <v>5</v>
      </c>
      <c r="F2648">
        <f t="shared" ref="F2648" si="7433">_xlfn.NUMBERVALUE(RIGHT(C2648,4))</f>
        <v>2024</v>
      </c>
      <c r="G2648" t="s">
        <v>3039</v>
      </c>
      <c r="K2648" t="s">
        <v>9</v>
      </c>
      <c r="L2648" s="8">
        <f t="shared" si="7369"/>
        <v>0</v>
      </c>
      <c r="M2648" t="s">
        <v>2932</v>
      </c>
    </row>
    <row r="2649" spans="1:13" x14ac:dyDescent="0.35">
      <c r="A2649">
        <f t="shared" si="6730"/>
        <v>2645</v>
      </c>
      <c r="B2649" s="9">
        <f t="shared" ref="B2649" si="7434">B2648+H2649+I2649+J2649</f>
        <v>58.19</v>
      </c>
      <c r="C2649" s="3" t="s">
        <v>2930</v>
      </c>
      <c r="D2649">
        <f t="shared" ref="D2649" si="7435">_xlfn.NUMBERVALUE(LEFT(C2649,2))</f>
        <v>31</v>
      </c>
      <c r="E2649">
        <f t="shared" ref="E2649" si="7436">_xlfn.NUMBERVALUE(MID(C2649,4,2))</f>
        <v>5</v>
      </c>
      <c r="F2649">
        <f t="shared" ref="F2649" si="7437">_xlfn.NUMBERVALUE(RIGHT(C2649,4))</f>
        <v>2024</v>
      </c>
      <c r="G2649" t="s">
        <v>7</v>
      </c>
      <c r="H2649">
        <v>-2</v>
      </c>
      <c r="K2649" t="s">
        <v>9</v>
      </c>
      <c r="L2649" s="8">
        <f t="shared" si="7369"/>
        <v>-1</v>
      </c>
      <c r="M2649" t="s">
        <v>2933</v>
      </c>
    </row>
    <row r="2650" spans="1:13" x14ac:dyDescent="0.35">
      <c r="A2650">
        <f t="shared" si="6730"/>
        <v>2646</v>
      </c>
      <c r="B2650" s="9">
        <f t="shared" ref="B2650" si="7438">B2649+H2650+I2650+J2650</f>
        <v>56.19</v>
      </c>
      <c r="C2650" s="3" t="s">
        <v>2930</v>
      </c>
      <c r="D2650">
        <f t="shared" ref="D2650" si="7439">_xlfn.NUMBERVALUE(LEFT(C2650,2))</f>
        <v>31</v>
      </c>
      <c r="E2650">
        <f t="shared" ref="E2650" si="7440">_xlfn.NUMBERVALUE(MID(C2650,4,2))</f>
        <v>5</v>
      </c>
      <c r="F2650">
        <f t="shared" ref="F2650" si="7441">_xlfn.NUMBERVALUE(RIGHT(C2650,4))</f>
        <v>2024</v>
      </c>
      <c r="G2650" t="s">
        <v>7</v>
      </c>
      <c r="H2650">
        <v>-2</v>
      </c>
      <c r="K2650" t="s">
        <v>9</v>
      </c>
      <c r="L2650" s="8">
        <f t="shared" si="7369"/>
        <v>-1</v>
      </c>
      <c r="M2650" t="s">
        <v>2934</v>
      </c>
    </row>
    <row r="2651" spans="1:13" x14ac:dyDescent="0.35">
      <c r="A2651">
        <f t="shared" si="6730"/>
        <v>2647</v>
      </c>
      <c r="B2651" s="9">
        <f t="shared" ref="B2651" si="7442">B2650+H2651+I2651+J2651</f>
        <v>54.19</v>
      </c>
      <c r="C2651" s="3" t="s">
        <v>2930</v>
      </c>
      <c r="D2651">
        <f t="shared" ref="D2651" si="7443">_xlfn.NUMBERVALUE(LEFT(C2651,2))</f>
        <v>31</v>
      </c>
      <c r="E2651">
        <f t="shared" ref="E2651" si="7444">_xlfn.NUMBERVALUE(MID(C2651,4,2))</f>
        <v>5</v>
      </c>
      <c r="F2651">
        <f t="shared" ref="F2651" si="7445">_xlfn.NUMBERVALUE(RIGHT(C2651,4))</f>
        <v>2024</v>
      </c>
      <c r="G2651" t="s">
        <v>7</v>
      </c>
      <c r="H2651">
        <v>-2</v>
      </c>
      <c r="K2651" t="s">
        <v>9</v>
      </c>
      <c r="L2651" s="8">
        <f t="shared" si="7369"/>
        <v>-1</v>
      </c>
      <c r="M2651" t="s">
        <v>2935</v>
      </c>
    </row>
    <row r="2652" spans="1:13" x14ac:dyDescent="0.35">
      <c r="A2652">
        <f t="shared" si="6730"/>
        <v>2648</v>
      </c>
      <c r="B2652" s="9">
        <f t="shared" ref="B2652" si="7446">B2651+H2652+I2652+J2652</f>
        <v>62.19</v>
      </c>
      <c r="C2652" s="3" t="s">
        <v>2930</v>
      </c>
      <c r="D2652">
        <f t="shared" ref="D2652" si="7447">_xlfn.NUMBERVALUE(LEFT(C2652,2))</f>
        <v>31</v>
      </c>
      <c r="E2652">
        <f t="shared" ref="E2652" si="7448">_xlfn.NUMBERVALUE(MID(C2652,4,2))</f>
        <v>5</v>
      </c>
      <c r="F2652">
        <f t="shared" ref="F2652" si="7449">_xlfn.NUMBERVALUE(RIGHT(C2652,4))</f>
        <v>2024</v>
      </c>
      <c r="G2652" t="s">
        <v>7</v>
      </c>
      <c r="H2652">
        <v>-2</v>
      </c>
      <c r="I2652">
        <v>10</v>
      </c>
      <c r="K2652" t="s">
        <v>10</v>
      </c>
      <c r="L2652" s="8">
        <f t="shared" si="7369"/>
        <v>4</v>
      </c>
      <c r="M2652" t="s">
        <v>2936</v>
      </c>
    </row>
    <row r="2653" spans="1:13" x14ac:dyDescent="0.35">
      <c r="A2653">
        <f t="shared" si="6730"/>
        <v>2649</v>
      </c>
      <c r="B2653" s="9">
        <f t="shared" ref="B2653" si="7450">B2652+H2653+I2653+J2653</f>
        <v>60.19</v>
      </c>
      <c r="C2653" s="3" t="s">
        <v>2937</v>
      </c>
      <c r="D2653">
        <f t="shared" ref="D2653" si="7451">_xlfn.NUMBERVALUE(LEFT(C2653,2))</f>
        <v>22</v>
      </c>
      <c r="E2653">
        <f t="shared" ref="E2653" si="7452">_xlfn.NUMBERVALUE(MID(C2653,4,2))</f>
        <v>6</v>
      </c>
      <c r="F2653">
        <f t="shared" ref="F2653" si="7453">_xlfn.NUMBERVALUE(RIGHT(C2653,4))</f>
        <v>2024</v>
      </c>
      <c r="G2653" t="s">
        <v>7</v>
      </c>
      <c r="H2653">
        <v>-2</v>
      </c>
      <c r="K2653" t="s">
        <v>9</v>
      </c>
      <c r="L2653" s="8">
        <f t="shared" si="7369"/>
        <v>-1</v>
      </c>
      <c r="M2653" t="s">
        <v>2938</v>
      </c>
    </row>
    <row r="2654" spans="1:13" x14ac:dyDescent="0.35">
      <c r="A2654">
        <f t="shared" si="6730"/>
        <v>2650</v>
      </c>
      <c r="B2654" s="9">
        <f t="shared" ref="B2654" si="7454">B2653+H2654+I2654+J2654</f>
        <v>60.19</v>
      </c>
      <c r="C2654" s="3" t="s">
        <v>2937</v>
      </c>
      <c r="D2654">
        <f t="shared" ref="D2654" si="7455">_xlfn.NUMBERVALUE(LEFT(C2654,2))</f>
        <v>22</v>
      </c>
      <c r="E2654">
        <f t="shared" ref="E2654" si="7456">_xlfn.NUMBERVALUE(MID(C2654,4,2))</f>
        <v>6</v>
      </c>
      <c r="F2654">
        <f t="shared" ref="F2654" si="7457">_xlfn.NUMBERVALUE(RIGHT(C2654,4))</f>
        <v>2024</v>
      </c>
      <c r="G2654" t="s">
        <v>3039</v>
      </c>
      <c r="K2654" t="s">
        <v>9</v>
      </c>
      <c r="L2654" s="8">
        <f t="shared" si="7369"/>
        <v>0</v>
      </c>
      <c r="M2654" t="s">
        <v>2939</v>
      </c>
    </row>
    <row r="2655" spans="1:13" x14ac:dyDescent="0.35">
      <c r="A2655">
        <f t="shared" si="6730"/>
        <v>2651</v>
      </c>
      <c r="B2655" s="9">
        <f t="shared" ref="B2655" si="7458">B2654+H2655+I2655+J2655</f>
        <v>66.19</v>
      </c>
      <c r="C2655" s="3" t="s">
        <v>2937</v>
      </c>
      <c r="D2655">
        <f t="shared" ref="D2655" si="7459">_xlfn.NUMBERVALUE(LEFT(C2655,2))</f>
        <v>22</v>
      </c>
      <c r="E2655">
        <f t="shared" ref="E2655" si="7460">_xlfn.NUMBERVALUE(MID(C2655,4,2))</f>
        <v>6</v>
      </c>
      <c r="F2655">
        <f t="shared" ref="F2655" si="7461">_xlfn.NUMBERVALUE(RIGHT(C2655,4))</f>
        <v>2024</v>
      </c>
      <c r="G2655" t="s">
        <v>7</v>
      </c>
      <c r="H2655">
        <v>-2</v>
      </c>
      <c r="I2655">
        <v>8</v>
      </c>
      <c r="K2655" t="s">
        <v>10</v>
      </c>
      <c r="L2655" s="8">
        <f t="shared" si="7369"/>
        <v>3</v>
      </c>
      <c r="M2655" t="s">
        <v>2940</v>
      </c>
    </row>
    <row r="2656" spans="1:13" x14ac:dyDescent="0.35">
      <c r="A2656">
        <f t="shared" si="6730"/>
        <v>2652</v>
      </c>
      <c r="B2656" s="9">
        <f t="shared" ref="B2656" si="7462">B2655+H2656+I2656+J2656</f>
        <v>72.19</v>
      </c>
      <c r="C2656" s="3" t="s">
        <v>2937</v>
      </c>
      <c r="D2656">
        <f t="shared" ref="D2656" si="7463">_xlfn.NUMBERVALUE(LEFT(C2656,2))</f>
        <v>22</v>
      </c>
      <c r="E2656">
        <f t="shared" ref="E2656" si="7464">_xlfn.NUMBERVALUE(MID(C2656,4,2))</f>
        <v>6</v>
      </c>
      <c r="F2656">
        <f t="shared" ref="F2656" si="7465">_xlfn.NUMBERVALUE(RIGHT(C2656,4))</f>
        <v>2024</v>
      </c>
      <c r="G2656" t="s">
        <v>7</v>
      </c>
      <c r="H2656">
        <v>-2</v>
      </c>
      <c r="I2656">
        <v>8</v>
      </c>
      <c r="K2656" t="s">
        <v>10</v>
      </c>
      <c r="L2656" s="8">
        <f t="shared" si="7369"/>
        <v>3</v>
      </c>
      <c r="M2656" t="s">
        <v>2941</v>
      </c>
    </row>
    <row r="2657" spans="1:13" x14ac:dyDescent="0.35">
      <c r="A2657">
        <f t="shared" si="6730"/>
        <v>2653</v>
      </c>
      <c r="B2657" s="9">
        <f t="shared" ref="B2657" si="7466">B2656+H2657+I2657+J2657</f>
        <v>70.19</v>
      </c>
      <c r="C2657" s="3" t="s">
        <v>2942</v>
      </c>
      <c r="D2657">
        <f t="shared" ref="D2657" si="7467">_xlfn.NUMBERVALUE(LEFT(C2657,2))</f>
        <v>27</v>
      </c>
      <c r="E2657">
        <f t="shared" ref="E2657" si="7468">_xlfn.NUMBERVALUE(MID(C2657,4,2))</f>
        <v>6</v>
      </c>
      <c r="F2657">
        <f t="shared" ref="F2657" si="7469">_xlfn.NUMBERVALUE(RIGHT(C2657,4))</f>
        <v>2024</v>
      </c>
      <c r="G2657" t="s">
        <v>7</v>
      </c>
      <c r="H2657">
        <v>-2</v>
      </c>
      <c r="K2657" t="s">
        <v>9</v>
      </c>
      <c r="L2657" s="8">
        <f t="shared" si="7369"/>
        <v>-1</v>
      </c>
      <c r="M2657" t="s">
        <v>2943</v>
      </c>
    </row>
    <row r="2658" spans="1:13" x14ac:dyDescent="0.35">
      <c r="A2658">
        <f t="shared" si="6730"/>
        <v>2654</v>
      </c>
      <c r="B2658" s="9">
        <f t="shared" ref="B2658:B2659" si="7470">B2657+H2658+I2658+J2658</f>
        <v>70.19</v>
      </c>
      <c r="C2658" s="3" t="s">
        <v>2942</v>
      </c>
      <c r="D2658">
        <f t="shared" ref="D2658:D2659" si="7471">_xlfn.NUMBERVALUE(LEFT(C2658,2))</f>
        <v>27</v>
      </c>
      <c r="E2658">
        <f t="shared" ref="E2658:E2659" si="7472">_xlfn.NUMBERVALUE(MID(C2658,4,2))</f>
        <v>6</v>
      </c>
      <c r="F2658">
        <f t="shared" ref="F2658:F2659" si="7473">_xlfn.NUMBERVALUE(RIGHT(C2658,4))</f>
        <v>2024</v>
      </c>
      <c r="G2658" t="s">
        <v>3039</v>
      </c>
      <c r="K2658" t="s">
        <v>9</v>
      </c>
      <c r="L2658" s="8">
        <f t="shared" si="7369"/>
        <v>0</v>
      </c>
      <c r="M2658" t="s">
        <v>2944</v>
      </c>
    </row>
    <row r="2659" spans="1:13" x14ac:dyDescent="0.35">
      <c r="A2659">
        <f t="shared" si="6730"/>
        <v>2655</v>
      </c>
      <c r="B2659" s="9">
        <f t="shared" si="7470"/>
        <v>68.19</v>
      </c>
      <c r="C2659" s="3" t="s">
        <v>2942</v>
      </c>
      <c r="D2659">
        <f t="shared" si="7471"/>
        <v>27</v>
      </c>
      <c r="E2659">
        <f t="shared" si="7472"/>
        <v>6</v>
      </c>
      <c r="F2659">
        <f t="shared" si="7473"/>
        <v>2024</v>
      </c>
      <c r="G2659" t="s">
        <v>7</v>
      </c>
      <c r="H2659">
        <v>-2</v>
      </c>
      <c r="K2659" t="s">
        <v>9</v>
      </c>
      <c r="L2659" s="8">
        <f t="shared" si="7369"/>
        <v>-1</v>
      </c>
      <c r="M2659" t="s">
        <v>2945</v>
      </c>
    </row>
    <row r="2660" spans="1:13" x14ac:dyDescent="0.35">
      <c r="A2660">
        <f t="shared" si="6730"/>
        <v>2656</v>
      </c>
      <c r="B2660" s="9">
        <f t="shared" ref="B2660" si="7474">B2659+H2660+I2660+J2660</f>
        <v>66.19</v>
      </c>
      <c r="C2660" s="3" t="s">
        <v>2942</v>
      </c>
      <c r="D2660">
        <f t="shared" ref="D2660" si="7475">_xlfn.NUMBERVALUE(LEFT(C2660,2))</f>
        <v>27</v>
      </c>
      <c r="E2660">
        <f t="shared" ref="E2660" si="7476">_xlfn.NUMBERVALUE(MID(C2660,4,2))</f>
        <v>6</v>
      </c>
      <c r="F2660">
        <f t="shared" ref="F2660" si="7477">_xlfn.NUMBERVALUE(RIGHT(C2660,4))</f>
        <v>2024</v>
      </c>
      <c r="G2660" t="s">
        <v>7</v>
      </c>
      <c r="H2660">
        <v>-2</v>
      </c>
      <c r="K2660" t="s">
        <v>9</v>
      </c>
      <c r="L2660" s="8">
        <f t="shared" si="7369"/>
        <v>-1</v>
      </c>
      <c r="M2660" t="s">
        <v>2946</v>
      </c>
    </row>
    <row r="2661" spans="1:13" x14ac:dyDescent="0.35">
      <c r="A2661">
        <f t="shared" si="6730"/>
        <v>2657</v>
      </c>
      <c r="B2661" s="9">
        <f t="shared" ref="B2661" si="7478">B2660+H2661+I2661+J2661</f>
        <v>64.19</v>
      </c>
      <c r="C2661" s="3" t="s">
        <v>2942</v>
      </c>
      <c r="D2661">
        <f t="shared" ref="D2661" si="7479">_xlfn.NUMBERVALUE(LEFT(C2661,2))</f>
        <v>27</v>
      </c>
      <c r="E2661">
        <f t="shared" ref="E2661" si="7480">_xlfn.NUMBERVALUE(MID(C2661,4,2))</f>
        <v>6</v>
      </c>
      <c r="F2661">
        <f t="shared" ref="F2661" si="7481">_xlfn.NUMBERVALUE(RIGHT(C2661,4))</f>
        <v>2024</v>
      </c>
      <c r="G2661" t="s">
        <v>7</v>
      </c>
      <c r="H2661">
        <v>-2</v>
      </c>
      <c r="K2661" t="s">
        <v>9</v>
      </c>
      <c r="L2661" s="8">
        <f t="shared" si="7369"/>
        <v>-1</v>
      </c>
      <c r="M2661" t="s">
        <v>2947</v>
      </c>
    </row>
    <row r="2662" spans="1:13" x14ac:dyDescent="0.35">
      <c r="A2662">
        <f t="shared" si="6730"/>
        <v>2658</v>
      </c>
      <c r="B2662" s="9">
        <f t="shared" ref="B2662" si="7482">B2661+H2662+I2662+J2662</f>
        <v>66.19</v>
      </c>
      <c r="C2662" s="3" t="s">
        <v>2948</v>
      </c>
      <c r="D2662">
        <f t="shared" ref="D2662" si="7483">_xlfn.NUMBERVALUE(LEFT(C2662,2))</f>
        <v>29</v>
      </c>
      <c r="E2662">
        <f t="shared" ref="E2662" si="7484">_xlfn.NUMBERVALUE(MID(C2662,4,2))</f>
        <v>6</v>
      </c>
      <c r="F2662">
        <f t="shared" ref="F2662" si="7485">_xlfn.NUMBERVALUE(RIGHT(C2662,4))</f>
        <v>2024</v>
      </c>
      <c r="G2662" t="s">
        <v>7</v>
      </c>
      <c r="H2662">
        <v>-2</v>
      </c>
      <c r="I2662">
        <v>4</v>
      </c>
      <c r="K2662" t="s">
        <v>10</v>
      </c>
      <c r="L2662" s="8">
        <f t="shared" si="7369"/>
        <v>1</v>
      </c>
      <c r="M2662" t="s">
        <v>2949</v>
      </c>
    </row>
    <row r="2663" spans="1:13" x14ac:dyDescent="0.35">
      <c r="A2663">
        <f t="shared" si="6730"/>
        <v>2659</v>
      </c>
      <c r="B2663" s="9">
        <f t="shared" ref="B2663:B2664" si="7486">B2662+H2663+I2663+J2663</f>
        <v>66.19</v>
      </c>
      <c r="C2663" s="3" t="s">
        <v>2948</v>
      </c>
      <c r="D2663">
        <f t="shared" ref="D2663:D2664" si="7487">_xlfn.NUMBERVALUE(LEFT(C2663,2))</f>
        <v>29</v>
      </c>
      <c r="E2663">
        <f t="shared" ref="E2663:E2664" si="7488">_xlfn.NUMBERVALUE(MID(C2663,4,2))</f>
        <v>6</v>
      </c>
      <c r="F2663">
        <f t="shared" ref="F2663:F2664" si="7489">_xlfn.NUMBERVALUE(RIGHT(C2663,4))</f>
        <v>2024</v>
      </c>
      <c r="G2663" t="s">
        <v>3039</v>
      </c>
      <c r="K2663" t="s">
        <v>9</v>
      </c>
      <c r="L2663" s="8">
        <f t="shared" si="7369"/>
        <v>0</v>
      </c>
      <c r="M2663" t="s">
        <v>2950</v>
      </c>
    </row>
    <row r="2664" spans="1:13" x14ac:dyDescent="0.35">
      <c r="A2664">
        <f t="shared" si="6730"/>
        <v>2660</v>
      </c>
      <c r="B2664" s="9">
        <f t="shared" si="7486"/>
        <v>64.19</v>
      </c>
      <c r="C2664" s="3" t="s">
        <v>2948</v>
      </c>
      <c r="D2664">
        <f t="shared" si="7487"/>
        <v>29</v>
      </c>
      <c r="E2664">
        <f t="shared" si="7488"/>
        <v>6</v>
      </c>
      <c r="F2664">
        <f t="shared" si="7489"/>
        <v>2024</v>
      </c>
      <c r="G2664" t="s">
        <v>7</v>
      </c>
      <c r="H2664">
        <v>-2</v>
      </c>
      <c r="K2664" t="s">
        <v>9</v>
      </c>
      <c r="L2664" s="8">
        <f t="shared" si="7369"/>
        <v>-1</v>
      </c>
      <c r="M2664" t="s">
        <v>2951</v>
      </c>
    </row>
    <row r="2665" spans="1:13" x14ac:dyDescent="0.35">
      <c r="A2665">
        <f t="shared" si="6730"/>
        <v>2661</v>
      </c>
      <c r="B2665" s="9">
        <f t="shared" ref="B2665" si="7490">B2664+H2665+I2665+J2665</f>
        <v>62.19</v>
      </c>
      <c r="C2665" s="3" t="s">
        <v>2948</v>
      </c>
      <c r="D2665">
        <f t="shared" ref="D2665" si="7491">_xlfn.NUMBERVALUE(LEFT(C2665,2))</f>
        <v>29</v>
      </c>
      <c r="E2665">
        <f t="shared" ref="E2665" si="7492">_xlfn.NUMBERVALUE(MID(C2665,4,2))</f>
        <v>6</v>
      </c>
      <c r="F2665">
        <f t="shared" ref="F2665" si="7493">_xlfn.NUMBERVALUE(RIGHT(C2665,4))</f>
        <v>2024</v>
      </c>
      <c r="G2665" t="s">
        <v>7</v>
      </c>
      <c r="H2665">
        <v>-2</v>
      </c>
      <c r="K2665" t="s">
        <v>9</v>
      </c>
      <c r="L2665" s="8">
        <f t="shared" si="7369"/>
        <v>-1</v>
      </c>
      <c r="M2665" t="s">
        <v>2952</v>
      </c>
    </row>
    <row r="2666" spans="1:13" x14ac:dyDescent="0.35">
      <c r="A2666">
        <f t="shared" si="6730"/>
        <v>2662</v>
      </c>
      <c r="B2666" s="9">
        <f t="shared" ref="B2666" si="7494">B2665+H2666+I2666+J2666</f>
        <v>66.19</v>
      </c>
      <c r="C2666" s="3" t="s">
        <v>2948</v>
      </c>
      <c r="D2666">
        <f t="shared" ref="D2666" si="7495">_xlfn.NUMBERVALUE(LEFT(C2666,2))</f>
        <v>29</v>
      </c>
      <c r="E2666">
        <f t="shared" ref="E2666" si="7496">_xlfn.NUMBERVALUE(MID(C2666,4,2))</f>
        <v>6</v>
      </c>
      <c r="F2666">
        <f t="shared" ref="F2666" si="7497">_xlfn.NUMBERVALUE(RIGHT(C2666,4))</f>
        <v>2024</v>
      </c>
      <c r="G2666" t="s">
        <v>7</v>
      </c>
      <c r="H2666">
        <v>-2</v>
      </c>
      <c r="I2666">
        <v>6</v>
      </c>
      <c r="K2666" t="s">
        <v>10</v>
      </c>
      <c r="L2666" s="8">
        <f t="shared" si="7369"/>
        <v>2</v>
      </c>
      <c r="M2666" t="s">
        <v>2953</v>
      </c>
    </row>
    <row r="2667" spans="1:13" x14ac:dyDescent="0.35">
      <c r="A2667">
        <f t="shared" si="6730"/>
        <v>2663</v>
      </c>
      <c r="B2667" s="9">
        <f t="shared" ref="B2667" si="7498">B2666+H2667+I2667+J2667</f>
        <v>64.19</v>
      </c>
      <c r="C2667" s="3" t="s">
        <v>2948</v>
      </c>
      <c r="D2667">
        <f t="shared" ref="D2667" si="7499">_xlfn.NUMBERVALUE(LEFT(C2667,2))</f>
        <v>29</v>
      </c>
      <c r="E2667">
        <f t="shared" ref="E2667" si="7500">_xlfn.NUMBERVALUE(MID(C2667,4,2))</f>
        <v>6</v>
      </c>
      <c r="F2667">
        <f t="shared" ref="F2667" si="7501">_xlfn.NUMBERVALUE(RIGHT(C2667,4))</f>
        <v>2024</v>
      </c>
      <c r="G2667" t="s">
        <v>7</v>
      </c>
      <c r="H2667">
        <v>-2</v>
      </c>
      <c r="K2667" t="s">
        <v>9</v>
      </c>
      <c r="L2667" s="8">
        <f t="shared" si="7369"/>
        <v>-1</v>
      </c>
      <c r="M2667" t="s">
        <v>2954</v>
      </c>
    </row>
    <row r="2668" spans="1:13" x14ac:dyDescent="0.35">
      <c r="A2668">
        <f t="shared" si="6730"/>
        <v>2664</v>
      </c>
      <c r="B2668" s="9">
        <f t="shared" ref="B2668" si="7502">B2667+H2668+I2668+J2668</f>
        <v>62.19</v>
      </c>
      <c r="C2668" s="3" t="s">
        <v>2948</v>
      </c>
      <c r="D2668">
        <f t="shared" ref="D2668" si="7503">_xlfn.NUMBERVALUE(LEFT(C2668,2))</f>
        <v>29</v>
      </c>
      <c r="E2668">
        <f t="shared" ref="E2668" si="7504">_xlfn.NUMBERVALUE(MID(C2668,4,2))</f>
        <v>6</v>
      </c>
      <c r="F2668">
        <f t="shared" ref="F2668" si="7505">_xlfn.NUMBERVALUE(RIGHT(C2668,4))</f>
        <v>2024</v>
      </c>
      <c r="G2668" t="s">
        <v>7</v>
      </c>
      <c r="H2668">
        <v>-2</v>
      </c>
      <c r="K2668" t="s">
        <v>9</v>
      </c>
      <c r="L2668" s="8">
        <f t="shared" si="7369"/>
        <v>-1</v>
      </c>
      <c r="M2668" t="s">
        <v>2955</v>
      </c>
    </row>
    <row r="2669" spans="1:13" x14ac:dyDescent="0.35">
      <c r="A2669">
        <f t="shared" si="6730"/>
        <v>2665</v>
      </c>
      <c r="B2669" s="9">
        <f t="shared" ref="B2669" si="7506">B2668+H2669+I2669+J2669</f>
        <v>66.19</v>
      </c>
      <c r="C2669" s="3" t="s">
        <v>2948</v>
      </c>
      <c r="D2669">
        <f t="shared" ref="D2669" si="7507">_xlfn.NUMBERVALUE(LEFT(C2669,2))</f>
        <v>29</v>
      </c>
      <c r="E2669">
        <f t="shared" ref="E2669" si="7508">_xlfn.NUMBERVALUE(MID(C2669,4,2))</f>
        <v>6</v>
      </c>
      <c r="F2669">
        <f t="shared" ref="F2669" si="7509">_xlfn.NUMBERVALUE(RIGHT(C2669,4))</f>
        <v>2024</v>
      </c>
      <c r="G2669" t="s">
        <v>7</v>
      </c>
      <c r="H2669">
        <v>-2</v>
      </c>
      <c r="I2669">
        <v>6</v>
      </c>
      <c r="K2669" t="s">
        <v>10</v>
      </c>
      <c r="L2669" s="8">
        <f t="shared" si="7369"/>
        <v>2</v>
      </c>
      <c r="M2669" t="s">
        <v>2956</v>
      </c>
    </row>
    <row r="2670" spans="1:13" x14ac:dyDescent="0.35">
      <c r="A2670">
        <f t="shared" si="6730"/>
        <v>2666</v>
      </c>
      <c r="B2670" s="9">
        <f t="shared" ref="B2670" si="7510">B2669+H2670+I2670+J2670</f>
        <v>70.19</v>
      </c>
      <c r="C2670" s="3" t="s">
        <v>2948</v>
      </c>
      <c r="D2670">
        <f t="shared" ref="D2670" si="7511">_xlfn.NUMBERVALUE(LEFT(C2670,2))</f>
        <v>29</v>
      </c>
      <c r="E2670">
        <f t="shared" ref="E2670" si="7512">_xlfn.NUMBERVALUE(MID(C2670,4,2))</f>
        <v>6</v>
      </c>
      <c r="F2670">
        <f t="shared" ref="F2670" si="7513">_xlfn.NUMBERVALUE(RIGHT(C2670,4))</f>
        <v>2024</v>
      </c>
      <c r="G2670" t="s">
        <v>7</v>
      </c>
      <c r="H2670">
        <v>-2</v>
      </c>
      <c r="I2670">
        <v>6</v>
      </c>
      <c r="K2670" t="s">
        <v>10</v>
      </c>
      <c r="L2670" s="8">
        <f t="shared" si="7369"/>
        <v>2</v>
      </c>
      <c r="M2670" t="s">
        <v>2957</v>
      </c>
    </row>
    <row r="2671" spans="1:13" x14ac:dyDescent="0.35">
      <c r="A2671">
        <f t="shared" si="6730"/>
        <v>2667</v>
      </c>
      <c r="B2671" s="9">
        <f t="shared" ref="B2671" si="7514">B2670+H2671+I2671+J2671</f>
        <v>68.19</v>
      </c>
      <c r="C2671" s="3" t="s">
        <v>2958</v>
      </c>
      <c r="D2671">
        <f t="shared" ref="D2671" si="7515">_xlfn.NUMBERVALUE(LEFT(C2671,2))</f>
        <v>30</v>
      </c>
      <c r="E2671">
        <f t="shared" ref="E2671" si="7516">_xlfn.NUMBERVALUE(MID(C2671,4,2))</f>
        <v>6</v>
      </c>
      <c r="F2671">
        <f t="shared" ref="F2671" si="7517">_xlfn.NUMBERVALUE(RIGHT(C2671,4))</f>
        <v>2024</v>
      </c>
      <c r="G2671" t="s">
        <v>7</v>
      </c>
      <c r="H2671">
        <v>-2</v>
      </c>
      <c r="K2671" t="s">
        <v>9</v>
      </c>
      <c r="L2671" s="8">
        <f t="shared" si="7369"/>
        <v>-1</v>
      </c>
      <c r="M2671" t="s">
        <v>2959</v>
      </c>
    </row>
    <row r="2672" spans="1:13" x14ac:dyDescent="0.35">
      <c r="A2672">
        <f t="shared" si="6730"/>
        <v>2668</v>
      </c>
      <c r="B2672" s="9">
        <f t="shared" ref="B2672" si="7518">B2671+H2672+I2672+J2672</f>
        <v>68.19</v>
      </c>
      <c r="C2672" s="3" t="s">
        <v>2958</v>
      </c>
      <c r="D2672">
        <f t="shared" ref="D2672" si="7519">_xlfn.NUMBERVALUE(LEFT(C2672,2))</f>
        <v>30</v>
      </c>
      <c r="E2672">
        <f t="shared" ref="E2672" si="7520">_xlfn.NUMBERVALUE(MID(C2672,4,2))</f>
        <v>6</v>
      </c>
      <c r="F2672">
        <f t="shared" ref="F2672" si="7521">_xlfn.NUMBERVALUE(RIGHT(C2672,4))</f>
        <v>2024</v>
      </c>
      <c r="G2672" t="s">
        <v>3039</v>
      </c>
      <c r="K2672" t="s">
        <v>9</v>
      </c>
      <c r="L2672" s="8">
        <f t="shared" si="7369"/>
        <v>0</v>
      </c>
      <c r="M2672" t="s">
        <v>2960</v>
      </c>
    </row>
    <row r="2673" spans="1:13" x14ac:dyDescent="0.35">
      <c r="A2673">
        <f t="shared" si="6730"/>
        <v>2669</v>
      </c>
      <c r="B2673" s="9">
        <f t="shared" ref="B2673" si="7522">B2672+H2673+I2673+J2673</f>
        <v>66.19</v>
      </c>
      <c r="C2673" s="3" t="s">
        <v>2958</v>
      </c>
      <c r="D2673">
        <f t="shared" ref="D2673" si="7523">_xlfn.NUMBERVALUE(LEFT(C2673,2))</f>
        <v>30</v>
      </c>
      <c r="E2673">
        <f t="shared" ref="E2673" si="7524">_xlfn.NUMBERVALUE(MID(C2673,4,2))</f>
        <v>6</v>
      </c>
      <c r="F2673">
        <f t="shared" ref="F2673" si="7525">_xlfn.NUMBERVALUE(RIGHT(C2673,4))</f>
        <v>2024</v>
      </c>
      <c r="G2673" t="s">
        <v>7</v>
      </c>
      <c r="H2673">
        <v>-2</v>
      </c>
      <c r="K2673" t="s">
        <v>9</v>
      </c>
      <c r="L2673" s="8">
        <f t="shared" si="7369"/>
        <v>-1</v>
      </c>
      <c r="M2673" t="s">
        <v>2961</v>
      </c>
    </row>
    <row r="2674" spans="1:13" x14ac:dyDescent="0.35">
      <c r="A2674">
        <f t="shared" si="6730"/>
        <v>2670</v>
      </c>
      <c r="B2674" s="9">
        <f t="shared" ref="B2674" si="7526">B2673+H2674+I2674+J2674</f>
        <v>64.19</v>
      </c>
      <c r="C2674" s="3" t="s">
        <v>2962</v>
      </c>
      <c r="D2674">
        <f t="shared" ref="D2674" si="7527">_xlfn.NUMBERVALUE(LEFT(C2674,2))</f>
        <v>5</v>
      </c>
      <c r="E2674">
        <f t="shared" ref="E2674" si="7528">_xlfn.NUMBERVALUE(MID(C2674,4,2))</f>
        <v>7</v>
      </c>
      <c r="F2674">
        <f t="shared" ref="F2674" si="7529">_xlfn.NUMBERVALUE(RIGHT(C2674,4))</f>
        <v>2024</v>
      </c>
      <c r="G2674" t="s">
        <v>7</v>
      </c>
      <c r="H2674">
        <v>-2</v>
      </c>
      <c r="K2674" t="s">
        <v>9</v>
      </c>
      <c r="L2674" s="8">
        <f t="shared" si="7369"/>
        <v>-1</v>
      </c>
      <c r="M2674" t="s">
        <v>2963</v>
      </c>
    </row>
    <row r="2675" spans="1:13" x14ac:dyDescent="0.35">
      <c r="A2675">
        <f t="shared" si="6730"/>
        <v>2671</v>
      </c>
      <c r="B2675" s="9">
        <f t="shared" ref="B2675" si="7530">B2674+H2675+I2675+J2675</f>
        <v>64.19</v>
      </c>
      <c r="C2675" s="3" t="s">
        <v>2962</v>
      </c>
      <c r="D2675">
        <f t="shared" ref="D2675" si="7531">_xlfn.NUMBERVALUE(LEFT(C2675,2))</f>
        <v>5</v>
      </c>
      <c r="E2675">
        <f t="shared" ref="E2675" si="7532">_xlfn.NUMBERVALUE(MID(C2675,4,2))</f>
        <v>7</v>
      </c>
      <c r="F2675">
        <f t="shared" ref="F2675" si="7533">_xlfn.NUMBERVALUE(RIGHT(C2675,4))</f>
        <v>2024</v>
      </c>
      <c r="G2675" t="s">
        <v>3039</v>
      </c>
      <c r="K2675" t="s">
        <v>9</v>
      </c>
      <c r="L2675" s="8">
        <f t="shared" si="7369"/>
        <v>0</v>
      </c>
      <c r="M2675" t="s">
        <v>2964</v>
      </c>
    </row>
    <row r="2676" spans="1:13" x14ac:dyDescent="0.35">
      <c r="A2676">
        <f t="shared" si="6730"/>
        <v>2672</v>
      </c>
      <c r="B2676" s="9">
        <f t="shared" ref="B2676:B2677" si="7534">B2675+H2676+I2676+J2676</f>
        <v>62.19</v>
      </c>
      <c r="C2676" s="3" t="s">
        <v>2966</v>
      </c>
      <c r="D2676">
        <f t="shared" ref="D2676:D2677" si="7535">_xlfn.NUMBERVALUE(LEFT(C2676,2))</f>
        <v>6</v>
      </c>
      <c r="E2676">
        <f t="shared" ref="E2676:E2677" si="7536">_xlfn.NUMBERVALUE(MID(C2676,4,2))</f>
        <v>7</v>
      </c>
      <c r="F2676">
        <f t="shared" ref="F2676:F2677" si="7537">_xlfn.NUMBERVALUE(RIGHT(C2676,4))</f>
        <v>2024</v>
      </c>
      <c r="G2676" t="s">
        <v>7</v>
      </c>
      <c r="H2676">
        <v>-2</v>
      </c>
      <c r="K2676" t="s">
        <v>9</v>
      </c>
      <c r="L2676" s="8">
        <f t="shared" si="7369"/>
        <v>-1</v>
      </c>
      <c r="M2676" t="s">
        <v>2965</v>
      </c>
    </row>
    <row r="2677" spans="1:13" x14ac:dyDescent="0.35">
      <c r="A2677">
        <f t="shared" si="6730"/>
        <v>2673</v>
      </c>
      <c r="B2677" s="9">
        <f t="shared" si="7534"/>
        <v>62.19</v>
      </c>
      <c r="C2677" s="3" t="s">
        <v>2966</v>
      </c>
      <c r="D2677">
        <f t="shared" si="7535"/>
        <v>6</v>
      </c>
      <c r="E2677">
        <f t="shared" si="7536"/>
        <v>7</v>
      </c>
      <c r="F2677">
        <f t="shared" si="7537"/>
        <v>2024</v>
      </c>
      <c r="G2677" t="s">
        <v>3039</v>
      </c>
      <c r="K2677" t="s">
        <v>10</v>
      </c>
      <c r="L2677" s="8">
        <f t="shared" si="7369"/>
        <v>0</v>
      </c>
      <c r="M2677" t="s">
        <v>2967</v>
      </c>
    </row>
    <row r="2678" spans="1:13" x14ac:dyDescent="0.35">
      <c r="A2678">
        <f t="shared" si="6730"/>
        <v>2674</v>
      </c>
      <c r="B2678" s="9">
        <f t="shared" ref="B2678:B2679" si="7538">B2677+H2678+I2678+J2678</f>
        <v>62.19</v>
      </c>
      <c r="C2678" s="3" t="s">
        <v>2966</v>
      </c>
      <c r="D2678">
        <f t="shared" ref="D2678:D2679" si="7539">_xlfn.NUMBERVALUE(LEFT(C2678,2))</f>
        <v>6</v>
      </c>
      <c r="E2678">
        <f t="shared" ref="E2678:E2679" si="7540">_xlfn.NUMBERVALUE(MID(C2678,4,2))</f>
        <v>7</v>
      </c>
      <c r="F2678">
        <f t="shared" ref="F2678:F2679" si="7541">_xlfn.NUMBERVALUE(RIGHT(C2678,4))</f>
        <v>2024</v>
      </c>
      <c r="G2678" t="s">
        <v>2969</v>
      </c>
      <c r="K2678" t="s">
        <v>9</v>
      </c>
      <c r="L2678" s="8">
        <f t="shared" si="7369"/>
        <v>0</v>
      </c>
      <c r="M2678" t="s">
        <v>2968</v>
      </c>
    </row>
    <row r="2679" spans="1:13" x14ac:dyDescent="0.35">
      <c r="A2679">
        <f t="shared" si="6730"/>
        <v>2675</v>
      </c>
      <c r="B2679" s="9">
        <f t="shared" si="7538"/>
        <v>60.19</v>
      </c>
      <c r="C2679" s="3" t="s">
        <v>2970</v>
      </c>
      <c r="D2679">
        <f t="shared" si="7539"/>
        <v>7</v>
      </c>
      <c r="E2679">
        <f t="shared" si="7540"/>
        <v>7</v>
      </c>
      <c r="F2679">
        <f t="shared" si="7541"/>
        <v>2024</v>
      </c>
      <c r="G2679" t="s">
        <v>7</v>
      </c>
      <c r="H2679">
        <v>-2</v>
      </c>
      <c r="K2679" t="s">
        <v>9</v>
      </c>
      <c r="L2679" s="8">
        <f t="shared" si="7369"/>
        <v>-1</v>
      </c>
      <c r="M2679" t="s">
        <v>2971</v>
      </c>
    </row>
    <row r="2680" spans="1:13" x14ac:dyDescent="0.35">
      <c r="A2680">
        <f t="shared" si="6730"/>
        <v>2676</v>
      </c>
      <c r="B2680" s="9">
        <f t="shared" ref="B2680:B2681" si="7542">B2679+H2680+I2680+J2680</f>
        <v>60.19</v>
      </c>
      <c r="C2680" s="3" t="s">
        <v>2970</v>
      </c>
      <c r="D2680">
        <f t="shared" ref="D2680:D2681" si="7543">_xlfn.NUMBERVALUE(LEFT(C2680,2))</f>
        <v>7</v>
      </c>
      <c r="E2680">
        <f t="shared" ref="E2680:E2681" si="7544">_xlfn.NUMBERVALUE(MID(C2680,4,2))</f>
        <v>7</v>
      </c>
      <c r="F2680">
        <f t="shared" ref="F2680:F2681" si="7545">_xlfn.NUMBERVALUE(RIGHT(C2680,4))</f>
        <v>2024</v>
      </c>
      <c r="G2680" t="s">
        <v>3039</v>
      </c>
      <c r="K2680" t="s">
        <v>9</v>
      </c>
      <c r="L2680" s="8">
        <f t="shared" si="7369"/>
        <v>0</v>
      </c>
      <c r="M2680" t="s">
        <v>2972</v>
      </c>
    </row>
    <row r="2681" spans="1:13" ht="14.15" customHeight="1" x14ac:dyDescent="0.35">
      <c r="A2681">
        <f t="shared" si="6730"/>
        <v>2677</v>
      </c>
      <c r="B2681" s="9">
        <f t="shared" si="7542"/>
        <v>58.19</v>
      </c>
      <c r="C2681" s="3" t="s">
        <v>2970</v>
      </c>
      <c r="D2681">
        <f t="shared" si="7543"/>
        <v>7</v>
      </c>
      <c r="E2681">
        <f t="shared" si="7544"/>
        <v>7</v>
      </c>
      <c r="F2681">
        <f t="shared" si="7545"/>
        <v>2024</v>
      </c>
      <c r="G2681" t="s">
        <v>7</v>
      </c>
      <c r="H2681">
        <v>-2</v>
      </c>
      <c r="K2681" t="s">
        <v>9</v>
      </c>
      <c r="L2681" s="8">
        <f t="shared" si="7369"/>
        <v>-1</v>
      </c>
      <c r="M2681" t="s">
        <v>2973</v>
      </c>
    </row>
    <row r="2682" spans="1:13" x14ac:dyDescent="0.35">
      <c r="A2682">
        <f t="shared" si="6730"/>
        <v>2678</v>
      </c>
      <c r="B2682" s="9">
        <f t="shared" ref="B2682" si="7546">B2681+H2682+I2682+J2682</f>
        <v>60.19</v>
      </c>
      <c r="C2682" s="3" t="s">
        <v>2970</v>
      </c>
      <c r="D2682">
        <f t="shared" ref="D2682" si="7547">_xlfn.NUMBERVALUE(LEFT(C2682,2))</f>
        <v>7</v>
      </c>
      <c r="E2682">
        <f t="shared" ref="E2682" si="7548">_xlfn.NUMBERVALUE(MID(C2682,4,2))</f>
        <v>7</v>
      </c>
      <c r="F2682">
        <f t="shared" ref="F2682" si="7549">_xlfn.NUMBERVALUE(RIGHT(C2682,4))</f>
        <v>2024</v>
      </c>
      <c r="G2682" t="s">
        <v>7</v>
      </c>
      <c r="H2682">
        <v>-2</v>
      </c>
      <c r="I2682">
        <v>4</v>
      </c>
      <c r="K2682" t="s">
        <v>10</v>
      </c>
      <c r="L2682" s="8">
        <f t="shared" si="7369"/>
        <v>1</v>
      </c>
      <c r="M2682" t="s">
        <v>2974</v>
      </c>
    </row>
    <row r="2683" spans="1:13" x14ac:dyDescent="0.35">
      <c r="A2683">
        <f t="shared" si="6730"/>
        <v>2679</v>
      </c>
      <c r="B2683" s="9">
        <f t="shared" ref="B2683" si="7550">B2682+H2683+I2683+J2683</f>
        <v>64.19</v>
      </c>
      <c r="C2683" s="3" t="s">
        <v>2975</v>
      </c>
      <c r="D2683">
        <f t="shared" ref="D2683" si="7551">_xlfn.NUMBERVALUE(LEFT(C2683,2))</f>
        <v>8</v>
      </c>
      <c r="E2683">
        <f t="shared" ref="E2683" si="7552">_xlfn.NUMBERVALUE(MID(C2683,4,2))</f>
        <v>7</v>
      </c>
      <c r="F2683">
        <f t="shared" ref="F2683" si="7553">_xlfn.NUMBERVALUE(RIGHT(C2683,4))</f>
        <v>2024</v>
      </c>
      <c r="G2683" t="s">
        <v>7</v>
      </c>
      <c r="H2683">
        <v>-2</v>
      </c>
      <c r="I2683">
        <v>6</v>
      </c>
      <c r="K2683" t="s">
        <v>10</v>
      </c>
      <c r="L2683" s="8">
        <f t="shared" si="7369"/>
        <v>2</v>
      </c>
      <c r="M2683" t="s">
        <v>2976</v>
      </c>
    </row>
    <row r="2684" spans="1:13" x14ac:dyDescent="0.35">
      <c r="A2684">
        <f t="shared" si="6730"/>
        <v>2680</v>
      </c>
      <c r="B2684" s="9">
        <f t="shared" ref="B2684" si="7554">B2683+H2684+I2684+J2684</f>
        <v>62.19</v>
      </c>
      <c r="C2684" s="3" t="s">
        <v>2975</v>
      </c>
      <c r="D2684">
        <f t="shared" ref="D2684" si="7555">_xlfn.NUMBERVALUE(LEFT(C2684,2))</f>
        <v>8</v>
      </c>
      <c r="E2684">
        <f t="shared" ref="E2684" si="7556">_xlfn.NUMBERVALUE(MID(C2684,4,2))</f>
        <v>7</v>
      </c>
      <c r="F2684">
        <f t="shared" ref="F2684" si="7557">_xlfn.NUMBERVALUE(RIGHT(C2684,4))</f>
        <v>2024</v>
      </c>
      <c r="G2684" t="s">
        <v>7</v>
      </c>
      <c r="H2684">
        <v>-2</v>
      </c>
      <c r="K2684" t="s">
        <v>9</v>
      </c>
      <c r="L2684" s="8">
        <f t="shared" si="7369"/>
        <v>-1</v>
      </c>
      <c r="M2684" t="s">
        <v>2977</v>
      </c>
    </row>
    <row r="2685" spans="1:13" x14ac:dyDescent="0.35">
      <c r="A2685">
        <f t="shared" si="6730"/>
        <v>2681</v>
      </c>
      <c r="B2685" s="9">
        <f t="shared" ref="B2685:B2686" si="7558">B2684+H2685+I2685+J2685</f>
        <v>62.19</v>
      </c>
      <c r="C2685" s="3" t="s">
        <v>2975</v>
      </c>
      <c r="D2685">
        <f t="shared" ref="D2685:D2686" si="7559">_xlfn.NUMBERVALUE(LEFT(C2685,2))</f>
        <v>8</v>
      </c>
      <c r="E2685">
        <f t="shared" ref="E2685:E2686" si="7560">_xlfn.NUMBERVALUE(MID(C2685,4,2))</f>
        <v>7</v>
      </c>
      <c r="F2685">
        <f t="shared" ref="F2685:F2686" si="7561">_xlfn.NUMBERVALUE(RIGHT(C2685,4))</f>
        <v>2024</v>
      </c>
      <c r="G2685" t="s">
        <v>3039</v>
      </c>
      <c r="K2685" t="s">
        <v>9</v>
      </c>
      <c r="L2685" s="8">
        <f t="shared" si="7369"/>
        <v>0</v>
      </c>
      <c r="M2685" t="s">
        <v>2978</v>
      </c>
    </row>
    <row r="2686" spans="1:13" x14ac:dyDescent="0.35">
      <c r="A2686">
        <f t="shared" si="6730"/>
        <v>2682</v>
      </c>
      <c r="B2686" s="9">
        <f t="shared" si="7558"/>
        <v>60.19</v>
      </c>
      <c r="C2686" s="3" t="s">
        <v>2975</v>
      </c>
      <c r="D2686">
        <f t="shared" si="7559"/>
        <v>8</v>
      </c>
      <c r="E2686">
        <f t="shared" si="7560"/>
        <v>7</v>
      </c>
      <c r="F2686">
        <f t="shared" si="7561"/>
        <v>2024</v>
      </c>
      <c r="G2686" t="s">
        <v>7</v>
      </c>
      <c r="H2686">
        <v>-2</v>
      </c>
      <c r="K2686" t="s">
        <v>9</v>
      </c>
      <c r="L2686" s="8">
        <f t="shared" si="7369"/>
        <v>-1</v>
      </c>
      <c r="M2686" t="s">
        <v>2979</v>
      </c>
    </row>
    <row r="2687" spans="1:13" x14ac:dyDescent="0.35">
      <c r="A2687">
        <f t="shared" si="6730"/>
        <v>2683</v>
      </c>
      <c r="B2687" s="9">
        <f t="shared" ref="B2687" si="7562">B2686+H2687+I2687+J2687</f>
        <v>58.19</v>
      </c>
      <c r="C2687" s="3" t="s">
        <v>2975</v>
      </c>
      <c r="D2687">
        <f t="shared" ref="D2687" si="7563">_xlfn.NUMBERVALUE(LEFT(C2687,2))</f>
        <v>8</v>
      </c>
      <c r="E2687">
        <f t="shared" ref="E2687" si="7564">_xlfn.NUMBERVALUE(MID(C2687,4,2))</f>
        <v>7</v>
      </c>
      <c r="F2687">
        <f t="shared" ref="F2687" si="7565">_xlfn.NUMBERVALUE(RIGHT(C2687,4))</f>
        <v>2024</v>
      </c>
      <c r="G2687" t="s">
        <v>7</v>
      </c>
      <c r="H2687">
        <v>-2</v>
      </c>
      <c r="K2687" t="s">
        <v>9</v>
      </c>
      <c r="L2687" s="8">
        <f t="shared" si="7369"/>
        <v>-1</v>
      </c>
      <c r="M2687" t="s">
        <v>2980</v>
      </c>
    </row>
    <row r="2688" spans="1:13" x14ac:dyDescent="0.35">
      <c r="A2688">
        <f t="shared" si="6730"/>
        <v>2684</v>
      </c>
      <c r="B2688" s="9">
        <f t="shared" ref="B2688" si="7566">B2687+H2688+I2688+J2688</f>
        <v>56.19</v>
      </c>
      <c r="C2688" s="3" t="s">
        <v>2981</v>
      </c>
      <c r="D2688">
        <f t="shared" ref="D2688" si="7567">_xlfn.NUMBERVALUE(LEFT(C2688,2))</f>
        <v>11</v>
      </c>
      <c r="E2688">
        <f t="shared" ref="E2688" si="7568">_xlfn.NUMBERVALUE(MID(C2688,4,2))</f>
        <v>7</v>
      </c>
      <c r="F2688">
        <f t="shared" ref="F2688" si="7569">_xlfn.NUMBERVALUE(RIGHT(C2688,4))</f>
        <v>2024</v>
      </c>
      <c r="G2688" t="s">
        <v>7</v>
      </c>
      <c r="H2688">
        <v>-2</v>
      </c>
      <c r="K2688" t="s">
        <v>9</v>
      </c>
      <c r="L2688" s="8">
        <f t="shared" si="7369"/>
        <v>-1</v>
      </c>
      <c r="M2688" t="s">
        <v>2982</v>
      </c>
    </row>
    <row r="2689" spans="1:13" x14ac:dyDescent="0.35">
      <c r="A2689">
        <f t="shared" si="6730"/>
        <v>2685</v>
      </c>
      <c r="B2689" s="9">
        <f t="shared" ref="B2689:B2691" si="7570">B2688+H2689+I2689+J2689</f>
        <v>56.19</v>
      </c>
      <c r="C2689" s="3" t="s">
        <v>2981</v>
      </c>
      <c r="D2689">
        <f t="shared" ref="D2689:D2691" si="7571">_xlfn.NUMBERVALUE(LEFT(C2689,2))</f>
        <v>11</v>
      </c>
      <c r="E2689">
        <f t="shared" ref="E2689:E2691" si="7572">_xlfn.NUMBERVALUE(MID(C2689,4,2))</f>
        <v>7</v>
      </c>
      <c r="F2689">
        <f t="shared" ref="F2689:F2691" si="7573">_xlfn.NUMBERVALUE(RIGHT(C2689,4))</f>
        <v>2024</v>
      </c>
      <c r="G2689" t="s">
        <v>3039</v>
      </c>
      <c r="K2689" t="s">
        <v>10</v>
      </c>
      <c r="L2689" s="8">
        <f t="shared" si="7369"/>
        <v>0</v>
      </c>
      <c r="M2689" t="s">
        <v>2983</v>
      </c>
    </row>
    <row r="2690" spans="1:13" x14ac:dyDescent="0.35">
      <c r="A2690">
        <f t="shared" si="6730"/>
        <v>2686</v>
      </c>
      <c r="B2690" s="9">
        <f t="shared" si="7570"/>
        <v>56.19</v>
      </c>
      <c r="C2690" s="3" t="s">
        <v>2981</v>
      </c>
      <c r="D2690">
        <f t="shared" si="7571"/>
        <v>11</v>
      </c>
      <c r="E2690">
        <f t="shared" si="7572"/>
        <v>7</v>
      </c>
      <c r="F2690">
        <f t="shared" si="7573"/>
        <v>2024</v>
      </c>
      <c r="G2690" t="s">
        <v>2969</v>
      </c>
      <c r="K2690" t="s">
        <v>9</v>
      </c>
      <c r="L2690" s="8">
        <f t="shared" si="7369"/>
        <v>0</v>
      </c>
      <c r="M2690" t="s">
        <v>2985</v>
      </c>
    </row>
    <row r="2691" spans="1:13" x14ac:dyDescent="0.35">
      <c r="A2691">
        <f t="shared" ref="A2691:A2945" si="7574">A2690+1</f>
        <v>2687</v>
      </c>
      <c r="B2691" s="9">
        <f t="shared" si="7570"/>
        <v>60.19</v>
      </c>
      <c r="C2691" s="3" t="s">
        <v>2981</v>
      </c>
      <c r="D2691">
        <f t="shared" si="7571"/>
        <v>11</v>
      </c>
      <c r="E2691">
        <f t="shared" si="7572"/>
        <v>7</v>
      </c>
      <c r="F2691">
        <f t="shared" si="7573"/>
        <v>2024</v>
      </c>
      <c r="G2691" t="s">
        <v>7</v>
      </c>
      <c r="H2691">
        <v>-2</v>
      </c>
      <c r="I2691">
        <v>6</v>
      </c>
      <c r="K2691" t="s">
        <v>10</v>
      </c>
      <c r="L2691" s="8">
        <f t="shared" si="7369"/>
        <v>2</v>
      </c>
      <c r="M2691" t="s">
        <v>2984</v>
      </c>
    </row>
    <row r="2692" spans="1:13" x14ac:dyDescent="0.35">
      <c r="A2692">
        <f t="shared" si="7574"/>
        <v>2688</v>
      </c>
      <c r="B2692" s="9">
        <f t="shared" ref="B2692" si="7575">B2691+H2692+I2692+J2692</f>
        <v>58.19</v>
      </c>
      <c r="C2692" s="3" t="s">
        <v>2981</v>
      </c>
      <c r="D2692">
        <f t="shared" ref="D2692" si="7576">_xlfn.NUMBERVALUE(LEFT(C2692,2))</f>
        <v>11</v>
      </c>
      <c r="E2692">
        <f t="shared" ref="E2692" si="7577">_xlfn.NUMBERVALUE(MID(C2692,4,2))</f>
        <v>7</v>
      </c>
      <c r="F2692">
        <f t="shared" ref="F2692" si="7578">_xlfn.NUMBERVALUE(RIGHT(C2692,4))</f>
        <v>2024</v>
      </c>
      <c r="G2692" t="s">
        <v>7</v>
      </c>
      <c r="H2692">
        <v>-2</v>
      </c>
      <c r="K2692" t="s">
        <v>9</v>
      </c>
      <c r="L2692" s="8">
        <f t="shared" si="7369"/>
        <v>-1</v>
      </c>
      <c r="M2692" t="s">
        <v>2986</v>
      </c>
    </row>
    <row r="2693" spans="1:13" x14ac:dyDescent="0.35">
      <c r="A2693">
        <f t="shared" si="7574"/>
        <v>2689</v>
      </c>
      <c r="B2693" s="9">
        <f t="shared" ref="B2693" si="7579">B2692+H2693+I2693+J2693</f>
        <v>56.19</v>
      </c>
      <c r="C2693" s="3" t="s">
        <v>2981</v>
      </c>
      <c r="D2693">
        <f t="shared" ref="D2693" si="7580">_xlfn.NUMBERVALUE(LEFT(C2693,2))</f>
        <v>11</v>
      </c>
      <c r="E2693">
        <f t="shared" ref="E2693" si="7581">_xlfn.NUMBERVALUE(MID(C2693,4,2))</f>
        <v>7</v>
      </c>
      <c r="F2693">
        <f t="shared" ref="F2693" si="7582">_xlfn.NUMBERVALUE(RIGHT(C2693,4))</f>
        <v>2024</v>
      </c>
      <c r="G2693" t="s">
        <v>7</v>
      </c>
      <c r="H2693">
        <v>-2</v>
      </c>
      <c r="K2693" t="s">
        <v>9</v>
      </c>
      <c r="L2693" s="8">
        <f t="shared" si="7369"/>
        <v>-1</v>
      </c>
      <c r="M2693" t="s">
        <v>2987</v>
      </c>
    </row>
    <row r="2694" spans="1:13" x14ac:dyDescent="0.35">
      <c r="A2694">
        <f t="shared" si="7574"/>
        <v>2690</v>
      </c>
      <c r="B2694" s="9">
        <f t="shared" ref="B2694" si="7583">B2693+H2694+I2694+J2694</f>
        <v>54.19</v>
      </c>
      <c r="C2694" s="3" t="s">
        <v>2981</v>
      </c>
      <c r="D2694">
        <f t="shared" ref="D2694" si="7584">_xlfn.NUMBERVALUE(LEFT(C2694,2))</f>
        <v>11</v>
      </c>
      <c r="E2694">
        <f t="shared" ref="E2694" si="7585">_xlfn.NUMBERVALUE(MID(C2694,4,2))</f>
        <v>7</v>
      </c>
      <c r="F2694">
        <f t="shared" ref="F2694" si="7586">_xlfn.NUMBERVALUE(RIGHT(C2694,4))</f>
        <v>2024</v>
      </c>
      <c r="G2694" t="s">
        <v>7</v>
      </c>
      <c r="H2694">
        <v>-2</v>
      </c>
      <c r="K2694" t="s">
        <v>9</v>
      </c>
      <c r="L2694" s="8">
        <f t="shared" ref="L2694:L2757" si="7587">IF(H2694="",0,(SUM(I2694:J2694)/-H2694)-1)</f>
        <v>-1</v>
      </c>
      <c r="M2694" t="s">
        <v>2988</v>
      </c>
    </row>
    <row r="2695" spans="1:13" x14ac:dyDescent="0.35">
      <c r="A2695">
        <f t="shared" si="7574"/>
        <v>2691</v>
      </c>
      <c r="B2695" s="9">
        <f t="shared" ref="B2695" si="7588">B2694+H2695+I2695+J2695</f>
        <v>52.19</v>
      </c>
      <c r="C2695" s="3" t="s">
        <v>2981</v>
      </c>
      <c r="D2695">
        <f t="shared" ref="D2695" si="7589">_xlfn.NUMBERVALUE(LEFT(C2695,2))</f>
        <v>11</v>
      </c>
      <c r="E2695">
        <f t="shared" ref="E2695" si="7590">_xlfn.NUMBERVALUE(MID(C2695,4,2))</f>
        <v>7</v>
      </c>
      <c r="F2695">
        <f t="shared" ref="F2695" si="7591">_xlfn.NUMBERVALUE(RIGHT(C2695,4))</f>
        <v>2024</v>
      </c>
      <c r="G2695" t="s">
        <v>7</v>
      </c>
      <c r="H2695">
        <v>-2</v>
      </c>
      <c r="K2695" t="s">
        <v>9</v>
      </c>
      <c r="L2695" s="8">
        <f t="shared" si="7587"/>
        <v>-1</v>
      </c>
      <c r="M2695" t="s">
        <v>2989</v>
      </c>
    </row>
    <row r="2696" spans="1:13" x14ac:dyDescent="0.35">
      <c r="A2696">
        <f t="shared" si="7574"/>
        <v>2692</v>
      </c>
      <c r="B2696" s="9">
        <f t="shared" ref="B2696" si="7592">B2695+H2696+I2696+J2696</f>
        <v>56.19</v>
      </c>
      <c r="C2696" s="3" t="s">
        <v>2981</v>
      </c>
      <c r="D2696">
        <f t="shared" ref="D2696" si="7593">_xlfn.NUMBERVALUE(LEFT(C2696,2))</f>
        <v>11</v>
      </c>
      <c r="E2696">
        <f t="shared" ref="E2696" si="7594">_xlfn.NUMBERVALUE(MID(C2696,4,2))</f>
        <v>7</v>
      </c>
      <c r="F2696">
        <f t="shared" ref="F2696" si="7595">_xlfn.NUMBERVALUE(RIGHT(C2696,4))</f>
        <v>2024</v>
      </c>
      <c r="G2696" t="s">
        <v>7</v>
      </c>
      <c r="H2696">
        <v>-2</v>
      </c>
      <c r="I2696">
        <v>6</v>
      </c>
      <c r="K2696" t="s">
        <v>10</v>
      </c>
      <c r="L2696" s="8">
        <f t="shared" si="7587"/>
        <v>2</v>
      </c>
      <c r="M2696" t="s">
        <v>2990</v>
      </c>
    </row>
    <row r="2697" spans="1:13" x14ac:dyDescent="0.35">
      <c r="A2697">
        <f t="shared" si="7574"/>
        <v>2693</v>
      </c>
      <c r="B2697" s="9">
        <f t="shared" ref="B2697" si="7596">B2696+H2697+I2697+J2697</f>
        <v>54.19</v>
      </c>
      <c r="C2697" s="3" t="s">
        <v>2993</v>
      </c>
      <c r="D2697">
        <f t="shared" ref="D2697" si="7597">_xlfn.NUMBERVALUE(LEFT(C2697,2))</f>
        <v>12</v>
      </c>
      <c r="E2697">
        <f t="shared" ref="E2697" si="7598">_xlfn.NUMBERVALUE(MID(C2697,4,2))</f>
        <v>7</v>
      </c>
      <c r="F2697">
        <f t="shared" ref="F2697" si="7599">_xlfn.NUMBERVALUE(RIGHT(C2697,4))</f>
        <v>2024</v>
      </c>
      <c r="G2697" t="s">
        <v>7</v>
      </c>
      <c r="H2697">
        <v>-2</v>
      </c>
      <c r="K2697" t="s">
        <v>9</v>
      </c>
      <c r="L2697" s="8">
        <f t="shared" si="7587"/>
        <v>-1</v>
      </c>
      <c r="M2697" t="s">
        <v>2991</v>
      </c>
    </row>
    <row r="2698" spans="1:13" x14ac:dyDescent="0.35">
      <c r="A2698">
        <f t="shared" si="7574"/>
        <v>2694</v>
      </c>
      <c r="B2698" s="9">
        <f t="shared" ref="B2698" si="7600">B2697+H2698+I2698+J2698</f>
        <v>54.19</v>
      </c>
      <c r="C2698" s="3" t="s">
        <v>2993</v>
      </c>
      <c r="D2698">
        <f t="shared" ref="D2698" si="7601">_xlfn.NUMBERVALUE(LEFT(C2698,2))</f>
        <v>12</v>
      </c>
      <c r="E2698">
        <f t="shared" ref="E2698" si="7602">_xlfn.NUMBERVALUE(MID(C2698,4,2))</f>
        <v>7</v>
      </c>
      <c r="F2698">
        <f t="shared" ref="F2698" si="7603">_xlfn.NUMBERVALUE(RIGHT(C2698,4))</f>
        <v>2024</v>
      </c>
      <c r="G2698" t="s">
        <v>3039</v>
      </c>
      <c r="K2698" t="s">
        <v>10</v>
      </c>
      <c r="L2698" s="8">
        <f t="shared" si="7587"/>
        <v>0</v>
      </c>
      <c r="M2698" t="s">
        <v>2992</v>
      </c>
    </row>
    <row r="2699" spans="1:13" x14ac:dyDescent="0.35">
      <c r="A2699">
        <f t="shared" si="7574"/>
        <v>2695</v>
      </c>
      <c r="B2699" s="9">
        <f t="shared" ref="B2699" si="7604">B2698+H2699+I2699+J2699</f>
        <v>52.19</v>
      </c>
      <c r="C2699" s="3" t="s">
        <v>2993</v>
      </c>
      <c r="D2699">
        <f t="shared" ref="D2699" si="7605">_xlfn.NUMBERVALUE(LEFT(C2699,2))</f>
        <v>12</v>
      </c>
      <c r="E2699">
        <f t="shared" ref="E2699" si="7606">_xlfn.NUMBERVALUE(MID(C2699,4,2))</f>
        <v>7</v>
      </c>
      <c r="F2699">
        <f t="shared" ref="F2699" si="7607">_xlfn.NUMBERVALUE(RIGHT(C2699,4))</f>
        <v>2024</v>
      </c>
      <c r="G2699" t="s">
        <v>7</v>
      </c>
      <c r="H2699">
        <v>-2</v>
      </c>
      <c r="K2699" t="s">
        <v>9</v>
      </c>
      <c r="L2699" s="8">
        <f t="shared" si="7587"/>
        <v>-1</v>
      </c>
      <c r="M2699" t="s">
        <v>2994</v>
      </c>
    </row>
    <row r="2700" spans="1:13" x14ac:dyDescent="0.35">
      <c r="A2700">
        <f t="shared" si="7574"/>
        <v>2696</v>
      </c>
      <c r="B2700" s="9">
        <f t="shared" ref="B2700" si="7608">B2699+H2700+I2700+J2700</f>
        <v>50.19</v>
      </c>
      <c r="C2700" s="3" t="s">
        <v>2993</v>
      </c>
      <c r="D2700">
        <f t="shared" ref="D2700" si="7609">_xlfn.NUMBERVALUE(LEFT(C2700,2))</f>
        <v>12</v>
      </c>
      <c r="E2700">
        <f t="shared" ref="E2700" si="7610">_xlfn.NUMBERVALUE(MID(C2700,4,2))</f>
        <v>7</v>
      </c>
      <c r="F2700">
        <f t="shared" ref="F2700" si="7611">_xlfn.NUMBERVALUE(RIGHT(C2700,4))</f>
        <v>2024</v>
      </c>
      <c r="G2700" t="s">
        <v>7</v>
      </c>
      <c r="H2700">
        <v>-2</v>
      </c>
      <c r="K2700" t="s">
        <v>9</v>
      </c>
      <c r="L2700" s="8">
        <f t="shared" si="7587"/>
        <v>-1</v>
      </c>
      <c r="M2700" t="s">
        <v>2995</v>
      </c>
    </row>
    <row r="2701" spans="1:13" x14ac:dyDescent="0.35">
      <c r="A2701">
        <f t="shared" si="7574"/>
        <v>2697</v>
      </c>
      <c r="B2701" s="9">
        <f t="shared" ref="B2701" si="7612">B2700+H2701+I2701+J2701</f>
        <v>48.19</v>
      </c>
      <c r="C2701" s="3" t="s">
        <v>2993</v>
      </c>
      <c r="D2701">
        <f t="shared" ref="D2701" si="7613">_xlfn.NUMBERVALUE(LEFT(C2701,2))</f>
        <v>12</v>
      </c>
      <c r="E2701">
        <f t="shared" ref="E2701" si="7614">_xlfn.NUMBERVALUE(MID(C2701,4,2))</f>
        <v>7</v>
      </c>
      <c r="F2701">
        <f t="shared" ref="F2701" si="7615">_xlfn.NUMBERVALUE(RIGHT(C2701,4))</f>
        <v>2024</v>
      </c>
      <c r="G2701" t="s">
        <v>7</v>
      </c>
      <c r="H2701">
        <v>-2</v>
      </c>
      <c r="K2701" t="s">
        <v>9</v>
      </c>
      <c r="L2701" s="8">
        <f t="shared" si="7587"/>
        <v>-1</v>
      </c>
      <c r="M2701" t="s">
        <v>2996</v>
      </c>
    </row>
    <row r="2702" spans="1:13" x14ac:dyDescent="0.35">
      <c r="A2702">
        <f t="shared" si="7574"/>
        <v>2698</v>
      </c>
      <c r="B2702" s="9">
        <f t="shared" ref="B2702" si="7616">B2701+H2702+I2702+J2702</f>
        <v>48.19</v>
      </c>
      <c r="C2702" s="3" t="s">
        <v>2993</v>
      </c>
      <c r="D2702">
        <f t="shared" ref="D2702" si="7617">_xlfn.NUMBERVALUE(LEFT(C2702,2))</f>
        <v>12</v>
      </c>
      <c r="E2702">
        <f t="shared" ref="E2702" si="7618">_xlfn.NUMBERVALUE(MID(C2702,4,2))</f>
        <v>7</v>
      </c>
      <c r="F2702">
        <f t="shared" ref="F2702" si="7619">_xlfn.NUMBERVALUE(RIGHT(C2702,4))</f>
        <v>2024</v>
      </c>
      <c r="G2702" t="s">
        <v>2969</v>
      </c>
      <c r="K2702" t="s">
        <v>10</v>
      </c>
      <c r="L2702" s="8">
        <f t="shared" si="7587"/>
        <v>0</v>
      </c>
      <c r="M2702" t="s">
        <v>2997</v>
      </c>
    </row>
    <row r="2703" spans="1:13" x14ac:dyDescent="0.35">
      <c r="A2703">
        <f t="shared" si="7574"/>
        <v>2699</v>
      </c>
      <c r="B2703" s="9">
        <f t="shared" ref="B2703:B2704" si="7620">B2702+H2703+I2703+J2703</f>
        <v>48.19</v>
      </c>
      <c r="C2703" s="3" t="s">
        <v>2993</v>
      </c>
      <c r="D2703">
        <f t="shared" ref="D2703:D2704" si="7621">_xlfn.NUMBERVALUE(LEFT(C2703,2))</f>
        <v>12</v>
      </c>
      <c r="E2703">
        <f t="shared" ref="E2703:E2704" si="7622">_xlfn.NUMBERVALUE(MID(C2703,4,2))</f>
        <v>7</v>
      </c>
      <c r="F2703">
        <f t="shared" ref="F2703:F2704" si="7623">_xlfn.NUMBERVALUE(RIGHT(C2703,4))</f>
        <v>2024</v>
      </c>
      <c r="G2703" t="s">
        <v>3040</v>
      </c>
      <c r="K2703" t="s">
        <v>9</v>
      </c>
      <c r="L2703" s="8">
        <f t="shared" si="7587"/>
        <v>0</v>
      </c>
      <c r="M2703" t="s">
        <v>2998</v>
      </c>
    </row>
    <row r="2704" spans="1:13" x14ac:dyDescent="0.35">
      <c r="A2704">
        <f t="shared" si="7574"/>
        <v>2700</v>
      </c>
      <c r="B2704" s="9">
        <f t="shared" si="7620"/>
        <v>46.19</v>
      </c>
      <c r="C2704" s="3" t="s">
        <v>2993</v>
      </c>
      <c r="D2704">
        <f t="shared" si="7621"/>
        <v>12</v>
      </c>
      <c r="E2704">
        <f t="shared" si="7622"/>
        <v>7</v>
      </c>
      <c r="F2704">
        <f t="shared" si="7623"/>
        <v>2024</v>
      </c>
      <c r="G2704" t="s">
        <v>7</v>
      </c>
      <c r="H2704">
        <v>-2</v>
      </c>
      <c r="K2704" t="s">
        <v>9</v>
      </c>
      <c r="L2704" s="8">
        <f t="shared" si="7587"/>
        <v>-1</v>
      </c>
      <c r="M2704" t="s">
        <v>2999</v>
      </c>
    </row>
    <row r="2705" spans="1:13" x14ac:dyDescent="0.35">
      <c r="A2705">
        <f t="shared" si="7574"/>
        <v>2701</v>
      </c>
      <c r="B2705" s="9">
        <f t="shared" ref="B2705" si="7624">B2704+H2705+I2705+J2705</f>
        <v>44.19</v>
      </c>
      <c r="C2705" s="3" t="s">
        <v>2993</v>
      </c>
      <c r="D2705">
        <f t="shared" ref="D2705" si="7625">_xlfn.NUMBERVALUE(LEFT(C2705,2))</f>
        <v>12</v>
      </c>
      <c r="E2705">
        <f t="shared" ref="E2705" si="7626">_xlfn.NUMBERVALUE(MID(C2705,4,2))</f>
        <v>7</v>
      </c>
      <c r="F2705">
        <f t="shared" ref="F2705" si="7627">_xlfn.NUMBERVALUE(RIGHT(C2705,4))</f>
        <v>2024</v>
      </c>
      <c r="G2705" t="s">
        <v>7</v>
      </c>
      <c r="H2705">
        <v>-2</v>
      </c>
      <c r="K2705" t="s">
        <v>9</v>
      </c>
      <c r="L2705" s="8">
        <f t="shared" si="7587"/>
        <v>-1</v>
      </c>
      <c r="M2705" t="s">
        <v>3000</v>
      </c>
    </row>
    <row r="2706" spans="1:13" x14ac:dyDescent="0.35">
      <c r="A2706">
        <f t="shared" si="7574"/>
        <v>2702</v>
      </c>
      <c r="B2706" s="9">
        <f t="shared" ref="B2706" si="7628">B2705+H2706+I2706+J2706</f>
        <v>48.19</v>
      </c>
      <c r="C2706" s="3" t="s">
        <v>2993</v>
      </c>
      <c r="D2706">
        <f t="shared" ref="D2706" si="7629">_xlfn.NUMBERVALUE(LEFT(C2706,2))</f>
        <v>12</v>
      </c>
      <c r="E2706">
        <f t="shared" ref="E2706" si="7630">_xlfn.NUMBERVALUE(MID(C2706,4,2))</f>
        <v>7</v>
      </c>
      <c r="F2706">
        <f t="shared" ref="F2706" si="7631">_xlfn.NUMBERVALUE(RIGHT(C2706,4))</f>
        <v>2024</v>
      </c>
      <c r="G2706" t="s">
        <v>7</v>
      </c>
      <c r="H2706">
        <v>-2</v>
      </c>
      <c r="I2706">
        <v>6</v>
      </c>
      <c r="K2706" t="s">
        <v>10</v>
      </c>
      <c r="L2706" s="8">
        <f t="shared" si="7587"/>
        <v>2</v>
      </c>
      <c r="M2706" t="s">
        <v>3001</v>
      </c>
    </row>
    <row r="2707" spans="1:13" x14ac:dyDescent="0.35">
      <c r="A2707">
        <f t="shared" si="7574"/>
        <v>2703</v>
      </c>
      <c r="B2707" s="9">
        <f t="shared" ref="B2707" si="7632">B2706+H2707+I2707+J2707</f>
        <v>50.19</v>
      </c>
      <c r="C2707" s="3" t="s">
        <v>2993</v>
      </c>
      <c r="D2707">
        <f t="shared" ref="D2707" si="7633">_xlfn.NUMBERVALUE(LEFT(C2707,2))</f>
        <v>12</v>
      </c>
      <c r="E2707">
        <f t="shared" ref="E2707" si="7634">_xlfn.NUMBERVALUE(MID(C2707,4,2))</f>
        <v>7</v>
      </c>
      <c r="F2707">
        <f t="shared" ref="F2707" si="7635">_xlfn.NUMBERVALUE(RIGHT(C2707,4))</f>
        <v>2024</v>
      </c>
      <c r="G2707" t="s">
        <v>7</v>
      </c>
      <c r="H2707">
        <v>-2</v>
      </c>
      <c r="I2707">
        <v>4</v>
      </c>
      <c r="K2707" t="s">
        <v>10</v>
      </c>
      <c r="L2707" s="8">
        <f t="shared" si="7587"/>
        <v>1</v>
      </c>
      <c r="M2707" t="s">
        <v>3002</v>
      </c>
    </row>
    <row r="2708" spans="1:13" x14ac:dyDescent="0.35">
      <c r="A2708">
        <f t="shared" si="7574"/>
        <v>2704</v>
      </c>
      <c r="B2708" s="9">
        <f t="shared" ref="B2708" si="7636">B2707+H2708+I2708+J2708</f>
        <v>54.19</v>
      </c>
      <c r="C2708" s="3" t="s">
        <v>2993</v>
      </c>
      <c r="D2708">
        <f t="shared" ref="D2708" si="7637">_xlfn.NUMBERVALUE(LEFT(C2708,2))</f>
        <v>12</v>
      </c>
      <c r="E2708">
        <f t="shared" ref="E2708" si="7638">_xlfn.NUMBERVALUE(MID(C2708,4,2))</f>
        <v>7</v>
      </c>
      <c r="F2708">
        <f t="shared" ref="F2708" si="7639">_xlfn.NUMBERVALUE(RIGHT(C2708,4))</f>
        <v>2024</v>
      </c>
      <c r="G2708" t="s">
        <v>7</v>
      </c>
      <c r="H2708">
        <v>-2</v>
      </c>
      <c r="I2708">
        <v>6</v>
      </c>
      <c r="K2708" t="s">
        <v>10</v>
      </c>
      <c r="L2708" s="8">
        <f t="shared" si="7587"/>
        <v>2</v>
      </c>
      <c r="M2708" t="s">
        <v>3003</v>
      </c>
    </row>
    <row r="2709" spans="1:13" x14ac:dyDescent="0.35">
      <c r="A2709">
        <f t="shared" si="7574"/>
        <v>2705</v>
      </c>
      <c r="B2709" s="9">
        <f t="shared" ref="B2709" si="7640">B2708+H2709+I2709+J2709</f>
        <v>52.19</v>
      </c>
      <c r="C2709" s="3" t="s">
        <v>2993</v>
      </c>
      <c r="D2709">
        <f t="shared" ref="D2709" si="7641">_xlfn.NUMBERVALUE(LEFT(C2709,2))</f>
        <v>12</v>
      </c>
      <c r="E2709">
        <f t="shared" ref="E2709" si="7642">_xlfn.NUMBERVALUE(MID(C2709,4,2))</f>
        <v>7</v>
      </c>
      <c r="F2709">
        <f t="shared" ref="F2709" si="7643">_xlfn.NUMBERVALUE(RIGHT(C2709,4))</f>
        <v>2024</v>
      </c>
      <c r="G2709" t="s">
        <v>7</v>
      </c>
      <c r="H2709">
        <v>-2</v>
      </c>
      <c r="K2709" t="s">
        <v>9</v>
      </c>
      <c r="L2709" s="8">
        <f t="shared" si="7587"/>
        <v>-1</v>
      </c>
      <c r="M2709" t="s">
        <v>3004</v>
      </c>
    </row>
    <row r="2710" spans="1:13" x14ac:dyDescent="0.35">
      <c r="A2710">
        <f t="shared" si="7574"/>
        <v>2706</v>
      </c>
      <c r="B2710" s="9">
        <f t="shared" ref="B2710" si="7644">B2709+H2710+I2710+J2710</f>
        <v>50.19</v>
      </c>
      <c r="C2710" s="3" t="s">
        <v>2993</v>
      </c>
      <c r="D2710">
        <f t="shared" ref="D2710" si="7645">_xlfn.NUMBERVALUE(LEFT(C2710,2))</f>
        <v>12</v>
      </c>
      <c r="E2710">
        <f t="shared" ref="E2710" si="7646">_xlfn.NUMBERVALUE(MID(C2710,4,2))</f>
        <v>7</v>
      </c>
      <c r="F2710">
        <f t="shared" ref="F2710" si="7647">_xlfn.NUMBERVALUE(RIGHT(C2710,4))</f>
        <v>2024</v>
      </c>
      <c r="G2710" t="s">
        <v>7</v>
      </c>
      <c r="H2710">
        <v>-2</v>
      </c>
      <c r="K2710" t="s">
        <v>9</v>
      </c>
      <c r="L2710" s="8">
        <f t="shared" si="7587"/>
        <v>-1</v>
      </c>
      <c r="M2710" t="s">
        <v>3005</v>
      </c>
    </row>
    <row r="2711" spans="1:13" x14ac:dyDescent="0.35">
      <c r="A2711">
        <f t="shared" si="7574"/>
        <v>2707</v>
      </c>
      <c r="B2711" s="9">
        <f t="shared" ref="B2711" si="7648">B2710+H2711+I2711+J2711</f>
        <v>48.19</v>
      </c>
      <c r="C2711" s="3" t="s">
        <v>2993</v>
      </c>
      <c r="D2711">
        <f t="shared" ref="D2711" si="7649">_xlfn.NUMBERVALUE(LEFT(C2711,2))</f>
        <v>12</v>
      </c>
      <c r="E2711">
        <f t="shared" ref="E2711" si="7650">_xlfn.NUMBERVALUE(MID(C2711,4,2))</f>
        <v>7</v>
      </c>
      <c r="F2711">
        <f t="shared" ref="F2711" si="7651">_xlfn.NUMBERVALUE(RIGHT(C2711,4))</f>
        <v>2024</v>
      </c>
      <c r="G2711" t="s">
        <v>7</v>
      </c>
      <c r="H2711">
        <v>-2</v>
      </c>
      <c r="K2711" t="s">
        <v>9</v>
      </c>
      <c r="L2711" s="8">
        <f t="shared" si="7587"/>
        <v>-1</v>
      </c>
      <c r="M2711" t="s">
        <v>3006</v>
      </c>
    </row>
    <row r="2712" spans="1:13" x14ac:dyDescent="0.35">
      <c r="A2712">
        <f t="shared" si="7574"/>
        <v>2708</v>
      </c>
      <c r="B2712" s="9">
        <f t="shared" ref="B2712" si="7652">B2711+H2712+I2712+J2712</f>
        <v>46.19</v>
      </c>
      <c r="C2712" s="3" t="s">
        <v>2993</v>
      </c>
      <c r="D2712">
        <f t="shared" ref="D2712" si="7653">_xlfn.NUMBERVALUE(LEFT(C2712,2))</f>
        <v>12</v>
      </c>
      <c r="E2712">
        <f t="shared" ref="E2712" si="7654">_xlfn.NUMBERVALUE(MID(C2712,4,2))</f>
        <v>7</v>
      </c>
      <c r="F2712">
        <f t="shared" ref="F2712" si="7655">_xlfn.NUMBERVALUE(RIGHT(C2712,4))</f>
        <v>2024</v>
      </c>
      <c r="G2712" t="s">
        <v>7</v>
      </c>
      <c r="H2712">
        <v>-2</v>
      </c>
      <c r="K2712" t="s">
        <v>9</v>
      </c>
      <c r="L2712" s="8">
        <f t="shared" si="7587"/>
        <v>-1</v>
      </c>
      <c r="M2712" t="s">
        <v>3007</v>
      </c>
    </row>
    <row r="2713" spans="1:13" x14ac:dyDescent="0.35">
      <c r="A2713">
        <f t="shared" si="7574"/>
        <v>2709</v>
      </c>
      <c r="B2713" s="9">
        <f t="shared" ref="B2713" si="7656">B2712+H2713+I2713+J2713</f>
        <v>44.19</v>
      </c>
      <c r="C2713" s="3" t="s">
        <v>2993</v>
      </c>
      <c r="D2713">
        <f t="shared" ref="D2713" si="7657">_xlfn.NUMBERVALUE(LEFT(C2713,2))</f>
        <v>12</v>
      </c>
      <c r="E2713">
        <f t="shared" ref="E2713" si="7658">_xlfn.NUMBERVALUE(MID(C2713,4,2))</f>
        <v>7</v>
      </c>
      <c r="F2713">
        <f t="shared" ref="F2713" si="7659">_xlfn.NUMBERVALUE(RIGHT(C2713,4))</f>
        <v>2024</v>
      </c>
      <c r="G2713" t="s">
        <v>7</v>
      </c>
      <c r="H2713">
        <v>-2</v>
      </c>
      <c r="K2713" t="s">
        <v>9</v>
      </c>
      <c r="L2713" s="8">
        <f t="shared" si="7587"/>
        <v>-1</v>
      </c>
      <c r="M2713" t="s">
        <v>3008</v>
      </c>
    </row>
    <row r="2714" spans="1:13" x14ac:dyDescent="0.35">
      <c r="A2714">
        <f t="shared" si="7574"/>
        <v>2710</v>
      </c>
      <c r="B2714" s="9">
        <f t="shared" ref="B2714" si="7660">B2713+H2714+I2714+J2714</f>
        <v>46.19</v>
      </c>
      <c r="C2714" s="3" t="s">
        <v>2993</v>
      </c>
      <c r="D2714">
        <f t="shared" ref="D2714" si="7661">_xlfn.NUMBERVALUE(LEFT(C2714,2))</f>
        <v>12</v>
      </c>
      <c r="E2714">
        <f t="shared" ref="E2714" si="7662">_xlfn.NUMBERVALUE(MID(C2714,4,2))</f>
        <v>7</v>
      </c>
      <c r="F2714">
        <f t="shared" ref="F2714" si="7663">_xlfn.NUMBERVALUE(RIGHT(C2714,4))</f>
        <v>2024</v>
      </c>
      <c r="G2714" t="s">
        <v>7</v>
      </c>
      <c r="H2714">
        <v>-2</v>
      </c>
      <c r="I2714">
        <v>4</v>
      </c>
      <c r="K2714" t="s">
        <v>10</v>
      </c>
      <c r="L2714" s="8">
        <f t="shared" si="7587"/>
        <v>1</v>
      </c>
      <c r="M2714" t="s">
        <v>3009</v>
      </c>
    </row>
    <row r="2715" spans="1:13" x14ac:dyDescent="0.35">
      <c r="A2715">
        <f t="shared" si="7574"/>
        <v>2711</v>
      </c>
      <c r="B2715" s="9">
        <f t="shared" ref="B2715" si="7664">B2714+H2715+I2715+J2715</f>
        <v>50.19</v>
      </c>
      <c r="C2715" s="3" t="s">
        <v>2993</v>
      </c>
      <c r="D2715">
        <f t="shared" ref="D2715" si="7665">_xlfn.NUMBERVALUE(LEFT(C2715,2))</f>
        <v>12</v>
      </c>
      <c r="E2715">
        <f t="shared" ref="E2715" si="7666">_xlfn.NUMBERVALUE(MID(C2715,4,2))</f>
        <v>7</v>
      </c>
      <c r="F2715">
        <f t="shared" ref="F2715" si="7667">_xlfn.NUMBERVALUE(RIGHT(C2715,4))</f>
        <v>2024</v>
      </c>
      <c r="G2715" t="s">
        <v>7</v>
      </c>
      <c r="H2715">
        <v>-2</v>
      </c>
      <c r="I2715">
        <v>6</v>
      </c>
      <c r="K2715" t="s">
        <v>10</v>
      </c>
      <c r="L2715" s="8">
        <f t="shared" si="7587"/>
        <v>2</v>
      </c>
      <c r="M2715" t="s">
        <v>3010</v>
      </c>
    </row>
    <row r="2716" spans="1:13" x14ac:dyDescent="0.35">
      <c r="A2716">
        <f t="shared" si="7574"/>
        <v>2712</v>
      </c>
      <c r="B2716" s="9">
        <f t="shared" ref="B2716" si="7668">B2715+H2716+I2716+J2716</f>
        <v>52.19</v>
      </c>
      <c r="C2716" s="3" t="s">
        <v>2993</v>
      </c>
      <c r="D2716">
        <f t="shared" ref="D2716" si="7669">_xlfn.NUMBERVALUE(LEFT(C2716,2))</f>
        <v>12</v>
      </c>
      <c r="E2716">
        <f t="shared" ref="E2716" si="7670">_xlfn.NUMBERVALUE(MID(C2716,4,2))</f>
        <v>7</v>
      </c>
      <c r="F2716">
        <f t="shared" ref="F2716" si="7671">_xlfn.NUMBERVALUE(RIGHT(C2716,4))</f>
        <v>2024</v>
      </c>
      <c r="G2716" t="s">
        <v>7</v>
      </c>
      <c r="H2716">
        <v>-2</v>
      </c>
      <c r="I2716">
        <v>4</v>
      </c>
      <c r="K2716" t="s">
        <v>10</v>
      </c>
      <c r="L2716" s="8">
        <f t="shared" si="7587"/>
        <v>1</v>
      </c>
      <c r="M2716" t="s">
        <v>3011</v>
      </c>
    </row>
    <row r="2717" spans="1:13" x14ac:dyDescent="0.35">
      <c r="A2717">
        <f t="shared" si="7574"/>
        <v>2713</v>
      </c>
      <c r="B2717" s="9">
        <f t="shared" ref="B2717" si="7672">B2716+H2717+I2717+J2717</f>
        <v>50.19</v>
      </c>
      <c r="C2717" s="3" t="s">
        <v>2993</v>
      </c>
      <c r="D2717">
        <f t="shared" ref="D2717" si="7673">_xlfn.NUMBERVALUE(LEFT(C2717,2))</f>
        <v>12</v>
      </c>
      <c r="E2717">
        <f t="shared" ref="E2717" si="7674">_xlfn.NUMBERVALUE(MID(C2717,4,2))</f>
        <v>7</v>
      </c>
      <c r="F2717">
        <f t="shared" ref="F2717" si="7675">_xlfn.NUMBERVALUE(RIGHT(C2717,4))</f>
        <v>2024</v>
      </c>
      <c r="G2717" t="s">
        <v>7</v>
      </c>
      <c r="H2717">
        <v>-2</v>
      </c>
      <c r="K2717" t="s">
        <v>9</v>
      </c>
      <c r="L2717" s="8">
        <f t="shared" si="7587"/>
        <v>-1</v>
      </c>
      <c r="M2717" t="s">
        <v>3012</v>
      </c>
    </row>
    <row r="2718" spans="1:13" x14ac:dyDescent="0.35">
      <c r="A2718">
        <f t="shared" si="7574"/>
        <v>2714</v>
      </c>
      <c r="B2718" s="9">
        <f t="shared" ref="B2718" si="7676">B2717+H2718+I2718+J2718</f>
        <v>48.19</v>
      </c>
      <c r="C2718" s="3" t="s">
        <v>2993</v>
      </c>
      <c r="D2718">
        <f t="shared" ref="D2718" si="7677">_xlfn.NUMBERVALUE(LEFT(C2718,2))</f>
        <v>12</v>
      </c>
      <c r="E2718">
        <f t="shared" ref="E2718" si="7678">_xlfn.NUMBERVALUE(MID(C2718,4,2))</f>
        <v>7</v>
      </c>
      <c r="F2718">
        <f t="shared" ref="F2718" si="7679">_xlfn.NUMBERVALUE(RIGHT(C2718,4))</f>
        <v>2024</v>
      </c>
      <c r="G2718" t="s">
        <v>7</v>
      </c>
      <c r="H2718">
        <v>-2</v>
      </c>
      <c r="K2718" t="s">
        <v>9</v>
      </c>
      <c r="L2718" s="8">
        <f t="shared" si="7587"/>
        <v>-1</v>
      </c>
      <c r="M2718" t="s">
        <v>3013</v>
      </c>
    </row>
    <row r="2719" spans="1:13" x14ac:dyDescent="0.35">
      <c r="A2719">
        <f t="shared" si="7574"/>
        <v>2715</v>
      </c>
      <c r="B2719" s="9">
        <f t="shared" ref="B2719" si="7680">B2718+H2719+I2719+J2719</f>
        <v>46.19</v>
      </c>
      <c r="C2719" s="3" t="s">
        <v>2993</v>
      </c>
      <c r="D2719">
        <f t="shared" ref="D2719" si="7681">_xlfn.NUMBERVALUE(LEFT(C2719,2))</f>
        <v>12</v>
      </c>
      <c r="E2719">
        <f t="shared" ref="E2719" si="7682">_xlfn.NUMBERVALUE(MID(C2719,4,2))</f>
        <v>7</v>
      </c>
      <c r="F2719">
        <f t="shared" ref="F2719" si="7683">_xlfn.NUMBERVALUE(RIGHT(C2719,4))</f>
        <v>2024</v>
      </c>
      <c r="G2719" t="s">
        <v>7</v>
      </c>
      <c r="H2719">
        <v>-2</v>
      </c>
      <c r="K2719" t="s">
        <v>9</v>
      </c>
      <c r="L2719" s="8">
        <f t="shared" si="7587"/>
        <v>-1</v>
      </c>
      <c r="M2719" t="s">
        <v>3014</v>
      </c>
    </row>
    <row r="2720" spans="1:13" x14ac:dyDescent="0.35">
      <c r="A2720">
        <f t="shared" si="7574"/>
        <v>2716</v>
      </c>
      <c r="B2720" s="9">
        <f t="shared" ref="B2720" si="7684">B2719+H2720+I2720+J2720</f>
        <v>44.19</v>
      </c>
      <c r="C2720" s="3" t="s">
        <v>3015</v>
      </c>
      <c r="D2720">
        <f t="shared" ref="D2720" si="7685">_xlfn.NUMBERVALUE(LEFT(C2720,2))</f>
        <v>14</v>
      </c>
      <c r="E2720">
        <f t="shared" ref="E2720" si="7686">_xlfn.NUMBERVALUE(MID(C2720,4,2))</f>
        <v>7</v>
      </c>
      <c r="F2720">
        <f t="shared" ref="F2720" si="7687">_xlfn.NUMBERVALUE(RIGHT(C2720,4))</f>
        <v>2024</v>
      </c>
      <c r="G2720" t="s">
        <v>7</v>
      </c>
      <c r="H2720">
        <v>-2</v>
      </c>
      <c r="K2720" t="s">
        <v>9</v>
      </c>
      <c r="L2720" s="8">
        <f t="shared" si="7587"/>
        <v>-1</v>
      </c>
      <c r="M2720" t="s">
        <v>3016</v>
      </c>
    </row>
    <row r="2721" spans="1:13" x14ac:dyDescent="0.35">
      <c r="A2721">
        <f t="shared" si="7574"/>
        <v>2717</v>
      </c>
      <c r="B2721" s="9">
        <f t="shared" ref="B2721:B2722" si="7688">B2720+H2721+I2721+J2721</f>
        <v>44.19</v>
      </c>
      <c r="C2721" s="3" t="s">
        <v>3015</v>
      </c>
      <c r="D2721">
        <f t="shared" ref="D2721:D2722" si="7689">_xlfn.NUMBERVALUE(LEFT(C2721,2))</f>
        <v>14</v>
      </c>
      <c r="E2721">
        <f t="shared" ref="E2721:E2722" si="7690">_xlfn.NUMBERVALUE(MID(C2721,4,2))</f>
        <v>7</v>
      </c>
      <c r="F2721">
        <f t="shared" ref="F2721:F2722" si="7691">_xlfn.NUMBERVALUE(RIGHT(C2721,4))</f>
        <v>2024</v>
      </c>
      <c r="G2721" t="s">
        <v>3039</v>
      </c>
      <c r="K2721" t="s">
        <v>9</v>
      </c>
      <c r="L2721" s="8">
        <f t="shared" si="7587"/>
        <v>0</v>
      </c>
      <c r="M2721" t="s">
        <v>3017</v>
      </c>
    </row>
    <row r="2722" spans="1:13" x14ac:dyDescent="0.35">
      <c r="A2722">
        <f t="shared" si="7574"/>
        <v>2718</v>
      </c>
      <c r="B2722" s="9">
        <f t="shared" si="7688"/>
        <v>46.19</v>
      </c>
      <c r="C2722" s="3" t="s">
        <v>3015</v>
      </c>
      <c r="D2722">
        <f t="shared" si="7689"/>
        <v>14</v>
      </c>
      <c r="E2722">
        <f t="shared" si="7690"/>
        <v>7</v>
      </c>
      <c r="F2722">
        <f t="shared" si="7691"/>
        <v>2024</v>
      </c>
      <c r="G2722" t="s">
        <v>7</v>
      </c>
      <c r="H2722">
        <v>-2</v>
      </c>
      <c r="I2722">
        <v>4</v>
      </c>
      <c r="K2722" t="s">
        <v>10</v>
      </c>
      <c r="L2722" s="8">
        <f t="shared" si="7587"/>
        <v>1</v>
      </c>
      <c r="M2722" t="s">
        <v>3018</v>
      </c>
    </row>
    <row r="2723" spans="1:13" x14ac:dyDescent="0.35">
      <c r="A2723">
        <f t="shared" si="7574"/>
        <v>2719</v>
      </c>
      <c r="B2723" s="9">
        <f t="shared" ref="B2723" si="7692">B2722+H2723+I2723+J2723</f>
        <v>50.19</v>
      </c>
      <c r="C2723" s="3" t="s">
        <v>3015</v>
      </c>
      <c r="D2723">
        <f t="shared" ref="D2723" si="7693">_xlfn.NUMBERVALUE(LEFT(C2723,2))</f>
        <v>14</v>
      </c>
      <c r="E2723">
        <f t="shared" ref="E2723" si="7694">_xlfn.NUMBERVALUE(MID(C2723,4,2))</f>
        <v>7</v>
      </c>
      <c r="F2723">
        <f t="shared" ref="F2723" si="7695">_xlfn.NUMBERVALUE(RIGHT(C2723,4))</f>
        <v>2024</v>
      </c>
      <c r="G2723" t="s">
        <v>7</v>
      </c>
      <c r="H2723">
        <v>-2</v>
      </c>
      <c r="I2723">
        <v>6</v>
      </c>
      <c r="K2723" t="s">
        <v>10</v>
      </c>
      <c r="L2723" s="8">
        <f t="shared" si="7587"/>
        <v>2</v>
      </c>
      <c r="M2723" t="s">
        <v>3019</v>
      </c>
    </row>
    <row r="2724" spans="1:13" x14ac:dyDescent="0.35">
      <c r="A2724">
        <f t="shared" si="7574"/>
        <v>2720</v>
      </c>
      <c r="B2724" s="9">
        <f t="shared" ref="B2724" si="7696">B2723+H2724+I2724+J2724</f>
        <v>48.19</v>
      </c>
      <c r="C2724" s="3" t="s">
        <v>3015</v>
      </c>
      <c r="D2724">
        <f t="shared" ref="D2724" si="7697">_xlfn.NUMBERVALUE(LEFT(C2724,2))</f>
        <v>14</v>
      </c>
      <c r="E2724">
        <f t="shared" ref="E2724" si="7698">_xlfn.NUMBERVALUE(MID(C2724,4,2))</f>
        <v>7</v>
      </c>
      <c r="F2724">
        <f t="shared" ref="F2724" si="7699">_xlfn.NUMBERVALUE(RIGHT(C2724,4))</f>
        <v>2024</v>
      </c>
      <c r="G2724" t="s">
        <v>7</v>
      </c>
      <c r="H2724">
        <v>-2</v>
      </c>
      <c r="K2724" t="s">
        <v>9</v>
      </c>
      <c r="L2724" s="8">
        <f t="shared" si="7587"/>
        <v>-1</v>
      </c>
      <c r="M2724" t="s">
        <v>3020</v>
      </c>
    </row>
    <row r="2725" spans="1:13" x14ac:dyDescent="0.35">
      <c r="A2725">
        <f t="shared" si="7574"/>
        <v>2721</v>
      </c>
      <c r="B2725" s="9">
        <f t="shared" ref="B2725" si="7700">B2724+H2725+I2725+J2725</f>
        <v>46.19</v>
      </c>
      <c r="C2725" s="3" t="s">
        <v>3015</v>
      </c>
      <c r="D2725">
        <f t="shared" ref="D2725" si="7701">_xlfn.NUMBERVALUE(LEFT(C2725,2))</f>
        <v>14</v>
      </c>
      <c r="E2725">
        <f t="shared" ref="E2725" si="7702">_xlfn.NUMBERVALUE(MID(C2725,4,2))</f>
        <v>7</v>
      </c>
      <c r="F2725">
        <f t="shared" ref="F2725" si="7703">_xlfn.NUMBERVALUE(RIGHT(C2725,4))</f>
        <v>2024</v>
      </c>
      <c r="G2725" t="s">
        <v>7</v>
      </c>
      <c r="H2725">
        <v>-2</v>
      </c>
      <c r="K2725" t="s">
        <v>9</v>
      </c>
      <c r="L2725" s="8">
        <f t="shared" si="7587"/>
        <v>-1</v>
      </c>
      <c r="M2725" t="s">
        <v>3021</v>
      </c>
    </row>
    <row r="2726" spans="1:13" x14ac:dyDescent="0.35">
      <c r="A2726">
        <f t="shared" si="7574"/>
        <v>2722</v>
      </c>
      <c r="B2726" s="9">
        <f t="shared" ref="B2726" si="7704">B2725+H2726+I2726+J2726</f>
        <v>50.19</v>
      </c>
      <c r="C2726" s="3" t="s">
        <v>3015</v>
      </c>
      <c r="D2726">
        <f t="shared" ref="D2726" si="7705">_xlfn.NUMBERVALUE(LEFT(C2726,2))</f>
        <v>14</v>
      </c>
      <c r="E2726">
        <f t="shared" ref="E2726" si="7706">_xlfn.NUMBERVALUE(MID(C2726,4,2))</f>
        <v>7</v>
      </c>
      <c r="F2726">
        <f t="shared" ref="F2726" si="7707">_xlfn.NUMBERVALUE(RIGHT(C2726,4))</f>
        <v>2024</v>
      </c>
      <c r="G2726" t="s">
        <v>7</v>
      </c>
      <c r="H2726">
        <v>-2</v>
      </c>
      <c r="I2726">
        <v>6</v>
      </c>
      <c r="K2726" t="s">
        <v>10</v>
      </c>
      <c r="L2726" s="8">
        <f t="shared" si="7587"/>
        <v>2</v>
      </c>
      <c r="M2726" t="s">
        <v>3022</v>
      </c>
    </row>
    <row r="2727" spans="1:13" x14ac:dyDescent="0.35">
      <c r="A2727">
        <f t="shared" si="7574"/>
        <v>2723</v>
      </c>
      <c r="B2727" s="9">
        <f t="shared" ref="B2727" si="7708">B2726+H2727+I2727+J2727</f>
        <v>48.19</v>
      </c>
      <c r="C2727" s="3" t="s">
        <v>3015</v>
      </c>
      <c r="D2727">
        <f t="shared" ref="D2727" si="7709">_xlfn.NUMBERVALUE(LEFT(C2727,2))</f>
        <v>14</v>
      </c>
      <c r="E2727">
        <f t="shared" ref="E2727" si="7710">_xlfn.NUMBERVALUE(MID(C2727,4,2))</f>
        <v>7</v>
      </c>
      <c r="F2727">
        <f t="shared" ref="F2727" si="7711">_xlfn.NUMBERVALUE(RIGHT(C2727,4))</f>
        <v>2024</v>
      </c>
      <c r="G2727" t="s">
        <v>7</v>
      </c>
      <c r="H2727">
        <v>-2</v>
      </c>
      <c r="K2727" t="s">
        <v>9</v>
      </c>
      <c r="L2727" s="8">
        <f t="shared" si="7587"/>
        <v>-1</v>
      </c>
      <c r="M2727" t="s">
        <v>3023</v>
      </c>
    </row>
    <row r="2728" spans="1:13" x14ac:dyDescent="0.35">
      <c r="A2728">
        <f t="shared" si="7574"/>
        <v>2724</v>
      </c>
      <c r="B2728" s="9">
        <f t="shared" ref="B2728" si="7712">B2727+H2728+I2728+J2728</f>
        <v>52.19</v>
      </c>
      <c r="C2728" s="3" t="s">
        <v>3015</v>
      </c>
      <c r="D2728">
        <f t="shared" ref="D2728" si="7713">_xlfn.NUMBERVALUE(LEFT(C2728,2))</f>
        <v>14</v>
      </c>
      <c r="E2728">
        <f t="shared" ref="E2728" si="7714">_xlfn.NUMBERVALUE(MID(C2728,4,2))</f>
        <v>7</v>
      </c>
      <c r="F2728">
        <f t="shared" ref="F2728" si="7715">_xlfn.NUMBERVALUE(RIGHT(C2728,4))</f>
        <v>2024</v>
      </c>
      <c r="G2728" t="s">
        <v>7</v>
      </c>
      <c r="H2728">
        <v>-2</v>
      </c>
      <c r="I2728">
        <v>6</v>
      </c>
      <c r="K2728" t="s">
        <v>10</v>
      </c>
      <c r="L2728" s="8">
        <f t="shared" si="7587"/>
        <v>2</v>
      </c>
      <c r="M2728" t="s">
        <v>3024</v>
      </c>
    </row>
    <row r="2729" spans="1:13" x14ac:dyDescent="0.35">
      <c r="A2729">
        <f t="shared" si="7574"/>
        <v>2725</v>
      </c>
      <c r="B2729" s="9">
        <f t="shared" ref="B2729" si="7716">B2728+H2729+I2729+J2729</f>
        <v>50.19</v>
      </c>
      <c r="C2729" s="3" t="s">
        <v>3015</v>
      </c>
      <c r="D2729">
        <f t="shared" ref="D2729" si="7717">_xlfn.NUMBERVALUE(LEFT(C2729,2))</f>
        <v>14</v>
      </c>
      <c r="E2729">
        <f t="shared" ref="E2729" si="7718">_xlfn.NUMBERVALUE(MID(C2729,4,2))</f>
        <v>7</v>
      </c>
      <c r="F2729">
        <f t="shared" ref="F2729" si="7719">_xlfn.NUMBERVALUE(RIGHT(C2729,4))</f>
        <v>2024</v>
      </c>
      <c r="G2729" t="s">
        <v>7</v>
      </c>
      <c r="H2729">
        <v>-2</v>
      </c>
      <c r="K2729" t="s">
        <v>9</v>
      </c>
      <c r="L2729" s="8">
        <f t="shared" si="7587"/>
        <v>-1</v>
      </c>
      <c r="M2729" t="s">
        <v>3025</v>
      </c>
    </row>
    <row r="2730" spans="1:13" x14ac:dyDescent="0.35">
      <c r="A2730">
        <f t="shared" si="7574"/>
        <v>2726</v>
      </c>
      <c r="B2730" s="9">
        <f t="shared" ref="B2730" si="7720">B2729+H2730+I2730+J2730</f>
        <v>52.19</v>
      </c>
      <c r="C2730" s="3" t="s">
        <v>3015</v>
      </c>
      <c r="D2730">
        <f t="shared" ref="D2730" si="7721">_xlfn.NUMBERVALUE(LEFT(C2730,2))</f>
        <v>14</v>
      </c>
      <c r="E2730">
        <f t="shared" ref="E2730" si="7722">_xlfn.NUMBERVALUE(MID(C2730,4,2))</f>
        <v>7</v>
      </c>
      <c r="F2730">
        <f t="shared" ref="F2730" si="7723">_xlfn.NUMBERVALUE(RIGHT(C2730,4))</f>
        <v>2024</v>
      </c>
      <c r="G2730" t="s">
        <v>7</v>
      </c>
      <c r="H2730">
        <v>-2</v>
      </c>
      <c r="I2730">
        <v>4</v>
      </c>
      <c r="K2730" t="s">
        <v>10</v>
      </c>
      <c r="L2730" s="8">
        <f t="shared" si="7587"/>
        <v>1</v>
      </c>
      <c r="M2730" t="s">
        <v>3026</v>
      </c>
    </row>
    <row r="2731" spans="1:13" x14ac:dyDescent="0.35">
      <c r="A2731">
        <f t="shared" si="7574"/>
        <v>2727</v>
      </c>
      <c r="B2731" s="9">
        <f t="shared" ref="B2731" si="7724">B2730+H2731+I2731+J2731</f>
        <v>56.19</v>
      </c>
      <c r="C2731" s="3" t="s">
        <v>3015</v>
      </c>
      <c r="D2731">
        <f t="shared" ref="D2731" si="7725">_xlfn.NUMBERVALUE(LEFT(C2731,2))</f>
        <v>14</v>
      </c>
      <c r="E2731">
        <f t="shared" ref="E2731" si="7726">_xlfn.NUMBERVALUE(MID(C2731,4,2))</f>
        <v>7</v>
      </c>
      <c r="F2731">
        <f t="shared" ref="F2731" si="7727">_xlfn.NUMBERVALUE(RIGHT(C2731,4))</f>
        <v>2024</v>
      </c>
      <c r="G2731" t="s">
        <v>7</v>
      </c>
      <c r="H2731">
        <v>-2</v>
      </c>
      <c r="I2731">
        <v>6</v>
      </c>
      <c r="K2731" t="s">
        <v>10</v>
      </c>
      <c r="L2731" s="8">
        <f t="shared" si="7587"/>
        <v>2</v>
      </c>
      <c r="M2731" t="s">
        <v>3027</v>
      </c>
    </row>
    <row r="2732" spans="1:13" x14ac:dyDescent="0.35">
      <c r="A2732">
        <f t="shared" si="7574"/>
        <v>2728</v>
      </c>
      <c r="B2732" s="9">
        <f t="shared" ref="B2732" si="7728">B2731+H2732+I2732+J2732</f>
        <v>58.19</v>
      </c>
      <c r="C2732" s="3" t="s">
        <v>3028</v>
      </c>
      <c r="D2732">
        <f t="shared" ref="D2732" si="7729">_xlfn.NUMBERVALUE(LEFT(C2732,2))</f>
        <v>16</v>
      </c>
      <c r="E2732">
        <f t="shared" ref="E2732" si="7730">_xlfn.NUMBERVALUE(MID(C2732,4,2))</f>
        <v>7</v>
      </c>
      <c r="F2732">
        <f t="shared" ref="F2732" si="7731">_xlfn.NUMBERVALUE(RIGHT(C2732,4))</f>
        <v>2024</v>
      </c>
      <c r="G2732" t="s">
        <v>7</v>
      </c>
      <c r="H2732">
        <v>-2</v>
      </c>
      <c r="I2732">
        <v>4</v>
      </c>
      <c r="K2732" t="s">
        <v>10</v>
      </c>
      <c r="L2732" s="8">
        <f t="shared" si="7587"/>
        <v>1</v>
      </c>
      <c r="M2732" t="s">
        <v>3029</v>
      </c>
    </row>
    <row r="2733" spans="1:13" x14ac:dyDescent="0.35">
      <c r="A2733">
        <f t="shared" si="7574"/>
        <v>2729</v>
      </c>
      <c r="B2733" s="9">
        <f t="shared" ref="B2733:B2734" si="7732">B2732+H2733+I2733+J2733</f>
        <v>58.19</v>
      </c>
      <c r="C2733" s="3" t="s">
        <v>3028</v>
      </c>
      <c r="D2733">
        <f t="shared" ref="D2733:D2734" si="7733">_xlfn.NUMBERVALUE(LEFT(C2733,2))</f>
        <v>16</v>
      </c>
      <c r="E2733">
        <f t="shared" ref="E2733:E2734" si="7734">_xlfn.NUMBERVALUE(MID(C2733,4,2))</f>
        <v>7</v>
      </c>
      <c r="F2733">
        <f t="shared" ref="F2733:F2734" si="7735">_xlfn.NUMBERVALUE(RIGHT(C2733,4))</f>
        <v>2024</v>
      </c>
      <c r="G2733" t="s">
        <v>3039</v>
      </c>
      <c r="K2733" t="s">
        <v>9</v>
      </c>
      <c r="L2733" s="8">
        <f t="shared" si="7587"/>
        <v>0</v>
      </c>
      <c r="M2733" t="s">
        <v>3030</v>
      </c>
    </row>
    <row r="2734" spans="1:13" x14ac:dyDescent="0.35">
      <c r="A2734">
        <f t="shared" si="7574"/>
        <v>2730</v>
      </c>
      <c r="B2734" s="9">
        <f t="shared" si="7732"/>
        <v>56.19</v>
      </c>
      <c r="C2734" s="3" t="s">
        <v>3028</v>
      </c>
      <c r="D2734">
        <f t="shared" si="7733"/>
        <v>16</v>
      </c>
      <c r="E2734">
        <f t="shared" si="7734"/>
        <v>7</v>
      </c>
      <c r="F2734">
        <f t="shared" si="7735"/>
        <v>2024</v>
      </c>
      <c r="G2734" t="s">
        <v>7</v>
      </c>
      <c r="H2734">
        <v>-2</v>
      </c>
      <c r="K2734" t="s">
        <v>9</v>
      </c>
      <c r="L2734" s="8">
        <f t="shared" si="7587"/>
        <v>-1</v>
      </c>
      <c r="M2734" t="s">
        <v>3031</v>
      </c>
    </row>
    <row r="2735" spans="1:13" x14ac:dyDescent="0.35">
      <c r="A2735">
        <f t="shared" si="7574"/>
        <v>2731</v>
      </c>
      <c r="B2735" s="9">
        <f t="shared" ref="B2735" si="7736">B2734+H2735+I2735+J2735</f>
        <v>54.19</v>
      </c>
      <c r="C2735" s="3" t="s">
        <v>3034</v>
      </c>
      <c r="D2735">
        <f t="shared" ref="D2735" si="7737">_xlfn.NUMBERVALUE(LEFT(C2735,2))</f>
        <v>17</v>
      </c>
      <c r="E2735">
        <f t="shared" ref="E2735" si="7738">_xlfn.NUMBERVALUE(MID(C2735,4,2))</f>
        <v>7</v>
      </c>
      <c r="F2735">
        <f t="shared" ref="F2735" si="7739">_xlfn.NUMBERVALUE(RIGHT(C2735,4))</f>
        <v>2024</v>
      </c>
      <c r="G2735" t="s">
        <v>7</v>
      </c>
      <c r="H2735">
        <v>-2</v>
      </c>
      <c r="K2735" t="s">
        <v>9</v>
      </c>
      <c r="L2735" s="8">
        <f t="shared" si="7587"/>
        <v>-1</v>
      </c>
      <c r="M2735" t="s">
        <v>3032</v>
      </c>
    </row>
    <row r="2736" spans="1:13" x14ac:dyDescent="0.35">
      <c r="A2736">
        <f t="shared" si="7574"/>
        <v>2732</v>
      </c>
      <c r="B2736" s="9">
        <f t="shared" ref="B2736" si="7740">B2735+H2736+I2736+J2736</f>
        <v>54.19</v>
      </c>
      <c r="C2736" s="3" t="s">
        <v>3034</v>
      </c>
      <c r="D2736">
        <f t="shared" ref="D2736" si="7741">_xlfn.NUMBERVALUE(LEFT(C2736,2))</f>
        <v>17</v>
      </c>
      <c r="E2736">
        <f t="shared" ref="E2736" si="7742">_xlfn.NUMBERVALUE(MID(C2736,4,2))</f>
        <v>7</v>
      </c>
      <c r="F2736">
        <f t="shared" ref="F2736" si="7743">_xlfn.NUMBERVALUE(RIGHT(C2736,4))</f>
        <v>2024</v>
      </c>
      <c r="G2736" t="s">
        <v>3039</v>
      </c>
      <c r="K2736" t="s">
        <v>10</v>
      </c>
      <c r="L2736" s="8">
        <f t="shared" si="7587"/>
        <v>0</v>
      </c>
      <c r="M2736" t="s">
        <v>3033</v>
      </c>
    </row>
    <row r="2737" spans="1:13" x14ac:dyDescent="0.35">
      <c r="A2737">
        <f t="shared" si="7574"/>
        <v>2733</v>
      </c>
      <c r="B2737" s="9">
        <f t="shared" ref="B2737" si="7744">B2736+H2737+I2737+J2737</f>
        <v>54.19</v>
      </c>
      <c r="C2737" s="3" t="s">
        <v>3034</v>
      </c>
      <c r="D2737">
        <f t="shared" ref="D2737" si="7745">_xlfn.NUMBERVALUE(LEFT(C2737,2))</f>
        <v>17</v>
      </c>
      <c r="E2737">
        <f t="shared" ref="E2737" si="7746">_xlfn.NUMBERVALUE(MID(C2737,4,2))</f>
        <v>7</v>
      </c>
      <c r="F2737">
        <f t="shared" ref="F2737" si="7747">_xlfn.NUMBERVALUE(RIGHT(C2737,4))</f>
        <v>2024</v>
      </c>
      <c r="G2737" t="s">
        <v>2969</v>
      </c>
      <c r="K2737" t="s">
        <v>9</v>
      </c>
      <c r="L2737" s="8">
        <f t="shared" si="7587"/>
        <v>0</v>
      </c>
      <c r="M2737" t="s">
        <v>3035</v>
      </c>
    </row>
    <row r="2738" spans="1:13" x14ac:dyDescent="0.35">
      <c r="A2738">
        <f t="shared" si="7574"/>
        <v>2734</v>
      </c>
      <c r="B2738" s="9">
        <f t="shared" ref="B2738" si="7748">B2737+H2738+I2738+J2738</f>
        <v>52.19</v>
      </c>
      <c r="C2738" s="3" t="s">
        <v>3034</v>
      </c>
      <c r="D2738">
        <f t="shared" ref="D2738" si="7749">_xlfn.NUMBERVALUE(LEFT(C2738,2))</f>
        <v>17</v>
      </c>
      <c r="E2738">
        <f t="shared" ref="E2738" si="7750">_xlfn.NUMBERVALUE(MID(C2738,4,2))</f>
        <v>7</v>
      </c>
      <c r="F2738">
        <f t="shared" ref="F2738" si="7751">_xlfn.NUMBERVALUE(RIGHT(C2738,4))</f>
        <v>2024</v>
      </c>
      <c r="G2738" t="s">
        <v>7</v>
      </c>
      <c r="H2738">
        <v>-2</v>
      </c>
      <c r="K2738" t="s">
        <v>9</v>
      </c>
      <c r="L2738" s="8">
        <f t="shared" si="7587"/>
        <v>-1</v>
      </c>
      <c r="M2738" t="s">
        <v>3036</v>
      </c>
    </row>
    <row r="2739" spans="1:13" x14ac:dyDescent="0.35">
      <c r="A2739">
        <f t="shared" si="7574"/>
        <v>2735</v>
      </c>
      <c r="B2739" s="9">
        <f t="shared" ref="B2739" si="7752">B2738+H2739+I2739+J2739</f>
        <v>56.19</v>
      </c>
      <c r="C2739" s="3" t="s">
        <v>3034</v>
      </c>
      <c r="D2739">
        <f t="shared" ref="D2739" si="7753">_xlfn.NUMBERVALUE(LEFT(C2739,2))</f>
        <v>17</v>
      </c>
      <c r="E2739">
        <f t="shared" ref="E2739" si="7754">_xlfn.NUMBERVALUE(MID(C2739,4,2))</f>
        <v>7</v>
      </c>
      <c r="F2739">
        <f t="shared" ref="F2739" si="7755">_xlfn.NUMBERVALUE(RIGHT(C2739,4))</f>
        <v>2024</v>
      </c>
      <c r="G2739" t="s">
        <v>7</v>
      </c>
      <c r="H2739">
        <v>-2</v>
      </c>
      <c r="I2739">
        <v>6</v>
      </c>
      <c r="K2739" t="s">
        <v>10</v>
      </c>
      <c r="L2739" s="8">
        <f t="shared" si="7587"/>
        <v>2</v>
      </c>
      <c r="M2739" t="s">
        <v>3037</v>
      </c>
    </row>
    <row r="2740" spans="1:13" x14ac:dyDescent="0.35">
      <c r="A2740">
        <f t="shared" si="7574"/>
        <v>2736</v>
      </c>
      <c r="B2740" s="9">
        <f t="shared" ref="B2740" si="7756">B2739+H2740+I2740+J2740</f>
        <v>60.19</v>
      </c>
      <c r="C2740" s="3" t="s">
        <v>3034</v>
      </c>
      <c r="D2740">
        <f t="shared" ref="D2740" si="7757">_xlfn.NUMBERVALUE(LEFT(C2740,2))</f>
        <v>17</v>
      </c>
      <c r="E2740">
        <f t="shared" ref="E2740" si="7758">_xlfn.NUMBERVALUE(MID(C2740,4,2))</f>
        <v>7</v>
      </c>
      <c r="F2740">
        <f t="shared" ref="F2740" si="7759">_xlfn.NUMBERVALUE(RIGHT(C2740,4))</f>
        <v>2024</v>
      </c>
      <c r="G2740" t="s">
        <v>7</v>
      </c>
      <c r="H2740">
        <v>-2</v>
      </c>
      <c r="I2740">
        <v>6</v>
      </c>
      <c r="K2740" t="s">
        <v>10</v>
      </c>
      <c r="L2740" s="8">
        <f t="shared" si="7587"/>
        <v>2</v>
      </c>
      <c r="M2740" t="s">
        <v>3038</v>
      </c>
    </row>
    <row r="2741" spans="1:13" x14ac:dyDescent="0.35">
      <c r="A2741">
        <f t="shared" si="7574"/>
        <v>2737</v>
      </c>
      <c r="B2741" s="9">
        <f t="shared" ref="B2741" si="7760">B2740+H2741+I2741+J2741</f>
        <v>58.19</v>
      </c>
      <c r="C2741" s="3" t="s">
        <v>3034</v>
      </c>
      <c r="D2741">
        <f t="shared" ref="D2741" si="7761">_xlfn.NUMBERVALUE(LEFT(C2741,2))</f>
        <v>17</v>
      </c>
      <c r="E2741">
        <f t="shared" ref="E2741" si="7762">_xlfn.NUMBERVALUE(MID(C2741,4,2))</f>
        <v>7</v>
      </c>
      <c r="F2741">
        <f t="shared" ref="F2741" si="7763">_xlfn.NUMBERVALUE(RIGHT(C2741,4))</f>
        <v>2024</v>
      </c>
      <c r="G2741" t="s">
        <v>7</v>
      </c>
      <c r="H2741">
        <v>-2</v>
      </c>
      <c r="K2741" t="s">
        <v>9</v>
      </c>
      <c r="L2741" s="8">
        <f t="shared" si="7587"/>
        <v>-1</v>
      </c>
      <c r="M2741" t="s">
        <v>3041</v>
      </c>
    </row>
    <row r="2742" spans="1:13" x14ac:dyDescent="0.35">
      <c r="A2742">
        <f t="shared" si="7574"/>
        <v>2738</v>
      </c>
      <c r="B2742" s="9">
        <f t="shared" ref="B2742" si="7764">B2741+H2742+I2742+J2742</f>
        <v>56.19</v>
      </c>
      <c r="C2742" s="3" t="s">
        <v>3034</v>
      </c>
      <c r="D2742">
        <f t="shared" ref="D2742" si="7765">_xlfn.NUMBERVALUE(LEFT(C2742,2))</f>
        <v>17</v>
      </c>
      <c r="E2742">
        <f t="shared" ref="E2742" si="7766">_xlfn.NUMBERVALUE(MID(C2742,4,2))</f>
        <v>7</v>
      </c>
      <c r="F2742">
        <f t="shared" ref="F2742" si="7767">_xlfn.NUMBERVALUE(RIGHT(C2742,4))</f>
        <v>2024</v>
      </c>
      <c r="G2742" t="s">
        <v>7</v>
      </c>
      <c r="H2742">
        <v>-2</v>
      </c>
      <c r="K2742" t="s">
        <v>9</v>
      </c>
      <c r="L2742" s="8">
        <f t="shared" si="7587"/>
        <v>-1</v>
      </c>
      <c r="M2742" t="s">
        <v>3042</v>
      </c>
    </row>
    <row r="2743" spans="1:13" x14ac:dyDescent="0.35">
      <c r="A2743">
        <f t="shared" si="7574"/>
        <v>2739</v>
      </c>
      <c r="B2743" s="9">
        <f t="shared" ref="B2743" si="7768">B2742+H2743+I2743+J2743</f>
        <v>54.19</v>
      </c>
      <c r="C2743" s="3" t="s">
        <v>3034</v>
      </c>
      <c r="D2743">
        <f t="shared" ref="D2743" si="7769">_xlfn.NUMBERVALUE(LEFT(C2743,2))</f>
        <v>17</v>
      </c>
      <c r="E2743">
        <f t="shared" ref="E2743" si="7770">_xlfn.NUMBERVALUE(MID(C2743,4,2))</f>
        <v>7</v>
      </c>
      <c r="F2743">
        <f t="shared" ref="F2743" si="7771">_xlfn.NUMBERVALUE(RIGHT(C2743,4))</f>
        <v>2024</v>
      </c>
      <c r="G2743" t="s">
        <v>7</v>
      </c>
      <c r="H2743">
        <v>-2</v>
      </c>
      <c r="K2743" t="s">
        <v>9</v>
      </c>
      <c r="L2743" s="8">
        <f t="shared" si="7587"/>
        <v>-1</v>
      </c>
      <c r="M2743" t="s">
        <v>3043</v>
      </c>
    </row>
    <row r="2744" spans="1:13" x14ac:dyDescent="0.35">
      <c r="A2744">
        <f t="shared" si="7574"/>
        <v>2740</v>
      </c>
      <c r="B2744" s="9">
        <f t="shared" ref="B2744" si="7772">B2743+H2744+I2744+J2744</f>
        <v>52.19</v>
      </c>
      <c r="C2744" s="3" t="s">
        <v>3044</v>
      </c>
      <c r="D2744">
        <f t="shared" ref="D2744" si="7773">_xlfn.NUMBERVALUE(LEFT(C2744,2))</f>
        <v>18</v>
      </c>
      <c r="E2744">
        <f t="shared" ref="E2744" si="7774">_xlfn.NUMBERVALUE(MID(C2744,4,2))</f>
        <v>7</v>
      </c>
      <c r="F2744">
        <f t="shared" ref="F2744" si="7775">_xlfn.NUMBERVALUE(RIGHT(C2744,4))</f>
        <v>2024</v>
      </c>
      <c r="G2744" t="s">
        <v>7</v>
      </c>
      <c r="H2744">
        <v>-2</v>
      </c>
      <c r="K2744" t="s">
        <v>9</v>
      </c>
      <c r="L2744" s="8">
        <f t="shared" si="7587"/>
        <v>-1</v>
      </c>
      <c r="M2744" t="s">
        <v>3045</v>
      </c>
    </row>
    <row r="2745" spans="1:13" x14ac:dyDescent="0.35">
      <c r="A2745">
        <f t="shared" si="7574"/>
        <v>2741</v>
      </c>
      <c r="B2745" s="9">
        <f t="shared" ref="B2745:B2746" si="7776">B2744+H2745+I2745+J2745</f>
        <v>52.19</v>
      </c>
      <c r="C2745" s="3" t="s">
        <v>3044</v>
      </c>
      <c r="D2745">
        <f t="shared" ref="D2745:D2746" si="7777">_xlfn.NUMBERVALUE(LEFT(C2745,2))</f>
        <v>18</v>
      </c>
      <c r="E2745">
        <f t="shared" ref="E2745:E2746" si="7778">_xlfn.NUMBERVALUE(MID(C2745,4,2))</f>
        <v>7</v>
      </c>
      <c r="F2745">
        <f t="shared" ref="F2745:F2746" si="7779">_xlfn.NUMBERVALUE(RIGHT(C2745,4))</f>
        <v>2024</v>
      </c>
      <c r="G2745" t="s">
        <v>3039</v>
      </c>
      <c r="K2745" t="s">
        <v>9</v>
      </c>
      <c r="L2745" s="8">
        <f t="shared" si="7587"/>
        <v>0</v>
      </c>
      <c r="M2745" t="s">
        <v>3046</v>
      </c>
    </row>
    <row r="2746" spans="1:13" x14ac:dyDescent="0.35">
      <c r="A2746">
        <f t="shared" si="7574"/>
        <v>2742</v>
      </c>
      <c r="B2746" s="9">
        <f t="shared" si="7776"/>
        <v>50.19</v>
      </c>
      <c r="C2746" s="3" t="s">
        <v>3044</v>
      </c>
      <c r="D2746">
        <f t="shared" si="7777"/>
        <v>18</v>
      </c>
      <c r="E2746">
        <f t="shared" si="7778"/>
        <v>7</v>
      </c>
      <c r="F2746">
        <f t="shared" si="7779"/>
        <v>2024</v>
      </c>
      <c r="G2746" t="s">
        <v>7</v>
      </c>
      <c r="H2746">
        <v>-2</v>
      </c>
      <c r="K2746" t="s">
        <v>9</v>
      </c>
      <c r="L2746" s="8">
        <f t="shared" si="7587"/>
        <v>-1</v>
      </c>
      <c r="M2746" t="s">
        <v>3047</v>
      </c>
    </row>
    <row r="2747" spans="1:13" x14ac:dyDescent="0.35">
      <c r="A2747">
        <f t="shared" si="7574"/>
        <v>2743</v>
      </c>
      <c r="B2747" s="9">
        <f t="shared" ref="B2747" si="7780">B2746+H2747+I2747+J2747</f>
        <v>48.19</v>
      </c>
      <c r="C2747" s="3" t="s">
        <v>3044</v>
      </c>
      <c r="D2747">
        <f t="shared" ref="D2747" si="7781">_xlfn.NUMBERVALUE(LEFT(C2747,2))</f>
        <v>18</v>
      </c>
      <c r="E2747">
        <f t="shared" ref="E2747" si="7782">_xlfn.NUMBERVALUE(MID(C2747,4,2))</f>
        <v>7</v>
      </c>
      <c r="F2747">
        <f t="shared" ref="F2747" si="7783">_xlfn.NUMBERVALUE(RIGHT(C2747,4))</f>
        <v>2024</v>
      </c>
      <c r="G2747" t="s">
        <v>7</v>
      </c>
      <c r="H2747">
        <v>-2</v>
      </c>
      <c r="K2747" t="s">
        <v>9</v>
      </c>
      <c r="L2747" s="8">
        <f t="shared" si="7587"/>
        <v>-1</v>
      </c>
      <c r="M2747" t="s">
        <v>3048</v>
      </c>
    </row>
    <row r="2748" spans="1:13" x14ac:dyDescent="0.35">
      <c r="A2748">
        <f t="shared" si="7574"/>
        <v>2744</v>
      </c>
      <c r="B2748" s="9">
        <f t="shared" ref="B2748" si="7784">B2747+H2748+I2748+J2748</f>
        <v>46.19</v>
      </c>
      <c r="C2748" s="3" t="s">
        <v>3044</v>
      </c>
      <c r="D2748">
        <f t="shared" ref="D2748" si="7785">_xlfn.NUMBERVALUE(LEFT(C2748,2))</f>
        <v>18</v>
      </c>
      <c r="E2748">
        <f t="shared" ref="E2748" si="7786">_xlfn.NUMBERVALUE(MID(C2748,4,2))</f>
        <v>7</v>
      </c>
      <c r="F2748">
        <f t="shared" ref="F2748" si="7787">_xlfn.NUMBERVALUE(RIGHT(C2748,4))</f>
        <v>2024</v>
      </c>
      <c r="G2748" t="s">
        <v>7</v>
      </c>
      <c r="H2748">
        <v>-2</v>
      </c>
      <c r="K2748" t="s">
        <v>9</v>
      </c>
      <c r="L2748" s="8">
        <f t="shared" si="7587"/>
        <v>-1</v>
      </c>
      <c r="M2748" t="s">
        <v>3049</v>
      </c>
    </row>
    <row r="2749" spans="1:13" x14ac:dyDescent="0.35">
      <c r="A2749">
        <f t="shared" si="7574"/>
        <v>2745</v>
      </c>
      <c r="B2749" s="9">
        <f t="shared" ref="B2749" si="7788">B2748+H2749+I2749+J2749</f>
        <v>44.19</v>
      </c>
      <c r="C2749" s="3" t="s">
        <v>3044</v>
      </c>
      <c r="D2749">
        <f t="shared" ref="D2749" si="7789">_xlfn.NUMBERVALUE(LEFT(C2749,2))</f>
        <v>18</v>
      </c>
      <c r="E2749">
        <f t="shared" ref="E2749" si="7790">_xlfn.NUMBERVALUE(MID(C2749,4,2))</f>
        <v>7</v>
      </c>
      <c r="F2749">
        <f t="shared" ref="F2749" si="7791">_xlfn.NUMBERVALUE(RIGHT(C2749,4))</f>
        <v>2024</v>
      </c>
      <c r="G2749" t="s">
        <v>7</v>
      </c>
      <c r="H2749">
        <v>-2</v>
      </c>
      <c r="K2749" t="s">
        <v>9</v>
      </c>
      <c r="L2749" s="8">
        <f t="shared" si="7587"/>
        <v>-1</v>
      </c>
      <c r="M2749" t="s">
        <v>3050</v>
      </c>
    </row>
    <row r="2750" spans="1:13" x14ac:dyDescent="0.35">
      <c r="A2750">
        <f t="shared" si="7574"/>
        <v>2746</v>
      </c>
      <c r="B2750" s="9">
        <f t="shared" ref="B2750" si="7792">B2749+H2750+I2750+J2750</f>
        <v>42.19</v>
      </c>
      <c r="C2750" s="3" t="s">
        <v>3044</v>
      </c>
      <c r="D2750">
        <f t="shared" ref="D2750" si="7793">_xlfn.NUMBERVALUE(LEFT(C2750,2))</f>
        <v>18</v>
      </c>
      <c r="E2750">
        <f t="shared" ref="E2750" si="7794">_xlfn.NUMBERVALUE(MID(C2750,4,2))</f>
        <v>7</v>
      </c>
      <c r="F2750">
        <f t="shared" ref="F2750" si="7795">_xlfn.NUMBERVALUE(RIGHT(C2750,4))</f>
        <v>2024</v>
      </c>
      <c r="G2750" t="s">
        <v>7</v>
      </c>
      <c r="H2750">
        <v>-2</v>
      </c>
      <c r="K2750" t="s">
        <v>9</v>
      </c>
      <c r="L2750" s="8">
        <f t="shared" si="7587"/>
        <v>-1</v>
      </c>
      <c r="M2750" t="s">
        <v>3051</v>
      </c>
    </row>
    <row r="2751" spans="1:13" x14ac:dyDescent="0.35">
      <c r="A2751">
        <f t="shared" si="7574"/>
        <v>2747</v>
      </c>
      <c r="B2751" s="9">
        <f t="shared" ref="B2751" si="7796">B2750+H2751+I2751+J2751</f>
        <v>40.19</v>
      </c>
      <c r="C2751" s="3" t="s">
        <v>3044</v>
      </c>
      <c r="D2751">
        <f t="shared" ref="D2751" si="7797">_xlfn.NUMBERVALUE(LEFT(C2751,2))</f>
        <v>18</v>
      </c>
      <c r="E2751">
        <f t="shared" ref="E2751" si="7798">_xlfn.NUMBERVALUE(MID(C2751,4,2))</f>
        <v>7</v>
      </c>
      <c r="F2751">
        <f t="shared" ref="F2751" si="7799">_xlfn.NUMBERVALUE(RIGHT(C2751,4))</f>
        <v>2024</v>
      </c>
      <c r="G2751" t="s">
        <v>7</v>
      </c>
      <c r="H2751">
        <v>-2</v>
      </c>
      <c r="K2751" t="s">
        <v>9</v>
      </c>
      <c r="L2751" s="8">
        <f t="shared" si="7587"/>
        <v>-1</v>
      </c>
      <c r="M2751" t="s">
        <v>3052</v>
      </c>
    </row>
    <row r="2752" spans="1:13" x14ac:dyDescent="0.35">
      <c r="A2752">
        <f t="shared" si="7574"/>
        <v>2748</v>
      </c>
      <c r="B2752" s="9">
        <f t="shared" ref="B2752" si="7800">B2751+H2752+I2752+J2752</f>
        <v>38.19</v>
      </c>
      <c r="C2752" s="3" t="s">
        <v>3044</v>
      </c>
      <c r="D2752">
        <f t="shared" ref="D2752" si="7801">_xlfn.NUMBERVALUE(LEFT(C2752,2))</f>
        <v>18</v>
      </c>
      <c r="E2752">
        <f t="shared" ref="E2752" si="7802">_xlfn.NUMBERVALUE(MID(C2752,4,2))</f>
        <v>7</v>
      </c>
      <c r="F2752">
        <f t="shared" ref="F2752" si="7803">_xlfn.NUMBERVALUE(RIGHT(C2752,4))</f>
        <v>2024</v>
      </c>
      <c r="G2752" t="s">
        <v>7</v>
      </c>
      <c r="H2752">
        <v>-2</v>
      </c>
      <c r="K2752" t="s">
        <v>9</v>
      </c>
      <c r="L2752" s="8">
        <f t="shared" si="7587"/>
        <v>-1</v>
      </c>
      <c r="M2752" t="s">
        <v>3053</v>
      </c>
    </row>
    <row r="2753" spans="1:13" x14ac:dyDescent="0.35">
      <c r="A2753">
        <f t="shared" si="7574"/>
        <v>2749</v>
      </c>
      <c r="B2753" s="9">
        <f t="shared" ref="B2753" si="7804">B2752+H2753+I2753+J2753</f>
        <v>40.19</v>
      </c>
      <c r="C2753" s="3" t="s">
        <v>3044</v>
      </c>
      <c r="D2753">
        <f t="shared" ref="D2753" si="7805">_xlfn.NUMBERVALUE(LEFT(C2753,2))</f>
        <v>18</v>
      </c>
      <c r="E2753">
        <f t="shared" ref="E2753" si="7806">_xlfn.NUMBERVALUE(MID(C2753,4,2))</f>
        <v>7</v>
      </c>
      <c r="F2753">
        <f t="shared" ref="F2753" si="7807">_xlfn.NUMBERVALUE(RIGHT(C2753,4))</f>
        <v>2024</v>
      </c>
      <c r="G2753" t="s">
        <v>7</v>
      </c>
      <c r="H2753">
        <v>-2</v>
      </c>
      <c r="I2753">
        <v>4</v>
      </c>
      <c r="K2753" t="s">
        <v>10</v>
      </c>
      <c r="L2753" s="8">
        <f t="shared" si="7587"/>
        <v>1</v>
      </c>
      <c r="M2753" t="s">
        <v>3054</v>
      </c>
    </row>
    <row r="2754" spans="1:13" x14ac:dyDescent="0.35">
      <c r="A2754">
        <f t="shared" si="7574"/>
        <v>2750</v>
      </c>
      <c r="B2754" s="9">
        <f t="shared" ref="B2754" si="7808">B2753+H2754+I2754+J2754</f>
        <v>48.19</v>
      </c>
      <c r="C2754" s="3" t="s">
        <v>3044</v>
      </c>
      <c r="D2754">
        <f t="shared" ref="D2754" si="7809">_xlfn.NUMBERVALUE(LEFT(C2754,2))</f>
        <v>18</v>
      </c>
      <c r="E2754">
        <f t="shared" ref="E2754" si="7810">_xlfn.NUMBERVALUE(MID(C2754,4,2))</f>
        <v>7</v>
      </c>
      <c r="F2754">
        <f t="shared" ref="F2754" si="7811">_xlfn.NUMBERVALUE(RIGHT(C2754,4))</f>
        <v>2024</v>
      </c>
      <c r="G2754" t="s">
        <v>7</v>
      </c>
      <c r="H2754">
        <v>-2</v>
      </c>
      <c r="I2754">
        <v>10</v>
      </c>
      <c r="K2754" t="s">
        <v>10</v>
      </c>
      <c r="L2754" s="8">
        <f t="shared" si="7587"/>
        <v>4</v>
      </c>
      <c r="M2754" t="s">
        <v>3055</v>
      </c>
    </row>
    <row r="2755" spans="1:13" x14ac:dyDescent="0.35">
      <c r="A2755">
        <f t="shared" si="7574"/>
        <v>2751</v>
      </c>
      <c r="B2755" s="9">
        <f t="shared" ref="B2755" si="7812">B2754+H2755+I2755+J2755</f>
        <v>52.19</v>
      </c>
      <c r="C2755" s="3" t="s">
        <v>3044</v>
      </c>
      <c r="D2755">
        <f t="shared" ref="D2755" si="7813">_xlfn.NUMBERVALUE(LEFT(C2755,2))</f>
        <v>18</v>
      </c>
      <c r="E2755">
        <f t="shared" ref="E2755" si="7814">_xlfn.NUMBERVALUE(MID(C2755,4,2))</f>
        <v>7</v>
      </c>
      <c r="F2755">
        <f t="shared" ref="F2755" si="7815">_xlfn.NUMBERVALUE(RIGHT(C2755,4))</f>
        <v>2024</v>
      </c>
      <c r="G2755" t="s">
        <v>7</v>
      </c>
      <c r="H2755">
        <v>-2</v>
      </c>
      <c r="I2755">
        <v>6</v>
      </c>
      <c r="K2755" t="s">
        <v>10</v>
      </c>
      <c r="L2755" s="8">
        <f t="shared" si="7587"/>
        <v>2</v>
      </c>
      <c r="M2755" t="s">
        <v>3056</v>
      </c>
    </row>
    <row r="2756" spans="1:13" x14ac:dyDescent="0.35">
      <c r="A2756">
        <f t="shared" si="7574"/>
        <v>2752</v>
      </c>
      <c r="B2756" s="9">
        <f t="shared" ref="B2756" si="7816">B2755+H2756+I2756+J2756</f>
        <v>50.19</v>
      </c>
      <c r="C2756" s="3" t="s">
        <v>3044</v>
      </c>
      <c r="D2756">
        <f t="shared" ref="D2756" si="7817">_xlfn.NUMBERVALUE(LEFT(C2756,2))</f>
        <v>18</v>
      </c>
      <c r="E2756">
        <f t="shared" ref="E2756" si="7818">_xlfn.NUMBERVALUE(MID(C2756,4,2))</f>
        <v>7</v>
      </c>
      <c r="F2756">
        <f t="shared" ref="F2756" si="7819">_xlfn.NUMBERVALUE(RIGHT(C2756,4))</f>
        <v>2024</v>
      </c>
      <c r="G2756" t="s">
        <v>7</v>
      </c>
      <c r="H2756">
        <v>-2</v>
      </c>
      <c r="K2756" t="s">
        <v>9</v>
      </c>
      <c r="L2756" s="8">
        <f t="shared" si="7587"/>
        <v>-1</v>
      </c>
      <c r="M2756" t="s">
        <v>3057</v>
      </c>
    </row>
    <row r="2757" spans="1:13" x14ac:dyDescent="0.35">
      <c r="A2757">
        <f t="shared" si="7574"/>
        <v>2753</v>
      </c>
      <c r="B2757" s="9">
        <f t="shared" ref="B2757" si="7820">B2756+H2757+I2757+J2757</f>
        <v>48.19</v>
      </c>
      <c r="C2757" s="3" t="s">
        <v>3044</v>
      </c>
      <c r="D2757">
        <f t="shared" ref="D2757" si="7821">_xlfn.NUMBERVALUE(LEFT(C2757,2))</f>
        <v>18</v>
      </c>
      <c r="E2757">
        <f t="shared" ref="E2757" si="7822">_xlfn.NUMBERVALUE(MID(C2757,4,2))</f>
        <v>7</v>
      </c>
      <c r="F2757">
        <f t="shared" ref="F2757" si="7823">_xlfn.NUMBERVALUE(RIGHT(C2757,4))</f>
        <v>2024</v>
      </c>
      <c r="G2757" t="s">
        <v>7</v>
      </c>
      <c r="H2757">
        <v>-2</v>
      </c>
      <c r="K2757" t="s">
        <v>9</v>
      </c>
      <c r="L2757" s="8">
        <f t="shared" si="7587"/>
        <v>-1</v>
      </c>
      <c r="M2757" t="s">
        <v>3058</v>
      </c>
    </row>
    <row r="2758" spans="1:13" x14ac:dyDescent="0.35">
      <c r="A2758">
        <f t="shared" si="7574"/>
        <v>2754</v>
      </c>
      <c r="B2758" s="9">
        <f t="shared" ref="B2758" si="7824">B2757+H2758+I2758+J2758</f>
        <v>52.19</v>
      </c>
      <c r="C2758" s="3" t="s">
        <v>3065</v>
      </c>
      <c r="D2758">
        <f t="shared" ref="D2758" si="7825">_xlfn.NUMBERVALUE(LEFT(C2758,2))</f>
        <v>19</v>
      </c>
      <c r="E2758">
        <f t="shared" ref="E2758" si="7826">_xlfn.NUMBERVALUE(MID(C2758,4,2))</f>
        <v>7</v>
      </c>
      <c r="F2758">
        <f t="shared" ref="F2758" si="7827">_xlfn.NUMBERVALUE(RIGHT(C2758,4))</f>
        <v>2024</v>
      </c>
      <c r="G2758" t="s">
        <v>7</v>
      </c>
      <c r="H2758">
        <v>-2</v>
      </c>
      <c r="I2758">
        <v>6</v>
      </c>
      <c r="K2758" t="s">
        <v>10</v>
      </c>
      <c r="L2758" s="8">
        <f t="shared" ref="L2758:L2821" si="7828">IF(H2758="",0,(SUM(I2758:J2758)/-H2758)-1)</f>
        <v>2</v>
      </c>
      <c r="M2758" t="s">
        <v>3059</v>
      </c>
    </row>
    <row r="2759" spans="1:13" x14ac:dyDescent="0.35">
      <c r="A2759">
        <f t="shared" si="7574"/>
        <v>2755</v>
      </c>
      <c r="B2759" s="9">
        <f t="shared" ref="B2759" si="7829">B2758+H2759+I2759+J2759</f>
        <v>52.19</v>
      </c>
      <c r="C2759" s="3" t="s">
        <v>3065</v>
      </c>
      <c r="D2759">
        <f t="shared" ref="D2759" si="7830">_xlfn.NUMBERVALUE(LEFT(C2759,2))</f>
        <v>19</v>
      </c>
      <c r="E2759">
        <f t="shared" ref="E2759" si="7831">_xlfn.NUMBERVALUE(MID(C2759,4,2))</f>
        <v>7</v>
      </c>
      <c r="F2759">
        <f t="shared" ref="F2759" si="7832">_xlfn.NUMBERVALUE(RIGHT(C2759,4))</f>
        <v>2024</v>
      </c>
      <c r="G2759" t="s">
        <v>3039</v>
      </c>
      <c r="K2759" t="s">
        <v>9</v>
      </c>
      <c r="L2759" s="8">
        <f t="shared" si="7828"/>
        <v>0</v>
      </c>
      <c r="M2759" t="s">
        <v>3060</v>
      </c>
    </row>
    <row r="2760" spans="1:13" x14ac:dyDescent="0.35">
      <c r="A2760">
        <f t="shared" si="7574"/>
        <v>2756</v>
      </c>
      <c r="B2760" s="9">
        <f t="shared" ref="B2760" si="7833">B2759+H2760+I2760+J2760</f>
        <v>50.19</v>
      </c>
      <c r="C2760" s="3" t="s">
        <v>3066</v>
      </c>
      <c r="D2760">
        <f t="shared" ref="D2760" si="7834">_xlfn.NUMBERVALUE(LEFT(C2760,2))</f>
        <v>20</v>
      </c>
      <c r="E2760">
        <f t="shared" ref="E2760" si="7835">_xlfn.NUMBERVALUE(MID(C2760,4,2))</f>
        <v>7</v>
      </c>
      <c r="F2760">
        <f t="shared" ref="F2760" si="7836">_xlfn.NUMBERVALUE(RIGHT(C2760,4))</f>
        <v>2024</v>
      </c>
      <c r="G2760" t="s">
        <v>7</v>
      </c>
      <c r="H2760">
        <v>-2</v>
      </c>
      <c r="K2760" t="s">
        <v>9</v>
      </c>
      <c r="L2760" s="8">
        <f t="shared" si="7828"/>
        <v>-1</v>
      </c>
      <c r="M2760" t="s">
        <v>3061</v>
      </c>
    </row>
    <row r="2761" spans="1:13" x14ac:dyDescent="0.35">
      <c r="A2761">
        <f t="shared" si="7574"/>
        <v>2757</v>
      </c>
      <c r="B2761" s="9">
        <f t="shared" ref="B2761:B2762" si="7837">B2760+H2761+I2761+J2761</f>
        <v>50.19</v>
      </c>
      <c r="C2761" s="3" t="s">
        <v>3066</v>
      </c>
      <c r="D2761">
        <f t="shared" ref="D2761:D2762" si="7838">_xlfn.NUMBERVALUE(LEFT(C2761,2))</f>
        <v>20</v>
      </c>
      <c r="E2761">
        <f t="shared" ref="E2761:E2762" si="7839">_xlfn.NUMBERVALUE(MID(C2761,4,2))</f>
        <v>7</v>
      </c>
      <c r="F2761">
        <f t="shared" ref="F2761:F2762" si="7840">_xlfn.NUMBERVALUE(RIGHT(C2761,4))</f>
        <v>2024</v>
      </c>
      <c r="G2761" t="s">
        <v>3039</v>
      </c>
      <c r="K2761" t="s">
        <v>9</v>
      </c>
      <c r="L2761" s="8">
        <f t="shared" si="7828"/>
        <v>0</v>
      </c>
      <c r="M2761" t="s">
        <v>3062</v>
      </c>
    </row>
    <row r="2762" spans="1:13" x14ac:dyDescent="0.35">
      <c r="A2762">
        <f t="shared" si="7574"/>
        <v>2758</v>
      </c>
      <c r="B2762" s="9">
        <f t="shared" si="7837"/>
        <v>54.19</v>
      </c>
      <c r="C2762" s="3" t="s">
        <v>3066</v>
      </c>
      <c r="D2762">
        <f t="shared" si="7838"/>
        <v>20</v>
      </c>
      <c r="E2762">
        <f t="shared" si="7839"/>
        <v>7</v>
      </c>
      <c r="F2762">
        <f t="shared" si="7840"/>
        <v>2024</v>
      </c>
      <c r="G2762" t="s">
        <v>7</v>
      </c>
      <c r="H2762">
        <v>-2</v>
      </c>
      <c r="I2762">
        <v>6</v>
      </c>
      <c r="K2762" t="s">
        <v>10</v>
      </c>
      <c r="L2762" s="8">
        <f t="shared" si="7828"/>
        <v>2</v>
      </c>
      <c r="M2762" t="s">
        <v>3063</v>
      </c>
    </row>
    <row r="2763" spans="1:13" x14ac:dyDescent="0.35">
      <c r="A2763">
        <f t="shared" si="7574"/>
        <v>2759</v>
      </c>
      <c r="B2763" s="9">
        <f t="shared" ref="B2763" si="7841">B2762+H2763+I2763+J2763</f>
        <v>58.19</v>
      </c>
      <c r="C2763" s="3" t="s">
        <v>3066</v>
      </c>
      <c r="D2763">
        <f t="shared" ref="D2763" si="7842">_xlfn.NUMBERVALUE(LEFT(C2763,2))</f>
        <v>20</v>
      </c>
      <c r="E2763">
        <f t="shared" ref="E2763" si="7843">_xlfn.NUMBERVALUE(MID(C2763,4,2))</f>
        <v>7</v>
      </c>
      <c r="F2763">
        <f t="shared" ref="F2763" si="7844">_xlfn.NUMBERVALUE(RIGHT(C2763,4))</f>
        <v>2024</v>
      </c>
      <c r="G2763" t="s">
        <v>7</v>
      </c>
      <c r="H2763">
        <v>-2</v>
      </c>
      <c r="I2763">
        <v>6</v>
      </c>
      <c r="K2763" t="s">
        <v>10</v>
      </c>
      <c r="L2763" s="8">
        <f t="shared" si="7828"/>
        <v>2</v>
      </c>
      <c r="M2763" t="s">
        <v>3064</v>
      </c>
    </row>
    <row r="2764" spans="1:13" x14ac:dyDescent="0.35">
      <c r="A2764">
        <f t="shared" si="7574"/>
        <v>2760</v>
      </c>
      <c r="B2764" s="9">
        <f t="shared" ref="B2764" si="7845">B2763+H2764+I2764+J2764</f>
        <v>62.19</v>
      </c>
      <c r="C2764" s="3" t="s">
        <v>3066</v>
      </c>
      <c r="D2764">
        <f t="shared" ref="D2764" si="7846">_xlfn.NUMBERVALUE(LEFT(C2764,2))</f>
        <v>20</v>
      </c>
      <c r="E2764">
        <f t="shared" ref="E2764" si="7847">_xlfn.NUMBERVALUE(MID(C2764,4,2))</f>
        <v>7</v>
      </c>
      <c r="F2764">
        <f t="shared" ref="F2764" si="7848">_xlfn.NUMBERVALUE(RIGHT(C2764,4))</f>
        <v>2024</v>
      </c>
      <c r="G2764" t="s">
        <v>7</v>
      </c>
      <c r="H2764">
        <v>-2</v>
      </c>
      <c r="I2764">
        <v>6</v>
      </c>
      <c r="K2764" t="s">
        <v>10</v>
      </c>
      <c r="L2764" s="8">
        <f t="shared" si="7828"/>
        <v>2</v>
      </c>
      <c r="M2764" t="s">
        <v>3067</v>
      </c>
    </row>
    <row r="2765" spans="1:13" x14ac:dyDescent="0.35">
      <c r="A2765">
        <f t="shared" si="7574"/>
        <v>2761</v>
      </c>
      <c r="B2765" s="9">
        <f t="shared" ref="B2765" si="7849">B2764+H2765+I2765+J2765</f>
        <v>60.19</v>
      </c>
      <c r="C2765" s="3" t="s">
        <v>3068</v>
      </c>
      <c r="D2765">
        <f t="shared" ref="D2765" si="7850">_xlfn.NUMBERVALUE(LEFT(C2765,2))</f>
        <v>21</v>
      </c>
      <c r="E2765">
        <f t="shared" ref="E2765" si="7851">_xlfn.NUMBERVALUE(MID(C2765,4,2))</f>
        <v>7</v>
      </c>
      <c r="F2765">
        <f t="shared" ref="F2765" si="7852">_xlfn.NUMBERVALUE(RIGHT(C2765,4))</f>
        <v>2024</v>
      </c>
      <c r="G2765" t="s">
        <v>7</v>
      </c>
      <c r="H2765">
        <v>-2</v>
      </c>
      <c r="K2765" t="s">
        <v>9</v>
      </c>
      <c r="L2765" s="8">
        <f t="shared" si="7828"/>
        <v>-1</v>
      </c>
      <c r="M2765" t="s">
        <v>3069</v>
      </c>
    </row>
    <row r="2766" spans="1:13" x14ac:dyDescent="0.35">
      <c r="A2766">
        <f t="shared" si="7574"/>
        <v>2762</v>
      </c>
      <c r="B2766" s="9">
        <f t="shared" ref="B2766" si="7853">B2765+H2766+I2766+J2766</f>
        <v>60.19</v>
      </c>
      <c r="C2766" s="3" t="s">
        <v>3068</v>
      </c>
      <c r="D2766">
        <f t="shared" ref="D2766" si="7854">_xlfn.NUMBERVALUE(LEFT(C2766,2))</f>
        <v>21</v>
      </c>
      <c r="E2766">
        <f t="shared" ref="E2766" si="7855">_xlfn.NUMBERVALUE(MID(C2766,4,2))</f>
        <v>7</v>
      </c>
      <c r="F2766">
        <f t="shared" ref="F2766" si="7856">_xlfn.NUMBERVALUE(RIGHT(C2766,4))</f>
        <v>2024</v>
      </c>
      <c r="G2766" t="s">
        <v>3039</v>
      </c>
      <c r="K2766" t="s">
        <v>10</v>
      </c>
      <c r="L2766" s="8">
        <f t="shared" si="7828"/>
        <v>0</v>
      </c>
      <c r="M2766" t="s">
        <v>3070</v>
      </c>
    </row>
    <row r="2767" spans="1:13" x14ac:dyDescent="0.35">
      <c r="A2767">
        <f t="shared" si="7574"/>
        <v>2763</v>
      </c>
      <c r="B2767" s="9">
        <f t="shared" ref="B2767:B2768" si="7857">B2766+H2767+I2767+J2767</f>
        <v>60.19</v>
      </c>
      <c r="C2767" s="3" t="s">
        <v>3068</v>
      </c>
      <c r="D2767">
        <f t="shared" ref="D2767:D2768" si="7858">_xlfn.NUMBERVALUE(LEFT(C2767,2))</f>
        <v>21</v>
      </c>
      <c r="E2767">
        <f t="shared" ref="E2767:E2768" si="7859">_xlfn.NUMBERVALUE(MID(C2767,4,2))</f>
        <v>7</v>
      </c>
      <c r="F2767">
        <f t="shared" ref="F2767:F2768" si="7860">_xlfn.NUMBERVALUE(RIGHT(C2767,4))</f>
        <v>2024</v>
      </c>
      <c r="G2767" t="s">
        <v>2969</v>
      </c>
      <c r="K2767" t="s">
        <v>9</v>
      </c>
      <c r="L2767" s="8">
        <f t="shared" si="7828"/>
        <v>0</v>
      </c>
      <c r="M2767" t="s">
        <v>3071</v>
      </c>
    </row>
    <row r="2768" spans="1:13" x14ac:dyDescent="0.35">
      <c r="A2768">
        <f t="shared" si="7574"/>
        <v>2764</v>
      </c>
      <c r="B2768" s="9">
        <f t="shared" si="7857"/>
        <v>58.19</v>
      </c>
      <c r="C2768" s="3" t="s">
        <v>3068</v>
      </c>
      <c r="D2768">
        <f t="shared" si="7858"/>
        <v>21</v>
      </c>
      <c r="E2768">
        <f t="shared" si="7859"/>
        <v>7</v>
      </c>
      <c r="F2768">
        <f t="shared" si="7860"/>
        <v>2024</v>
      </c>
      <c r="G2768" t="s">
        <v>7</v>
      </c>
      <c r="H2768">
        <v>-2</v>
      </c>
      <c r="K2768" t="s">
        <v>9</v>
      </c>
      <c r="L2768" s="8">
        <f t="shared" si="7828"/>
        <v>-1</v>
      </c>
      <c r="M2768" t="s">
        <v>3072</v>
      </c>
    </row>
    <row r="2769" spans="1:13" x14ac:dyDescent="0.35">
      <c r="A2769">
        <f t="shared" si="7574"/>
        <v>2765</v>
      </c>
      <c r="B2769" s="9">
        <f t="shared" ref="B2769" si="7861">B2768+H2769+I2769+J2769</f>
        <v>62.19</v>
      </c>
      <c r="C2769" s="3" t="s">
        <v>3068</v>
      </c>
      <c r="D2769">
        <f t="shared" ref="D2769" si="7862">_xlfn.NUMBERVALUE(LEFT(C2769,2))</f>
        <v>21</v>
      </c>
      <c r="E2769">
        <f t="shared" ref="E2769" si="7863">_xlfn.NUMBERVALUE(MID(C2769,4,2))</f>
        <v>7</v>
      </c>
      <c r="F2769">
        <f t="shared" ref="F2769" si="7864">_xlfn.NUMBERVALUE(RIGHT(C2769,4))</f>
        <v>2024</v>
      </c>
      <c r="G2769" t="s">
        <v>7</v>
      </c>
      <c r="H2769">
        <v>-2</v>
      </c>
      <c r="I2769">
        <v>6</v>
      </c>
      <c r="K2769" t="s">
        <v>10</v>
      </c>
      <c r="L2769" s="8">
        <f t="shared" si="7828"/>
        <v>2</v>
      </c>
      <c r="M2769" t="s">
        <v>3073</v>
      </c>
    </row>
    <row r="2770" spans="1:13" x14ac:dyDescent="0.35">
      <c r="A2770">
        <f t="shared" si="7574"/>
        <v>2766</v>
      </c>
      <c r="B2770" s="9">
        <f t="shared" ref="B2770" si="7865">B2769+H2770+I2770+J2770</f>
        <v>60.19</v>
      </c>
      <c r="C2770" s="3" t="s">
        <v>3068</v>
      </c>
      <c r="D2770">
        <f t="shared" ref="D2770" si="7866">_xlfn.NUMBERVALUE(LEFT(C2770,2))</f>
        <v>21</v>
      </c>
      <c r="E2770">
        <f t="shared" ref="E2770" si="7867">_xlfn.NUMBERVALUE(MID(C2770,4,2))</f>
        <v>7</v>
      </c>
      <c r="F2770">
        <f t="shared" ref="F2770" si="7868">_xlfn.NUMBERVALUE(RIGHT(C2770,4))</f>
        <v>2024</v>
      </c>
      <c r="G2770" t="s">
        <v>7</v>
      </c>
      <c r="H2770">
        <v>-2</v>
      </c>
      <c r="K2770" t="s">
        <v>9</v>
      </c>
      <c r="L2770" s="8">
        <f t="shared" si="7828"/>
        <v>-1</v>
      </c>
      <c r="M2770" t="s">
        <v>3074</v>
      </c>
    </row>
    <row r="2771" spans="1:13" x14ac:dyDescent="0.35">
      <c r="A2771">
        <f t="shared" si="7574"/>
        <v>2767</v>
      </c>
      <c r="B2771" s="9">
        <f t="shared" ref="B2771" si="7869">B2770+H2771+I2771+J2771</f>
        <v>58.19</v>
      </c>
      <c r="C2771" s="3" t="s">
        <v>3068</v>
      </c>
      <c r="D2771">
        <f t="shared" ref="D2771" si="7870">_xlfn.NUMBERVALUE(LEFT(C2771,2))</f>
        <v>21</v>
      </c>
      <c r="E2771">
        <f t="shared" ref="E2771" si="7871">_xlfn.NUMBERVALUE(MID(C2771,4,2))</f>
        <v>7</v>
      </c>
      <c r="F2771">
        <f t="shared" ref="F2771" si="7872">_xlfn.NUMBERVALUE(RIGHT(C2771,4))</f>
        <v>2024</v>
      </c>
      <c r="G2771" t="s">
        <v>7</v>
      </c>
      <c r="H2771">
        <v>-2</v>
      </c>
      <c r="K2771" t="s">
        <v>9</v>
      </c>
      <c r="L2771" s="8">
        <f t="shared" si="7828"/>
        <v>-1</v>
      </c>
      <c r="M2771" t="s">
        <v>3075</v>
      </c>
    </row>
    <row r="2772" spans="1:13" x14ac:dyDescent="0.35">
      <c r="A2772">
        <f t="shared" si="7574"/>
        <v>2768</v>
      </c>
      <c r="B2772" s="9">
        <f t="shared" ref="B2772" si="7873">B2771+H2772+I2772+J2772</f>
        <v>56.19</v>
      </c>
      <c r="C2772" s="3" t="s">
        <v>3068</v>
      </c>
      <c r="D2772">
        <f t="shared" ref="D2772" si="7874">_xlfn.NUMBERVALUE(LEFT(C2772,2))</f>
        <v>21</v>
      </c>
      <c r="E2772">
        <f t="shared" ref="E2772" si="7875">_xlfn.NUMBERVALUE(MID(C2772,4,2))</f>
        <v>7</v>
      </c>
      <c r="F2772">
        <f t="shared" ref="F2772" si="7876">_xlfn.NUMBERVALUE(RIGHT(C2772,4))</f>
        <v>2024</v>
      </c>
      <c r="G2772" t="s">
        <v>7</v>
      </c>
      <c r="H2772">
        <v>-2</v>
      </c>
      <c r="K2772" t="s">
        <v>9</v>
      </c>
      <c r="L2772" s="8">
        <f t="shared" si="7828"/>
        <v>-1</v>
      </c>
      <c r="M2772" t="s">
        <v>3076</v>
      </c>
    </row>
    <row r="2773" spans="1:13" x14ac:dyDescent="0.35">
      <c r="A2773">
        <f t="shared" si="7574"/>
        <v>2769</v>
      </c>
      <c r="B2773" s="9">
        <f t="shared" ref="B2773" si="7877">B2772+H2773+I2773+J2773</f>
        <v>54.19</v>
      </c>
      <c r="C2773" s="3" t="s">
        <v>3068</v>
      </c>
      <c r="D2773">
        <f t="shared" ref="D2773" si="7878">_xlfn.NUMBERVALUE(LEFT(C2773,2))</f>
        <v>21</v>
      </c>
      <c r="E2773">
        <f t="shared" ref="E2773" si="7879">_xlfn.NUMBERVALUE(MID(C2773,4,2))</f>
        <v>7</v>
      </c>
      <c r="F2773">
        <f t="shared" ref="F2773" si="7880">_xlfn.NUMBERVALUE(RIGHT(C2773,4))</f>
        <v>2024</v>
      </c>
      <c r="G2773" t="s">
        <v>7</v>
      </c>
      <c r="H2773">
        <v>-2</v>
      </c>
      <c r="K2773" t="s">
        <v>9</v>
      </c>
      <c r="L2773" s="8">
        <f t="shared" si="7828"/>
        <v>-1</v>
      </c>
      <c r="M2773" t="s">
        <v>3077</v>
      </c>
    </row>
    <row r="2774" spans="1:13" x14ac:dyDescent="0.35">
      <c r="A2774">
        <f t="shared" si="7574"/>
        <v>2770</v>
      </c>
      <c r="B2774" s="9">
        <f t="shared" ref="B2774" si="7881">B2773+H2774+I2774+J2774</f>
        <v>52.19</v>
      </c>
      <c r="C2774" s="3" t="s">
        <v>3068</v>
      </c>
      <c r="D2774">
        <f t="shared" ref="D2774" si="7882">_xlfn.NUMBERVALUE(LEFT(C2774,2))</f>
        <v>21</v>
      </c>
      <c r="E2774">
        <f t="shared" ref="E2774" si="7883">_xlfn.NUMBERVALUE(MID(C2774,4,2))</f>
        <v>7</v>
      </c>
      <c r="F2774">
        <f t="shared" ref="F2774" si="7884">_xlfn.NUMBERVALUE(RIGHT(C2774,4))</f>
        <v>2024</v>
      </c>
      <c r="G2774" t="s">
        <v>7</v>
      </c>
      <c r="H2774">
        <v>-2</v>
      </c>
      <c r="K2774" t="s">
        <v>9</v>
      </c>
      <c r="L2774" s="8">
        <f t="shared" si="7828"/>
        <v>-1</v>
      </c>
      <c r="M2774" t="s">
        <v>3078</v>
      </c>
    </row>
    <row r="2775" spans="1:13" x14ac:dyDescent="0.35">
      <c r="A2775">
        <f t="shared" si="7574"/>
        <v>2771</v>
      </c>
      <c r="B2775" s="9">
        <f t="shared" ref="B2775" si="7885">B2774+H2775+I2775+J2775</f>
        <v>50.19</v>
      </c>
      <c r="C2775" s="3" t="s">
        <v>3068</v>
      </c>
      <c r="D2775">
        <f t="shared" ref="D2775" si="7886">_xlfn.NUMBERVALUE(LEFT(C2775,2))</f>
        <v>21</v>
      </c>
      <c r="E2775">
        <f t="shared" ref="E2775" si="7887">_xlfn.NUMBERVALUE(MID(C2775,4,2))</f>
        <v>7</v>
      </c>
      <c r="F2775">
        <f t="shared" ref="F2775" si="7888">_xlfn.NUMBERVALUE(RIGHT(C2775,4))</f>
        <v>2024</v>
      </c>
      <c r="G2775" t="s">
        <v>7</v>
      </c>
      <c r="H2775">
        <v>-2</v>
      </c>
      <c r="K2775" t="s">
        <v>9</v>
      </c>
      <c r="L2775" s="8">
        <f t="shared" si="7828"/>
        <v>-1</v>
      </c>
      <c r="M2775" t="s">
        <v>3079</v>
      </c>
    </row>
    <row r="2776" spans="1:13" x14ac:dyDescent="0.35">
      <c r="A2776">
        <f t="shared" si="7574"/>
        <v>2772</v>
      </c>
      <c r="B2776" s="9">
        <f t="shared" ref="B2776" si="7889">B2775+H2776+I2776+J2776</f>
        <v>40.19</v>
      </c>
      <c r="C2776" s="3" t="s">
        <v>3068</v>
      </c>
      <c r="D2776">
        <f t="shared" ref="D2776" si="7890">_xlfn.NUMBERVALUE(LEFT(C2776,2))</f>
        <v>21</v>
      </c>
      <c r="E2776">
        <f t="shared" ref="E2776" si="7891">_xlfn.NUMBERVALUE(MID(C2776,4,2))</f>
        <v>7</v>
      </c>
      <c r="F2776">
        <f t="shared" ref="F2776" si="7892">_xlfn.NUMBERVALUE(RIGHT(C2776,4))</f>
        <v>2024</v>
      </c>
      <c r="G2776" t="s">
        <v>7</v>
      </c>
      <c r="H2776">
        <v>-10</v>
      </c>
      <c r="K2776" t="s">
        <v>9</v>
      </c>
      <c r="L2776" s="8">
        <f t="shared" si="7828"/>
        <v>-1</v>
      </c>
      <c r="M2776" t="s">
        <v>3080</v>
      </c>
    </row>
    <row r="2777" spans="1:13" x14ac:dyDescent="0.35">
      <c r="A2777">
        <f t="shared" si="7574"/>
        <v>2773</v>
      </c>
      <c r="B2777" s="9">
        <f t="shared" ref="B2777" si="7893">B2776+H2777+I2777+J2777</f>
        <v>30.189999999999998</v>
      </c>
      <c r="C2777" s="3" t="s">
        <v>3068</v>
      </c>
      <c r="D2777">
        <f t="shared" ref="D2777" si="7894">_xlfn.NUMBERVALUE(LEFT(C2777,2))</f>
        <v>21</v>
      </c>
      <c r="E2777">
        <f t="shared" ref="E2777" si="7895">_xlfn.NUMBERVALUE(MID(C2777,4,2))</f>
        <v>7</v>
      </c>
      <c r="F2777">
        <f t="shared" ref="F2777" si="7896">_xlfn.NUMBERVALUE(RIGHT(C2777,4))</f>
        <v>2024</v>
      </c>
      <c r="G2777" t="s">
        <v>7</v>
      </c>
      <c r="H2777">
        <v>-10</v>
      </c>
      <c r="K2777" t="s">
        <v>9</v>
      </c>
      <c r="L2777" s="8">
        <f t="shared" si="7828"/>
        <v>-1</v>
      </c>
      <c r="M2777" t="s">
        <v>3081</v>
      </c>
    </row>
    <row r="2778" spans="1:13" x14ac:dyDescent="0.35">
      <c r="A2778">
        <f t="shared" si="7574"/>
        <v>2774</v>
      </c>
      <c r="B2778" s="9">
        <f t="shared" ref="B2778" si="7897">B2777+H2778+I2778+J2778</f>
        <v>20.189999999999998</v>
      </c>
      <c r="C2778" s="3" t="s">
        <v>3068</v>
      </c>
      <c r="D2778">
        <f t="shared" ref="D2778" si="7898">_xlfn.NUMBERVALUE(LEFT(C2778,2))</f>
        <v>21</v>
      </c>
      <c r="E2778">
        <f t="shared" ref="E2778" si="7899">_xlfn.NUMBERVALUE(MID(C2778,4,2))</f>
        <v>7</v>
      </c>
      <c r="F2778">
        <f t="shared" ref="F2778" si="7900">_xlfn.NUMBERVALUE(RIGHT(C2778,4))</f>
        <v>2024</v>
      </c>
      <c r="G2778" t="s">
        <v>7</v>
      </c>
      <c r="H2778">
        <v>-10</v>
      </c>
      <c r="K2778" t="s">
        <v>9</v>
      </c>
      <c r="L2778" s="8">
        <f t="shared" si="7828"/>
        <v>-1</v>
      </c>
      <c r="M2778" t="s">
        <v>3082</v>
      </c>
    </row>
    <row r="2779" spans="1:13" x14ac:dyDescent="0.35">
      <c r="A2779">
        <f t="shared" si="7574"/>
        <v>2775</v>
      </c>
      <c r="B2779" s="9">
        <f t="shared" ref="B2779" si="7901">B2778+H2779+I2779+J2779</f>
        <v>10.189999999999998</v>
      </c>
      <c r="C2779" s="3" t="s">
        <v>3068</v>
      </c>
      <c r="D2779">
        <f t="shared" ref="D2779" si="7902">_xlfn.NUMBERVALUE(LEFT(C2779,2))</f>
        <v>21</v>
      </c>
      <c r="E2779">
        <f t="shared" ref="E2779" si="7903">_xlfn.NUMBERVALUE(MID(C2779,4,2))</f>
        <v>7</v>
      </c>
      <c r="F2779">
        <f t="shared" ref="F2779" si="7904">_xlfn.NUMBERVALUE(RIGHT(C2779,4))</f>
        <v>2024</v>
      </c>
      <c r="G2779" t="s">
        <v>7</v>
      </c>
      <c r="H2779">
        <v>-10</v>
      </c>
      <c r="K2779" t="s">
        <v>9</v>
      </c>
      <c r="L2779" s="8">
        <f t="shared" si="7828"/>
        <v>-1</v>
      </c>
      <c r="M2779" t="s">
        <v>3083</v>
      </c>
    </row>
    <row r="2780" spans="1:13" x14ac:dyDescent="0.35">
      <c r="A2780">
        <f t="shared" si="7574"/>
        <v>2776</v>
      </c>
      <c r="B2780" s="9">
        <f t="shared" ref="B2780" si="7905">B2779+H2780+I2780+J2780</f>
        <v>20.189999999999998</v>
      </c>
      <c r="C2780" s="3" t="s">
        <v>3068</v>
      </c>
      <c r="D2780">
        <f t="shared" ref="D2780" si="7906">_xlfn.NUMBERVALUE(LEFT(C2780,2))</f>
        <v>21</v>
      </c>
      <c r="E2780">
        <f t="shared" ref="E2780" si="7907">_xlfn.NUMBERVALUE(MID(C2780,4,2))</f>
        <v>7</v>
      </c>
      <c r="F2780">
        <f t="shared" ref="F2780" si="7908">_xlfn.NUMBERVALUE(RIGHT(C2780,4))</f>
        <v>2024</v>
      </c>
      <c r="G2780" t="s">
        <v>7</v>
      </c>
      <c r="H2780">
        <v>-10</v>
      </c>
      <c r="I2780">
        <v>20</v>
      </c>
      <c r="K2780" t="s">
        <v>10</v>
      </c>
      <c r="L2780" s="8">
        <f t="shared" si="7828"/>
        <v>1</v>
      </c>
      <c r="M2780" t="s">
        <v>3084</v>
      </c>
    </row>
    <row r="2781" spans="1:13" x14ac:dyDescent="0.35">
      <c r="A2781">
        <f t="shared" si="7574"/>
        <v>2777</v>
      </c>
      <c r="B2781" s="9">
        <f t="shared" ref="B2781" si="7909">B2780+H2781+I2781+J2781</f>
        <v>10.189999999999998</v>
      </c>
      <c r="C2781" s="3" t="s">
        <v>3068</v>
      </c>
      <c r="D2781">
        <f t="shared" ref="D2781" si="7910">_xlfn.NUMBERVALUE(LEFT(C2781,2))</f>
        <v>21</v>
      </c>
      <c r="E2781">
        <f t="shared" ref="E2781" si="7911">_xlfn.NUMBERVALUE(MID(C2781,4,2))</f>
        <v>7</v>
      </c>
      <c r="F2781">
        <f t="shared" ref="F2781" si="7912">_xlfn.NUMBERVALUE(RIGHT(C2781,4))</f>
        <v>2024</v>
      </c>
      <c r="G2781" t="s">
        <v>7</v>
      </c>
      <c r="H2781">
        <v>-10</v>
      </c>
      <c r="K2781" t="s">
        <v>9</v>
      </c>
      <c r="L2781" s="8">
        <f t="shared" si="7828"/>
        <v>-1</v>
      </c>
      <c r="M2781" t="s">
        <v>3085</v>
      </c>
    </row>
    <row r="2782" spans="1:13" x14ac:dyDescent="0.35">
      <c r="A2782">
        <f t="shared" si="7574"/>
        <v>2778</v>
      </c>
      <c r="B2782" s="9">
        <f t="shared" ref="B2782" si="7913">B2781+H2782+I2782+J2782</f>
        <v>0.18999999999999773</v>
      </c>
      <c r="C2782" s="3" t="s">
        <v>3068</v>
      </c>
      <c r="D2782">
        <f t="shared" ref="D2782" si="7914">_xlfn.NUMBERVALUE(LEFT(C2782,2))</f>
        <v>21</v>
      </c>
      <c r="E2782">
        <f t="shared" ref="E2782" si="7915">_xlfn.NUMBERVALUE(MID(C2782,4,2))</f>
        <v>7</v>
      </c>
      <c r="F2782">
        <f t="shared" ref="F2782" si="7916">_xlfn.NUMBERVALUE(RIGHT(C2782,4))</f>
        <v>2024</v>
      </c>
      <c r="G2782" t="s">
        <v>7</v>
      </c>
      <c r="H2782">
        <v>-10</v>
      </c>
      <c r="K2782" t="s">
        <v>9</v>
      </c>
      <c r="L2782" s="8">
        <f t="shared" si="7828"/>
        <v>-1</v>
      </c>
      <c r="M2782" t="s">
        <v>3086</v>
      </c>
    </row>
    <row r="2783" spans="1:13" x14ac:dyDescent="0.35">
      <c r="A2783">
        <f t="shared" si="7574"/>
        <v>2779</v>
      </c>
      <c r="B2783" s="9">
        <f t="shared" ref="B2783:B2784" si="7917">B2782+H2783+I2783+J2783</f>
        <v>57.93</v>
      </c>
      <c r="C2783" s="3" t="s">
        <v>3087</v>
      </c>
      <c r="D2783">
        <f t="shared" ref="D2783:D2784" si="7918">_xlfn.NUMBERVALUE(LEFT(C2783,2))</f>
        <v>18</v>
      </c>
      <c r="E2783">
        <f t="shared" ref="E2783:E2784" si="7919">_xlfn.NUMBERVALUE(MID(C2783,4,2))</f>
        <v>8</v>
      </c>
      <c r="F2783">
        <f t="shared" ref="F2783:F2784" si="7920">_xlfn.NUMBERVALUE(RIGHT(C2783,4))</f>
        <v>2024</v>
      </c>
      <c r="G2783" t="s">
        <v>3362</v>
      </c>
      <c r="I2783" s="9">
        <v>57.74</v>
      </c>
      <c r="L2783" s="8"/>
    </row>
    <row r="2784" spans="1:13" x14ac:dyDescent="0.35">
      <c r="A2784">
        <f t="shared" si="7574"/>
        <v>2780</v>
      </c>
      <c r="B2784" s="9">
        <f t="shared" si="7917"/>
        <v>55.93</v>
      </c>
      <c r="C2784" s="3" t="s">
        <v>3088</v>
      </c>
      <c r="D2784">
        <f t="shared" si="7918"/>
        <v>6</v>
      </c>
      <c r="E2784">
        <f t="shared" si="7919"/>
        <v>9</v>
      </c>
      <c r="F2784">
        <f t="shared" si="7920"/>
        <v>2024</v>
      </c>
      <c r="G2784" t="s">
        <v>7</v>
      </c>
      <c r="H2784">
        <v>-2</v>
      </c>
      <c r="K2784" t="s">
        <v>9</v>
      </c>
      <c r="L2784" s="8">
        <f t="shared" si="7828"/>
        <v>-1</v>
      </c>
      <c r="M2784" t="s">
        <v>3089</v>
      </c>
    </row>
    <row r="2785" spans="1:19" x14ac:dyDescent="0.35">
      <c r="A2785">
        <f t="shared" si="7574"/>
        <v>2781</v>
      </c>
      <c r="B2785" s="9">
        <f t="shared" ref="B2785" si="7921">B2784+H2785+I2785+J2785</f>
        <v>53.93</v>
      </c>
      <c r="C2785" s="3" t="s">
        <v>3088</v>
      </c>
      <c r="D2785">
        <f t="shared" ref="D2785" si="7922">_xlfn.NUMBERVALUE(LEFT(C2785,2))</f>
        <v>6</v>
      </c>
      <c r="E2785">
        <f t="shared" ref="E2785" si="7923">_xlfn.NUMBERVALUE(MID(C2785,4,2))</f>
        <v>9</v>
      </c>
      <c r="F2785">
        <f t="shared" ref="F2785" si="7924">_xlfn.NUMBERVALUE(RIGHT(C2785,4))</f>
        <v>2024</v>
      </c>
      <c r="G2785" t="s">
        <v>7</v>
      </c>
      <c r="H2785">
        <v>-2</v>
      </c>
      <c r="K2785" t="s">
        <v>9</v>
      </c>
      <c r="L2785" s="8">
        <f t="shared" si="7828"/>
        <v>-1</v>
      </c>
      <c r="M2785" t="s">
        <v>3090</v>
      </c>
    </row>
    <row r="2786" spans="1:19" x14ac:dyDescent="0.35">
      <c r="A2786">
        <f t="shared" si="7574"/>
        <v>2782</v>
      </c>
      <c r="B2786" s="9">
        <f t="shared" ref="B2786" si="7925">B2785+H2786+I2786+J2786</f>
        <v>51.93</v>
      </c>
      <c r="C2786" s="3" t="s">
        <v>3088</v>
      </c>
      <c r="D2786">
        <f t="shared" ref="D2786" si="7926">_xlfn.NUMBERVALUE(LEFT(C2786,2))</f>
        <v>6</v>
      </c>
      <c r="E2786">
        <f t="shared" ref="E2786" si="7927">_xlfn.NUMBERVALUE(MID(C2786,4,2))</f>
        <v>9</v>
      </c>
      <c r="F2786">
        <f t="shared" ref="F2786" si="7928">_xlfn.NUMBERVALUE(RIGHT(C2786,4))</f>
        <v>2024</v>
      </c>
      <c r="G2786" t="s">
        <v>7</v>
      </c>
      <c r="H2786">
        <v>-2</v>
      </c>
      <c r="K2786" t="s">
        <v>9</v>
      </c>
      <c r="L2786" s="8">
        <f t="shared" si="7828"/>
        <v>-1</v>
      </c>
      <c r="M2786" t="s">
        <v>3091</v>
      </c>
    </row>
    <row r="2787" spans="1:19" x14ac:dyDescent="0.35">
      <c r="A2787">
        <f t="shared" si="7574"/>
        <v>2783</v>
      </c>
      <c r="B2787" s="9">
        <f t="shared" ref="B2787" si="7929">B2786+H2787+I2787+J2787</f>
        <v>49.93</v>
      </c>
      <c r="C2787" s="3" t="s">
        <v>3088</v>
      </c>
      <c r="D2787">
        <f t="shared" ref="D2787" si="7930">_xlfn.NUMBERVALUE(LEFT(C2787,2))</f>
        <v>6</v>
      </c>
      <c r="E2787">
        <f t="shared" ref="E2787" si="7931">_xlfn.NUMBERVALUE(MID(C2787,4,2))</f>
        <v>9</v>
      </c>
      <c r="F2787">
        <f t="shared" ref="F2787" si="7932">_xlfn.NUMBERVALUE(RIGHT(C2787,4))</f>
        <v>2024</v>
      </c>
      <c r="G2787" t="s">
        <v>7</v>
      </c>
      <c r="H2787">
        <v>-2</v>
      </c>
      <c r="K2787" t="s">
        <v>9</v>
      </c>
      <c r="L2787" s="8">
        <f t="shared" si="7828"/>
        <v>-1</v>
      </c>
      <c r="M2787" t="s">
        <v>3092</v>
      </c>
    </row>
    <row r="2788" spans="1:19" x14ac:dyDescent="0.35">
      <c r="A2788">
        <f t="shared" si="7574"/>
        <v>2784</v>
      </c>
      <c r="B2788" s="9">
        <f t="shared" ref="B2788" si="7933">B2787+H2788+I2788+J2788</f>
        <v>47.93</v>
      </c>
      <c r="C2788" s="3" t="s">
        <v>3088</v>
      </c>
      <c r="D2788">
        <f t="shared" ref="D2788" si="7934">_xlfn.NUMBERVALUE(LEFT(C2788,2))</f>
        <v>6</v>
      </c>
      <c r="E2788">
        <f t="shared" ref="E2788" si="7935">_xlfn.NUMBERVALUE(MID(C2788,4,2))</f>
        <v>9</v>
      </c>
      <c r="F2788">
        <f t="shared" ref="F2788" si="7936">_xlfn.NUMBERVALUE(RIGHT(C2788,4))</f>
        <v>2024</v>
      </c>
      <c r="G2788" t="s">
        <v>7</v>
      </c>
      <c r="H2788">
        <v>-2</v>
      </c>
      <c r="K2788" t="s">
        <v>9</v>
      </c>
      <c r="L2788" s="8">
        <f t="shared" si="7828"/>
        <v>-1</v>
      </c>
      <c r="M2788" t="s">
        <v>3093</v>
      </c>
    </row>
    <row r="2789" spans="1:19" x14ac:dyDescent="0.35">
      <c r="A2789">
        <f t="shared" si="7574"/>
        <v>2785</v>
      </c>
      <c r="B2789" s="9">
        <f t="shared" ref="B2789" si="7937">B2788+H2789+I2789+J2789</f>
        <v>45.93</v>
      </c>
      <c r="C2789" s="3" t="s">
        <v>3088</v>
      </c>
      <c r="D2789">
        <f t="shared" ref="D2789" si="7938">_xlfn.NUMBERVALUE(LEFT(C2789,2))</f>
        <v>6</v>
      </c>
      <c r="E2789">
        <f t="shared" ref="E2789" si="7939">_xlfn.NUMBERVALUE(MID(C2789,4,2))</f>
        <v>9</v>
      </c>
      <c r="F2789">
        <f t="shared" ref="F2789" si="7940">_xlfn.NUMBERVALUE(RIGHT(C2789,4))</f>
        <v>2024</v>
      </c>
      <c r="G2789" t="s">
        <v>7</v>
      </c>
      <c r="H2789">
        <v>-2</v>
      </c>
      <c r="K2789" t="s">
        <v>9</v>
      </c>
      <c r="L2789" s="8">
        <f t="shared" si="7828"/>
        <v>-1</v>
      </c>
      <c r="M2789" t="s">
        <v>3094</v>
      </c>
    </row>
    <row r="2790" spans="1:19" x14ac:dyDescent="0.35">
      <c r="A2790">
        <f t="shared" si="7574"/>
        <v>2786</v>
      </c>
      <c r="B2790" s="9">
        <f t="shared" ref="B2790" si="7941">B2789+H2790+I2790+J2790</f>
        <v>43.93</v>
      </c>
      <c r="C2790" s="3" t="s">
        <v>3088</v>
      </c>
      <c r="D2790">
        <f t="shared" ref="D2790" si="7942">_xlfn.NUMBERVALUE(LEFT(C2790,2))</f>
        <v>6</v>
      </c>
      <c r="E2790">
        <f t="shared" ref="E2790" si="7943">_xlfn.NUMBERVALUE(MID(C2790,4,2))</f>
        <v>9</v>
      </c>
      <c r="F2790">
        <f t="shared" ref="F2790" si="7944">_xlfn.NUMBERVALUE(RIGHT(C2790,4))</f>
        <v>2024</v>
      </c>
      <c r="G2790" t="s">
        <v>7</v>
      </c>
      <c r="H2790">
        <v>-2</v>
      </c>
      <c r="K2790" t="s">
        <v>9</v>
      </c>
      <c r="L2790" s="8">
        <f t="shared" si="7828"/>
        <v>-1</v>
      </c>
      <c r="M2790" t="s">
        <v>3095</v>
      </c>
    </row>
    <row r="2791" spans="1:19" x14ac:dyDescent="0.35">
      <c r="A2791">
        <f t="shared" si="7574"/>
        <v>2787</v>
      </c>
      <c r="B2791" s="9">
        <f t="shared" ref="B2791" si="7945">B2790+H2791+I2791+J2791</f>
        <v>41.93</v>
      </c>
      <c r="C2791" s="3" t="s">
        <v>3088</v>
      </c>
      <c r="D2791">
        <f t="shared" ref="D2791" si="7946">_xlfn.NUMBERVALUE(LEFT(C2791,2))</f>
        <v>6</v>
      </c>
      <c r="E2791">
        <f t="shared" ref="E2791" si="7947">_xlfn.NUMBERVALUE(MID(C2791,4,2))</f>
        <v>9</v>
      </c>
      <c r="F2791">
        <f t="shared" ref="F2791" si="7948">_xlfn.NUMBERVALUE(RIGHT(C2791,4))</f>
        <v>2024</v>
      </c>
      <c r="G2791" t="s">
        <v>7</v>
      </c>
      <c r="H2791">
        <v>-2</v>
      </c>
      <c r="K2791" t="s">
        <v>9</v>
      </c>
      <c r="L2791" s="8">
        <f t="shared" si="7828"/>
        <v>-1</v>
      </c>
      <c r="M2791" t="s">
        <v>3096</v>
      </c>
    </row>
    <row r="2792" spans="1:19" x14ac:dyDescent="0.35">
      <c r="A2792">
        <f t="shared" si="7574"/>
        <v>2788</v>
      </c>
      <c r="B2792" s="9">
        <f t="shared" ref="B2792" si="7949">B2791+H2792+I2792+J2792</f>
        <v>39.93</v>
      </c>
      <c r="C2792" s="3" t="s">
        <v>3088</v>
      </c>
      <c r="D2792">
        <f t="shared" ref="D2792" si="7950">_xlfn.NUMBERVALUE(LEFT(C2792,2))</f>
        <v>6</v>
      </c>
      <c r="E2792">
        <f t="shared" ref="E2792" si="7951">_xlfn.NUMBERVALUE(MID(C2792,4,2))</f>
        <v>9</v>
      </c>
      <c r="F2792">
        <f t="shared" ref="F2792" si="7952">_xlfn.NUMBERVALUE(RIGHT(C2792,4))</f>
        <v>2024</v>
      </c>
      <c r="G2792" t="s">
        <v>7</v>
      </c>
      <c r="H2792">
        <v>-2</v>
      </c>
      <c r="K2792" t="s">
        <v>9</v>
      </c>
      <c r="L2792" s="8">
        <f t="shared" si="7828"/>
        <v>-1</v>
      </c>
      <c r="M2792" t="s">
        <v>3097</v>
      </c>
    </row>
    <row r="2793" spans="1:19" x14ac:dyDescent="0.35">
      <c r="A2793">
        <f t="shared" si="7574"/>
        <v>2789</v>
      </c>
      <c r="B2793" s="9">
        <f t="shared" ref="B2793" si="7953">B2792+H2793+I2793+J2793</f>
        <v>37.93</v>
      </c>
      <c r="C2793" s="3" t="s">
        <v>3088</v>
      </c>
      <c r="D2793">
        <f t="shared" ref="D2793" si="7954">_xlfn.NUMBERVALUE(LEFT(C2793,2))</f>
        <v>6</v>
      </c>
      <c r="E2793">
        <f t="shared" ref="E2793" si="7955">_xlfn.NUMBERVALUE(MID(C2793,4,2))</f>
        <v>9</v>
      </c>
      <c r="F2793">
        <f t="shared" ref="F2793" si="7956">_xlfn.NUMBERVALUE(RIGHT(C2793,4))</f>
        <v>2024</v>
      </c>
      <c r="G2793" t="s">
        <v>7</v>
      </c>
      <c r="H2793">
        <v>-2</v>
      </c>
      <c r="K2793" t="s">
        <v>9</v>
      </c>
      <c r="L2793" s="8">
        <f t="shared" si="7828"/>
        <v>-1</v>
      </c>
      <c r="M2793" t="s">
        <v>3098</v>
      </c>
    </row>
    <row r="2794" spans="1:19" x14ac:dyDescent="0.35">
      <c r="A2794">
        <f t="shared" si="7574"/>
        <v>2790</v>
      </c>
      <c r="B2794" s="9">
        <f t="shared" ref="B2794" si="7957">B2793+H2794+I2794+J2794</f>
        <v>35.93</v>
      </c>
      <c r="C2794" s="3" t="s">
        <v>3088</v>
      </c>
      <c r="D2794">
        <f t="shared" ref="D2794" si="7958">_xlfn.NUMBERVALUE(LEFT(C2794,2))</f>
        <v>6</v>
      </c>
      <c r="E2794">
        <f t="shared" ref="E2794" si="7959">_xlfn.NUMBERVALUE(MID(C2794,4,2))</f>
        <v>9</v>
      </c>
      <c r="F2794">
        <f t="shared" ref="F2794" si="7960">_xlfn.NUMBERVALUE(RIGHT(C2794,4))</f>
        <v>2024</v>
      </c>
      <c r="G2794" t="s">
        <v>7</v>
      </c>
      <c r="H2794">
        <v>-2</v>
      </c>
      <c r="K2794" t="s">
        <v>9</v>
      </c>
      <c r="L2794" s="8">
        <f t="shared" si="7828"/>
        <v>-1</v>
      </c>
      <c r="M2794" t="s">
        <v>3099</v>
      </c>
    </row>
    <row r="2795" spans="1:19" x14ac:dyDescent="0.35">
      <c r="A2795">
        <f t="shared" si="7574"/>
        <v>2791</v>
      </c>
      <c r="B2795" s="9">
        <f t="shared" ref="B2795" si="7961">B2794+H2795+I2795+J2795</f>
        <v>33.93</v>
      </c>
      <c r="C2795" s="3" t="s">
        <v>3088</v>
      </c>
      <c r="D2795">
        <f t="shared" ref="D2795" si="7962">_xlfn.NUMBERVALUE(LEFT(C2795,2))</f>
        <v>6</v>
      </c>
      <c r="E2795">
        <f t="shared" ref="E2795" si="7963">_xlfn.NUMBERVALUE(MID(C2795,4,2))</f>
        <v>9</v>
      </c>
      <c r="F2795">
        <f t="shared" ref="F2795" si="7964">_xlfn.NUMBERVALUE(RIGHT(C2795,4))</f>
        <v>2024</v>
      </c>
      <c r="G2795" t="s">
        <v>7</v>
      </c>
      <c r="H2795">
        <v>-2</v>
      </c>
      <c r="K2795" t="s">
        <v>9</v>
      </c>
      <c r="L2795" s="8">
        <f t="shared" si="7828"/>
        <v>-1</v>
      </c>
      <c r="M2795" t="s">
        <v>3100</v>
      </c>
    </row>
    <row r="2796" spans="1:19" x14ac:dyDescent="0.35">
      <c r="A2796">
        <f t="shared" si="7574"/>
        <v>2792</v>
      </c>
      <c r="B2796" s="9">
        <f t="shared" ref="B2796" si="7965">B2795+H2796+I2796+J2796</f>
        <v>31.93</v>
      </c>
      <c r="C2796" s="3" t="s">
        <v>3088</v>
      </c>
      <c r="D2796">
        <f t="shared" ref="D2796" si="7966">_xlfn.NUMBERVALUE(LEFT(C2796,2))</f>
        <v>6</v>
      </c>
      <c r="E2796">
        <f t="shared" ref="E2796" si="7967">_xlfn.NUMBERVALUE(MID(C2796,4,2))</f>
        <v>9</v>
      </c>
      <c r="F2796">
        <f t="shared" ref="F2796" si="7968">_xlfn.NUMBERVALUE(RIGHT(C2796,4))</f>
        <v>2024</v>
      </c>
      <c r="G2796" t="s">
        <v>7</v>
      </c>
      <c r="H2796">
        <v>-2</v>
      </c>
      <c r="K2796" t="s">
        <v>9</v>
      </c>
      <c r="L2796" s="8">
        <f t="shared" si="7828"/>
        <v>-1</v>
      </c>
      <c r="M2796" t="s">
        <v>3101</v>
      </c>
    </row>
    <row r="2797" spans="1:19" x14ac:dyDescent="0.35">
      <c r="A2797">
        <f t="shared" si="7574"/>
        <v>2793</v>
      </c>
      <c r="B2797" s="9">
        <f t="shared" ref="B2797" si="7969">B2796+H2797+I2797+J2797</f>
        <v>29.93</v>
      </c>
      <c r="C2797" s="3" t="s">
        <v>3088</v>
      </c>
      <c r="D2797">
        <f t="shared" ref="D2797" si="7970">_xlfn.NUMBERVALUE(LEFT(C2797,2))</f>
        <v>6</v>
      </c>
      <c r="E2797">
        <f t="shared" ref="E2797" si="7971">_xlfn.NUMBERVALUE(MID(C2797,4,2))</f>
        <v>9</v>
      </c>
      <c r="F2797">
        <f t="shared" ref="F2797" si="7972">_xlfn.NUMBERVALUE(RIGHT(C2797,4))</f>
        <v>2024</v>
      </c>
      <c r="G2797" t="s">
        <v>7</v>
      </c>
      <c r="H2797">
        <v>-2</v>
      </c>
      <c r="K2797" t="s">
        <v>9</v>
      </c>
      <c r="L2797" s="8">
        <f t="shared" si="7828"/>
        <v>-1</v>
      </c>
      <c r="M2797" t="s">
        <v>3102</v>
      </c>
      <c r="S2797" s="9"/>
    </row>
    <row r="2798" spans="1:19" x14ac:dyDescent="0.35">
      <c r="A2798">
        <f t="shared" si="7574"/>
        <v>2794</v>
      </c>
      <c r="B2798" s="9">
        <f t="shared" ref="B2798" si="7973">B2797+H2798+I2798+J2798</f>
        <v>27.93</v>
      </c>
      <c r="C2798" s="3" t="s">
        <v>3088</v>
      </c>
      <c r="D2798">
        <f t="shared" ref="D2798" si="7974">_xlfn.NUMBERVALUE(LEFT(C2798,2))</f>
        <v>6</v>
      </c>
      <c r="E2798">
        <f t="shared" ref="E2798" si="7975">_xlfn.NUMBERVALUE(MID(C2798,4,2))</f>
        <v>9</v>
      </c>
      <c r="F2798">
        <f t="shared" ref="F2798" si="7976">_xlfn.NUMBERVALUE(RIGHT(C2798,4))</f>
        <v>2024</v>
      </c>
      <c r="G2798" t="s">
        <v>7</v>
      </c>
      <c r="H2798">
        <v>-2</v>
      </c>
      <c r="K2798" t="s">
        <v>9</v>
      </c>
      <c r="L2798" s="8">
        <f t="shared" si="7828"/>
        <v>-1</v>
      </c>
      <c r="M2798" t="s">
        <v>3103</v>
      </c>
    </row>
    <row r="2799" spans="1:19" x14ac:dyDescent="0.35">
      <c r="A2799">
        <f t="shared" si="7574"/>
        <v>2795</v>
      </c>
      <c r="B2799" s="9">
        <f t="shared" ref="B2799" si="7977">B2798+H2799+I2799+J2799</f>
        <v>29.93</v>
      </c>
      <c r="C2799" s="3" t="s">
        <v>3088</v>
      </c>
      <c r="D2799">
        <f t="shared" ref="D2799" si="7978">_xlfn.NUMBERVALUE(LEFT(C2799,2))</f>
        <v>6</v>
      </c>
      <c r="E2799">
        <f t="shared" ref="E2799" si="7979">_xlfn.NUMBERVALUE(MID(C2799,4,2))</f>
        <v>9</v>
      </c>
      <c r="F2799">
        <f t="shared" ref="F2799" si="7980">_xlfn.NUMBERVALUE(RIGHT(C2799,4))</f>
        <v>2024</v>
      </c>
      <c r="G2799" t="s">
        <v>7</v>
      </c>
      <c r="H2799">
        <v>-2</v>
      </c>
      <c r="I2799">
        <v>4</v>
      </c>
      <c r="K2799" t="s">
        <v>10</v>
      </c>
      <c r="L2799" s="8">
        <f t="shared" si="7828"/>
        <v>1</v>
      </c>
      <c r="M2799" t="s">
        <v>3104</v>
      </c>
    </row>
    <row r="2800" spans="1:19" x14ac:dyDescent="0.35">
      <c r="A2800">
        <f t="shared" si="7574"/>
        <v>2796</v>
      </c>
      <c r="B2800" s="9">
        <f t="shared" ref="B2800" si="7981">B2799+H2800+I2800+J2800</f>
        <v>27.93</v>
      </c>
      <c r="C2800" s="3" t="s">
        <v>3088</v>
      </c>
      <c r="D2800">
        <f t="shared" ref="D2800" si="7982">_xlfn.NUMBERVALUE(LEFT(C2800,2))</f>
        <v>6</v>
      </c>
      <c r="E2800">
        <f t="shared" ref="E2800" si="7983">_xlfn.NUMBERVALUE(MID(C2800,4,2))</f>
        <v>9</v>
      </c>
      <c r="F2800">
        <f t="shared" ref="F2800" si="7984">_xlfn.NUMBERVALUE(RIGHT(C2800,4))</f>
        <v>2024</v>
      </c>
      <c r="G2800" t="s">
        <v>7</v>
      </c>
      <c r="H2800">
        <v>-2</v>
      </c>
      <c r="K2800" t="s">
        <v>9</v>
      </c>
      <c r="L2800" s="8">
        <f t="shared" si="7828"/>
        <v>-1</v>
      </c>
      <c r="M2800" t="s">
        <v>3105</v>
      </c>
    </row>
    <row r="2801" spans="1:13" x14ac:dyDescent="0.35">
      <c r="A2801">
        <f t="shared" si="7574"/>
        <v>2797</v>
      </c>
      <c r="B2801" s="9">
        <f t="shared" ref="B2801" si="7985">B2800+H2801+I2801+J2801</f>
        <v>25.93</v>
      </c>
      <c r="C2801" s="3" t="s">
        <v>3088</v>
      </c>
      <c r="D2801">
        <f t="shared" ref="D2801" si="7986">_xlfn.NUMBERVALUE(LEFT(C2801,2))</f>
        <v>6</v>
      </c>
      <c r="E2801">
        <f t="shared" ref="E2801" si="7987">_xlfn.NUMBERVALUE(MID(C2801,4,2))</f>
        <v>9</v>
      </c>
      <c r="F2801">
        <f t="shared" ref="F2801" si="7988">_xlfn.NUMBERVALUE(RIGHT(C2801,4))</f>
        <v>2024</v>
      </c>
      <c r="G2801" t="s">
        <v>7</v>
      </c>
      <c r="H2801">
        <v>-2</v>
      </c>
      <c r="K2801" t="s">
        <v>9</v>
      </c>
      <c r="L2801" s="8">
        <f t="shared" si="7828"/>
        <v>-1</v>
      </c>
      <c r="M2801" t="s">
        <v>3106</v>
      </c>
    </row>
    <row r="2802" spans="1:13" x14ac:dyDescent="0.35">
      <c r="A2802">
        <f t="shared" si="7574"/>
        <v>2798</v>
      </c>
      <c r="B2802" s="9">
        <f t="shared" ref="B2802" si="7989">B2801+H2802+I2802+J2802</f>
        <v>27.93</v>
      </c>
      <c r="C2802" s="3" t="s">
        <v>3088</v>
      </c>
      <c r="D2802">
        <f t="shared" ref="D2802" si="7990">_xlfn.NUMBERVALUE(LEFT(C2802,2))</f>
        <v>6</v>
      </c>
      <c r="E2802">
        <f t="shared" ref="E2802" si="7991">_xlfn.NUMBERVALUE(MID(C2802,4,2))</f>
        <v>9</v>
      </c>
      <c r="F2802">
        <f t="shared" ref="F2802" si="7992">_xlfn.NUMBERVALUE(RIGHT(C2802,4))</f>
        <v>2024</v>
      </c>
      <c r="G2802" t="s">
        <v>7</v>
      </c>
      <c r="H2802">
        <v>-2</v>
      </c>
      <c r="I2802">
        <v>4</v>
      </c>
      <c r="K2802" t="s">
        <v>10</v>
      </c>
      <c r="L2802" s="8">
        <f t="shared" si="7828"/>
        <v>1</v>
      </c>
      <c r="M2802" t="s">
        <v>3107</v>
      </c>
    </row>
    <row r="2803" spans="1:13" x14ac:dyDescent="0.35">
      <c r="A2803">
        <f t="shared" si="7574"/>
        <v>2799</v>
      </c>
      <c r="B2803" s="9">
        <f t="shared" ref="B2803" si="7993">B2802+H2803+I2803+J2803</f>
        <v>25.93</v>
      </c>
      <c r="C2803" s="3" t="s">
        <v>3088</v>
      </c>
      <c r="D2803">
        <f t="shared" ref="D2803" si="7994">_xlfn.NUMBERVALUE(LEFT(C2803,2))</f>
        <v>6</v>
      </c>
      <c r="E2803">
        <f t="shared" ref="E2803" si="7995">_xlfn.NUMBERVALUE(MID(C2803,4,2))</f>
        <v>9</v>
      </c>
      <c r="F2803">
        <f t="shared" ref="F2803" si="7996">_xlfn.NUMBERVALUE(RIGHT(C2803,4))</f>
        <v>2024</v>
      </c>
      <c r="G2803" t="s">
        <v>7</v>
      </c>
      <c r="H2803">
        <v>-2</v>
      </c>
      <c r="K2803" t="s">
        <v>9</v>
      </c>
      <c r="L2803" s="8">
        <f t="shared" si="7828"/>
        <v>-1</v>
      </c>
      <c r="M2803" t="s">
        <v>3108</v>
      </c>
    </row>
    <row r="2804" spans="1:13" x14ac:dyDescent="0.35">
      <c r="A2804">
        <f t="shared" si="7574"/>
        <v>2800</v>
      </c>
      <c r="B2804" s="9">
        <f t="shared" ref="B2804" si="7997">B2803+H2804+I2804+J2804</f>
        <v>23.93</v>
      </c>
      <c r="C2804" s="3" t="s">
        <v>3088</v>
      </c>
      <c r="D2804">
        <f t="shared" ref="D2804" si="7998">_xlfn.NUMBERVALUE(LEFT(C2804,2))</f>
        <v>6</v>
      </c>
      <c r="E2804">
        <f t="shared" ref="E2804" si="7999">_xlfn.NUMBERVALUE(MID(C2804,4,2))</f>
        <v>9</v>
      </c>
      <c r="F2804">
        <f t="shared" ref="F2804" si="8000">_xlfn.NUMBERVALUE(RIGHT(C2804,4))</f>
        <v>2024</v>
      </c>
      <c r="G2804" t="s">
        <v>7</v>
      </c>
      <c r="H2804">
        <v>-2</v>
      </c>
      <c r="K2804" t="s">
        <v>9</v>
      </c>
      <c r="L2804" s="8">
        <f t="shared" si="7828"/>
        <v>-1</v>
      </c>
      <c r="M2804" t="s">
        <v>3109</v>
      </c>
    </row>
    <row r="2805" spans="1:13" x14ac:dyDescent="0.35">
      <c r="A2805">
        <f t="shared" si="7574"/>
        <v>2801</v>
      </c>
      <c r="B2805" s="9">
        <f t="shared" ref="B2805" si="8001">B2804+H2805+I2805+J2805</f>
        <v>27.93</v>
      </c>
      <c r="C2805" s="3" t="s">
        <v>3088</v>
      </c>
      <c r="D2805">
        <f t="shared" ref="D2805" si="8002">_xlfn.NUMBERVALUE(LEFT(C2805,2))</f>
        <v>6</v>
      </c>
      <c r="E2805">
        <f t="shared" ref="E2805" si="8003">_xlfn.NUMBERVALUE(MID(C2805,4,2))</f>
        <v>9</v>
      </c>
      <c r="F2805">
        <f t="shared" ref="F2805" si="8004">_xlfn.NUMBERVALUE(RIGHT(C2805,4))</f>
        <v>2024</v>
      </c>
      <c r="G2805" t="s">
        <v>7</v>
      </c>
      <c r="H2805">
        <v>-2</v>
      </c>
      <c r="I2805">
        <v>6</v>
      </c>
      <c r="K2805" t="s">
        <v>10</v>
      </c>
      <c r="L2805" s="8">
        <f t="shared" si="7828"/>
        <v>2</v>
      </c>
      <c r="M2805" t="s">
        <v>3110</v>
      </c>
    </row>
    <row r="2806" spans="1:13" x14ac:dyDescent="0.35">
      <c r="A2806">
        <f t="shared" si="7574"/>
        <v>2802</v>
      </c>
      <c r="B2806" s="9">
        <f t="shared" ref="B2806" si="8005">B2805+H2806+I2806+J2806</f>
        <v>25.93</v>
      </c>
      <c r="C2806" s="3" t="s">
        <v>3111</v>
      </c>
      <c r="D2806">
        <f t="shared" ref="D2806" si="8006">_xlfn.NUMBERVALUE(LEFT(C2806,2))</f>
        <v>7</v>
      </c>
      <c r="E2806">
        <f t="shared" ref="E2806" si="8007">_xlfn.NUMBERVALUE(MID(C2806,4,2))</f>
        <v>9</v>
      </c>
      <c r="F2806">
        <f t="shared" ref="F2806" si="8008">_xlfn.NUMBERVALUE(RIGHT(C2806,4))</f>
        <v>2024</v>
      </c>
      <c r="G2806" t="s">
        <v>7</v>
      </c>
      <c r="H2806">
        <v>-2</v>
      </c>
      <c r="K2806" t="s">
        <v>9</v>
      </c>
      <c r="L2806" s="8">
        <f t="shared" si="7828"/>
        <v>-1</v>
      </c>
      <c r="M2806" t="s">
        <v>3112</v>
      </c>
    </row>
    <row r="2807" spans="1:13" x14ac:dyDescent="0.35">
      <c r="A2807">
        <f t="shared" si="7574"/>
        <v>2803</v>
      </c>
      <c r="B2807" s="9">
        <f t="shared" ref="B2807" si="8009">B2806+H2807+I2807+J2807</f>
        <v>25.93</v>
      </c>
      <c r="C2807" s="3" t="s">
        <v>3111</v>
      </c>
      <c r="D2807">
        <f t="shared" ref="D2807" si="8010">_xlfn.NUMBERVALUE(LEFT(C2807,2))</f>
        <v>7</v>
      </c>
      <c r="E2807">
        <f t="shared" ref="E2807" si="8011">_xlfn.NUMBERVALUE(MID(C2807,4,2))</f>
        <v>9</v>
      </c>
      <c r="F2807">
        <f t="shared" ref="F2807" si="8012">_xlfn.NUMBERVALUE(RIGHT(C2807,4))</f>
        <v>2024</v>
      </c>
      <c r="G2807" t="s">
        <v>3039</v>
      </c>
      <c r="K2807" t="s">
        <v>9</v>
      </c>
      <c r="L2807" s="8">
        <f t="shared" si="7828"/>
        <v>0</v>
      </c>
      <c r="M2807" t="s">
        <v>3113</v>
      </c>
    </row>
    <row r="2808" spans="1:13" x14ac:dyDescent="0.35">
      <c r="A2808">
        <f t="shared" si="7574"/>
        <v>2804</v>
      </c>
      <c r="B2808" s="9">
        <f t="shared" ref="B2808" si="8013">B2807+H2808+I2808+J2808</f>
        <v>25.93</v>
      </c>
      <c r="C2808" s="3" t="s">
        <v>3111</v>
      </c>
      <c r="D2808">
        <f t="shared" ref="D2808" si="8014">_xlfn.NUMBERVALUE(LEFT(C2808,2))</f>
        <v>7</v>
      </c>
      <c r="E2808">
        <f t="shared" ref="E2808" si="8015">_xlfn.NUMBERVALUE(MID(C2808,4,2))</f>
        <v>9</v>
      </c>
      <c r="F2808">
        <f t="shared" ref="F2808" si="8016">_xlfn.NUMBERVALUE(RIGHT(C2808,4))</f>
        <v>2024</v>
      </c>
      <c r="G2808" t="s">
        <v>3039</v>
      </c>
      <c r="K2808" t="s">
        <v>10</v>
      </c>
      <c r="L2808" s="8">
        <f t="shared" si="7828"/>
        <v>0</v>
      </c>
      <c r="M2808" t="s">
        <v>3114</v>
      </c>
    </row>
    <row r="2809" spans="1:13" x14ac:dyDescent="0.35">
      <c r="A2809">
        <f t="shared" si="7574"/>
        <v>2805</v>
      </c>
      <c r="B2809" s="9">
        <f t="shared" ref="B2809:B2810" si="8017">B2808+H2809+I2809+J2809</f>
        <v>25.93</v>
      </c>
      <c r="C2809" s="3" t="s">
        <v>3111</v>
      </c>
      <c r="D2809">
        <f t="shared" ref="D2809:D2810" si="8018">_xlfn.NUMBERVALUE(LEFT(C2809,2))</f>
        <v>7</v>
      </c>
      <c r="E2809">
        <f t="shared" ref="E2809:E2810" si="8019">_xlfn.NUMBERVALUE(MID(C2809,4,2))</f>
        <v>9</v>
      </c>
      <c r="F2809">
        <f t="shared" ref="F2809:F2810" si="8020">_xlfn.NUMBERVALUE(RIGHT(C2809,4))</f>
        <v>2024</v>
      </c>
      <c r="G2809" t="s">
        <v>2969</v>
      </c>
      <c r="K2809" t="s">
        <v>9</v>
      </c>
      <c r="L2809" s="8">
        <f t="shared" si="7828"/>
        <v>0</v>
      </c>
      <c r="M2809" t="s">
        <v>3117</v>
      </c>
    </row>
    <row r="2810" spans="1:13" x14ac:dyDescent="0.35">
      <c r="A2810">
        <f t="shared" si="7574"/>
        <v>2806</v>
      </c>
      <c r="B2810" s="9">
        <f t="shared" si="8017"/>
        <v>23.93</v>
      </c>
      <c r="C2810" s="3" t="s">
        <v>3111</v>
      </c>
      <c r="D2810">
        <f t="shared" si="8018"/>
        <v>7</v>
      </c>
      <c r="E2810">
        <f t="shared" si="8019"/>
        <v>9</v>
      </c>
      <c r="F2810">
        <f t="shared" si="8020"/>
        <v>2024</v>
      </c>
      <c r="G2810" t="s">
        <v>7</v>
      </c>
      <c r="H2810">
        <v>-2</v>
      </c>
      <c r="K2810" t="s">
        <v>9</v>
      </c>
      <c r="L2810" s="8">
        <f t="shared" si="7828"/>
        <v>-1</v>
      </c>
      <c r="M2810" t="s">
        <v>3115</v>
      </c>
    </row>
    <row r="2811" spans="1:13" x14ac:dyDescent="0.35">
      <c r="A2811">
        <f t="shared" si="7574"/>
        <v>2807</v>
      </c>
      <c r="B2811" s="9">
        <f t="shared" ref="B2811:B2812" si="8021">B2810+H2811+I2811+J2811</f>
        <v>25.93</v>
      </c>
      <c r="C2811" s="3" t="s">
        <v>3111</v>
      </c>
      <c r="D2811">
        <f t="shared" ref="D2811:D2812" si="8022">_xlfn.NUMBERVALUE(LEFT(C2811,2))</f>
        <v>7</v>
      </c>
      <c r="E2811">
        <f t="shared" ref="E2811:E2812" si="8023">_xlfn.NUMBERVALUE(MID(C2811,4,2))</f>
        <v>9</v>
      </c>
      <c r="F2811">
        <f t="shared" ref="F2811:F2812" si="8024">_xlfn.NUMBERVALUE(RIGHT(C2811,4))</f>
        <v>2024</v>
      </c>
      <c r="G2811" t="s">
        <v>7</v>
      </c>
      <c r="H2811">
        <v>-2</v>
      </c>
      <c r="I2811">
        <v>4</v>
      </c>
      <c r="K2811" t="s">
        <v>10</v>
      </c>
      <c r="L2811" s="8">
        <f t="shared" si="7828"/>
        <v>1</v>
      </c>
      <c r="M2811" t="s">
        <v>3116</v>
      </c>
    </row>
    <row r="2812" spans="1:13" x14ac:dyDescent="0.35">
      <c r="A2812">
        <f t="shared" si="7574"/>
        <v>2808</v>
      </c>
      <c r="B2812" s="9">
        <f t="shared" si="8021"/>
        <v>52.480000000000004</v>
      </c>
      <c r="C2812" s="3" t="s">
        <v>3111</v>
      </c>
      <c r="D2812">
        <f t="shared" si="8022"/>
        <v>7</v>
      </c>
      <c r="E2812">
        <f t="shared" si="8023"/>
        <v>9</v>
      </c>
      <c r="F2812">
        <f t="shared" si="8024"/>
        <v>2024</v>
      </c>
      <c r="G2812" t="s">
        <v>3118</v>
      </c>
      <c r="H2812">
        <v>-4.4000000000000004</v>
      </c>
      <c r="I2812">
        <v>8.5</v>
      </c>
      <c r="J2812">
        <v>22.45</v>
      </c>
      <c r="K2812" t="s">
        <v>10</v>
      </c>
      <c r="L2812" s="8">
        <f t="shared" si="7828"/>
        <v>6.0340909090909083</v>
      </c>
      <c r="M2812" t="s">
        <v>3119</v>
      </c>
    </row>
    <row r="2813" spans="1:13" x14ac:dyDescent="0.35">
      <c r="A2813">
        <f t="shared" si="7574"/>
        <v>2809</v>
      </c>
      <c r="B2813" s="9">
        <f t="shared" ref="B2813:B2814" si="8025">B2812+H2813+I2813+J2813</f>
        <v>50.480000000000004</v>
      </c>
      <c r="C2813" s="3" t="s">
        <v>3120</v>
      </c>
      <c r="D2813">
        <f t="shared" ref="D2813:D2814" si="8026">_xlfn.NUMBERVALUE(LEFT(C2813,2))</f>
        <v>8</v>
      </c>
      <c r="E2813">
        <f t="shared" ref="E2813:E2814" si="8027">_xlfn.NUMBERVALUE(MID(C2813,4,2))</f>
        <v>9</v>
      </c>
      <c r="F2813">
        <f t="shared" ref="F2813:F2814" si="8028">_xlfn.NUMBERVALUE(RIGHT(C2813,4))</f>
        <v>2024</v>
      </c>
      <c r="G2813" t="s">
        <v>7</v>
      </c>
      <c r="H2813">
        <v>-2</v>
      </c>
      <c r="K2813" t="s">
        <v>9</v>
      </c>
      <c r="L2813" s="8">
        <f t="shared" si="7828"/>
        <v>-1</v>
      </c>
      <c r="M2813" t="s">
        <v>3121</v>
      </c>
    </row>
    <row r="2814" spans="1:13" x14ac:dyDescent="0.35">
      <c r="A2814">
        <f t="shared" si="7574"/>
        <v>2810</v>
      </c>
      <c r="B2814" s="9">
        <f t="shared" si="8025"/>
        <v>50.480000000000004</v>
      </c>
      <c r="C2814" s="3" t="s">
        <v>3120</v>
      </c>
      <c r="D2814">
        <f t="shared" si="8026"/>
        <v>8</v>
      </c>
      <c r="E2814">
        <f t="shared" si="8027"/>
        <v>9</v>
      </c>
      <c r="F2814">
        <f t="shared" si="8028"/>
        <v>2024</v>
      </c>
      <c r="G2814" t="s">
        <v>3039</v>
      </c>
      <c r="K2814" t="s">
        <v>9</v>
      </c>
      <c r="L2814" s="8">
        <f t="shared" si="7828"/>
        <v>0</v>
      </c>
      <c r="M2814" t="s">
        <v>3122</v>
      </c>
    </row>
    <row r="2815" spans="1:13" x14ac:dyDescent="0.35">
      <c r="A2815">
        <f t="shared" si="7574"/>
        <v>2811</v>
      </c>
      <c r="B2815" s="9">
        <f t="shared" ref="B2815" si="8029">B2814+H2815+I2815+J2815</f>
        <v>48.480000000000004</v>
      </c>
      <c r="C2815" s="3" t="s">
        <v>3120</v>
      </c>
      <c r="D2815">
        <f t="shared" ref="D2815" si="8030">_xlfn.NUMBERVALUE(LEFT(C2815,2))</f>
        <v>8</v>
      </c>
      <c r="E2815">
        <f t="shared" ref="E2815" si="8031">_xlfn.NUMBERVALUE(MID(C2815,4,2))</f>
        <v>9</v>
      </c>
      <c r="F2815">
        <f t="shared" ref="F2815" si="8032">_xlfn.NUMBERVALUE(RIGHT(C2815,4))</f>
        <v>2024</v>
      </c>
      <c r="G2815" t="s">
        <v>7</v>
      </c>
      <c r="H2815">
        <v>-2</v>
      </c>
      <c r="K2815" t="s">
        <v>9</v>
      </c>
      <c r="L2815" s="8">
        <f t="shared" si="7828"/>
        <v>-1</v>
      </c>
      <c r="M2815" t="s">
        <v>3123</v>
      </c>
    </row>
    <row r="2816" spans="1:13" x14ac:dyDescent="0.35">
      <c r="A2816">
        <f t="shared" si="7574"/>
        <v>2812</v>
      </c>
      <c r="B2816" s="9">
        <f t="shared" ref="B2816:B2817" si="8033">B2815+H2816+I2816+J2816</f>
        <v>50.480000000000004</v>
      </c>
      <c r="C2816" s="3" t="s">
        <v>3124</v>
      </c>
      <c r="D2816">
        <f t="shared" ref="D2816:D2817" si="8034">_xlfn.NUMBERVALUE(LEFT(C2816,2))</f>
        <v>9</v>
      </c>
      <c r="E2816">
        <f t="shared" ref="E2816:E2817" si="8035">_xlfn.NUMBERVALUE(MID(C2816,4,2))</f>
        <v>9</v>
      </c>
      <c r="F2816">
        <f t="shared" ref="F2816:F2817" si="8036">_xlfn.NUMBERVALUE(RIGHT(C2816,4))</f>
        <v>2024</v>
      </c>
      <c r="G2816" t="s">
        <v>7</v>
      </c>
      <c r="H2816">
        <v>-2</v>
      </c>
      <c r="I2816">
        <v>4</v>
      </c>
      <c r="K2816" t="s">
        <v>10</v>
      </c>
      <c r="L2816" s="8">
        <f t="shared" si="7828"/>
        <v>1</v>
      </c>
      <c r="M2816" t="s">
        <v>3125</v>
      </c>
    </row>
    <row r="2817" spans="1:13" x14ac:dyDescent="0.35">
      <c r="A2817">
        <f t="shared" si="7574"/>
        <v>2813</v>
      </c>
      <c r="B2817" s="9">
        <f t="shared" si="8033"/>
        <v>50.480000000000004</v>
      </c>
      <c r="C2817" s="3" t="s">
        <v>3124</v>
      </c>
      <c r="D2817">
        <f t="shared" si="8034"/>
        <v>9</v>
      </c>
      <c r="E2817">
        <f t="shared" si="8035"/>
        <v>9</v>
      </c>
      <c r="F2817">
        <f t="shared" si="8036"/>
        <v>2024</v>
      </c>
      <c r="G2817" t="s">
        <v>3039</v>
      </c>
      <c r="K2817" t="s">
        <v>9</v>
      </c>
      <c r="L2817" s="8">
        <f t="shared" si="7828"/>
        <v>0</v>
      </c>
      <c r="M2817" t="s">
        <v>3126</v>
      </c>
    </row>
    <row r="2818" spans="1:13" x14ac:dyDescent="0.35">
      <c r="A2818">
        <f t="shared" si="7574"/>
        <v>2814</v>
      </c>
      <c r="B2818" s="9">
        <f t="shared" ref="B2818:B2820" si="8037">B2817+H2818+I2818+J2818</f>
        <v>48.480000000000004</v>
      </c>
      <c r="C2818" s="3" t="s">
        <v>3131</v>
      </c>
      <c r="D2818">
        <f t="shared" ref="D2818:D2820" si="8038">_xlfn.NUMBERVALUE(LEFT(C2818,2))</f>
        <v>10</v>
      </c>
      <c r="E2818">
        <f t="shared" ref="E2818:E2820" si="8039">_xlfn.NUMBERVALUE(MID(C2818,4,2))</f>
        <v>9</v>
      </c>
      <c r="F2818">
        <f t="shared" ref="F2818:F2820" si="8040">_xlfn.NUMBERVALUE(RIGHT(C2818,4))</f>
        <v>2024</v>
      </c>
      <c r="G2818" t="s">
        <v>7</v>
      </c>
      <c r="H2818">
        <v>-2</v>
      </c>
      <c r="K2818" t="s">
        <v>9</v>
      </c>
      <c r="L2818" s="8">
        <f t="shared" si="7828"/>
        <v>-1</v>
      </c>
      <c r="M2818" t="s">
        <v>3127</v>
      </c>
    </row>
    <row r="2819" spans="1:13" x14ac:dyDescent="0.35">
      <c r="A2819">
        <f t="shared" si="7574"/>
        <v>2815</v>
      </c>
      <c r="B2819" s="9">
        <f t="shared" si="8037"/>
        <v>48.480000000000004</v>
      </c>
      <c r="C2819" s="3" t="s">
        <v>3131</v>
      </c>
      <c r="D2819">
        <f t="shared" si="8038"/>
        <v>10</v>
      </c>
      <c r="E2819">
        <f t="shared" si="8039"/>
        <v>9</v>
      </c>
      <c r="F2819">
        <f t="shared" si="8040"/>
        <v>2024</v>
      </c>
      <c r="G2819" t="s">
        <v>3039</v>
      </c>
      <c r="K2819" t="s">
        <v>10</v>
      </c>
      <c r="L2819" s="8">
        <f t="shared" si="7828"/>
        <v>0</v>
      </c>
      <c r="M2819" t="s">
        <v>3128</v>
      </c>
    </row>
    <row r="2820" spans="1:13" x14ac:dyDescent="0.35">
      <c r="A2820">
        <f t="shared" si="7574"/>
        <v>2816</v>
      </c>
      <c r="B2820" s="9">
        <f t="shared" si="8037"/>
        <v>48.480000000000004</v>
      </c>
      <c r="C2820" s="3" t="s">
        <v>3131</v>
      </c>
      <c r="D2820">
        <f t="shared" si="8038"/>
        <v>10</v>
      </c>
      <c r="E2820">
        <f t="shared" si="8039"/>
        <v>9</v>
      </c>
      <c r="F2820">
        <f t="shared" si="8040"/>
        <v>2024</v>
      </c>
      <c r="G2820" t="s">
        <v>2969</v>
      </c>
      <c r="K2820" t="s">
        <v>9</v>
      </c>
      <c r="L2820" s="8">
        <f t="shared" si="7828"/>
        <v>0</v>
      </c>
      <c r="M2820" t="s">
        <v>3129</v>
      </c>
    </row>
    <row r="2821" spans="1:13" x14ac:dyDescent="0.35">
      <c r="A2821">
        <f t="shared" si="7574"/>
        <v>2817</v>
      </c>
      <c r="B2821" s="9">
        <f t="shared" ref="B2821:B2822" si="8041">B2820+H2821+I2821+J2821</f>
        <v>52.480000000000004</v>
      </c>
      <c r="C2821" s="3" t="s">
        <v>3132</v>
      </c>
      <c r="D2821">
        <f t="shared" ref="D2821:D2822" si="8042">_xlfn.NUMBERVALUE(LEFT(C2821,2))</f>
        <v>11</v>
      </c>
      <c r="E2821">
        <f t="shared" ref="E2821:E2822" si="8043">_xlfn.NUMBERVALUE(MID(C2821,4,2))</f>
        <v>9</v>
      </c>
      <c r="F2821">
        <f t="shared" ref="F2821:F2822" si="8044">_xlfn.NUMBERVALUE(RIGHT(C2821,4))</f>
        <v>2024</v>
      </c>
      <c r="G2821" t="s">
        <v>7</v>
      </c>
      <c r="H2821">
        <v>-2</v>
      </c>
      <c r="I2821">
        <v>6</v>
      </c>
      <c r="K2821" t="s">
        <v>10</v>
      </c>
      <c r="L2821" s="8">
        <f t="shared" si="7828"/>
        <v>2</v>
      </c>
      <c r="M2821" t="s">
        <v>3130</v>
      </c>
    </row>
    <row r="2822" spans="1:13" x14ac:dyDescent="0.35">
      <c r="A2822">
        <f t="shared" si="7574"/>
        <v>2818</v>
      </c>
      <c r="B2822" s="9">
        <f t="shared" si="8041"/>
        <v>52.480000000000004</v>
      </c>
      <c r="C2822" s="3" t="s">
        <v>3132</v>
      </c>
      <c r="D2822">
        <f t="shared" si="8042"/>
        <v>11</v>
      </c>
      <c r="E2822">
        <f t="shared" si="8043"/>
        <v>9</v>
      </c>
      <c r="F2822">
        <f t="shared" si="8044"/>
        <v>2024</v>
      </c>
      <c r="G2822" t="s">
        <v>3039</v>
      </c>
      <c r="K2822" t="s">
        <v>10</v>
      </c>
      <c r="L2822" s="8">
        <f t="shared" ref="L2822:L2885" si="8045">IF(H2822="",0,(SUM(I2822:J2822)/-H2822)-1)</f>
        <v>0</v>
      </c>
      <c r="M2822" t="s">
        <v>3133</v>
      </c>
    </row>
    <row r="2823" spans="1:13" x14ac:dyDescent="0.35">
      <c r="A2823">
        <f t="shared" si="7574"/>
        <v>2819</v>
      </c>
      <c r="B2823" s="9">
        <f t="shared" ref="B2823:B2824" si="8046">B2822+H2823+I2823+J2823</f>
        <v>52.480000000000004</v>
      </c>
      <c r="C2823" s="3" t="s">
        <v>3132</v>
      </c>
      <c r="D2823">
        <f t="shared" ref="D2823:D2824" si="8047">_xlfn.NUMBERVALUE(LEFT(C2823,2))</f>
        <v>11</v>
      </c>
      <c r="E2823">
        <f t="shared" ref="E2823:E2824" si="8048">_xlfn.NUMBERVALUE(MID(C2823,4,2))</f>
        <v>9</v>
      </c>
      <c r="F2823">
        <f t="shared" ref="F2823:F2824" si="8049">_xlfn.NUMBERVALUE(RIGHT(C2823,4))</f>
        <v>2024</v>
      </c>
      <c r="G2823" t="s">
        <v>2969</v>
      </c>
      <c r="K2823" t="s">
        <v>9</v>
      </c>
      <c r="L2823" s="8">
        <f t="shared" si="8045"/>
        <v>0</v>
      </c>
      <c r="M2823" t="s">
        <v>3134</v>
      </c>
    </row>
    <row r="2824" spans="1:13" x14ac:dyDescent="0.35">
      <c r="A2824">
        <f t="shared" si="7574"/>
        <v>2820</v>
      </c>
      <c r="B2824" s="9">
        <f t="shared" si="8046"/>
        <v>50.480000000000004</v>
      </c>
      <c r="C2824" s="3" t="s">
        <v>3132</v>
      </c>
      <c r="D2824">
        <f t="shared" si="8047"/>
        <v>11</v>
      </c>
      <c r="E2824">
        <f t="shared" si="8048"/>
        <v>9</v>
      </c>
      <c r="F2824">
        <f t="shared" si="8049"/>
        <v>2024</v>
      </c>
      <c r="G2824" t="s">
        <v>7</v>
      </c>
      <c r="H2824">
        <v>-2</v>
      </c>
      <c r="K2824" t="s">
        <v>9</v>
      </c>
      <c r="L2824" s="8">
        <f t="shared" si="8045"/>
        <v>-1</v>
      </c>
      <c r="M2824" t="s">
        <v>3135</v>
      </c>
    </row>
    <row r="2825" spans="1:13" x14ac:dyDescent="0.35">
      <c r="A2825">
        <f t="shared" si="7574"/>
        <v>2821</v>
      </c>
      <c r="B2825" s="9">
        <f t="shared" ref="B2825" si="8050">B2824+H2825+I2825+J2825</f>
        <v>48.480000000000004</v>
      </c>
      <c r="C2825" s="3" t="s">
        <v>3132</v>
      </c>
      <c r="D2825">
        <f t="shared" ref="D2825" si="8051">_xlfn.NUMBERVALUE(LEFT(C2825,2))</f>
        <v>11</v>
      </c>
      <c r="E2825">
        <f t="shared" ref="E2825" si="8052">_xlfn.NUMBERVALUE(MID(C2825,4,2))</f>
        <v>9</v>
      </c>
      <c r="F2825">
        <f t="shared" ref="F2825" si="8053">_xlfn.NUMBERVALUE(RIGHT(C2825,4))</f>
        <v>2024</v>
      </c>
      <c r="G2825" t="s">
        <v>7</v>
      </c>
      <c r="H2825">
        <v>-2</v>
      </c>
      <c r="K2825" t="s">
        <v>9</v>
      </c>
      <c r="L2825" s="8">
        <f t="shared" si="8045"/>
        <v>-1</v>
      </c>
      <c r="M2825" t="s">
        <v>3136</v>
      </c>
    </row>
    <row r="2826" spans="1:13" x14ac:dyDescent="0.35">
      <c r="A2826">
        <f t="shared" si="7574"/>
        <v>2822</v>
      </c>
      <c r="B2826" s="9">
        <f t="shared" ref="B2826" si="8054">B2825+H2826+I2826+J2826</f>
        <v>46.480000000000004</v>
      </c>
      <c r="C2826" s="3" t="s">
        <v>3137</v>
      </c>
      <c r="D2826">
        <f t="shared" ref="D2826" si="8055">_xlfn.NUMBERVALUE(LEFT(C2826,2))</f>
        <v>14</v>
      </c>
      <c r="E2826">
        <f t="shared" ref="E2826" si="8056">_xlfn.NUMBERVALUE(MID(C2826,4,2))</f>
        <v>9</v>
      </c>
      <c r="F2826">
        <f t="shared" ref="F2826" si="8057">_xlfn.NUMBERVALUE(RIGHT(C2826,4))</f>
        <v>2024</v>
      </c>
      <c r="G2826" t="s">
        <v>7</v>
      </c>
      <c r="H2826">
        <v>-2</v>
      </c>
      <c r="K2826" t="s">
        <v>9</v>
      </c>
      <c r="L2826" s="8">
        <f t="shared" si="8045"/>
        <v>-1</v>
      </c>
      <c r="M2826" t="s">
        <v>3138</v>
      </c>
    </row>
    <row r="2827" spans="1:13" x14ac:dyDescent="0.35">
      <c r="A2827">
        <f t="shared" si="7574"/>
        <v>2823</v>
      </c>
      <c r="B2827" s="9">
        <f t="shared" ref="B2827" si="8058">B2826+H2827+I2827+J2827</f>
        <v>44.480000000000004</v>
      </c>
      <c r="C2827" s="3" t="s">
        <v>3137</v>
      </c>
      <c r="D2827">
        <f t="shared" ref="D2827" si="8059">_xlfn.NUMBERVALUE(LEFT(C2827,2))</f>
        <v>14</v>
      </c>
      <c r="E2827">
        <f t="shared" ref="E2827" si="8060">_xlfn.NUMBERVALUE(MID(C2827,4,2))</f>
        <v>9</v>
      </c>
      <c r="F2827">
        <f t="shared" ref="F2827" si="8061">_xlfn.NUMBERVALUE(RIGHT(C2827,4))</f>
        <v>2024</v>
      </c>
      <c r="G2827" t="s">
        <v>7</v>
      </c>
      <c r="H2827">
        <v>-2</v>
      </c>
      <c r="K2827" t="s">
        <v>9</v>
      </c>
      <c r="L2827" s="8">
        <f t="shared" si="8045"/>
        <v>-1</v>
      </c>
      <c r="M2827" t="s">
        <v>3139</v>
      </c>
    </row>
    <row r="2828" spans="1:13" x14ac:dyDescent="0.35">
      <c r="A2828">
        <f t="shared" si="7574"/>
        <v>2824</v>
      </c>
      <c r="B2828" s="9">
        <f t="shared" ref="B2828:B2829" si="8062">B2827+H2828+I2828+J2828</f>
        <v>44.480000000000004</v>
      </c>
      <c r="C2828" s="3" t="s">
        <v>3137</v>
      </c>
      <c r="D2828">
        <f t="shared" ref="D2828:D2829" si="8063">_xlfn.NUMBERVALUE(LEFT(C2828,2))</f>
        <v>14</v>
      </c>
      <c r="E2828">
        <f t="shared" ref="E2828:E2829" si="8064">_xlfn.NUMBERVALUE(MID(C2828,4,2))</f>
        <v>9</v>
      </c>
      <c r="F2828">
        <f t="shared" ref="F2828:F2829" si="8065">_xlfn.NUMBERVALUE(RIGHT(C2828,4))</f>
        <v>2024</v>
      </c>
      <c r="G2828" t="s">
        <v>3039</v>
      </c>
      <c r="K2828" t="s">
        <v>9</v>
      </c>
      <c r="L2828" s="8">
        <f t="shared" si="8045"/>
        <v>0</v>
      </c>
      <c r="M2828" t="s">
        <v>3140</v>
      </c>
    </row>
    <row r="2829" spans="1:13" x14ac:dyDescent="0.35">
      <c r="A2829">
        <f t="shared" si="7574"/>
        <v>2825</v>
      </c>
      <c r="B2829" s="9">
        <f t="shared" si="8062"/>
        <v>46.480000000000004</v>
      </c>
      <c r="C2829" s="3" t="s">
        <v>3137</v>
      </c>
      <c r="D2829">
        <f t="shared" si="8063"/>
        <v>14</v>
      </c>
      <c r="E2829">
        <f t="shared" si="8064"/>
        <v>9</v>
      </c>
      <c r="F2829">
        <f t="shared" si="8065"/>
        <v>2024</v>
      </c>
      <c r="G2829" t="s">
        <v>7</v>
      </c>
      <c r="H2829">
        <v>-2</v>
      </c>
      <c r="I2829">
        <v>4</v>
      </c>
      <c r="K2829" t="s">
        <v>10</v>
      </c>
      <c r="L2829" s="8">
        <f t="shared" si="8045"/>
        <v>1</v>
      </c>
      <c r="M2829" t="s">
        <v>3141</v>
      </c>
    </row>
    <row r="2830" spans="1:13" x14ac:dyDescent="0.35">
      <c r="A2830">
        <f t="shared" si="7574"/>
        <v>2826</v>
      </c>
      <c r="B2830" s="9">
        <f t="shared" ref="B2830" si="8066">B2829+H2830+I2830+J2830</f>
        <v>44.480000000000004</v>
      </c>
      <c r="C2830" s="3" t="s">
        <v>3137</v>
      </c>
      <c r="D2830">
        <f t="shared" ref="D2830" si="8067">_xlfn.NUMBERVALUE(LEFT(C2830,2))</f>
        <v>14</v>
      </c>
      <c r="E2830">
        <f t="shared" ref="E2830" si="8068">_xlfn.NUMBERVALUE(MID(C2830,4,2))</f>
        <v>9</v>
      </c>
      <c r="F2830">
        <f t="shared" ref="F2830" si="8069">_xlfn.NUMBERVALUE(RIGHT(C2830,4))</f>
        <v>2024</v>
      </c>
      <c r="G2830" t="s">
        <v>7</v>
      </c>
      <c r="H2830">
        <v>-2</v>
      </c>
      <c r="K2830" t="s">
        <v>9</v>
      </c>
      <c r="L2830" s="8">
        <f t="shared" si="8045"/>
        <v>-1</v>
      </c>
      <c r="M2830" t="s">
        <v>3142</v>
      </c>
    </row>
    <row r="2831" spans="1:13" x14ac:dyDescent="0.35">
      <c r="A2831">
        <f t="shared" si="7574"/>
        <v>2827</v>
      </c>
      <c r="B2831" s="9">
        <f t="shared" ref="B2831:B2832" si="8070">B2830+H2831+I2831+J2831</f>
        <v>43.760000000000005</v>
      </c>
      <c r="C2831" s="3" t="s">
        <v>3137</v>
      </c>
      <c r="D2831">
        <f t="shared" ref="D2831:D2832" si="8071">_xlfn.NUMBERVALUE(LEFT(C2831,2))</f>
        <v>14</v>
      </c>
      <c r="E2831">
        <f t="shared" ref="E2831:E2832" si="8072">_xlfn.NUMBERVALUE(MID(C2831,4,2))</f>
        <v>9</v>
      </c>
      <c r="F2831">
        <f t="shared" ref="F2831:F2832" si="8073">_xlfn.NUMBERVALUE(RIGHT(C2831,4))</f>
        <v>2024</v>
      </c>
      <c r="G2831" t="s">
        <v>3143</v>
      </c>
      <c r="H2831">
        <v>-11</v>
      </c>
      <c r="J2831">
        <v>10.28</v>
      </c>
      <c r="K2831" t="s">
        <v>9</v>
      </c>
      <c r="L2831" s="8">
        <f t="shared" si="8045"/>
        <v>-6.5454545454545543E-2</v>
      </c>
      <c r="M2831" t="s">
        <v>3144</v>
      </c>
    </row>
    <row r="2832" spans="1:13" x14ac:dyDescent="0.35">
      <c r="A2832">
        <f t="shared" si="7574"/>
        <v>2828</v>
      </c>
      <c r="B2832" s="9">
        <f t="shared" si="8070"/>
        <v>41.760000000000005</v>
      </c>
      <c r="C2832" s="3" t="s">
        <v>3137</v>
      </c>
      <c r="D2832">
        <f t="shared" si="8071"/>
        <v>14</v>
      </c>
      <c r="E2832">
        <f t="shared" si="8072"/>
        <v>9</v>
      </c>
      <c r="F2832">
        <f t="shared" si="8073"/>
        <v>2024</v>
      </c>
      <c r="G2832" t="s">
        <v>7</v>
      </c>
      <c r="H2832">
        <v>-2</v>
      </c>
      <c r="K2832" t="s">
        <v>9</v>
      </c>
      <c r="L2832" s="8">
        <f t="shared" si="8045"/>
        <v>-1</v>
      </c>
      <c r="M2832" t="s">
        <v>3145</v>
      </c>
    </row>
    <row r="2833" spans="1:13" x14ac:dyDescent="0.35">
      <c r="A2833">
        <f t="shared" si="7574"/>
        <v>2829</v>
      </c>
      <c r="B2833" s="9">
        <f t="shared" ref="B2833" si="8074">B2832+H2833+I2833+J2833</f>
        <v>39.760000000000005</v>
      </c>
      <c r="C2833" s="3" t="s">
        <v>3137</v>
      </c>
      <c r="D2833">
        <f t="shared" ref="D2833" si="8075">_xlfn.NUMBERVALUE(LEFT(C2833,2))</f>
        <v>14</v>
      </c>
      <c r="E2833">
        <f t="shared" ref="E2833" si="8076">_xlfn.NUMBERVALUE(MID(C2833,4,2))</f>
        <v>9</v>
      </c>
      <c r="F2833">
        <f t="shared" ref="F2833" si="8077">_xlfn.NUMBERVALUE(RIGHT(C2833,4))</f>
        <v>2024</v>
      </c>
      <c r="G2833" t="s">
        <v>7</v>
      </c>
      <c r="H2833">
        <v>-2</v>
      </c>
      <c r="K2833" t="s">
        <v>9</v>
      </c>
      <c r="L2833" s="8">
        <f t="shared" si="8045"/>
        <v>-1</v>
      </c>
      <c r="M2833" t="s">
        <v>3146</v>
      </c>
    </row>
    <row r="2834" spans="1:13" x14ac:dyDescent="0.35">
      <c r="A2834">
        <f t="shared" si="7574"/>
        <v>2830</v>
      </c>
      <c r="B2834" s="9">
        <f t="shared" ref="B2834" si="8078">B2833+H2834+I2834+J2834</f>
        <v>41.760000000000005</v>
      </c>
      <c r="C2834" s="3" t="s">
        <v>3137</v>
      </c>
      <c r="D2834">
        <f t="shared" ref="D2834" si="8079">_xlfn.NUMBERVALUE(LEFT(C2834,2))</f>
        <v>14</v>
      </c>
      <c r="E2834">
        <f t="shared" ref="E2834" si="8080">_xlfn.NUMBERVALUE(MID(C2834,4,2))</f>
        <v>9</v>
      </c>
      <c r="F2834">
        <f t="shared" ref="F2834" si="8081">_xlfn.NUMBERVALUE(RIGHT(C2834,4))</f>
        <v>2024</v>
      </c>
      <c r="G2834" t="s">
        <v>7</v>
      </c>
      <c r="H2834">
        <v>-2</v>
      </c>
      <c r="I2834">
        <v>4</v>
      </c>
      <c r="K2834" t="s">
        <v>10</v>
      </c>
      <c r="L2834" s="8">
        <f t="shared" si="8045"/>
        <v>1</v>
      </c>
      <c r="M2834" t="s">
        <v>3147</v>
      </c>
    </row>
    <row r="2835" spans="1:13" x14ac:dyDescent="0.35">
      <c r="A2835">
        <f t="shared" si="7574"/>
        <v>2831</v>
      </c>
      <c r="B2835" s="9">
        <f t="shared" ref="B2835" si="8082">B2834+H2835+I2835+J2835</f>
        <v>39.760000000000005</v>
      </c>
      <c r="C2835" s="3" t="s">
        <v>3137</v>
      </c>
      <c r="D2835">
        <f t="shared" ref="D2835" si="8083">_xlfn.NUMBERVALUE(LEFT(C2835,2))</f>
        <v>14</v>
      </c>
      <c r="E2835">
        <f t="shared" ref="E2835" si="8084">_xlfn.NUMBERVALUE(MID(C2835,4,2))</f>
        <v>9</v>
      </c>
      <c r="F2835">
        <f t="shared" ref="F2835" si="8085">_xlfn.NUMBERVALUE(RIGHT(C2835,4))</f>
        <v>2024</v>
      </c>
      <c r="G2835" t="s">
        <v>7</v>
      </c>
      <c r="H2835">
        <v>-2</v>
      </c>
      <c r="K2835" t="s">
        <v>9</v>
      </c>
      <c r="L2835" s="8">
        <f t="shared" si="8045"/>
        <v>-1</v>
      </c>
      <c r="M2835" t="s">
        <v>3148</v>
      </c>
    </row>
    <row r="2836" spans="1:13" x14ac:dyDescent="0.35">
      <c r="A2836">
        <f t="shared" si="7574"/>
        <v>2832</v>
      </c>
      <c r="B2836" s="9">
        <f t="shared" ref="B2836" si="8086">B2835+H2836+I2836+J2836</f>
        <v>41.760000000000005</v>
      </c>
      <c r="C2836" s="3" t="s">
        <v>3137</v>
      </c>
      <c r="D2836">
        <f t="shared" ref="D2836" si="8087">_xlfn.NUMBERVALUE(LEFT(C2836,2))</f>
        <v>14</v>
      </c>
      <c r="E2836">
        <f t="shared" ref="E2836" si="8088">_xlfn.NUMBERVALUE(MID(C2836,4,2))</f>
        <v>9</v>
      </c>
      <c r="F2836">
        <f t="shared" ref="F2836" si="8089">_xlfn.NUMBERVALUE(RIGHT(C2836,4))</f>
        <v>2024</v>
      </c>
      <c r="G2836" t="s">
        <v>7</v>
      </c>
      <c r="H2836">
        <v>-2</v>
      </c>
      <c r="I2836">
        <v>4</v>
      </c>
      <c r="K2836" t="s">
        <v>10</v>
      </c>
      <c r="L2836" s="8">
        <f t="shared" si="8045"/>
        <v>1</v>
      </c>
      <c r="M2836" t="s">
        <v>3149</v>
      </c>
    </row>
    <row r="2837" spans="1:13" x14ac:dyDescent="0.35">
      <c r="A2837">
        <f t="shared" si="7574"/>
        <v>2833</v>
      </c>
      <c r="B2837" s="9">
        <f t="shared" ref="B2837" si="8090">B2836+H2837+I2837+J2837</f>
        <v>39.760000000000005</v>
      </c>
      <c r="C2837" s="3" t="s">
        <v>3137</v>
      </c>
      <c r="D2837">
        <f t="shared" ref="D2837" si="8091">_xlfn.NUMBERVALUE(LEFT(C2837,2))</f>
        <v>14</v>
      </c>
      <c r="E2837">
        <f t="shared" ref="E2837" si="8092">_xlfn.NUMBERVALUE(MID(C2837,4,2))</f>
        <v>9</v>
      </c>
      <c r="F2837">
        <f t="shared" ref="F2837" si="8093">_xlfn.NUMBERVALUE(RIGHT(C2837,4))</f>
        <v>2024</v>
      </c>
      <c r="G2837" t="s">
        <v>7</v>
      </c>
      <c r="H2837">
        <v>-2</v>
      </c>
      <c r="K2837" t="s">
        <v>9</v>
      </c>
      <c r="L2837" s="8">
        <f t="shared" si="8045"/>
        <v>-1</v>
      </c>
      <c r="M2837" t="s">
        <v>3150</v>
      </c>
    </row>
    <row r="2838" spans="1:13" x14ac:dyDescent="0.35">
      <c r="A2838">
        <f t="shared" si="7574"/>
        <v>2834</v>
      </c>
      <c r="B2838" s="9">
        <f t="shared" ref="B2838" si="8094">B2837+H2838+I2838+J2838</f>
        <v>37.760000000000005</v>
      </c>
      <c r="C2838" s="3" t="s">
        <v>3137</v>
      </c>
      <c r="D2838">
        <f t="shared" ref="D2838" si="8095">_xlfn.NUMBERVALUE(LEFT(C2838,2))</f>
        <v>14</v>
      </c>
      <c r="E2838">
        <f t="shared" ref="E2838" si="8096">_xlfn.NUMBERVALUE(MID(C2838,4,2))</f>
        <v>9</v>
      </c>
      <c r="F2838">
        <f t="shared" ref="F2838" si="8097">_xlfn.NUMBERVALUE(RIGHT(C2838,4))</f>
        <v>2024</v>
      </c>
      <c r="G2838" t="s">
        <v>7</v>
      </c>
      <c r="H2838">
        <v>-2</v>
      </c>
      <c r="K2838" t="s">
        <v>9</v>
      </c>
      <c r="L2838" s="8">
        <f t="shared" si="8045"/>
        <v>-1</v>
      </c>
      <c r="M2838" t="s">
        <v>3151</v>
      </c>
    </row>
    <row r="2839" spans="1:13" x14ac:dyDescent="0.35">
      <c r="A2839">
        <f t="shared" si="7574"/>
        <v>2835</v>
      </c>
      <c r="B2839" s="9">
        <f t="shared" ref="B2839" si="8098">B2838+H2839+I2839+J2839</f>
        <v>41.760000000000005</v>
      </c>
      <c r="C2839" s="3" t="s">
        <v>3137</v>
      </c>
      <c r="D2839">
        <f t="shared" ref="D2839" si="8099">_xlfn.NUMBERVALUE(LEFT(C2839,2))</f>
        <v>14</v>
      </c>
      <c r="E2839">
        <f t="shared" ref="E2839" si="8100">_xlfn.NUMBERVALUE(MID(C2839,4,2))</f>
        <v>9</v>
      </c>
      <c r="F2839">
        <f t="shared" ref="F2839" si="8101">_xlfn.NUMBERVALUE(RIGHT(C2839,4))</f>
        <v>2024</v>
      </c>
      <c r="G2839" t="s">
        <v>7</v>
      </c>
      <c r="H2839">
        <v>-2</v>
      </c>
      <c r="I2839">
        <v>6</v>
      </c>
      <c r="K2839" t="s">
        <v>10</v>
      </c>
      <c r="L2839" s="8">
        <f t="shared" si="8045"/>
        <v>2</v>
      </c>
      <c r="M2839" t="s">
        <v>3152</v>
      </c>
    </row>
    <row r="2840" spans="1:13" x14ac:dyDescent="0.35">
      <c r="A2840">
        <f t="shared" si="7574"/>
        <v>2836</v>
      </c>
      <c r="B2840" s="9">
        <f t="shared" ref="B2840" si="8102">B2839+H2840+I2840+J2840</f>
        <v>47.760000000000005</v>
      </c>
      <c r="C2840" s="3" t="s">
        <v>3137</v>
      </c>
      <c r="D2840">
        <f t="shared" ref="D2840" si="8103">_xlfn.NUMBERVALUE(LEFT(C2840,2))</f>
        <v>14</v>
      </c>
      <c r="E2840">
        <f t="shared" ref="E2840" si="8104">_xlfn.NUMBERVALUE(MID(C2840,4,2))</f>
        <v>9</v>
      </c>
      <c r="F2840">
        <f t="shared" ref="F2840" si="8105">_xlfn.NUMBERVALUE(RIGHT(C2840,4))</f>
        <v>2024</v>
      </c>
      <c r="G2840" t="s">
        <v>7</v>
      </c>
      <c r="H2840">
        <v>-2</v>
      </c>
      <c r="I2840">
        <v>8</v>
      </c>
      <c r="K2840" t="s">
        <v>10</v>
      </c>
      <c r="L2840" s="8">
        <f t="shared" si="8045"/>
        <v>3</v>
      </c>
      <c r="M2840" t="s">
        <v>3153</v>
      </c>
    </row>
    <row r="2841" spans="1:13" x14ac:dyDescent="0.35">
      <c r="A2841">
        <f t="shared" si="7574"/>
        <v>2837</v>
      </c>
      <c r="B2841" s="9">
        <f t="shared" ref="B2841" si="8106">B2840+H2841+I2841+J2841</f>
        <v>49.760000000000005</v>
      </c>
      <c r="C2841" s="3" t="s">
        <v>3137</v>
      </c>
      <c r="D2841">
        <f t="shared" ref="D2841" si="8107">_xlfn.NUMBERVALUE(LEFT(C2841,2))</f>
        <v>14</v>
      </c>
      <c r="E2841">
        <f t="shared" ref="E2841" si="8108">_xlfn.NUMBERVALUE(MID(C2841,4,2))</f>
        <v>9</v>
      </c>
      <c r="F2841">
        <f t="shared" ref="F2841" si="8109">_xlfn.NUMBERVALUE(RIGHT(C2841,4))</f>
        <v>2024</v>
      </c>
      <c r="G2841" t="s">
        <v>7</v>
      </c>
      <c r="H2841">
        <v>-2</v>
      </c>
      <c r="I2841">
        <v>4</v>
      </c>
      <c r="K2841" t="s">
        <v>10</v>
      </c>
      <c r="L2841" s="8">
        <f t="shared" si="8045"/>
        <v>1</v>
      </c>
      <c r="M2841" t="s">
        <v>3154</v>
      </c>
    </row>
    <row r="2842" spans="1:13" x14ac:dyDescent="0.35">
      <c r="A2842">
        <f t="shared" si="7574"/>
        <v>2838</v>
      </c>
      <c r="B2842" s="9">
        <f t="shared" ref="B2842" si="8110">B2841+H2842+I2842+J2842</f>
        <v>51.760000000000005</v>
      </c>
      <c r="C2842" s="3" t="s">
        <v>3137</v>
      </c>
      <c r="D2842">
        <f t="shared" ref="D2842" si="8111">_xlfn.NUMBERVALUE(LEFT(C2842,2))</f>
        <v>14</v>
      </c>
      <c r="E2842">
        <f t="shared" ref="E2842" si="8112">_xlfn.NUMBERVALUE(MID(C2842,4,2))</f>
        <v>9</v>
      </c>
      <c r="F2842">
        <f t="shared" ref="F2842" si="8113">_xlfn.NUMBERVALUE(RIGHT(C2842,4))</f>
        <v>2024</v>
      </c>
      <c r="G2842" t="s">
        <v>7</v>
      </c>
      <c r="H2842">
        <v>-2</v>
      </c>
      <c r="I2842">
        <v>4</v>
      </c>
      <c r="K2842" t="s">
        <v>10</v>
      </c>
      <c r="L2842" s="8">
        <f t="shared" si="8045"/>
        <v>1</v>
      </c>
      <c r="M2842" t="s">
        <v>3155</v>
      </c>
    </row>
    <row r="2843" spans="1:13" x14ac:dyDescent="0.35">
      <c r="A2843">
        <f t="shared" si="7574"/>
        <v>2839</v>
      </c>
      <c r="B2843" s="9">
        <f t="shared" ref="B2843" si="8114">B2842+H2843+I2843+J2843</f>
        <v>55.760000000000005</v>
      </c>
      <c r="C2843" s="3" t="s">
        <v>3137</v>
      </c>
      <c r="D2843">
        <f t="shared" ref="D2843" si="8115">_xlfn.NUMBERVALUE(LEFT(C2843,2))</f>
        <v>14</v>
      </c>
      <c r="E2843">
        <f t="shared" ref="E2843" si="8116">_xlfn.NUMBERVALUE(MID(C2843,4,2))</f>
        <v>9</v>
      </c>
      <c r="F2843">
        <f t="shared" ref="F2843" si="8117">_xlfn.NUMBERVALUE(RIGHT(C2843,4))</f>
        <v>2024</v>
      </c>
      <c r="G2843" t="s">
        <v>7</v>
      </c>
      <c r="H2843">
        <v>-2</v>
      </c>
      <c r="I2843">
        <v>6</v>
      </c>
      <c r="K2843" t="s">
        <v>10</v>
      </c>
      <c r="L2843" s="8">
        <f t="shared" si="8045"/>
        <v>2</v>
      </c>
      <c r="M2843" t="s">
        <v>3156</v>
      </c>
    </row>
    <row r="2844" spans="1:13" x14ac:dyDescent="0.35">
      <c r="A2844">
        <f t="shared" si="7574"/>
        <v>2840</v>
      </c>
      <c r="B2844" s="9">
        <f t="shared" ref="B2844" si="8118">B2843+H2844+I2844+J2844</f>
        <v>53.760000000000005</v>
      </c>
      <c r="C2844" s="3" t="s">
        <v>3157</v>
      </c>
      <c r="D2844">
        <f t="shared" ref="D2844" si="8119">_xlfn.NUMBERVALUE(LEFT(C2844,2))</f>
        <v>15</v>
      </c>
      <c r="E2844">
        <f t="shared" ref="E2844" si="8120">_xlfn.NUMBERVALUE(MID(C2844,4,2))</f>
        <v>9</v>
      </c>
      <c r="F2844">
        <f t="shared" ref="F2844" si="8121">_xlfn.NUMBERVALUE(RIGHT(C2844,4))</f>
        <v>2024</v>
      </c>
      <c r="G2844" t="s">
        <v>7</v>
      </c>
      <c r="H2844">
        <v>-2</v>
      </c>
      <c r="K2844" t="s">
        <v>9</v>
      </c>
      <c r="L2844" s="8">
        <f t="shared" si="8045"/>
        <v>-1</v>
      </c>
      <c r="M2844" t="s">
        <v>3158</v>
      </c>
    </row>
    <row r="2845" spans="1:13" x14ac:dyDescent="0.35">
      <c r="A2845">
        <f t="shared" si="7574"/>
        <v>2841</v>
      </c>
      <c r="B2845" s="9">
        <f t="shared" ref="B2845:B2846" si="8122">B2844+H2845+I2845+J2845</f>
        <v>53.760000000000005</v>
      </c>
      <c r="C2845" s="3" t="s">
        <v>3157</v>
      </c>
      <c r="D2845">
        <f t="shared" ref="D2845:D2846" si="8123">_xlfn.NUMBERVALUE(LEFT(C2845,2))</f>
        <v>15</v>
      </c>
      <c r="E2845">
        <f t="shared" ref="E2845:E2846" si="8124">_xlfn.NUMBERVALUE(MID(C2845,4,2))</f>
        <v>9</v>
      </c>
      <c r="F2845">
        <f t="shared" ref="F2845:F2846" si="8125">_xlfn.NUMBERVALUE(RIGHT(C2845,4))</f>
        <v>2024</v>
      </c>
      <c r="G2845" t="s">
        <v>3039</v>
      </c>
      <c r="K2845" t="s">
        <v>9</v>
      </c>
      <c r="L2845" s="8">
        <f t="shared" si="8045"/>
        <v>0</v>
      </c>
      <c r="M2845" t="s">
        <v>3159</v>
      </c>
    </row>
    <row r="2846" spans="1:13" x14ac:dyDescent="0.35">
      <c r="A2846">
        <f t="shared" si="7574"/>
        <v>2842</v>
      </c>
      <c r="B2846" s="9">
        <f t="shared" si="8122"/>
        <v>51.760000000000005</v>
      </c>
      <c r="C2846" s="3" t="s">
        <v>3157</v>
      </c>
      <c r="D2846">
        <f t="shared" si="8123"/>
        <v>15</v>
      </c>
      <c r="E2846">
        <f t="shared" si="8124"/>
        <v>9</v>
      </c>
      <c r="F2846">
        <f t="shared" si="8125"/>
        <v>2024</v>
      </c>
      <c r="G2846" t="s">
        <v>7</v>
      </c>
      <c r="H2846">
        <v>-2</v>
      </c>
      <c r="K2846" t="s">
        <v>9</v>
      </c>
      <c r="L2846" s="8">
        <f t="shared" si="8045"/>
        <v>-1</v>
      </c>
      <c r="M2846" t="s">
        <v>3160</v>
      </c>
    </row>
    <row r="2847" spans="1:13" x14ac:dyDescent="0.35">
      <c r="A2847">
        <f t="shared" si="7574"/>
        <v>2843</v>
      </c>
      <c r="B2847" s="9">
        <f t="shared" ref="B2847" si="8126">B2846+H2847+I2847+J2847</f>
        <v>49.760000000000005</v>
      </c>
      <c r="C2847" s="3" t="s">
        <v>3157</v>
      </c>
      <c r="D2847">
        <f t="shared" ref="D2847" si="8127">_xlfn.NUMBERVALUE(LEFT(C2847,2))</f>
        <v>15</v>
      </c>
      <c r="E2847">
        <f t="shared" ref="E2847" si="8128">_xlfn.NUMBERVALUE(MID(C2847,4,2))</f>
        <v>9</v>
      </c>
      <c r="F2847">
        <f t="shared" ref="F2847" si="8129">_xlfn.NUMBERVALUE(RIGHT(C2847,4))</f>
        <v>2024</v>
      </c>
      <c r="G2847" t="s">
        <v>7</v>
      </c>
      <c r="H2847">
        <v>-2</v>
      </c>
      <c r="K2847" t="s">
        <v>9</v>
      </c>
      <c r="L2847" s="8">
        <f t="shared" si="8045"/>
        <v>-1</v>
      </c>
      <c r="M2847" t="s">
        <v>3161</v>
      </c>
    </row>
    <row r="2848" spans="1:13" x14ac:dyDescent="0.35">
      <c r="A2848">
        <f t="shared" si="7574"/>
        <v>2844</v>
      </c>
      <c r="B2848" s="9">
        <f t="shared" ref="B2848" si="8130">B2847+H2848+I2848+J2848</f>
        <v>53.760000000000005</v>
      </c>
      <c r="C2848" s="3" t="s">
        <v>3157</v>
      </c>
      <c r="D2848">
        <f t="shared" ref="D2848" si="8131">_xlfn.NUMBERVALUE(LEFT(C2848,2))</f>
        <v>15</v>
      </c>
      <c r="E2848">
        <f t="shared" ref="E2848" si="8132">_xlfn.NUMBERVALUE(MID(C2848,4,2))</f>
        <v>9</v>
      </c>
      <c r="F2848">
        <f t="shared" ref="F2848" si="8133">_xlfn.NUMBERVALUE(RIGHT(C2848,4))</f>
        <v>2024</v>
      </c>
      <c r="G2848" t="s">
        <v>7</v>
      </c>
      <c r="H2848">
        <v>-2</v>
      </c>
      <c r="I2848">
        <v>6</v>
      </c>
      <c r="K2848" t="s">
        <v>10</v>
      </c>
      <c r="L2848" s="8">
        <f t="shared" si="8045"/>
        <v>2</v>
      </c>
      <c r="M2848" t="s">
        <v>3162</v>
      </c>
    </row>
    <row r="2849" spans="1:13" x14ac:dyDescent="0.35">
      <c r="A2849">
        <f t="shared" si="7574"/>
        <v>2845</v>
      </c>
      <c r="B2849" s="9">
        <f t="shared" ref="B2849" si="8134">B2848+H2849+I2849+J2849</f>
        <v>51.760000000000005</v>
      </c>
      <c r="C2849" s="3" t="s">
        <v>3157</v>
      </c>
      <c r="D2849">
        <f t="shared" ref="D2849" si="8135">_xlfn.NUMBERVALUE(LEFT(C2849,2))</f>
        <v>15</v>
      </c>
      <c r="E2849">
        <f t="shared" ref="E2849" si="8136">_xlfn.NUMBERVALUE(MID(C2849,4,2))</f>
        <v>9</v>
      </c>
      <c r="F2849">
        <f t="shared" ref="F2849" si="8137">_xlfn.NUMBERVALUE(RIGHT(C2849,4))</f>
        <v>2024</v>
      </c>
      <c r="G2849" t="s">
        <v>7</v>
      </c>
      <c r="H2849">
        <v>-2</v>
      </c>
      <c r="K2849" t="s">
        <v>9</v>
      </c>
      <c r="L2849" s="8">
        <f t="shared" si="8045"/>
        <v>-1</v>
      </c>
      <c r="M2849" t="s">
        <v>3163</v>
      </c>
    </row>
    <row r="2850" spans="1:13" x14ac:dyDescent="0.35">
      <c r="A2850">
        <f t="shared" si="7574"/>
        <v>2846</v>
      </c>
      <c r="B2850" s="9">
        <f t="shared" ref="B2850" si="8138">B2849+H2850+I2850+J2850</f>
        <v>55.760000000000005</v>
      </c>
      <c r="C2850" s="3" t="s">
        <v>3157</v>
      </c>
      <c r="D2850">
        <f t="shared" ref="D2850" si="8139">_xlfn.NUMBERVALUE(LEFT(C2850,2))</f>
        <v>15</v>
      </c>
      <c r="E2850">
        <f t="shared" ref="E2850" si="8140">_xlfn.NUMBERVALUE(MID(C2850,4,2))</f>
        <v>9</v>
      </c>
      <c r="F2850">
        <f t="shared" ref="F2850" si="8141">_xlfn.NUMBERVALUE(RIGHT(C2850,4))</f>
        <v>2024</v>
      </c>
      <c r="G2850" t="s">
        <v>7</v>
      </c>
      <c r="H2850">
        <v>-2</v>
      </c>
      <c r="I2850">
        <v>6</v>
      </c>
      <c r="K2850" t="s">
        <v>10</v>
      </c>
      <c r="L2850" s="8">
        <f t="shared" si="8045"/>
        <v>2</v>
      </c>
      <c r="M2850" t="s">
        <v>3164</v>
      </c>
    </row>
    <row r="2851" spans="1:13" x14ac:dyDescent="0.35">
      <c r="A2851">
        <f t="shared" si="7574"/>
        <v>2847</v>
      </c>
      <c r="B2851" s="9">
        <f t="shared" ref="B2851" si="8142">B2850+H2851+I2851+J2851</f>
        <v>53.760000000000005</v>
      </c>
      <c r="C2851" s="3" t="s">
        <v>3157</v>
      </c>
      <c r="D2851">
        <f t="shared" ref="D2851" si="8143">_xlfn.NUMBERVALUE(LEFT(C2851,2))</f>
        <v>15</v>
      </c>
      <c r="E2851">
        <f t="shared" ref="E2851" si="8144">_xlfn.NUMBERVALUE(MID(C2851,4,2))</f>
        <v>9</v>
      </c>
      <c r="F2851">
        <f t="shared" ref="F2851" si="8145">_xlfn.NUMBERVALUE(RIGHT(C2851,4))</f>
        <v>2024</v>
      </c>
      <c r="G2851" t="s">
        <v>7</v>
      </c>
      <c r="H2851">
        <v>-2</v>
      </c>
      <c r="K2851" t="s">
        <v>9</v>
      </c>
      <c r="L2851" s="8">
        <f t="shared" si="8045"/>
        <v>-1</v>
      </c>
      <c r="M2851" t="s">
        <v>3165</v>
      </c>
    </row>
    <row r="2852" spans="1:13" x14ac:dyDescent="0.35">
      <c r="A2852">
        <f t="shared" si="7574"/>
        <v>2848</v>
      </c>
      <c r="B2852" s="9">
        <f t="shared" ref="B2852" si="8146">B2851+H2852+I2852+J2852</f>
        <v>51.760000000000005</v>
      </c>
      <c r="C2852" s="3" t="s">
        <v>3157</v>
      </c>
      <c r="D2852">
        <f t="shared" ref="D2852" si="8147">_xlfn.NUMBERVALUE(LEFT(C2852,2))</f>
        <v>15</v>
      </c>
      <c r="E2852">
        <f t="shared" ref="E2852" si="8148">_xlfn.NUMBERVALUE(MID(C2852,4,2))</f>
        <v>9</v>
      </c>
      <c r="F2852">
        <f t="shared" ref="F2852" si="8149">_xlfn.NUMBERVALUE(RIGHT(C2852,4))</f>
        <v>2024</v>
      </c>
      <c r="G2852" t="s">
        <v>7</v>
      </c>
      <c r="H2852">
        <v>-2</v>
      </c>
      <c r="K2852" t="s">
        <v>9</v>
      </c>
      <c r="L2852" s="8">
        <f t="shared" si="8045"/>
        <v>-1</v>
      </c>
      <c r="M2852" t="s">
        <v>3166</v>
      </c>
    </row>
    <row r="2853" spans="1:13" x14ac:dyDescent="0.35">
      <c r="A2853">
        <f t="shared" si="7574"/>
        <v>2849</v>
      </c>
      <c r="B2853" s="9">
        <f t="shared" ref="B2853" si="8150">B2852+H2853+I2853+J2853</f>
        <v>55.760000000000005</v>
      </c>
      <c r="C2853" s="3" t="s">
        <v>3157</v>
      </c>
      <c r="D2853">
        <f t="shared" ref="D2853" si="8151">_xlfn.NUMBERVALUE(LEFT(C2853,2))</f>
        <v>15</v>
      </c>
      <c r="E2853">
        <f t="shared" ref="E2853" si="8152">_xlfn.NUMBERVALUE(MID(C2853,4,2))</f>
        <v>9</v>
      </c>
      <c r="F2853">
        <f t="shared" ref="F2853" si="8153">_xlfn.NUMBERVALUE(RIGHT(C2853,4))</f>
        <v>2024</v>
      </c>
      <c r="G2853" t="s">
        <v>7</v>
      </c>
      <c r="H2853">
        <v>-2</v>
      </c>
      <c r="I2853">
        <v>6</v>
      </c>
      <c r="K2853" t="s">
        <v>10</v>
      </c>
      <c r="L2853" s="8">
        <f t="shared" si="8045"/>
        <v>2</v>
      </c>
      <c r="M2853" t="s">
        <v>3167</v>
      </c>
    </row>
    <row r="2854" spans="1:13" x14ac:dyDescent="0.35">
      <c r="A2854">
        <f t="shared" si="7574"/>
        <v>2850</v>
      </c>
      <c r="B2854" s="9">
        <f t="shared" ref="B2854:B2855" si="8154">B2853+H2854+I2854+J2854</f>
        <v>57.760000000000005</v>
      </c>
      <c r="C2854" s="3" t="s">
        <v>3169</v>
      </c>
      <c r="D2854">
        <f t="shared" ref="D2854:D2855" si="8155">_xlfn.NUMBERVALUE(LEFT(C2854,2))</f>
        <v>16</v>
      </c>
      <c r="E2854">
        <f t="shared" ref="E2854:E2855" si="8156">_xlfn.NUMBERVALUE(MID(C2854,4,2))</f>
        <v>9</v>
      </c>
      <c r="F2854">
        <f t="shared" ref="F2854:F2855" si="8157">_xlfn.NUMBERVALUE(RIGHT(C2854,4))</f>
        <v>2024</v>
      </c>
      <c r="G2854" t="s">
        <v>7</v>
      </c>
      <c r="H2854">
        <v>-2</v>
      </c>
      <c r="I2854">
        <v>4</v>
      </c>
      <c r="K2854" t="s">
        <v>10</v>
      </c>
      <c r="L2854" s="8">
        <f t="shared" si="8045"/>
        <v>1</v>
      </c>
      <c r="M2854" t="s">
        <v>3168</v>
      </c>
    </row>
    <row r="2855" spans="1:13" x14ac:dyDescent="0.35">
      <c r="A2855">
        <f t="shared" si="7574"/>
        <v>2851</v>
      </c>
      <c r="B2855" s="9">
        <f t="shared" si="8154"/>
        <v>57.760000000000005</v>
      </c>
      <c r="C2855" s="3" t="s">
        <v>3169</v>
      </c>
      <c r="D2855">
        <f t="shared" si="8155"/>
        <v>16</v>
      </c>
      <c r="E2855">
        <f t="shared" si="8156"/>
        <v>9</v>
      </c>
      <c r="F2855">
        <f t="shared" si="8157"/>
        <v>2024</v>
      </c>
      <c r="G2855" t="s">
        <v>3039</v>
      </c>
      <c r="K2855" t="s">
        <v>10</v>
      </c>
      <c r="L2855" s="8">
        <f t="shared" si="8045"/>
        <v>0</v>
      </c>
      <c r="M2855" t="s">
        <v>3170</v>
      </c>
    </row>
    <row r="2856" spans="1:13" x14ac:dyDescent="0.35">
      <c r="A2856">
        <f t="shared" si="7574"/>
        <v>2852</v>
      </c>
      <c r="B2856" s="9">
        <f t="shared" ref="B2856:B2857" si="8158">B2855+H2856+I2856+J2856</f>
        <v>65.760000000000005</v>
      </c>
      <c r="C2856" s="3" t="s">
        <v>3171</v>
      </c>
      <c r="D2856">
        <f t="shared" ref="D2856:D2857" si="8159">_xlfn.NUMBERVALUE(LEFT(C2856,2))</f>
        <v>18</v>
      </c>
      <c r="E2856">
        <f t="shared" ref="E2856:E2857" si="8160">_xlfn.NUMBERVALUE(MID(C2856,4,2))</f>
        <v>9</v>
      </c>
      <c r="F2856">
        <f t="shared" ref="F2856:F2857" si="8161">_xlfn.NUMBERVALUE(RIGHT(C2856,4))</f>
        <v>2024</v>
      </c>
      <c r="G2856" t="s">
        <v>7</v>
      </c>
      <c r="H2856">
        <v>-2</v>
      </c>
      <c r="I2856">
        <v>10</v>
      </c>
      <c r="K2856" t="s">
        <v>10</v>
      </c>
      <c r="L2856" s="8">
        <f t="shared" si="8045"/>
        <v>4</v>
      </c>
      <c r="M2856" t="s">
        <v>3172</v>
      </c>
    </row>
    <row r="2857" spans="1:13" x14ac:dyDescent="0.35">
      <c r="A2857">
        <f t="shared" si="7574"/>
        <v>2853</v>
      </c>
      <c r="B2857" s="9">
        <f t="shared" si="8158"/>
        <v>65.760000000000005</v>
      </c>
      <c r="C2857" s="3" t="s">
        <v>3171</v>
      </c>
      <c r="D2857">
        <f t="shared" si="8159"/>
        <v>18</v>
      </c>
      <c r="E2857">
        <f t="shared" si="8160"/>
        <v>9</v>
      </c>
      <c r="F2857">
        <f t="shared" si="8161"/>
        <v>2024</v>
      </c>
      <c r="G2857" t="s">
        <v>3039</v>
      </c>
      <c r="K2857" t="s">
        <v>9</v>
      </c>
      <c r="L2857" s="8">
        <f t="shared" si="8045"/>
        <v>0</v>
      </c>
      <c r="M2857" t="s">
        <v>3173</v>
      </c>
    </row>
    <row r="2858" spans="1:13" x14ac:dyDescent="0.35">
      <c r="A2858">
        <f t="shared" si="7574"/>
        <v>2854</v>
      </c>
      <c r="B2858" s="9">
        <f t="shared" ref="B2858" si="8162">B2857+H2858+I2858+J2858</f>
        <v>69.760000000000005</v>
      </c>
      <c r="C2858" s="3" t="s">
        <v>3171</v>
      </c>
      <c r="D2858">
        <f t="shared" ref="D2858" si="8163">_xlfn.NUMBERVALUE(LEFT(C2858,2))</f>
        <v>18</v>
      </c>
      <c r="E2858">
        <f t="shared" ref="E2858" si="8164">_xlfn.NUMBERVALUE(MID(C2858,4,2))</f>
        <v>9</v>
      </c>
      <c r="F2858">
        <f t="shared" ref="F2858" si="8165">_xlfn.NUMBERVALUE(RIGHT(C2858,4))</f>
        <v>2024</v>
      </c>
      <c r="G2858" t="s">
        <v>7</v>
      </c>
      <c r="H2858">
        <v>-2</v>
      </c>
      <c r="I2858">
        <v>6</v>
      </c>
      <c r="K2858" t="s">
        <v>10</v>
      </c>
      <c r="L2858" s="8">
        <f t="shared" si="8045"/>
        <v>2</v>
      </c>
      <c r="M2858" t="s">
        <v>3174</v>
      </c>
    </row>
    <row r="2859" spans="1:13" x14ac:dyDescent="0.35">
      <c r="A2859">
        <f t="shared" si="7574"/>
        <v>2855</v>
      </c>
      <c r="B2859" s="9">
        <f t="shared" ref="B2859" si="8166">B2858+H2859+I2859+J2859</f>
        <v>67.760000000000005</v>
      </c>
      <c r="C2859" s="3" t="s">
        <v>3171</v>
      </c>
      <c r="D2859">
        <f t="shared" ref="D2859" si="8167">_xlfn.NUMBERVALUE(LEFT(C2859,2))</f>
        <v>18</v>
      </c>
      <c r="E2859">
        <f t="shared" ref="E2859" si="8168">_xlfn.NUMBERVALUE(MID(C2859,4,2))</f>
        <v>9</v>
      </c>
      <c r="F2859">
        <f t="shared" ref="F2859" si="8169">_xlfn.NUMBERVALUE(RIGHT(C2859,4))</f>
        <v>2024</v>
      </c>
      <c r="G2859" t="s">
        <v>7</v>
      </c>
      <c r="H2859">
        <v>-2</v>
      </c>
      <c r="K2859" t="s">
        <v>9</v>
      </c>
      <c r="L2859" s="8">
        <f t="shared" si="8045"/>
        <v>-1</v>
      </c>
      <c r="M2859" t="s">
        <v>3175</v>
      </c>
    </row>
    <row r="2860" spans="1:13" x14ac:dyDescent="0.35">
      <c r="A2860">
        <f t="shared" si="7574"/>
        <v>2856</v>
      </c>
      <c r="B2860" s="9">
        <f t="shared" ref="B2860" si="8170">B2859+H2860+I2860+J2860</f>
        <v>71.760000000000005</v>
      </c>
      <c r="C2860" s="3" t="s">
        <v>3171</v>
      </c>
      <c r="D2860">
        <f t="shared" ref="D2860" si="8171">_xlfn.NUMBERVALUE(LEFT(C2860,2))</f>
        <v>18</v>
      </c>
      <c r="E2860">
        <f t="shared" ref="E2860" si="8172">_xlfn.NUMBERVALUE(MID(C2860,4,2))</f>
        <v>9</v>
      </c>
      <c r="F2860">
        <f t="shared" ref="F2860" si="8173">_xlfn.NUMBERVALUE(RIGHT(C2860,4))</f>
        <v>2024</v>
      </c>
      <c r="G2860" t="s">
        <v>7</v>
      </c>
      <c r="H2860">
        <v>-2</v>
      </c>
      <c r="I2860">
        <v>6</v>
      </c>
      <c r="K2860" t="s">
        <v>10</v>
      </c>
      <c r="L2860" s="8">
        <f t="shared" si="8045"/>
        <v>2</v>
      </c>
      <c r="M2860" t="s">
        <v>3176</v>
      </c>
    </row>
    <row r="2861" spans="1:13" x14ac:dyDescent="0.35">
      <c r="A2861">
        <f t="shared" si="7574"/>
        <v>2857</v>
      </c>
      <c r="B2861" s="9">
        <f t="shared" ref="B2861" si="8174">B2860+H2861+I2861+J2861</f>
        <v>75.760000000000005</v>
      </c>
      <c r="C2861" s="3" t="s">
        <v>3171</v>
      </c>
      <c r="D2861">
        <f t="shared" ref="D2861" si="8175">_xlfn.NUMBERVALUE(LEFT(C2861,2))</f>
        <v>18</v>
      </c>
      <c r="E2861">
        <f t="shared" ref="E2861" si="8176">_xlfn.NUMBERVALUE(MID(C2861,4,2))</f>
        <v>9</v>
      </c>
      <c r="F2861">
        <f t="shared" ref="F2861" si="8177">_xlfn.NUMBERVALUE(RIGHT(C2861,4))</f>
        <v>2024</v>
      </c>
      <c r="G2861" t="s">
        <v>7</v>
      </c>
      <c r="H2861">
        <v>-2</v>
      </c>
      <c r="I2861">
        <v>6</v>
      </c>
      <c r="K2861" t="s">
        <v>10</v>
      </c>
      <c r="L2861" s="8">
        <f t="shared" si="8045"/>
        <v>2</v>
      </c>
      <c r="M2861" t="s">
        <v>3177</v>
      </c>
    </row>
    <row r="2862" spans="1:13" x14ac:dyDescent="0.35">
      <c r="A2862">
        <f t="shared" si="7574"/>
        <v>2858</v>
      </c>
      <c r="B2862" s="9">
        <f t="shared" ref="B2862:B2863" si="8178">B2861+H2862+I2862+J2862</f>
        <v>73.760000000000005</v>
      </c>
      <c r="C2862" s="3" t="s">
        <v>3179</v>
      </c>
      <c r="D2862">
        <f t="shared" ref="D2862:D2863" si="8179">_xlfn.NUMBERVALUE(LEFT(C2862,2))</f>
        <v>19</v>
      </c>
      <c r="E2862">
        <f t="shared" ref="E2862:E2863" si="8180">_xlfn.NUMBERVALUE(MID(C2862,4,2))</f>
        <v>9</v>
      </c>
      <c r="F2862">
        <f t="shared" ref="F2862:F2863" si="8181">_xlfn.NUMBERVALUE(RIGHT(C2862,4))</f>
        <v>2024</v>
      </c>
      <c r="G2862" t="s">
        <v>7</v>
      </c>
      <c r="H2862">
        <v>-2</v>
      </c>
      <c r="K2862" t="s">
        <v>9</v>
      </c>
      <c r="L2862" s="8">
        <f t="shared" si="8045"/>
        <v>-1</v>
      </c>
      <c r="M2862" t="s">
        <v>3178</v>
      </c>
    </row>
    <row r="2863" spans="1:13" x14ac:dyDescent="0.35">
      <c r="A2863">
        <f t="shared" si="7574"/>
        <v>2859</v>
      </c>
      <c r="B2863" s="9">
        <f t="shared" si="8178"/>
        <v>73.760000000000005</v>
      </c>
      <c r="C2863" s="3" t="s">
        <v>3179</v>
      </c>
      <c r="D2863">
        <f t="shared" si="8179"/>
        <v>19</v>
      </c>
      <c r="E2863">
        <f t="shared" si="8180"/>
        <v>9</v>
      </c>
      <c r="F2863">
        <f t="shared" si="8181"/>
        <v>2024</v>
      </c>
      <c r="G2863" t="s">
        <v>3039</v>
      </c>
      <c r="K2863" t="s">
        <v>9</v>
      </c>
      <c r="L2863" s="8">
        <f t="shared" si="8045"/>
        <v>0</v>
      </c>
      <c r="M2863" t="s">
        <v>3180</v>
      </c>
    </row>
    <row r="2864" spans="1:13" x14ac:dyDescent="0.35">
      <c r="A2864">
        <f t="shared" si="7574"/>
        <v>2860</v>
      </c>
      <c r="B2864" s="9">
        <f t="shared" ref="B2864" si="8182">B2863+H2864+I2864+J2864</f>
        <v>75.760000000000005</v>
      </c>
      <c r="C2864" s="3" t="s">
        <v>3179</v>
      </c>
      <c r="D2864">
        <f t="shared" ref="D2864" si="8183">_xlfn.NUMBERVALUE(LEFT(C2864,2))</f>
        <v>19</v>
      </c>
      <c r="E2864">
        <f t="shared" ref="E2864" si="8184">_xlfn.NUMBERVALUE(MID(C2864,4,2))</f>
        <v>9</v>
      </c>
      <c r="F2864">
        <f t="shared" ref="F2864" si="8185">_xlfn.NUMBERVALUE(RIGHT(C2864,4))</f>
        <v>2024</v>
      </c>
      <c r="G2864" t="s">
        <v>7</v>
      </c>
      <c r="H2864">
        <v>-2</v>
      </c>
      <c r="I2864">
        <v>4</v>
      </c>
      <c r="K2864" t="s">
        <v>10</v>
      </c>
      <c r="L2864" s="8">
        <f t="shared" si="8045"/>
        <v>1</v>
      </c>
      <c r="M2864" t="s">
        <v>3181</v>
      </c>
    </row>
    <row r="2865" spans="1:13" x14ac:dyDescent="0.35">
      <c r="A2865">
        <f t="shared" si="7574"/>
        <v>2861</v>
      </c>
      <c r="B2865" s="9">
        <f t="shared" ref="B2865" si="8186">B2864+H2865+I2865+J2865</f>
        <v>73.760000000000005</v>
      </c>
      <c r="C2865" s="3" t="s">
        <v>3179</v>
      </c>
      <c r="D2865">
        <f t="shared" ref="D2865" si="8187">_xlfn.NUMBERVALUE(LEFT(C2865,2))</f>
        <v>19</v>
      </c>
      <c r="E2865">
        <f t="shared" ref="E2865" si="8188">_xlfn.NUMBERVALUE(MID(C2865,4,2))</f>
        <v>9</v>
      </c>
      <c r="F2865">
        <f t="shared" ref="F2865" si="8189">_xlfn.NUMBERVALUE(RIGHT(C2865,4))</f>
        <v>2024</v>
      </c>
      <c r="G2865" t="s">
        <v>7</v>
      </c>
      <c r="H2865">
        <v>-2</v>
      </c>
      <c r="K2865" t="s">
        <v>9</v>
      </c>
      <c r="L2865" s="8">
        <f t="shared" si="8045"/>
        <v>-1</v>
      </c>
      <c r="M2865" t="s">
        <v>3182</v>
      </c>
    </row>
    <row r="2866" spans="1:13" x14ac:dyDescent="0.35">
      <c r="A2866">
        <f t="shared" si="7574"/>
        <v>2862</v>
      </c>
      <c r="B2866" s="9">
        <f t="shared" ref="B2866" si="8190">B2865+H2866+I2866+J2866</f>
        <v>71.760000000000005</v>
      </c>
      <c r="C2866" s="3" t="s">
        <v>3179</v>
      </c>
      <c r="D2866">
        <f t="shared" ref="D2866" si="8191">_xlfn.NUMBERVALUE(LEFT(C2866,2))</f>
        <v>19</v>
      </c>
      <c r="E2866">
        <f t="shared" ref="E2866" si="8192">_xlfn.NUMBERVALUE(MID(C2866,4,2))</f>
        <v>9</v>
      </c>
      <c r="F2866">
        <f t="shared" ref="F2866" si="8193">_xlfn.NUMBERVALUE(RIGHT(C2866,4))</f>
        <v>2024</v>
      </c>
      <c r="G2866" t="s">
        <v>7</v>
      </c>
      <c r="H2866">
        <v>-2</v>
      </c>
      <c r="K2866" t="s">
        <v>9</v>
      </c>
      <c r="L2866" s="8">
        <f t="shared" si="8045"/>
        <v>-1</v>
      </c>
      <c r="M2866" t="s">
        <v>3183</v>
      </c>
    </row>
    <row r="2867" spans="1:13" x14ac:dyDescent="0.35">
      <c r="A2867">
        <f t="shared" si="7574"/>
        <v>2863</v>
      </c>
      <c r="B2867" s="9">
        <f t="shared" ref="B2867:B2868" si="8194">B2866+H2867+I2867+J2867</f>
        <v>69.760000000000005</v>
      </c>
      <c r="C2867" s="3" t="s">
        <v>3184</v>
      </c>
      <c r="D2867">
        <f t="shared" ref="D2867:D2868" si="8195">_xlfn.NUMBERVALUE(LEFT(C2867,2))</f>
        <v>21</v>
      </c>
      <c r="E2867">
        <f t="shared" ref="E2867:E2868" si="8196">_xlfn.NUMBERVALUE(MID(C2867,4,2))</f>
        <v>9</v>
      </c>
      <c r="F2867">
        <f t="shared" ref="F2867:F2868" si="8197">_xlfn.NUMBERVALUE(RIGHT(C2867,4))</f>
        <v>2024</v>
      </c>
      <c r="G2867" t="s">
        <v>7</v>
      </c>
      <c r="H2867">
        <v>-2</v>
      </c>
      <c r="K2867" t="s">
        <v>9</v>
      </c>
      <c r="L2867" s="8">
        <f t="shared" si="8045"/>
        <v>-1</v>
      </c>
      <c r="M2867" t="s">
        <v>3185</v>
      </c>
    </row>
    <row r="2868" spans="1:13" x14ac:dyDescent="0.35">
      <c r="A2868">
        <f t="shared" si="7574"/>
        <v>2864</v>
      </c>
      <c r="B2868" s="9">
        <f t="shared" si="8194"/>
        <v>69.760000000000005</v>
      </c>
      <c r="C2868" s="3" t="s">
        <v>3184</v>
      </c>
      <c r="D2868">
        <f t="shared" si="8195"/>
        <v>21</v>
      </c>
      <c r="E2868">
        <f t="shared" si="8196"/>
        <v>9</v>
      </c>
      <c r="F2868">
        <f t="shared" si="8197"/>
        <v>2024</v>
      </c>
      <c r="G2868" t="s">
        <v>3039</v>
      </c>
      <c r="K2868" t="s">
        <v>9</v>
      </c>
      <c r="L2868" s="8">
        <f t="shared" si="8045"/>
        <v>0</v>
      </c>
      <c r="M2868" t="s">
        <v>3186</v>
      </c>
    </row>
    <row r="2869" spans="1:13" x14ac:dyDescent="0.35">
      <c r="A2869">
        <f t="shared" si="7574"/>
        <v>2865</v>
      </c>
      <c r="B2869" s="9">
        <f t="shared" ref="B2869" si="8198">B2868+H2869+I2869+J2869</f>
        <v>73.760000000000005</v>
      </c>
      <c r="C2869" s="3" t="s">
        <v>3184</v>
      </c>
      <c r="D2869">
        <f t="shared" ref="D2869" si="8199">_xlfn.NUMBERVALUE(LEFT(C2869,2))</f>
        <v>21</v>
      </c>
      <c r="E2869">
        <f t="shared" ref="E2869" si="8200">_xlfn.NUMBERVALUE(MID(C2869,4,2))</f>
        <v>9</v>
      </c>
      <c r="F2869">
        <f t="shared" ref="F2869" si="8201">_xlfn.NUMBERVALUE(RIGHT(C2869,4))</f>
        <v>2024</v>
      </c>
      <c r="G2869" t="s">
        <v>7</v>
      </c>
      <c r="H2869">
        <v>-2</v>
      </c>
      <c r="I2869">
        <v>6</v>
      </c>
      <c r="K2869" t="s">
        <v>10</v>
      </c>
      <c r="L2869" s="8">
        <f t="shared" si="8045"/>
        <v>2</v>
      </c>
      <c r="M2869" t="s">
        <v>3187</v>
      </c>
    </row>
    <row r="2870" spans="1:13" x14ac:dyDescent="0.35">
      <c r="A2870">
        <f t="shared" si="7574"/>
        <v>2866</v>
      </c>
      <c r="B2870" s="9">
        <f t="shared" ref="B2870" si="8202">B2869+H2870+I2870+J2870</f>
        <v>71.760000000000005</v>
      </c>
      <c r="C2870" s="3" t="s">
        <v>3184</v>
      </c>
      <c r="D2870">
        <f t="shared" ref="D2870" si="8203">_xlfn.NUMBERVALUE(LEFT(C2870,2))</f>
        <v>21</v>
      </c>
      <c r="E2870">
        <f t="shared" ref="E2870" si="8204">_xlfn.NUMBERVALUE(MID(C2870,4,2))</f>
        <v>9</v>
      </c>
      <c r="F2870">
        <f t="shared" ref="F2870" si="8205">_xlfn.NUMBERVALUE(RIGHT(C2870,4))</f>
        <v>2024</v>
      </c>
      <c r="G2870" t="s">
        <v>7</v>
      </c>
      <c r="H2870">
        <v>-2</v>
      </c>
      <c r="K2870" t="s">
        <v>9</v>
      </c>
      <c r="L2870" s="8">
        <f t="shared" si="8045"/>
        <v>-1</v>
      </c>
      <c r="M2870" t="s">
        <v>3188</v>
      </c>
    </row>
    <row r="2871" spans="1:13" x14ac:dyDescent="0.35">
      <c r="A2871">
        <f t="shared" si="7574"/>
        <v>2867</v>
      </c>
      <c r="B2871" s="9">
        <f t="shared" ref="B2871" si="8206">B2870+H2871+I2871+J2871</f>
        <v>69.760000000000005</v>
      </c>
      <c r="C2871" s="3" t="s">
        <v>3184</v>
      </c>
      <c r="D2871">
        <f t="shared" ref="D2871" si="8207">_xlfn.NUMBERVALUE(LEFT(C2871,2))</f>
        <v>21</v>
      </c>
      <c r="E2871">
        <f t="shared" ref="E2871" si="8208">_xlfn.NUMBERVALUE(MID(C2871,4,2))</f>
        <v>9</v>
      </c>
      <c r="F2871">
        <f t="shared" ref="F2871" si="8209">_xlfn.NUMBERVALUE(RIGHT(C2871,4))</f>
        <v>2024</v>
      </c>
      <c r="G2871" t="s">
        <v>7</v>
      </c>
      <c r="H2871">
        <v>-2</v>
      </c>
      <c r="K2871" t="s">
        <v>9</v>
      </c>
      <c r="L2871" s="8">
        <f t="shared" si="8045"/>
        <v>-1</v>
      </c>
      <c r="M2871" t="s">
        <v>3189</v>
      </c>
    </row>
    <row r="2872" spans="1:13" x14ac:dyDescent="0.35">
      <c r="A2872">
        <f t="shared" si="7574"/>
        <v>2868</v>
      </c>
      <c r="B2872" s="9">
        <f t="shared" ref="B2872" si="8210">B2871+H2872+I2872+J2872</f>
        <v>67.760000000000005</v>
      </c>
      <c r="C2872" s="3" t="s">
        <v>3184</v>
      </c>
      <c r="D2872">
        <f t="shared" ref="D2872" si="8211">_xlfn.NUMBERVALUE(LEFT(C2872,2))</f>
        <v>21</v>
      </c>
      <c r="E2872">
        <f t="shared" ref="E2872" si="8212">_xlfn.NUMBERVALUE(MID(C2872,4,2))</f>
        <v>9</v>
      </c>
      <c r="F2872">
        <f t="shared" ref="F2872" si="8213">_xlfn.NUMBERVALUE(RIGHT(C2872,4))</f>
        <v>2024</v>
      </c>
      <c r="G2872" t="s">
        <v>7</v>
      </c>
      <c r="H2872">
        <v>-2</v>
      </c>
      <c r="K2872" t="s">
        <v>9</v>
      </c>
      <c r="L2872" s="8">
        <f t="shared" si="8045"/>
        <v>-1</v>
      </c>
      <c r="M2872" t="s">
        <v>3190</v>
      </c>
    </row>
    <row r="2873" spans="1:13" x14ac:dyDescent="0.35">
      <c r="A2873">
        <f t="shared" si="7574"/>
        <v>2869</v>
      </c>
      <c r="B2873" s="9">
        <f t="shared" ref="B2873" si="8214">B2872+H2873+I2873+J2873</f>
        <v>69.760000000000005</v>
      </c>
      <c r="C2873" s="3" t="s">
        <v>3184</v>
      </c>
      <c r="D2873">
        <f t="shared" ref="D2873" si="8215">_xlfn.NUMBERVALUE(LEFT(C2873,2))</f>
        <v>21</v>
      </c>
      <c r="E2873">
        <f t="shared" ref="E2873" si="8216">_xlfn.NUMBERVALUE(MID(C2873,4,2))</f>
        <v>9</v>
      </c>
      <c r="F2873">
        <f t="shared" ref="F2873" si="8217">_xlfn.NUMBERVALUE(RIGHT(C2873,4))</f>
        <v>2024</v>
      </c>
      <c r="G2873" t="s">
        <v>7</v>
      </c>
      <c r="H2873">
        <v>-2</v>
      </c>
      <c r="I2873">
        <v>4</v>
      </c>
      <c r="K2873" t="s">
        <v>10</v>
      </c>
      <c r="L2873" s="8">
        <f t="shared" si="8045"/>
        <v>1</v>
      </c>
      <c r="M2873" t="s">
        <v>3191</v>
      </c>
    </row>
    <row r="2874" spans="1:13" x14ac:dyDescent="0.35">
      <c r="A2874">
        <f t="shared" si="7574"/>
        <v>2870</v>
      </c>
      <c r="B2874" s="9">
        <f t="shared" ref="B2874" si="8218">B2873+H2874+I2874+J2874</f>
        <v>73.760000000000005</v>
      </c>
      <c r="C2874" s="3" t="s">
        <v>3184</v>
      </c>
      <c r="D2874">
        <f t="shared" ref="D2874" si="8219">_xlfn.NUMBERVALUE(LEFT(C2874,2))</f>
        <v>21</v>
      </c>
      <c r="E2874">
        <f t="shared" ref="E2874" si="8220">_xlfn.NUMBERVALUE(MID(C2874,4,2))</f>
        <v>9</v>
      </c>
      <c r="F2874">
        <f t="shared" ref="F2874" si="8221">_xlfn.NUMBERVALUE(RIGHT(C2874,4))</f>
        <v>2024</v>
      </c>
      <c r="G2874" t="s">
        <v>7</v>
      </c>
      <c r="H2874">
        <v>-2</v>
      </c>
      <c r="I2874">
        <v>6</v>
      </c>
      <c r="K2874" t="s">
        <v>10</v>
      </c>
      <c r="L2874" s="8">
        <f t="shared" si="8045"/>
        <v>2</v>
      </c>
      <c r="M2874" t="s">
        <v>3192</v>
      </c>
    </row>
    <row r="2875" spans="1:13" x14ac:dyDescent="0.35">
      <c r="A2875">
        <f t="shared" si="7574"/>
        <v>2871</v>
      </c>
      <c r="B2875" s="9">
        <f t="shared" ref="B2875" si="8222">B2874+H2875+I2875+J2875</f>
        <v>71.760000000000005</v>
      </c>
      <c r="C2875" s="3" t="s">
        <v>3184</v>
      </c>
      <c r="D2875">
        <f t="shared" ref="D2875" si="8223">_xlfn.NUMBERVALUE(LEFT(C2875,2))</f>
        <v>21</v>
      </c>
      <c r="E2875">
        <f t="shared" ref="E2875" si="8224">_xlfn.NUMBERVALUE(MID(C2875,4,2))</f>
        <v>9</v>
      </c>
      <c r="F2875">
        <f t="shared" ref="F2875" si="8225">_xlfn.NUMBERVALUE(RIGHT(C2875,4))</f>
        <v>2024</v>
      </c>
      <c r="G2875" t="s">
        <v>7</v>
      </c>
      <c r="H2875">
        <v>-2</v>
      </c>
      <c r="K2875" t="s">
        <v>9</v>
      </c>
      <c r="L2875" s="8">
        <f t="shared" si="8045"/>
        <v>-1</v>
      </c>
      <c r="M2875" t="s">
        <v>3193</v>
      </c>
    </row>
    <row r="2876" spans="1:13" x14ac:dyDescent="0.35">
      <c r="A2876">
        <f t="shared" si="7574"/>
        <v>2872</v>
      </c>
      <c r="B2876" s="9">
        <f t="shared" ref="B2876" si="8226">B2875+H2876+I2876+J2876</f>
        <v>69.760000000000005</v>
      </c>
      <c r="C2876" s="3" t="s">
        <v>3184</v>
      </c>
      <c r="D2876">
        <f t="shared" ref="D2876" si="8227">_xlfn.NUMBERVALUE(LEFT(C2876,2))</f>
        <v>21</v>
      </c>
      <c r="E2876">
        <f t="shared" ref="E2876" si="8228">_xlfn.NUMBERVALUE(MID(C2876,4,2))</f>
        <v>9</v>
      </c>
      <c r="F2876">
        <f t="shared" ref="F2876" si="8229">_xlfn.NUMBERVALUE(RIGHT(C2876,4))</f>
        <v>2024</v>
      </c>
      <c r="G2876" t="s">
        <v>7</v>
      </c>
      <c r="H2876">
        <v>-2</v>
      </c>
      <c r="K2876" t="s">
        <v>9</v>
      </c>
      <c r="L2876" s="8">
        <f t="shared" si="8045"/>
        <v>-1</v>
      </c>
      <c r="M2876" t="s">
        <v>3194</v>
      </c>
    </row>
    <row r="2877" spans="1:13" x14ac:dyDescent="0.35">
      <c r="A2877">
        <f t="shared" si="7574"/>
        <v>2873</v>
      </c>
      <c r="B2877" s="9">
        <f t="shared" ref="B2877" si="8230">B2876+H2877+I2877+J2877</f>
        <v>67.760000000000005</v>
      </c>
      <c r="C2877" s="3" t="s">
        <v>3184</v>
      </c>
      <c r="D2877">
        <f t="shared" ref="D2877" si="8231">_xlfn.NUMBERVALUE(LEFT(C2877,2))</f>
        <v>21</v>
      </c>
      <c r="E2877">
        <f t="shared" ref="E2877" si="8232">_xlfn.NUMBERVALUE(MID(C2877,4,2))</f>
        <v>9</v>
      </c>
      <c r="F2877">
        <f t="shared" ref="F2877" si="8233">_xlfn.NUMBERVALUE(RIGHT(C2877,4))</f>
        <v>2024</v>
      </c>
      <c r="G2877" t="s">
        <v>7</v>
      </c>
      <c r="H2877">
        <v>-2</v>
      </c>
      <c r="K2877" t="s">
        <v>9</v>
      </c>
      <c r="L2877" s="8">
        <f t="shared" si="8045"/>
        <v>-1</v>
      </c>
      <c r="M2877" t="s">
        <v>3195</v>
      </c>
    </row>
    <row r="2878" spans="1:13" x14ac:dyDescent="0.35">
      <c r="A2878">
        <f t="shared" si="7574"/>
        <v>2874</v>
      </c>
      <c r="B2878" s="9">
        <f t="shared" ref="B2878" si="8234">B2877+H2878+I2878+J2878</f>
        <v>69.760000000000005</v>
      </c>
      <c r="C2878" s="3" t="s">
        <v>3184</v>
      </c>
      <c r="D2878">
        <f t="shared" ref="D2878" si="8235">_xlfn.NUMBERVALUE(LEFT(C2878,2))</f>
        <v>21</v>
      </c>
      <c r="E2878">
        <f t="shared" ref="E2878" si="8236">_xlfn.NUMBERVALUE(MID(C2878,4,2))</f>
        <v>9</v>
      </c>
      <c r="F2878">
        <f t="shared" ref="F2878" si="8237">_xlfn.NUMBERVALUE(RIGHT(C2878,4))</f>
        <v>2024</v>
      </c>
      <c r="G2878" t="s">
        <v>7</v>
      </c>
      <c r="H2878">
        <v>-2</v>
      </c>
      <c r="I2878">
        <v>4</v>
      </c>
      <c r="K2878" t="s">
        <v>10</v>
      </c>
      <c r="L2878" s="8">
        <f t="shared" si="8045"/>
        <v>1</v>
      </c>
      <c r="M2878" t="s">
        <v>3196</v>
      </c>
    </row>
    <row r="2879" spans="1:13" x14ac:dyDescent="0.35">
      <c r="A2879">
        <f t="shared" si="7574"/>
        <v>2875</v>
      </c>
      <c r="B2879" s="9">
        <f t="shared" ref="B2879:B2880" si="8238">B2878+H2879+I2879+J2879</f>
        <v>59.760000000000005</v>
      </c>
      <c r="C2879" s="3" t="s">
        <v>3184</v>
      </c>
      <c r="D2879">
        <f t="shared" ref="D2879:D2880" si="8239">_xlfn.NUMBERVALUE(LEFT(C2879,2))</f>
        <v>21</v>
      </c>
      <c r="E2879">
        <f t="shared" ref="E2879:E2880" si="8240">_xlfn.NUMBERVALUE(MID(C2879,4,2))</f>
        <v>9</v>
      </c>
      <c r="F2879">
        <f t="shared" ref="F2879:F2880" si="8241">_xlfn.NUMBERVALUE(RIGHT(C2879,4))</f>
        <v>2024</v>
      </c>
      <c r="G2879" t="s">
        <v>7</v>
      </c>
      <c r="H2879">
        <v>-10</v>
      </c>
      <c r="K2879" t="s">
        <v>9</v>
      </c>
      <c r="L2879" s="8">
        <f t="shared" si="8045"/>
        <v>-1</v>
      </c>
      <c r="M2879" t="s">
        <v>3197</v>
      </c>
    </row>
    <row r="2880" spans="1:13" x14ac:dyDescent="0.35">
      <c r="A2880">
        <f t="shared" si="7574"/>
        <v>2876</v>
      </c>
      <c r="B2880" s="9">
        <f t="shared" si="8238"/>
        <v>57.760000000000005</v>
      </c>
      <c r="C2880" s="3" t="s">
        <v>3184</v>
      </c>
      <c r="D2880">
        <f t="shared" si="8239"/>
        <v>21</v>
      </c>
      <c r="E2880">
        <f t="shared" si="8240"/>
        <v>9</v>
      </c>
      <c r="F2880">
        <f t="shared" si="8241"/>
        <v>2024</v>
      </c>
      <c r="G2880" t="s">
        <v>7</v>
      </c>
      <c r="H2880">
        <v>-2</v>
      </c>
      <c r="K2880" t="s">
        <v>9</v>
      </c>
      <c r="L2880" s="8">
        <f t="shared" si="8045"/>
        <v>-1</v>
      </c>
      <c r="M2880" t="s">
        <v>3198</v>
      </c>
    </row>
    <row r="2881" spans="1:13" x14ac:dyDescent="0.35">
      <c r="A2881">
        <f t="shared" si="7574"/>
        <v>2877</v>
      </c>
      <c r="B2881" s="9">
        <f t="shared" ref="B2881" si="8242">B2880+H2881+I2881+J2881</f>
        <v>55.760000000000005</v>
      </c>
      <c r="C2881" s="3" t="s">
        <v>3184</v>
      </c>
      <c r="D2881">
        <f t="shared" ref="D2881" si="8243">_xlfn.NUMBERVALUE(LEFT(C2881,2))</f>
        <v>21</v>
      </c>
      <c r="E2881">
        <f t="shared" ref="E2881" si="8244">_xlfn.NUMBERVALUE(MID(C2881,4,2))</f>
        <v>9</v>
      </c>
      <c r="F2881">
        <f t="shared" ref="F2881" si="8245">_xlfn.NUMBERVALUE(RIGHT(C2881,4))</f>
        <v>2024</v>
      </c>
      <c r="G2881" t="s">
        <v>7</v>
      </c>
      <c r="H2881">
        <v>-2</v>
      </c>
      <c r="K2881" t="s">
        <v>9</v>
      </c>
      <c r="L2881" s="8">
        <f t="shared" si="8045"/>
        <v>-1</v>
      </c>
      <c r="M2881" t="s">
        <v>3199</v>
      </c>
    </row>
    <row r="2882" spans="1:13" x14ac:dyDescent="0.35">
      <c r="A2882">
        <f t="shared" si="7574"/>
        <v>2878</v>
      </c>
      <c r="B2882" s="9">
        <f t="shared" ref="B2882" si="8246">B2881+H2882+I2882+J2882</f>
        <v>57.760000000000005</v>
      </c>
      <c r="C2882" s="3" t="s">
        <v>3184</v>
      </c>
      <c r="D2882">
        <f t="shared" ref="D2882" si="8247">_xlfn.NUMBERVALUE(LEFT(C2882,2))</f>
        <v>21</v>
      </c>
      <c r="E2882">
        <f t="shared" ref="E2882" si="8248">_xlfn.NUMBERVALUE(MID(C2882,4,2))</f>
        <v>9</v>
      </c>
      <c r="F2882">
        <f t="shared" ref="F2882" si="8249">_xlfn.NUMBERVALUE(RIGHT(C2882,4))</f>
        <v>2024</v>
      </c>
      <c r="G2882" t="s">
        <v>7</v>
      </c>
      <c r="H2882">
        <v>-2</v>
      </c>
      <c r="I2882">
        <v>4</v>
      </c>
      <c r="K2882" t="s">
        <v>10</v>
      </c>
      <c r="L2882" s="8">
        <f t="shared" si="8045"/>
        <v>1</v>
      </c>
      <c r="M2882" t="s">
        <v>3200</v>
      </c>
    </row>
    <row r="2883" spans="1:13" x14ac:dyDescent="0.35">
      <c r="A2883">
        <f t="shared" si="7574"/>
        <v>2879</v>
      </c>
      <c r="B2883" s="9">
        <f t="shared" ref="B2883" si="8250">B2882+H2883+I2883+J2883</f>
        <v>61.760000000000005</v>
      </c>
      <c r="C2883" s="3" t="s">
        <v>3184</v>
      </c>
      <c r="D2883">
        <f t="shared" ref="D2883" si="8251">_xlfn.NUMBERVALUE(LEFT(C2883,2))</f>
        <v>21</v>
      </c>
      <c r="E2883">
        <f t="shared" ref="E2883" si="8252">_xlfn.NUMBERVALUE(MID(C2883,4,2))</f>
        <v>9</v>
      </c>
      <c r="F2883">
        <f t="shared" ref="F2883" si="8253">_xlfn.NUMBERVALUE(RIGHT(C2883,4))</f>
        <v>2024</v>
      </c>
      <c r="G2883" t="s">
        <v>7</v>
      </c>
      <c r="H2883">
        <v>-2</v>
      </c>
      <c r="I2883">
        <v>6</v>
      </c>
      <c r="K2883" t="s">
        <v>10</v>
      </c>
      <c r="L2883" s="8">
        <f t="shared" si="8045"/>
        <v>2</v>
      </c>
      <c r="M2883" t="s">
        <v>3201</v>
      </c>
    </row>
    <row r="2884" spans="1:13" x14ac:dyDescent="0.35">
      <c r="A2884">
        <f t="shared" si="7574"/>
        <v>2880</v>
      </c>
      <c r="B2884" s="9">
        <f t="shared" ref="B2884:B2885" si="8254">B2883+H2884+I2884+J2884</f>
        <v>51.760000000000005</v>
      </c>
      <c r="C2884" s="3" t="s">
        <v>3184</v>
      </c>
      <c r="D2884">
        <f t="shared" ref="D2884:D2885" si="8255">_xlfn.NUMBERVALUE(LEFT(C2884,2))</f>
        <v>21</v>
      </c>
      <c r="E2884">
        <f t="shared" ref="E2884:E2885" si="8256">_xlfn.NUMBERVALUE(MID(C2884,4,2))</f>
        <v>9</v>
      </c>
      <c r="F2884">
        <f t="shared" ref="F2884:F2885" si="8257">_xlfn.NUMBERVALUE(RIGHT(C2884,4))</f>
        <v>2024</v>
      </c>
      <c r="G2884" t="s">
        <v>7</v>
      </c>
      <c r="H2884">
        <v>-10</v>
      </c>
      <c r="K2884" t="s">
        <v>9</v>
      </c>
      <c r="L2884" s="8">
        <f t="shared" si="8045"/>
        <v>-1</v>
      </c>
      <c r="M2884" t="s">
        <v>3202</v>
      </c>
    </row>
    <row r="2885" spans="1:13" x14ac:dyDescent="0.35">
      <c r="A2885">
        <f t="shared" si="7574"/>
        <v>2881</v>
      </c>
      <c r="B2885" s="9">
        <f t="shared" si="8254"/>
        <v>57.760000000000005</v>
      </c>
      <c r="C2885" s="3" t="s">
        <v>3184</v>
      </c>
      <c r="D2885">
        <f t="shared" si="8255"/>
        <v>21</v>
      </c>
      <c r="E2885">
        <f t="shared" si="8256"/>
        <v>9</v>
      </c>
      <c r="F2885">
        <f t="shared" si="8257"/>
        <v>2024</v>
      </c>
      <c r="G2885" t="s">
        <v>7</v>
      </c>
      <c r="H2885">
        <v>-2</v>
      </c>
      <c r="I2885">
        <v>8</v>
      </c>
      <c r="K2885" t="s">
        <v>10</v>
      </c>
      <c r="L2885" s="8">
        <f t="shared" si="8045"/>
        <v>3</v>
      </c>
      <c r="M2885" t="s">
        <v>3203</v>
      </c>
    </row>
    <row r="2886" spans="1:13" x14ac:dyDescent="0.35">
      <c r="A2886">
        <f t="shared" si="7574"/>
        <v>2882</v>
      </c>
      <c r="B2886" s="9">
        <f t="shared" ref="B2886" si="8258">B2885+H2886+I2886+J2886</f>
        <v>55.760000000000005</v>
      </c>
      <c r="C2886" s="3" t="s">
        <v>3184</v>
      </c>
      <c r="D2886">
        <f t="shared" ref="D2886" si="8259">_xlfn.NUMBERVALUE(LEFT(C2886,2))</f>
        <v>21</v>
      </c>
      <c r="E2886">
        <f t="shared" ref="E2886" si="8260">_xlfn.NUMBERVALUE(MID(C2886,4,2))</f>
        <v>9</v>
      </c>
      <c r="F2886">
        <f t="shared" ref="F2886" si="8261">_xlfn.NUMBERVALUE(RIGHT(C2886,4))</f>
        <v>2024</v>
      </c>
      <c r="G2886" t="s">
        <v>7</v>
      </c>
      <c r="H2886">
        <v>-2</v>
      </c>
      <c r="K2886" t="s">
        <v>9</v>
      </c>
      <c r="L2886" s="8">
        <f t="shared" ref="L2886:L2949" si="8262">IF(H2886="",0,(SUM(I2886:J2886)/-H2886)-1)</f>
        <v>-1</v>
      </c>
      <c r="M2886" t="s">
        <v>3204</v>
      </c>
    </row>
    <row r="2887" spans="1:13" x14ac:dyDescent="0.35">
      <c r="A2887">
        <f t="shared" si="7574"/>
        <v>2883</v>
      </c>
      <c r="B2887" s="9">
        <f t="shared" ref="B2887" si="8263">B2886+H2887+I2887+J2887</f>
        <v>53.760000000000005</v>
      </c>
      <c r="C2887" s="3" t="s">
        <v>3184</v>
      </c>
      <c r="D2887">
        <f t="shared" ref="D2887" si="8264">_xlfn.NUMBERVALUE(LEFT(C2887,2))</f>
        <v>21</v>
      </c>
      <c r="E2887">
        <f t="shared" ref="E2887" si="8265">_xlfn.NUMBERVALUE(MID(C2887,4,2))</f>
        <v>9</v>
      </c>
      <c r="F2887">
        <f t="shared" ref="F2887" si="8266">_xlfn.NUMBERVALUE(RIGHT(C2887,4))</f>
        <v>2024</v>
      </c>
      <c r="G2887" t="s">
        <v>7</v>
      </c>
      <c r="H2887">
        <v>-2</v>
      </c>
      <c r="K2887" t="s">
        <v>9</v>
      </c>
      <c r="L2887" s="8">
        <f t="shared" si="8262"/>
        <v>-1</v>
      </c>
      <c r="M2887" t="s">
        <v>3205</v>
      </c>
    </row>
    <row r="2888" spans="1:13" x14ac:dyDescent="0.35">
      <c r="A2888">
        <f t="shared" si="7574"/>
        <v>2884</v>
      </c>
      <c r="B2888" s="9">
        <f t="shared" ref="B2888" si="8267">B2887+H2888+I2888+J2888</f>
        <v>51.760000000000005</v>
      </c>
      <c r="C2888" s="3" t="s">
        <v>3184</v>
      </c>
      <c r="D2888">
        <f t="shared" ref="D2888" si="8268">_xlfn.NUMBERVALUE(LEFT(C2888,2))</f>
        <v>21</v>
      </c>
      <c r="E2888">
        <f t="shared" ref="E2888" si="8269">_xlfn.NUMBERVALUE(MID(C2888,4,2))</f>
        <v>9</v>
      </c>
      <c r="F2888">
        <f t="shared" ref="F2888" si="8270">_xlfn.NUMBERVALUE(RIGHT(C2888,4))</f>
        <v>2024</v>
      </c>
      <c r="G2888" t="s">
        <v>7</v>
      </c>
      <c r="H2888">
        <v>-2</v>
      </c>
      <c r="K2888" t="s">
        <v>9</v>
      </c>
      <c r="L2888" s="8">
        <f t="shared" si="8262"/>
        <v>-1</v>
      </c>
      <c r="M2888" t="s">
        <v>3206</v>
      </c>
    </row>
    <row r="2889" spans="1:13" x14ac:dyDescent="0.35">
      <c r="A2889">
        <f t="shared" si="7574"/>
        <v>2885</v>
      </c>
      <c r="B2889" s="9">
        <f t="shared" ref="B2889:B2890" si="8271">B2888+H2889+I2889+J2889</f>
        <v>49.760000000000005</v>
      </c>
      <c r="C2889" s="3" t="s">
        <v>3207</v>
      </c>
      <c r="D2889">
        <f t="shared" ref="D2889:D2890" si="8272">_xlfn.NUMBERVALUE(LEFT(C2889,2))</f>
        <v>22</v>
      </c>
      <c r="E2889">
        <f t="shared" ref="E2889:E2890" si="8273">_xlfn.NUMBERVALUE(MID(C2889,4,2))</f>
        <v>9</v>
      </c>
      <c r="F2889">
        <f t="shared" ref="F2889:F2890" si="8274">_xlfn.NUMBERVALUE(RIGHT(C2889,4))</f>
        <v>2024</v>
      </c>
      <c r="G2889" t="s">
        <v>7</v>
      </c>
      <c r="H2889">
        <v>-2</v>
      </c>
      <c r="K2889" t="s">
        <v>9</v>
      </c>
      <c r="L2889" s="8">
        <f t="shared" si="8262"/>
        <v>-1</v>
      </c>
      <c r="M2889" t="s">
        <v>3208</v>
      </c>
    </row>
    <row r="2890" spans="1:13" x14ac:dyDescent="0.35">
      <c r="A2890">
        <f t="shared" si="7574"/>
        <v>2886</v>
      </c>
      <c r="B2890" s="9">
        <f t="shared" si="8271"/>
        <v>49.760000000000005</v>
      </c>
      <c r="C2890" s="3" t="s">
        <v>3207</v>
      </c>
      <c r="D2890">
        <f t="shared" si="8272"/>
        <v>22</v>
      </c>
      <c r="E2890">
        <f t="shared" si="8273"/>
        <v>9</v>
      </c>
      <c r="F2890">
        <f t="shared" si="8274"/>
        <v>2024</v>
      </c>
      <c r="G2890" t="s">
        <v>3039</v>
      </c>
      <c r="K2890" t="s">
        <v>9</v>
      </c>
      <c r="L2890" s="8">
        <f t="shared" si="8262"/>
        <v>0</v>
      </c>
      <c r="M2890" t="s">
        <v>3209</v>
      </c>
    </row>
    <row r="2891" spans="1:13" x14ac:dyDescent="0.35">
      <c r="A2891">
        <f t="shared" si="7574"/>
        <v>2887</v>
      </c>
      <c r="B2891" s="9">
        <f t="shared" ref="B2891" si="8275">B2890+H2891+I2891+J2891</f>
        <v>51.760000000000005</v>
      </c>
      <c r="C2891" s="3" t="s">
        <v>3207</v>
      </c>
      <c r="D2891">
        <f t="shared" ref="D2891" si="8276">_xlfn.NUMBERVALUE(LEFT(C2891,2))</f>
        <v>22</v>
      </c>
      <c r="E2891">
        <f t="shared" ref="E2891" si="8277">_xlfn.NUMBERVALUE(MID(C2891,4,2))</f>
        <v>9</v>
      </c>
      <c r="F2891">
        <f t="shared" ref="F2891" si="8278">_xlfn.NUMBERVALUE(RIGHT(C2891,4))</f>
        <v>2024</v>
      </c>
      <c r="G2891" t="s">
        <v>7</v>
      </c>
      <c r="H2891">
        <v>-2</v>
      </c>
      <c r="I2891">
        <v>4</v>
      </c>
      <c r="K2891" t="s">
        <v>10</v>
      </c>
      <c r="L2891" s="8">
        <f t="shared" si="8262"/>
        <v>1</v>
      </c>
      <c r="M2891" t="s">
        <v>3210</v>
      </c>
    </row>
    <row r="2892" spans="1:13" x14ac:dyDescent="0.35">
      <c r="A2892">
        <f t="shared" si="7574"/>
        <v>2888</v>
      </c>
      <c r="B2892" s="9">
        <f t="shared" ref="B2892" si="8279">B2891+H2892+I2892+J2892</f>
        <v>49.760000000000005</v>
      </c>
      <c r="C2892" s="3" t="s">
        <v>3207</v>
      </c>
      <c r="D2892">
        <f t="shared" ref="D2892" si="8280">_xlfn.NUMBERVALUE(LEFT(C2892,2))</f>
        <v>22</v>
      </c>
      <c r="E2892">
        <f t="shared" ref="E2892" si="8281">_xlfn.NUMBERVALUE(MID(C2892,4,2))</f>
        <v>9</v>
      </c>
      <c r="F2892">
        <f t="shared" ref="F2892" si="8282">_xlfn.NUMBERVALUE(RIGHT(C2892,4))</f>
        <v>2024</v>
      </c>
      <c r="G2892" t="s">
        <v>7</v>
      </c>
      <c r="H2892">
        <v>-2</v>
      </c>
      <c r="K2892" t="s">
        <v>9</v>
      </c>
      <c r="L2892" s="8">
        <f t="shared" si="8262"/>
        <v>-1</v>
      </c>
      <c r="M2892" t="s">
        <v>3211</v>
      </c>
    </row>
    <row r="2893" spans="1:13" x14ac:dyDescent="0.35">
      <c r="A2893">
        <f t="shared" si="7574"/>
        <v>2889</v>
      </c>
      <c r="B2893" s="9">
        <f t="shared" ref="B2893" si="8283">B2892+H2893+I2893+J2893</f>
        <v>51.760000000000005</v>
      </c>
      <c r="C2893" s="3" t="s">
        <v>3207</v>
      </c>
      <c r="D2893">
        <f t="shared" ref="D2893" si="8284">_xlfn.NUMBERVALUE(LEFT(C2893,2))</f>
        <v>22</v>
      </c>
      <c r="E2893">
        <f t="shared" ref="E2893" si="8285">_xlfn.NUMBERVALUE(MID(C2893,4,2))</f>
        <v>9</v>
      </c>
      <c r="F2893">
        <f t="shared" ref="F2893" si="8286">_xlfn.NUMBERVALUE(RIGHT(C2893,4))</f>
        <v>2024</v>
      </c>
      <c r="G2893" t="s">
        <v>7</v>
      </c>
      <c r="H2893">
        <v>-2</v>
      </c>
      <c r="I2893">
        <v>4</v>
      </c>
      <c r="K2893" t="s">
        <v>10</v>
      </c>
      <c r="L2893" s="8">
        <f t="shared" si="8262"/>
        <v>1</v>
      </c>
      <c r="M2893" t="s">
        <v>3212</v>
      </c>
    </row>
    <row r="2894" spans="1:13" x14ac:dyDescent="0.35">
      <c r="A2894">
        <f t="shared" si="7574"/>
        <v>2890</v>
      </c>
      <c r="B2894" s="9">
        <f t="shared" ref="B2894" si="8287">B2893+H2894+I2894+J2894</f>
        <v>49.760000000000005</v>
      </c>
      <c r="C2894" s="3" t="s">
        <v>3207</v>
      </c>
      <c r="D2894">
        <f t="shared" ref="D2894" si="8288">_xlfn.NUMBERVALUE(LEFT(C2894,2))</f>
        <v>22</v>
      </c>
      <c r="E2894">
        <f t="shared" ref="E2894" si="8289">_xlfn.NUMBERVALUE(MID(C2894,4,2))</f>
        <v>9</v>
      </c>
      <c r="F2894">
        <f t="shared" ref="F2894" si="8290">_xlfn.NUMBERVALUE(RIGHT(C2894,4))</f>
        <v>2024</v>
      </c>
      <c r="G2894" t="s">
        <v>7</v>
      </c>
      <c r="H2894">
        <v>-2</v>
      </c>
      <c r="K2894" t="s">
        <v>9</v>
      </c>
      <c r="L2894" s="8">
        <f t="shared" si="8262"/>
        <v>-1</v>
      </c>
      <c r="M2894" t="s">
        <v>3213</v>
      </c>
    </row>
    <row r="2895" spans="1:13" x14ac:dyDescent="0.35">
      <c r="A2895">
        <f t="shared" si="7574"/>
        <v>2891</v>
      </c>
      <c r="B2895" s="9">
        <f t="shared" ref="B2895" si="8291">B2894+H2895+I2895+J2895</f>
        <v>47.760000000000005</v>
      </c>
      <c r="C2895" s="3" t="s">
        <v>3207</v>
      </c>
      <c r="D2895">
        <f t="shared" ref="D2895" si="8292">_xlfn.NUMBERVALUE(LEFT(C2895,2))</f>
        <v>22</v>
      </c>
      <c r="E2895">
        <f t="shared" ref="E2895" si="8293">_xlfn.NUMBERVALUE(MID(C2895,4,2))</f>
        <v>9</v>
      </c>
      <c r="F2895">
        <f t="shared" ref="F2895" si="8294">_xlfn.NUMBERVALUE(RIGHT(C2895,4))</f>
        <v>2024</v>
      </c>
      <c r="G2895" t="s">
        <v>7</v>
      </c>
      <c r="H2895">
        <v>-2</v>
      </c>
      <c r="K2895" t="s">
        <v>9</v>
      </c>
      <c r="L2895" s="8">
        <f t="shared" si="8262"/>
        <v>-1</v>
      </c>
      <c r="M2895" t="s">
        <v>3214</v>
      </c>
    </row>
    <row r="2896" spans="1:13" x14ac:dyDescent="0.35">
      <c r="A2896">
        <f t="shared" si="7574"/>
        <v>2892</v>
      </c>
      <c r="B2896" s="9">
        <f t="shared" ref="B2896" si="8295">B2895+H2896+I2896+J2896</f>
        <v>45.760000000000005</v>
      </c>
      <c r="C2896" s="3" t="s">
        <v>3207</v>
      </c>
      <c r="D2896">
        <f t="shared" ref="D2896" si="8296">_xlfn.NUMBERVALUE(LEFT(C2896,2))</f>
        <v>22</v>
      </c>
      <c r="E2896">
        <f t="shared" ref="E2896" si="8297">_xlfn.NUMBERVALUE(MID(C2896,4,2))</f>
        <v>9</v>
      </c>
      <c r="F2896">
        <f t="shared" ref="F2896" si="8298">_xlfn.NUMBERVALUE(RIGHT(C2896,4))</f>
        <v>2024</v>
      </c>
      <c r="G2896" t="s">
        <v>7</v>
      </c>
      <c r="H2896">
        <v>-2</v>
      </c>
      <c r="K2896" t="s">
        <v>9</v>
      </c>
      <c r="L2896" s="8">
        <f t="shared" si="8262"/>
        <v>-1</v>
      </c>
      <c r="M2896" t="s">
        <v>3215</v>
      </c>
    </row>
    <row r="2897" spans="1:13" x14ac:dyDescent="0.35">
      <c r="A2897">
        <f t="shared" si="7574"/>
        <v>2893</v>
      </c>
      <c r="B2897" s="9">
        <f t="shared" ref="B2897" si="8299">B2896+H2897+I2897+J2897</f>
        <v>51.760000000000005</v>
      </c>
      <c r="C2897" s="3" t="s">
        <v>3207</v>
      </c>
      <c r="D2897">
        <f t="shared" ref="D2897" si="8300">_xlfn.NUMBERVALUE(LEFT(C2897,2))</f>
        <v>22</v>
      </c>
      <c r="E2897">
        <f t="shared" ref="E2897" si="8301">_xlfn.NUMBERVALUE(MID(C2897,4,2))</f>
        <v>9</v>
      </c>
      <c r="F2897">
        <f t="shared" ref="F2897" si="8302">_xlfn.NUMBERVALUE(RIGHT(C2897,4))</f>
        <v>2024</v>
      </c>
      <c r="G2897" t="s">
        <v>7</v>
      </c>
      <c r="H2897">
        <v>-2</v>
      </c>
      <c r="I2897">
        <v>8</v>
      </c>
      <c r="K2897" t="s">
        <v>10</v>
      </c>
      <c r="L2897" s="8">
        <f t="shared" si="8262"/>
        <v>3</v>
      </c>
      <c r="M2897" t="s">
        <v>3216</v>
      </c>
    </row>
    <row r="2898" spans="1:13" x14ac:dyDescent="0.35">
      <c r="A2898">
        <f t="shared" si="7574"/>
        <v>2894</v>
      </c>
      <c r="B2898" s="9">
        <f t="shared" ref="B2898:B2899" si="8303">B2897+H2898+I2898+J2898</f>
        <v>59.760000000000005</v>
      </c>
      <c r="C2898" s="3" t="s">
        <v>3207</v>
      </c>
      <c r="D2898">
        <f t="shared" ref="D2898:D2899" si="8304">_xlfn.NUMBERVALUE(LEFT(C2898,2))</f>
        <v>22</v>
      </c>
      <c r="E2898">
        <f t="shared" ref="E2898:E2899" si="8305">_xlfn.NUMBERVALUE(MID(C2898,4,2))</f>
        <v>9</v>
      </c>
      <c r="F2898">
        <f t="shared" ref="F2898:F2899" si="8306">_xlfn.NUMBERVALUE(RIGHT(C2898,4))</f>
        <v>2024</v>
      </c>
      <c r="G2898" t="s">
        <v>7</v>
      </c>
      <c r="H2898">
        <v>-2</v>
      </c>
      <c r="I2898">
        <v>10</v>
      </c>
      <c r="K2898" t="s">
        <v>10</v>
      </c>
      <c r="L2898" s="8">
        <f t="shared" si="8262"/>
        <v>4</v>
      </c>
      <c r="M2898" t="s">
        <v>3217</v>
      </c>
    </row>
    <row r="2899" spans="1:13" x14ac:dyDescent="0.35">
      <c r="A2899">
        <f t="shared" si="7574"/>
        <v>2895</v>
      </c>
      <c r="B2899" s="9">
        <f t="shared" si="8303"/>
        <v>59.760000000000005</v>
      </c>
      <c r="C2899" s="3" t="s">
        <v>3207</v>
      </c>
      <c r="D2899">
        <f t="shared" si="8304"/>
        <v>22</v>
      </c>
      <c r="E2899">
        <f t="shared" si="8305"/>
        <v>9</v>
      </c>
      <c r="F2899">
        <f t="shared" si="8306"/>
        <v>2024</v>
      </c>
      <c r="G2899" t="s">
        <v>2969</v>
      </c>
      <c r="K2899" t="s">
        <v>9</v>
      </c>
      <c r="L2899" s="8">
        <f t="shared" si="8262"/>
        <v>0</v>
      </c>
      <c r="M2899" t="s">
        <v>3218</v>
      </c>
    </row>
    <row r="2900" spans="1:13" x14ac:dyDescent="0.35">
      <c r="A2900">
        <f t="shared" si="7574"/>
        <v>2896</v>
      </c>
      <c r="B2900" s="9">
        <f t="shared" ref="B2900:B2901" si="8307">B2899+H2900+I2900+J2900</f>
        <v>57.760000000000005</v>
      </c>
      <c r="C2900" s="3" t="s">
        <v>3207</v>
      </c>
      <c r="D2900">
        <f t="shared" ref="D2900:D2901" si="8308">_xlfn.NUMBERVALUE(LEFT(C2900,2))</f>
        <v>22</v>
      </c>
      <c r="E2900">
        <f t="shared" ref="E2900:E2901" si="8309">_xlfn.NUMBERVALUE(MID(C2900,4,2))</f>
        <v>9</v>
      </c>
      <c r="F2900">
        <f t="shared" ref="F2900:F2901" si="8310">_xlfn.NUMBERVALUE(RIGHT(C2900,4))</f>
        <v>2024</v>
      </c>
      <c r="G2900" t="s">
        <v>7</v>
      </c>
      <c r="H2900">
        <v>-2</v>
      </c>
      <c r="K2900" t="s">
        <v>9</v>
      </c>
      <c r="L2900" s="8">
        <f t="shared" si="8262"/>
        <v>-1</v>
      </c>
      <c r="M2900" t="s">
        <v>3219</v>
      </c>
    </row>
    <row r="2901" spans="1:13" x14ac:dyDescent="0.35">
      <c r="A2901">
        <f t="shared" si="7574"/>
        <v>2897</v>
      </c>
      <c r="B2901" s="9">
        <f t="shared" si="8307"/>
        <v>47.760000000000005</v>
      </c>
      <c r="C2901" s="3" t="s">
        <v>3207</v>
      </c>
      <c r="D2901">
        <f t="shared" si="8308"/>
        <v>22</v>
      </c>
      <c r="E2901">
        <f t="shared" si="8309"/>
        <v>9</v>
      </c>
      <c r="F2901">
        <f t="shared" si="8310"/>
        <v>2024</v>
      </c>
      <c r="G2901" t="s">
        <v>7</v>
      </c>
      <c r="H2901">
        <v>-10</v>
      </c>
      <c r="K2901" t="s">
        <v>9</v>
      </c>
      <c r="L2901" s="8">
        <f t="shared" si="8262"/>
        <v>-1</v>
      </c>
      <c r="M2901" t="s">
        <v>3220</v>
      </c>
    </row>
    <row r="2902" spans="1:13" x14ac:dyDescent="0.35">
      <c r="A2902">
        <f t="shared" si="7574"/>
        <v>2898</v>
      </c>
      <c r="B2902" s="9">
        <f t="shared" ref="B2902" si="8311">B2901+H2902+I2902+J2902</f>
        <v>45.760000000000005</v>
      </c>
      <c r="C2902" s="3" t="s">
        <v>3207</v>
      </c>
      <c r="D2902">
        <f t="shared" ref="D2902" si="8312">_xlfn.NUMBERVALUE(LEFT(C2902,2))</f>
        <v>22</v>
      </c>
      <c r="E2902">
        <f t="shared" ref="E2902" si="8313">_xlfn.NUMBERVALUE(MID(C2902,4,2))</f>
        <v>9</v>
      </c>
      <c r="F2902">
        <f t="shared" ref="F2902" si="8314">_xlfn.NUMBERVALUE(RIGHT(C2902,4))</f>
        <v>2024</v>
      </c>
      <c r="G2902" t="s">
        <v>7</v>
      </c>
      <c r="H2902">
        <v>-2</v>
      </c>
      <c r="K2902" t="s">
        <v>9</v>
      </c>
      <c r="L2902" s="8">
        <f t="shared" si="8262"/>
        <v>-1</v>
      </c>
      <c r="M2902" t="s">
        <v>3221</v>
      </c>
    </row>
    <row r="2903" spans="1:13" x14ac:dyDescent="0.35">
      <c r="A2903">
        <f t="shared" si="7574"/>
        <v>2899</v>
      </c>
      <c r="B2903" s="9">
        <f t="shared" ref="B2903" si="8315">B2902+H2903+I2903+J2903</f>
        <v>43.760000000000005</v>
      </c>
      <c r="C2903" s="3" t="s">
        <v>3207</v>
      </c>
      <c r="D2903">
        <f t="shared" ref="D2903" si="8316">_xlfn.NUMBERVALUE(LEFT(C2903,2))</f>
        <v>22</v>
      </c>
      <c r="E2903">
        <f t="shared" ref="E2903" si="8317">_xlfn.NUMBERVALUE(MID(C2903,4,2))</f>
        <v>9</v>
      </c>
      <c r="F2903">
        <f t="shared" ref="F2903" si="8318">_xlfn.NUMBERVALUE(RIGHT(C2903,4))</f>
        <v>2024</v>
      </c>
      <c r="G2903" t="s">
        <v>7</v>
      </c>
      <c r="H2903">
        <v>-2</v>
      </c>
      <c r="K2903" t="s">
        <v>9</v>
      </c>
      <c r="L2903" s="8">
        <f t="shared" si="8262"/>
        <v>-1</v>
      </c>
      <c r="M2903" t="s">
        <v>3222</v>
      </c>
    </row>
    <row r="2904" spans="1:13" x14ac:dyDescent="0.35">
      <c r="A2904">
        <f t="shared" si="7574"/>
        <v>2900</v>
      </c>
      <c r="B2904" s="9">
        <f t="shared" ref="B2904" si="8319">B2903+H2904+I2904+J2904</f>
        <v>41.760000000000005</v>
      </c>
      <c r="C2904" s="3" t="s">
        <v>3224</v>
      </c>
      <c r="D2904">
        <f t="shared" ref="D2904:D2907" si="8320">_xlfn.NUMBERVALUE(LEFT(C2904,2))</f>
        <v>23</v>
      </c>
      <c r="E2904">
        <f t="shared" ref="E2904" si="8321">_xlfn.NUMBERVALUE(MID(C2904,4,2))</f>
        <v>9</v>
      </c>
      <c r="F2904">
        <f t="shared" ref="F2904" si="8322">_xlfn.NUMBERVALUE(RIGHT(C2904,4))</f>
        <v>2024</v>
      </c>
      <c r="G2904" t="s">
        <v>7</v>
      </c>
      <c r="H2904">
        <v>-2</v>
      </c>
      <c r="K2904" t="s">
        <v>9</v>
      </c>
      <c r="L2904" s="8">
        <f t="shared" si="8262"/>
        <v>-1</v>
      </c>
      <c r="M2904" t="s">
        <v>3223</v>
      </c>
    </row>
    <row r="2905" spans="1:13" x14ac:dyDescent="0.35">
      <c r="A2905">
        <f t="shared" si="7574"/>
        <v>2901</v>
      </c>
      <c r="B2905" s="9">
        <f t="shared" ref="B2905:B2907" si="8323">B2904+H2905+I2905+J2905</f>
        <v>41.760000000000005</v>
      </c>
      <c r="C2905" s="3" t="s">
        <v>3224</v>
      </c>
      <c r="D2905">
        <f t="shared" si="8320"/>
        <v>23</v>
      </c>
      <c r="E2905">
        <f t="shared" ref="E2905:E2907" si="8324">_xlfn.NUMBERVALUE(MID(C2905,4,2))</f>
        <v>9</v>
      </c>
      <c r="F2905">
        <f t="shared" ref="F2905:F2907" si="8325">_xlfn.NUMBERVALUE(RIGHT(C2905,4))</f>
        <v>2024</v>
      </c>
      <c r="G2905" t="s">
        <v>3039</v>
      </c>
      <c r="K2905" t="s">
        <v>10</v>
      </c>
      <c r="L2905" s="8">
        <f t="shared" si="8262"/>
        <v>0</v>
      </c>
      <c r="M2905" t="s">
        <v>3225</v>
      </c>
    </row>
    <row r="2906" spans="1:13" x14ac:dyDescent="0.35">
      <c r="A2906">
        <f t="shared" si="7574"/>
        <v>2902</v>
      </c>
      <c r="B2906" s="9">
        <f t="shared" si="8323"/>
        <v>41.760000000000005</v>
      </c>
      <c r="C2906" s="3" t="s">
        <v>3224</v>
      </c>
      <c r="D2906">
        <f t="shared" si="8320"/>
        <v>23</v>
      </c>
      <c r="E2906">
        <f t="shared" si="8324"/>
        <v>9</v>
      </c>
      <c r="F2906">
        <f t="shared" si="8325"/>
        <v>2024</v>
      </c>
      <c r="G2906" t="s">
        <v>2969</v>
      </c>
      <c r="K2906" t="s">
        <v>10</v>
      </c>
      <c r="L2906" s="8">
        <f t="shared" si="8262"/>
        <v>0</v>
      </c>
      <c r="M2906" t="s">
        <v>3226</v>
      </c>
    </row>
    <row r="2907" spans="1:13" x14ac:dyDescent="0.35">
      <c r="A2907">
        <f t="shared" si="7574"/>
        <v>2903</v>
      </c>
      <c r="B2907" s="9">
        <f t="shared" si="8323"/>
        <v>39.760000000000005</v>
      </c>
      <c r="C2907" s="3" t="s">
        <v>3224</v>
      </c>
      <c r="D2907">
        <f t="shared" si="8320"/>
        <v>23</v>
      </c>
      <c r="E2907">
        <f t="shared" si="8324"/>
        <v>9</v>
      </c>
      <c r="F2907">
        <f t="shared" si="8325"/>
        <v>2024</v>
      </c>
      <c r="G2907" t="s">
        <v>7</v>
      </c>
      <c r="H2907">
        <v>-2</v>
      </c>
      <c r="K2907" t="s">
        <v>9</v>
      </c>
      <c r="L2907" s="8">
        <f t="shared" si="8262"/>
        <v>-1</v>
      </c>
      <c r="M2907" t="s">
        <v>3227</v>
      </c>
    </row>
    <row r="2908" spans="1:13" x14ac:dyDescent="0.35">
      <c r="A2908">
        <f t="shared" si="7574"/>
        <v>2904</v>
      </c>
      <c r="B2908" s="9">
        <f t="shared" ref="B2908" si="8326">B2907+H2908+I2908+J2908</f>
        <v>37.760000000000005</v>
      </c>
      <c r="C2908" s="3" t="s">
        <v>3224</v>
      </c>
      <c r="D2908">
        <f t="shared" ref="D2908" si="8327">_xlfn.NUMBERVALUE(LEFT(C2908,2))</f>
        <v>23</v>
      </c>
      <c r="E2908">
        <f t="shared" ref="E2908" si="8328">_xlfn.NUMBERVALUE(MID(C2908,4,2))</f>
        <v>9</v>
      </c>
      <c r="F2908">
        <f t="shared" ref="F2908" si="8329">_xlfn.NUMBERVALUE(RIGHT(C2908,4))</f>
        <v>2024</v>
      </c>
      <c r="G2908" t="s">
        <v>7</v>
      </c>
      <c r="H2908">
        <v>-2</v>
      </c>
      <c r="K2908" t="s">
        <v>9</v>
      </c>
      <c r="L2908" s="8">
        <f t="shared" si="8262"/>
        <v>-1</v>
      </c>
      <c r="M2908" t="s">
        <v>3228</v>
      </c>
    </row>
    <row r="2909" spans="1:13" x14ac:dyDescent="0.35">
      <c r="A2909">
        <f t="shared" si="7574"/>
        <v>2905</v>
      </c>
      <c r="B2909" s="9">
        <f t="shared" ref="B2909" si="8330">B2908+H2909+I2909+J2909</f>
        <v>35.760000000000005</v>
      </c>
      <c r="C2909" s="3" t="s">
        <v>3224</v>
      </c>
      <c r="D2909">
        <f t="shared" ref="D2909" si="8331">_xlfn.NUMBERVALUE(LEFT(C2909,2))</f>
        <v>23</v>
      </c>
      <c r="E2909">
        <f t="shared" ref="E2909" si="8332">_xlfn.NUMBERVALUE(MID(C2909,4,2))</f>
        <v>9</v>
      </c>
      <c r="F2909">
        <f t="shared" ref="F2909" si="8333">_xlfn.NUMBERVALUE(RIGHT(C2909,4))</f>
        <v>2024</v>
      </c>
      <c r="G2909" t="s">
        <v>7</v>
      </c>
      <c r="H2909">
        <v>-2</v>
      </c>
      <c r="K2909" t="s">
        <v>9</v>
      </c>
      <c r="L2909" s="8">
        <f t="shared" si="8262"/>
        <v>-1</v>
      </c>
      <c r="M2909" t="s">
        <v>3229</v>
      </c>
    </row>
    <row r="2910" spans="1:13" x14ac:dyDescent="0.35">
      <c r="A2910">
        <f t="shared" si="7574"/>
        <v>2906</v>
      </c>
      <c r="B2910" s="9">
        <f t="shared" ref="B2910" si="8334">B2909+H2910+I2910+J2910</f>
        <v>33.760000000000005</v>
      </c>
      <c r="C2910" s="3" t="s">
        <v>3224</v>
      </c>
      <c r="D2910">
        <f t="shared" ref="D2910" si="8335">_xlfn.NUMBERVALUE(LEFT(C2910,2))</f>
        <v>23</v>
      </c>
      <c r="E2910">
        <f t="shared" ref="E2910" si="8336">_xlfn.NUMBERVALUE(MID(C2910,4,2))</f>
        <v>9</v>
      </c>
      <c r="F2910">
        <f t="shared" ref="F2910" si="8337">_xlfn.NUMBERVALUE(RIGHT(C2910,4))</f>
        <v>2024</v>
      </c>
      <c r="G2910" t="s">
        <v>7</v>
      </c>
      <c r="H2910">
        <v>-2</v>
      </c>
      <c r="K2910" t="s">
        <v>9</v>
      </c>
      <c r="L2910" s="8">
        <f t="shared" si="8262"/>
        <v>-1</v>
      </c>
      <c r="M2910" t="s">
        <v>3230</v>
      </c>
    </row>
    <row r="2911" spans="1:13" x14ac:dyDescent="0.35">
      <c r="A2911">
        <f t="shared" si="7574"/>
        <v>2907</v>
      </c>
      <c r="B2911" s="9">
        <f t="shared" ref="B2911" si="8338">B2910+H2911+I2911+J2911</f>
        <v>31.760000000000005</v>
      </c>
      <c r="C2911" s="3" t="s">
        <v>3224</v>
      </c>
      <c r="D2911">
        <f t="shared" ref="D2911" si="8339">_xlfn.NUMBERVALUE(LEFT(C2911,2))</f>
        <v>23</v>
      </c>
      <c r="E2911">
        <f t="shared" ref="E2911" si="8340">_xlfn.NUMBERVALUE(MID(C2911,4,2))</f>
        <v>9</v>
      </c>
      <c r="F2911">
        <f t="shared" ref="F2911" si="8341">_xlfn.NUMBERVALUE(RIGHT(C2911,4))</f>
        <v>2024</v>
      </c>
      <c r="G2911" t="s">
        <v>7</v>
      </c>
      <c r="H2911">
        <v>-2</v>
      </c>
      <c r="K2911" t="s">
        <v>9</v>
      </c>
      <c r="L2911" s="8">
        <f t="shared" si="8262"/>
        <v>-1</v>
      </c>
      <c r="M2911" t="s">
        <v>3231</v>
      </c>
    </row>
    <row r="2912" spans="1:13" x14ac:dyDescent="0.35">
      <c r="A2912">
        <f t="shared" si="7574"/>
        <v>2908</v>
      </c>
      <c r="B2912" s="9">
        <f t="shared" ref="B2912" si="8342">B2911+H2912+I2912+J2912</f>
        <v>29.760000000000005</v>
      </c>
      <c r="C2912" s="3" t="s">
        <v>3224</v>
      </c>
      <c r="D2912">
        <f t="shared" ref="D2912" si="8343">_xlfn.NUMBERVALUE(LEFT(C2912,2))</f>
        <v>23</v>
      </c>
      <c r="E2912">
        <f t="shared" ref="E2912" si="8344">_xlfn.NUMBERVALUE(MID(C2912,4,2))</f>
        <v>9</v>
      </c>
      <c r="F2912">
        <f t="shared" ref="F2912" si="8345">_xlfn.NUMBERVALUE(RIGHT(C2912,4))</f>
        <v>2024</v>
      </c>
      <c r="G2912" t="s">
        <v>7</v>
      </c>
      <c r="H2912">
        <v>-2</v>
      </c>
      <c r="K2912" t="s">
        <v>9</v>
      </c>
      <c r="L2912" s="8">
        <f t="shared" si="8262"/>
        <v>-1</v>
      </c>
      <c r="M2912" t="s">
        <v>3232</v>
      </c>
    </row>
    <row r="2913" spans="1:13" x14ac:dyDescent="0.35">
      <c r="A2913">
        <f t="shared" si="7574"/>
        <v>2909</v>
      </c>
      <c r="B2913" s="9">
        <f t="shared" ref="B2913" si="8346">B2912+H2913+I2913+J2913</f>
        <v>27.760000000000005</v>
      </c>
      <c r="C2913" s="3" t="s">
        <v>3224</v>
      </c>
      <c r="D2913">
        <f t="shared" ref="D2913" si="8347">_xlfn.NUMBERVALUE(LEFT(C2913,2))</f>
        <v>23</v>
      </c>
      <c r="E2913">
        <f t="shared" ref="E2913" si="8348">_xlfn.NUMBERVALUE(MID(C2913,4,2))</f>
        <v>9</v>
      </c>
      <c r="F2913">
        <f t="shared" ref="F2913" si="8349">_xlfn.NUMBERVALUE(RIGHT(C2913,4))</f>
        <v>2024</v>
      </c>
      <c r="G2913" t="s">
        <v>7</v>
      </c>
      <c r="H2913">
        <v>-2</v>
      </c>
      <c r="K2913" t="s">
        <v>9</v>
      </c>
      <c r="L2913" s="8">
        <f t="shared" si="8262"/>
        <v>-1</v>
      </c>
      <c r="M2913" t="s">
        <v>3233</v>
      </c>
    </row>
    <row r="2914" spans="1:13" x14ac:dyDescent="0.35">
      <c r="A2914">
        <f t="shared" si="7574"/>
        <v>2910</v>
      </c>
      <c r="B2914" s="9">
        <f t="shared" ref="B2914" si="8350">B2913+H2914+I2914+J2914</f>
        <v>31.760000000000005</v>
      </c>
      <c r="C2914" s="3" t="s">
        <v>3224</v>
      </c>
      <c r="D2914">
        <f t="shared" ref="D2914" si="8351">_xlfn.NUMBERVALUE(LEFT(C2914,2))</f>
        <v>23</v>
      </c>
      <c r="E2914">
        <f t="shared" ref="E2914" si="8352">_xlfn.NUMBERVALUE(MID(C2914,4,2))</f>
        <v>9</v>
      </c>
      <c r="F2914">
        <f t="shared" ref="F2914" si="8353">_xlfn.NUMBERVALUE(RIGHT(C2914,4))</f>
        <v>2024</v>
      </c>
      <c r="G2914" t="s">
        <v>7</v>
      </c>
      <c r="H2914">
        <v>-2</v>
      </c>
      <c r="I2914">
        <v>6</v>
      </c>
      <c r="K2914" t="s">
        <v>10</v>
      </c>
      <c r="L2914" s="8">
        <f t="shared" si="8262"/>
        <v>2</v>
      </c>
      <c r="M2914" t="s">
        <v>3234</v>
      </c>
    </row>
    <row r="2915" spans="1:13" x14ac:dyDescent="0.35">
      <c r="A2915">
        <f t="shared" si="7574"/>
        <v>2911</v>
      </c>
      <c r="B2915" s="9">
        <f t="shared" ref="B2915:B2916" si="8354">B2914+H2915+I2915+J2915</f>
        <v>29.760000000000005</v>
      </c>
      <c r="C2915" s="3" t="s">
        <v>3235</v>
      </c>
      <c r="D2915">
        <f t="shared" ref="D2915:D2916" si="8355">_xlfn.NUMBERVALUE(LEFT(C2915,2))</f>
        <v>24</v>
      </c>
      <c r="E2915">
        <f t="shared" ref="E2915:E2916" si="8356">_xlfn.NUMBERVALUE(MID(C2915,4,2))</f>
        <v>9</v>
      </c>
      <c r="F2915">
        <f t="shared" ref="F2915:F2916" si="8357">_xlfn.NUMBERVALUE(RIGHT(C2915,4))</f>
        <v>2024</v>
      </c>
      <c r="G2915" t="s">
        <v>7</v>
      </c>
      <c r="H2915">
        <v>-2</v>
      </c>
      <c r="K2915" t="s">
        <v>9</v>
      </c>
      <c r="L2915" s="8">
        <f t="shared" si="8262"/>
        <v>-1</v>
      </c>
      <c r="M2915" t="s">
        <v>3236</v>
      </c>
    </row>
    <row r="2916" spans="1:13" x14ac:dyDescent="0.35">
      <c r="A2916">
        <f t="shared" si="7574"/>
        <v>2912</v>
      </c>
      <c r="B2916" s="9">
        <f t="shared" si="8354"/>
        <v>29.760000000000005</v>
      </c>
      <c r="C2916" s="3" t="s">
        <v>3235</v>
      </c>
      <c r="D2916">
        <f t="shared" si="8355"/>
        <v>24</v>
      </c>
      <c r="E2916">
        <f t="shared" si="8356"/>
        <v>9</v>
      </c>
      <c r="F2916">
        <f t="shared" si="8357"/>
        <v>2024</v>
      </c>
      <c r="G2916" t="s">
        <v>3039</v>
      </c>
      <c r="K2916" t="s">
        <v>9</v>
      </c>
      <c r="L2916" s="8">
        <f t="shared" si="8262"/>
        <v>0</v>
      </c>
      <c r="M2916" t="s">
        <v>3237</v>
      </c>
    </row>
    <row r="2917" spans="1:13" x14ac:dyDescent="0.35">
      <c r="A2917">
        <f t="shared" si="7574"/>
        <v>2913</v>
      </c>
      <c r="B2917" s="9">
        <f t="shared" ref="B2917" si="8358">B2916+H2917+I2917+J2917</f>
        <v>27.760000000000005</v>
      </c>
      <c r="C2917" s="3" t="s">
        <v>3235</v>
      </c>
      <c r="D2917">
        <f t="shared" ref="D2917" si="8359">_xlfn.NUMBERVALUE(LEFT(C2917,2))</f>
        <v>24</v>
      </c>
      <c r="E2917">
        <f t="shared" ref="E2917" si="8360">_xlfn.NUMBERVALUE(MID(C2917,4,2))</f>
        <v>9</v>
      </c>
      <c r="F2917">
        <f t="shared" ref="F2917" si="8361">_xlfn.NUMBERVALUE(RIGHT(C2917,4))</f>
        <v>2024</v>
      </c>
      <c r="G2917" t="s">
        <v>7</v>
      </c>
      <c r="H2917">
        <v>-2</v>
      </c>
      <c r="K2917" t="s">
        <v>9</v>
      </c>
      <c r="L2917" s="8">
        <f t="shared" si="8262"/>
        <v>-1</v>
      </c>
      <c r="M2917" t="s">
        <v>3238</v>
      </c>
    </row>
    <row r="2918" spans="1:13" x14ac:dyDescent="0.35">
      <c r="A2918">
        <f t="shared" si="7574"/>
        <v>2914</v>
      </c>
      <c r="B2918" s="9">
        <f t="shared" ref="B2918" si="8362">B2917+H2918+I2918+J2918</f>
        <v>25.760000000000005</v>
      </c>
      <c r="C2918" s="3" t="s">
        <v>3235</v>
      </c>
      <c r="D2918">
        <f t="shared" ref="D2918" si="8363">_xlfn.NUMBERVALUE(LEFT(C2918,2))</f>
        <v>24</v>
      </c>
      <c r="E2918">
        <f t="shared" ref="E2918" si="8364">_xlfn.NUMBERVALUE(MID(C2918,4,2))</f>
        <v>9</v>
      </c>
      <c r="F2918">
        <f t="shared" ref="F2918" si="8365">_xlfn.NUMBERVALUE(RIGHT(C2918,4))</f>
        <v>2024</v>
      </c>
      <c r="G2918" t="s">
        <v>7</v>
      </c>
      <c r="H2918">
        <v>-2</v>
      </c>
      <c r="K2918" t="s">
        <v>9</v>
      </c>
      <c r="L2918" s="8">
        <f t="shared" si="8262"/>
        <v>-1</v>
      </c>
      <c r="M2918" t="s">
        <v>3239</v>
      </c>
    </row>
    <row r="2919" spans="1:13" x14ac:dyDescent="0.35">
      <c r="A2919">
        <f t="shared" si="7574"/>
        <v>2915</v>
      </c>
      <c r="B2919" s="9">
        <f t="shared" ref="B2919" si="8366">B2918+H2919+I2919+J2919</f>
        <v>27.760000000000005</v>
      </c>
      <c r="C2919" s="3" t="s">
        <v>3235</v>
      </c>
      <c r="D2919">
        <f t="shared" ref="D2919" si="8367">_xlfn.NUMBERVALUE(LEFT(C2919,2))</f>
        <v>24</v>
      </c>
      <c r="E2919">
        <f t="shared" ref="E2919" si="8368">_xlfn.NUMBERVALUE(MID(C2919,4,2))</f>
        <v>9</v>
      </c>
      <c r="F2919">
        <f t="shared" ref="F2919" si="8369">_xlfn.NUMBERVALUE(RIGHT(C2919,4))</f>
        <v>2024</v>
      </c>
      <c r="G2919" t="s">
        <v>7</v>
      </c>
      <c r="H2919">
        <v>-2</v>
      </c>
      <c r="I2919">
        <v>4</v>
      </c>
      <c r="K2919" t="s">
        <v>10</v>
      </c>
      <c r="L2919" s="8">
        <f t="shared" si="8262"/>
        <v>1</v>
      </c>
      <c r="M2919" t="s">
        <v>3240</v>
      </c>
    </row>
    <row r="2920" spans="1:13" x14ac:dyDescent="0.35">
      <c r="A2920">
        <f t="shared" si="7574"/>
        <v>2916</v>
      </c>
      <c r="B2920" s="9">
        <f t="shared" ref="B2920" si="8370">B2919+H2920+I2920+J2920</f>
        <v>25.760000000000005</v>
      </c>
      <c r="C2920" s="3" t="s">
        <v>3235</v>
      </c>
      <c r="D2920">
        <f t="shared" ref="D2920" si="8371">_xlfn.NUMBERVALUE(LEFT(C2920,2))</f>
        <v>24</v>
      </c>
      <c r="E2920">
        <f t="shared" ref="E2920" si="8372">_xlfn.NUMBERVALUE(MID(C2920,4,2))</f>
        <v>9</v>
      </c>
      <c r="F2920">
        <f t="shared" ref="F2920" si="8373">_xlfn.NUMBERVALUE(RIGHT(C2920,4))</f>
        <v>2024</v>
      </c>
      <c r="G2920" t="s">
        <v>7</v>
      </c>
      <c r="H2920">
        <v>-2</v>
      </c>
      <c r="K2920" t="s">
        <v>9</v>
      </c>
      <c r="L2920" s="8">
        <f t="shared" si="8262"/>
        <v>-1</v>
      </c>
      <c r="M2920" t="s">
        <v>3241</v>
      </c>
    </row>
    <row r="2921" spans="1:13" x14ac:dyDescent="0.35">
      <c r="A2921">
        <f t="shared" si="7574"/>
        <v>2917</v>
      </c>
      <c r="B2921" s="9">
        <f t="shared" ref="B2921" si="8374">B2920+H2921+I2921+J2921</f>
        <v>23.760000000000005</v>
      </c>
      <c r="C2921" s="3" t="s">
        <v>3242</v>
      </c>
      <c r="D2921">
        <f t="shared" ref="D2921" si="8375">_xlfn.NUMBERVALUE(LEFT(C2921,2))</f>
        <v>25</v>
      </c>
      <c r="E2921">
        <f t="shared" ref="E2921" si="8376">_xlfn.NUMBERVALUE(MID(C2921,4,2))</f>
        <v>9</v>
      </c>
      <c r="F2921">
        <f t="shared" ref="F2921" si="8377">_xlfn.NUMBERVALUE(RIGHT(C2921,4))</f>
        <v>2024</v>
      </c>
      <c r="G2921" t="s">
        <v>7</v>
      </c>
      <c r="H2921">
        <v>-2</v>
      </c>
      <c r="K2921" t="s">
        <v>9</v>
      </c>
      <c r="L2921" s="8">
        <f t="shared" si="8262"/>
        <v>-1</v>
      </c>
      <c r="M2921" t="s">
        <v>3243</v>
      </c>
    </row>
    <row r="2922" spans="1:13" x14ac:dyDescent="0.35">
      <c r="A2922">
        <f t="shared" si="7574"/>
        <v>2918</v>
      </c>
      <c r="B2922" s="9">
        <f t="shared" ref="B2922" si="8378">B2921+H2922+I2922+J2922</f>
        <v>21.760000000000005</v>
      </c>
      <c r="C2922" s="3" t="s">
        <v>3244</v>
      </c>
      <c r="D2922">
        <f t="shared" ref="D2922" si="8379">_xlfn.NUMBERVALUE(LEFT(C2922,2))</f>
        <v>26</v>
      </c>
      <c r="E2922">
        <f t="shared" ref="E2922" si="8380">_xlfn.NUMBERVALUE(MID(C2922,4,2))</f>
        <v>9</v>
      </c>
      <c r="F2922">
        <f t="shared" ref="F2922" si="8381">_xlfn.NUMBERVALUE(RIGHT(C2922,4))</f>
        <v>2024</v>
      </c>
      <c r="G2922" t="s">
        <v>7</v>
      </c>
      <c r="H2922">
        <v>-2</v>
      </c>
      <c r="K2922" t="s">
        <v>9</v>
      </c>
      <c r="L2922" s="8">
        <f t="shared" si="8262"/>
        <v>-1</v>
      </c>
      <c r="M2922" t="s">
        <v>3245</v>
      </c>
    </row>
    <row r="2923" spans="1:13" x14ac:dyDescent="0.35">
      <c r="A2923">
        <f t="shared" si="7574"/>
        <v>2919</v>
      </c>
      <c r="B2923" s="9">
        <f t="shared" ref="B2923" si="8382">B2922+H2923+I2923+J2923</f>
        <v>21.760000000000005</v>
      </c>
      <c r="C2923" s="3" t="s">
        <v>3244</v>
      </c>
      <c r="D2923">
        <f t="shared" ref="D2923" si="8383">_xlfn.NUMBERVALUE(LEFT(C2923,2))</f>
        <v>26</v>
      </c>
      <c r="E2923">
        <f t="shared" ref="E2923" si="8384">_xlfn.NUMBERVALUE(MID(C2923,4,2))</f>
        <v>9</v>
      </c>
      <c r="F2923">
        <f t="shared" ref="F2923" si="8385">_xlfn.NUMBERVALUE(RIGHT(C2923,4))</f>
        <v>2024</v>
      </c>
      <c r="G2923" t="s">
        <v>3039</v>
      </c>
      <c r="K2923" t="s">
        <v>10</v>
      </c>
      <c r="L2923" s="8">
        <f t="shared" si="8262"/>
        <v>0</v>
      </c>
      <c r="M2923" t="s">
        <v>3246</v>
      </c>
    </row>
    <row r="2924" spans="1:13" x14ac:dyDescent="0.35">
      <c r="A2924">
        <f t="shared" si="7574"/>
        <v>2920</v>
      </c>
      <c r="B2924" s="9">
        <f t="shared" ref="B2924" si="8386">B2923+H2924+I2924+J2924</f>
        <v>21.760000000000005</v>
      </c>
      <c r="C2924" s="3" t="s">
        <v>3244</v>
      </c>
      <c r="D2924">
        <f t="shared" ref="D2924" si="8387">_xlfn.NUMBERVALUE(LEFT(C2924,2))</f>
        <v>26</v>
      </c>
      <c r="E2924">
        <f t="shared" ref="E2924" si="8388">_xlfn.NUMBERVALUE(MID(C2924,4,2))</f>
        <v>9</v>
      </c>
      <c r="F2924">
        <f t="shared" ref="F2924" si="8389">_xlfn.NUMBERVALUE(RIGHT(C2924,4))</f>
        <v>2024</v>
      </c>
      <c r="G2924" t="s">
        <v>3039</v>
      </c>
      <c r="K2924" t="s">
        <v>9</v>
      </c>
      <c r="L2924" s="8">
        <f t="shared" si="8262"/>
        <v>0</v>
      </c>
      <c r="M2924" t="s">
        <v>3247</v>
      </c>
    </row>
    <row r="2925" spans="1:13" x14ac:dyDescent="0.35">
      <c r="A2925">
        <f t="shared" si="7574"/>
        <v>2921</v>
      </c>
      <c r="B2925" s="9">
        <f t="shared" ref="B2925:B2926" si="8390">B2924+H2925+I2925+J2925</f>
        <v>21.760000000000005</v>
      </c>
      <c r="C2925" s="3" t="s">
        <v>3244</v>
      </c>
      <c r="D2925">
        <f t="shared" ref="D2925:D2926" si="8391">_xlfn.NUMBERVALUE(LEFT(C2925,2))</f>
        <v>26</v>
      </c>
      <c r="E2925">
        <f t="shared" ref="E2925:E2926" si="8392">_xlfn.NUMBERVALUE(MID(C2925,4,2))</f>
        <v>9</v>
      </c>
      <c r="F2925">
        <f t="shared" ref="F2925:F2926" si="8393">_xlfn.NUMBERVALUE(RIGHT(C2925,4))</f>
        <v>2024</v>
      </c>
      <c r="G2925" t="s">
        <v>2969</v>
      </c>
      <c r="K2925" t="s">
        <v>10</v>
      </c>
      <c r="L2925" s="8">
        <f t="shared" si="8262"/>
        <v>0</v>
      </c>
      <c r="M2925" t="s">
        <v>3248</v>
      </c>
    </row>
    <row r="2926" spans="1:13" x14ac:dyDescent="0.35">
      <c r="A2926">
        <f t="shared" si="7574"/>
        <v>2922</v>
      </c>
      <c r="B2926" s="9">
        <f t="shared" si="8390"/>
        <v>25.760000000000005</v>
      </c>
      <c r="C2926" s="3" t="s">
        <v>3244</v>
      </c>
      <c r="D2926">
        <f t="shared" si="8391"/>
        <v>26</v>
      </c>
      <c r="E2926">
        <f t="shared" si="8392"/>
        <v>9</v>
      </c>
      <c r="F2926">
        <f t="shared" si="8393"/>
        <v>2024</v>
      </c>
      <c r="G2926" t="s">
        <v>7</v>
      </c>
      <c r="H2926">
        <v>-2</v>
      </c>
      <c r="I2926">
        <v>6</v>
      </c>
      <c r="K2926" t="s">
        <v>10</v>
      </c>
      <c r="L2926" s="8">
        <f t="shared" si="8262"/>
        <v>2</v>
      </c>
      <c r="M2926" t="s">
        <v>3249</v>
      </c>
    </row>
    <row r="2927" spans="1:13" x14ac:dyDescent="0.35">
      <c r="A2927">
        <f t="shared" si="7574"/>
        <v>2923</v>
      </c>
      <c r="B2927" s="9">
        <f t="shared" ref="B2927:B2928" si="8394">B2926+H2927+I2927+J2927</f>
        <v>27.760000000000005</v>
      </c>
      <c r="C2927" s="3" t="s">
        <v>3250</v>
      </c>
      <c r="D2927">
        <f t="shared" ref="D2927:D2928" si="8395">_xlfn.NUMBERVALUE(LEFT(C2927,2))</f>
        <v>27</v>
      </c>
      <c r="E2927">
        <f t="shared" ref="E2927:E2928" si="8396">_xlfn.NUMBERVALUE(MID(C2927,4,2))</f>
        <v>9</v>
      </c>
      <c r="F2927">
        <f t="shared" ref="F2927:F2928" si="8397">_xlfn.NUMBERVALUE(RIGHT(C2927,4))</f>
        <v>2024</v>
      </c>
      <c r="G2927" t="s">
        <v>7</v>
      </c>
      <c r="H2927">
        <v>-2</v>
      </c>
      <c r="I2927">
        <v>4</v>
      </c>
      <c r="K2927" t="s">
        <v>10</v>
      </c>
      <c r="L2927" s="8">
        <f t="shared" si="8262"/>
        <v>1</v>
      </c>
      <c r="M2927" t="s">
        <v>3251</v>
      </c>
    </row>
    <row r="2928" spans="1:13" x14ac:dyDescent="0.35">
      <c r="A2928">
        <f t="shared" si="7574"/>
        <v>2924</v>
      </c>
      <c r="B2928" s="9">
        <f t="shared" si="8394"/>
        <v>27.760000000000005</v>
      </c>
      <c r="C2928" s="3" t="s">
        <v>3250</v>
      </c>
      <c r="D2928">
        <f t="shared" si="8395"/>
        <v>27</v>
      </c>
      <c r="E2928">
        <f t="shared" si="8396"/>
        <v>9</v>
      </c>
      <c r="F2928">
        <f t="shared" si="8397"/>
        <v>2024</v>
      </c>
      <c r="G2928" t="s">
        <v>3039</v>
      </c>
      <c r="K2928" t="s">
        <v>9</v>
      </c>
      <c r="L2928" s="8">
        <f t="shared" si="8262"/>
        <v>0</v>
      </c>
      <c r="M2928" t="s">
        <v>3252</v>
      </c>
    </row>
    <row r="2929" spans="1:20" x14ac:dyDescent="0.35">
      <c r="A2929">
        <f t="shared" si="7574"/>
        <v>2925</v>
      </c>
      <c r="B2929" s="9">
        <f t="shared" ref="B2929" si="8398">B2928+H2929+I2929+J2929</f>
        <v>25.760000000000005</v>
      </c>
      <c r="C2929" s="3" t="s">
        <v>3250</v>
      </c>
      <c r="D2929">
        <f t="shared" ref="D2929" si="8399">_xlfn.NUMBERVALUE(LEFT(C2929,2))</f>
        <v>27</v>
      </c>
      <c r="E2929">
        <f t="shared" ref="E2929" si="8400">_xlfn.NUMBERVALUE(MID(C2929,4,2))</f>
        <v>9</v>
      </c>
      <c r="F2929">
        <f t="shared" ref="F2929" si="8401">_xlfn.NUMBERVALUE(RIGHT(C2929,4))</f>
        <v>2024</v>
      </c>
      <c r="G2929" t="s">
        <v>7</v>
      </c>
      <c r="H2929">
        <v>-2</v>
      </c>
      <c r="K2929" t="s">
        <v>9</v>
      </c>
      <c r="L2929" s="8">
        <f t="shared" si="8262"/>
        <v>-1</v>
      </c>
      <c r="M2929" t="s">
        <v>3253</v>
      </c>
    </row>
    <row r="2930" spans="1:20" x14ac:dyDescent="0.35">
      <c r="A2930">
        <f t="shared" si="7574"/>
        <v>2926</v>
      </c>
      <c r="B2930" s="9">
        <f t="shared" ref="B2930" si="8402">B2929+H2930+I2930+J2930</f>
        <v>23.760000000000005</v>
      </c>
      <c r="C2930" s="3" t="s">
        <v>3250</v>
      </c>
      <c r="D2930">
        <f t="shared" ref="D2930" si="8403">_xlfn.NUMBERVALUE(LEFT(C2930,2))</f>
        <v>27</v>
      </c>
      <c r="E2930">
        <f t="shared" ref="E2930" si="8404">_xlfn.NUMBERVALUE(MID(C2930,4,2))</f>
        <v>9</v>
      </c>
      <c r="F2930">
        <f t="shared" ref="F2930" si="8405">_xlfn.NUMBERVALUE(RIGHT(C2930,4))</f>
        <v>2024</v>
      </c>
      <c r="G2930" t="s">
        <v>7</v>
      </c>
      <c r="H2930">
        <v>-2</v>
      </c>
      <c r="K2930" t="s">
        <v>9</v>
      </c>
      <c r="L2930" s="8">
        <f t="shared" si="8262"/>
        <v>-1</v>
      </c>
      <c r="M2930" t="s">
        <v>3254</v>
      </c>
    </row>
    <row r="2931" spans="1:20" x14ac:dyDescent="0.35">
      <c r="A2931">
        <f t="shared" si="7574"/>
        <v>2927</v>
      </c>
      <c r="B2931" s="9">
        <f t="shared" ref="B2931" si="8406">B2930+H2931+I2931+J2931</f>
        <v>21.760000000000005</v>
      </c>
      <c r="C2931" s="3" t="s">
        <v>3250</v>
      </c>
      <c r="D2931">
        <f t="shared" ref="D2931" si="8407">_xlfn.NUMBERVALUE(LEFT(C2931,2))</f>
        <v>27</v>
      </c>
      <c r="E2931">
        <f t="shared" ref="E2931" si="8408">_xlfn.NUMBERVALUE(MID(C2931,4,2))</f>
        <v>9</v>
      </c>
      <c r="F2931">
        <f t="shared" ref="F2931" si="8409">_xlfn.NUMBERVALUE(RIGHT(C2931,4))</f>
        <v>2024</v>
      </c>
      <c r="G2931" t="s">
        <v>7</v>
      </c>
      <c r="H2931">
        <v>-2</v>
      </c>
      <c r="K2931" t="s">
        <v>9</v>
      </c>
      <c r="L2931" s="8">
        <f t="shared" si="8262"/>
        <v>-1</v>
      </c>
      <c r="M2931" t="s">
        <v>3255</v>
      </c>
    </row>
    <row r="2932" spans="1:20" x14ac:dyDescent="0.35">
      <c r="A2932">
        <f t="shared" si="7574"/>
        <v>2928</v>
      </c>
      <c r="B2932" s="9">
        <f t="shared" ref="B2932" si="8410">B2931+H2932+I2932+J2932</f>
        <v>23.760000000000005</v>
      </c>
      <c r="C2932" s="3" t="s">
        <v>3250</v>
      </c>
      <c r="D2932">
        <f t="shared" ref="D2932" si="8411">_xlfn.NUMBERVALUE(LEFT(C2932,2))</f>
        <v>27</v>
      </c>
      <c r="E2932">
        <f t="shared" ref="E2932" si="8412">_xlfn.NUMBERVALUE(MID(C2932,4,2))</f>
        <v>9</v>
      </c>
      <c r="F2932">
        <f t="shared" ref="F2932" si="8413">_xlfn.NUMBERVALUE(RIGHT(C2932,4))</f>
        <v>2024</v>
      </c>
      <c r="G2932" t="s">
        <v>7</v>
      </c>
      <c r="H2932">
        <v>-2</v>
      </c>
      <c r="I2932">
        <v>4</v>
      </c>
      <c r="K2932" t="s">
        <v>10</v>
      </c>
      <c r="L2932" s="8">
        <f t="shared" si="8262"/>
        <v>1</v>
      </c>
      <c r="M2932" t="s">
        <v>3256</v>
      </c>
    </row>
    <row r="2933" spans="1:20" x14ac:dyDescent="0.35">
      <c r="A2933">
        <f t="shared" si="7574"/>
        <v>2929</v>
      </c>
      <c r="B2933" s="9">
        <f t="shared" ref="B2933" si="8414">B2932+H2933+I2933+J2933</f>
        <v>21.760000000000005</v>
      </c>
      <c r="C2933" s="3" t="s">
        <v>3250</v>
      </c>
      <c r="D2933">
        <f t="shared" ref="D2933" si="8415">_xlfn.NUMBERVALUE(LEFT(C2933,2))</f>
        <v>27</v>
      </c>
      <c r="E2933">
        <f t="shared" ref="E2933" si="8416">_xlfn.NUMBERVALUE(MID(C2933,4,2))</f>
        <v>9</v>
      </c>
      <c r="F2933">
        <f t="shared" ref="F2933" si="8417">_xlfn.NUMBERVALUE(RIGHT(C2933,4))</f>
        <v>2024</v>
      </c>
      <c r="G2933" t="s">
        <v>7</v>
      </c>
      <c r="H2933">
        <v>-2</v>
      </c>
      <c r="K2933" t="s">
        <v>9</v>
      </c>
      <c r="L2933" s="8">
        <f t="shared" si="8262"/>
        <v>-1</v>
      </c>
      <c r="M2933" t="s">
        <v>3257</v>
      </c>
    </row>
    <row r="2934" spans="1:20" x14ac:dyDescent="0.35">
      <c r="A2934">
        <f t="shared" si="7574"/>
        <v>2930</v>
      </c>
      <c r="B2934" s="9">
        <f t="shared" ref="B2934" si="8418">B2933+H2934+I2934+J2934</f>
        <v>19.760000000000005</v>
      </c>
      <c r="C2934" s="3" t="s">
        <v>3250</v>
      </c>
      <c r="D2934">
        <f t="shared" ref="D2934" si="8419">_xlfn.NUMBERVALUE(LEFT(C2934,2))</f>
        <v>27</v>
      </c>
      <c r="E2934">
        <f t="shared" ref="E2934" si="8420">_xlfn.NUMBERVALUE(MID(C2934,4,2))</f>
        <v>9</v>
      </c>
      <c r="F2934">
        <f t="shared" ref="F2934" si="8421">_xlfn.NUMBERVALUE(RIGHT(C2934,4))</f>
        <v>2024</v>
      </c>
      <c r="G2934" t="s">
        <v>7</v>
      </c>
      <c r="H2934">
        <v>-2</v>
      </c>
      <c r="K2934" t="s">
        <v>9</v>
      </c>
      <c r="L2934" s="8">
        <f t="shared" si="8262"/>
        <v>-1</v>
      </c>
      <c r="M2934" t="s">
        <v>3258</v>
      </c>
    </row>
    <row r="2935" spans="1:20" x14ac:dyDescent="0.35">
      <c r="A2935">
        <f t="shared" si="7574"/>
        <v>2931</v>
      </c>
      <c r="B2935" s="9">
        <f t="shared" ref="B2935" si="8422">B2934+H2935+I2935+J2935</f>
        <v>17.760000000000005</v>
      </c>
      <c r="C2935" s="3" t="s">
        <v>3250</v>
      </c>
      <c r="D2935">
        <f t="shared" ref="D2935" si="8423">_xlfn.NUMBERVALUE(LEFT(C2935,2))</f>
        <v>27</v>
      </c>
      <c r="E2935">
        <f t="shared" ref="E2935" si="8424">_xlfn.NUMBERVALUE(MID(C2935,4,2))</f>
        <v>9</v>
      </c>
      <c r="F2935">
        <f t="shared" ref="F2935" si="8425">_xlfn.NUMBERVALUE(RIGHT(C2935,4))</f>
        <v>2024</v>
      </c>
      <c r="G2935" t="s">
        <v>7</v>
      </c>
      <c r="H2935">
        <v>-2</v>
      </c>
      <c r="K2935" t="s">
        <v>9</v>
      </c>
      <c r="L2935" s="8">
        <f t="shared" si="8262"/>
        <v>-1</v>
      </c>
      <c r="M2935" t="s">
        <v>3259</v>
      </c>
    </row>
    <row r="2936" spans="1:20" x14ac:dyDescent="0.35">
      <c r="A2936">
        <f t="shared" si="7574"/>
        <v>2932</v>
      </c>
      <c r="B2936" s="9">
        <f t="shared" ref="B2936" si="8426">B2935+H2936+I2936+J2936</f>
        <v>15.760000000000005</v>
      </c>
      <c r="C2936" s="3" t="s">
        <v>3250</v>
      </c>
      <c r="D2936">
        <f t="shared" ref="D2936" si="8427">_xlfn.NUMBERVALUE(LEFT(C2936,2))</f>
        <v>27</v>
      </c>
      <c r="E2936">
        <f t="shared" ref="E2936" si="8428">_xlfn.NUMBERVALUE(MID(C2936,4,2))</f>
        <v>9</v>
      </c>
      <c r="F2936">
        <f t="shared" ref="F2936" si="8429">_xlfn.NUMBERVALUE(RIGHT(C2936,4))</f>
        <v>2024</v>
      </c>
      <c r="G2936" t="s">
        <v>7</v>
      </c>
      <c r="H2936">
        <v>-2</v>
      </c>
      <c r="K2936" t="s">
        <v>9</v>
      </c>
      <c r="L2936" s="8">
        <f t="shared" si="8262"/>
        <v>-1</v>
      </c>
      <c r="M2936" t="s">
        <v>3260</v>
      </c>
    </row>
    <row r="2937" spans="1:20" x14ac:dyDescent="0.35">
      <c r="A2937">
        <f t="shared" si="7574"/>
        <v>2933</v>
      </c>
      <c r="B2937" s="9">
        <f t="shared" ref="B2937" si="8430">B2936+H2937+I2937+J2937</f>
        <v>10.760000000000005</v>
      </c>
      <c r="C2937" s="3" t="s">
        <v>3250</v>
      </c>
      <c r="D2937">
        <f t="shared" ref="D2937" si="8431">_xlfn.NUMBERVALUE(LEFT(C2937,2))</f>
        <v>27</v>
      </c>
      <c r="E2937">
        <f t="shared" ref="E2937" si="8432">_xlfn.NUMBERVALUE(MID(C2937,4,2))</f>
        <v>9</v>
      </c>
      <c r="F2937">
        <f t="shared" ref="F2937" si="8433">_xlfn.NUMBERVALUE(RIGHT(C2937,4))</f>
        <v>2024</v>
      </c>
      <c r="G2937" t="s">
        <v>7</v>
      </c>
      <c r="H2937">
        <v>-5</v>
      </c>
      <c r="K2937" t="s">
        <v>9</v>
      </c>
      <c r="L2937" s="8">
        <f t="shared" si="8262"/>
        <v>-1</v>
      </c>
      <c r="M2937" t="s">
        <v>3261</v>
      </c>
    </row>
    <row r="2938" spans="1:20" x14ac:dyDescent="0.35">
      <c r="A2938">
        <f t="shared" si="7574"/>
        <v>2934</v>
      </c>
      <c r="B2938" s="9">
        <f t="shared" ref="B2938" si="8434">B2937+H2938+I2938+J2938</f>
        <v>0.76000000000000512</v>
      </c>
      <c r="C2938" s="3" t="s">
        <v>3250</v>
      </c>
      <c r="D2938">
        <f t="shared" ref="D2938" si="8435">_xlfn.NUMBERVALUE(LEFT(C2938,2))</f>
        <v>27</v>
      </c>
      <c r="E2938">
        <f t="shared" ref="E2938" si="8436">_xlfn.NUMBERVALUE(MID(C2938,4,2))</f>
        <v>9</v>
      </c>
      <c r="F2938">
        <f t="shared" ref="F2938" si="8437">_xlfn.NUMBERVALUE(RIGHT(C2938,4))</f>
        <v>2024</v>
      </c>
      <c r="G2938" t="s">
        <v>7</v>
      </c>
      <c r="H2938">
        <v>-10</v>
      </c>
      <c r="K2938" t="s">
        <v>9</v>
      </c>
      <c r="L2938" s="8">
        <f t="shared" si="8262"/>
        <v>-1</v>
      </c>
      <c r="M2938" t="s">
        <v>3262</v>
      </c>
    </row>
    <row r="2939" spans="1:20" x14ac:dyDescent="0.35">
      <c r="A2939">
        <f t="shared" si="7574"/>
        <v>2935</v>
      </c>
      <c r="B2939" s="9">
        <f t="shared" ref="B2939:B2941" si="8438">B2938+H2939+I2939+J2939</f>
        <v>60.120000000000005</v>
      </c>
      <c r="C2939" s="3" t="s">
        <v>3250</v>
      </c>
      <c r="D2939">
        <f t="shared" ref="D2939:D2941" si="8439">_xlfn.NUMBERVALUE(LEFT(C2939,2))</f>
        <v>27</v>
      </c>
      <c r="E2939">
        <f t="shared" ref="E2939:E2941" si="8440">_xlfn.NUMBERVALUE(MID(C2939,4,2))</f>
        <v>9</v>
      </c>
      <c r="F2939">
        <f t="shared" ref="F2939:F2941" si="8441">_xlfn.NUMBERVALUE(RIGHT(C2939,4))</f>
        <v>2024</v>
      </c>
      <c r="G2939" t="s">
        <v>3362</v>
      </c>
      <c r="I2939">
        <v>59.36</v>
      </c>
      <c r="L2939" s="8"/>
    </row>
    <row r="2940" spans="1:20" x14ac:dyDescent="0.35">
      <c r="A2940">
        <f t="shared" si="7574"/>
        <v>2936</v>
      </c>
      <c r="B2940" s="9">
        <f t="shared" si="8438"/>
        <v>62.120000000000005</v>
      </c>
      <c r="C2940" s="3" t="s">
        <v>3263</v>
      </c>
      <c r="D2940">
        <f t="shared" si="8439"/>
        <v>28</v>
      </c>
      <c r="E2940">
        <f t="shared" si="8440"/>
        <v>9</v>
      </c>
      <c r="F2940">
        <f t="shared" si="8441"/>
        <v>2024</v>
      </c>
      <c r="G2940" t="s">
        <v>7</v>
      </c>
      <c r="H2940">
        <v>-2</v>
      </c>
      <c r="I2940">
        <v>4</v>
      </c>
      <c r="K2940" t="s">
        <v>10</v>
      </c>
      <c r="L2940" s="8">
        <f t="shared" si="8262"/>
        <v>1</v>
      </c>
      <c r="M2940" t="s">
        <v>3264</v>
      </c>
      <c r="T2940" s="9"/>
    </row>
    <row r="2941" spans="1:20" x14ac:dyDescent="0.35">
      <c r="A2941">
        <f t="shared" si="7574"/>
        <v>2937</v>
      </c>
      <c r="B2941" s="9">
        <f t="shared" si="8438"/>
        <v>62.120000000000005</v>
      </c>
      <c r="C2941" s="3" t="s">
        <v>3263</v>
      </c>
      <c r="D2941">
        <f t="shared" si="8439"/>
        <v>28</v>
      </c>
      <c r="E2941">
        <f t="shared" si="8440"/>
        <v>9</v>
      </c>
      <c r="F2941">
        <f t="shared" si="8441"/>
        <v>2024</v>
      </c>
      <c r="G2941" t="s">
        <v>3039</v>
      </c>
      <c r="K2941" t="s">
        <v>10</v>
      </c>
      <c r="L2941" s="8">
        <f t="shared" si="8262"/>
        <v>0</v>
      </c>
      <c r="M2941" t="s">
        <v>3265</v>
      </c>
    </row>
    <row r="2942" spans="1:20" x14ac:dyDescent="0.35">
      <c r="A2942">
        <f t="shared" si="7574"/>
        <v>2938</v>
      </c>
      <c r="B2942" s="9">
        <f t="shared" ref="B2942" si="8442">B2941+H2942+I2942+J2942</f>
        <v>60.120000000000005</v>
      </c>
      <c r="C2942" s="3" t="s">
        <v>3263</v>
      </c>
      <c r="D2942">
        <f t="shared" ref="D2942" si="8443">_xlfn.NUMBERVALUE(LEFT(C2942,2))</f>
        <v>28</v>
      </c>
      <c r="E2942">
        <f t="shared" ref="E2942" si="8444">_xlfn.NUMBERVALUE(MID(C2942,4,2))</f>
        <v>9</v>
      </c>
      <c r="F2942">
        <f t="shared" ref="F2942" si="8445">_xlfn.NUMBERVALUE(RIGHT(C2942,4))</f>
        <v>2024</v>
      </c>
      <c r="G2942" t="s">
        <v>7</v>
      </c>
      <c r="H2942">
        <v>-2</v>
      </c>
      <c r="K2942" t="s">
        <v>9</v>
      </c>
      <c r="L2942" s="8">
        <f t="shared" si="8262"/>
        <v>-1</v>
      </c>
      <c r="M2942" t="s">
        <v>3266</v>
      </c>
    </row>
    <row r="2943" spans="1:20" x14ac:dyDescent="0.35">
      <c r="A2943">
        <f t="shared" si="7574"/>
        <v>2939</v>
      </c>
      <c r="B2943" s="9">
        <f t="shared" ref="B2943:B2944" si="8446">B2942+H2943+I2943+J2943</f>
        <v>58.120000000000005</v>
      </c>
      <c r="C2943" s="3" t="s">
        <v>3263</v>
      </c>
      <c r="D2943">
        <f t="shared" ref="D2943:D2944" si="8447">_xlfn.NUMBERVALUE(LEFT(C2943,2))</f>
        <v>28</v>
      </c>
      <c r="E2943">
        <f t="shared" ref="E2943:E2944" si="8448">_xlfn.NUMBERVALUE(MID(C2943,4,2))</f>
        <v>9</v>
      </c>
      <c r="F2943">
        <f t="shared" ref="F2943:F2944" si="8449">_xlfn.NUMBERVALUE(RIGHT(C2943,4))</f>
        <v>2024</v>
      </c>
      <c r="G2943" t="s">
        <v>7</v>
      </c>
      <c r="H2943">
        <v>-2</v>
      </c>
      <c r="K2943" t="s">
        <v>9</v>
      </c>
      <c r="L2943" s="8">
        <f t="shared" si="8262"/>
        <v>-1</v>
      </c>
      <c r="M2943" t="s">
        <v>3267</v>
      </c>
    </row>
    <row r="2944" spans="1:20" x14ac:dyDescent="0.35">
      <c r="A2944">
        <f t="shared" si="7574"/>
        <v>2940</v>
      </c>
      <c r="B2944" s="9">
        <f t="shared" si="8446"/>
        <v>58.120000000000005</v>
      </c>
      <c r="C2944" s="3" t="s">
        <v>3263</v>
      </c>
      <c r="D2944">
        <f t="shared" si="8447"/>
        <v>28</v>
      </c>
      <c r="E2944">
        <f t="shared" si="8448"/>
        <v>9</v>
      </c>
      <c r="F2944">
        <f t="shared" si="8449"/>
        <v>2024</v>
      </c>
      <c r="G2944" t="s">
        <v>3040</v>
      </c>
      <c r="K2944" t="s">
        <v>9</v>
      </c>
      <c r="L2944" s="8">
        <f t="shared" si="8262"/>
        <v>0</v>
      </c>
      <c r="M2944" t="s">
        <v>3268</v>
      </c>
    </row>
    <row r="2945" spans="1:13" x14ac:dyDescent="0.35">
      <c r="A2945">
        <f t="shared" si="7574"/>
        <v>2941</v>
      </c>
      <c r="B2945" s="9">
        <f t="shared" ref="B2945" si="8450">B2944+H2945+I2945+J2945</f>
        <v>56.120000000000005</v>
      </c>
      <c r="C2945" s="3" t="s">
        <v>3263</v>
      </c>
      <c r="D2945">
        <f t="shared" ref="D2945" si="8451">_xlfn.NUMBERVALUE(LEFT(C2945,2))</f>
        <v>28</v>
      </c>
      <c r="E2945">
        <f t="shared" ref="E2945" si="8452">_xlfn.NUMBERVALUE(MID(C2945,4,2))</f>
        <v>9</v>
      </c>
      <c r="F2945">
        <f t="shared" ref="F2945" si="8453">_xlfn.NUMBERVALUE(RIGHT(C2945,4))</f>
        <v>2024</v>
      </c>
      <c r="G2945" t="s">
        <v>7</v>
      </c>
      <c r="H2945">
        <v>-2</v>
      </c>
      <c r="K2945" t="s">
        <v>9</v>
      </c>
      <c r="L2945" s="8">
        <f t="shared" si="8262"/>
        <v>-1</v>
      </c>
      <c r="M2945" t="s">
        <v>3269</v>
      </c>
    </row>
    <row r="2946" spans="1:13" x14ac:dyDescent="0.35">
      <c r="A2946">
        <f t="shared" ref="A2946:A3202" si="8454">A2945+1</f>
        <v>2942</v>
      </c>
      <c r="B2946" s="9">
        <f t="shared" ref="B2946" si="8455">B2945+H2946+I2946+J2946</f>
        <v>54.120000000000005</v>
      </c>
      <c r="C2946" s="3" t="s">
        <v>3263</v>
      </c>
      <c r="D2946">
        <f t="shared" ref="D2946" si="8456">_xlfn.NUMBERVALUE(LEFT(C2946,2))</f>
        <v>28</v>
      </c>
      <c r="E2946">
        <f t="shared" ref="E2946" si="8457">_xlfn.NUMBERVALUE(MID(C2946,4,2))</f>
        <v>9</v>
      </c>
      <c r="F2946">
        <f t="shared" ref="F2946" si="8458">_xlfn.NUMBERVALUE(RIGHT(C2946,4))</f>
        <v>2024</v>
      </c>
      <c r="G2946" t="s">
        <v>7</v>
      </c>
      <c r="H2946">
        <v>-2</v>
      </c>
      <c r="K2946" t="s">
        <v>9</v>
      </c>
      <c r="L2946" s="8">
        <f t="shared" si="8262"/>
        <v>-1</v>
      </c>
      <c r="M2946" t="s">
        <v>3270</v>
      </c>
    </row>
    <row r="2947" spans="1:13" x14ac:dyDescent="0.35">
      <c r="A2947">
        <f t="shared" si="8454"/>
        <v>2943</v>
      </c>
      <c r="B2947" s="9">
        <f t="shared" ref="B2947" si="8459">B2946+H2947+I2947+J2947</f>
        <v>52.120000000000005</v>
      </c>
      <c r="C2947" s="3" t="s">
        <v>3263</v>
      </c>
      <c r="D2947">
        <f t="shared" ref="D2947" si="8460">_xlfn.NUMBERVALUE(LEFT(C2947,2))</f>
        <v>28</v>
      </c>
      <c r="E2947">
        <f t="shared" ref="E2947" si="8461">_xlfn.NUMBERVALUE(MID(C2947,4,2))</f>
        <v>9</v>
      </c>
      <c r="F2947">
        <f t="shared" ref="F2947" si="8462">_xlfn.NUMBERVALUE(RIGHT(C2947,4))</f>
        <v>2024</v>
      </c>
      <c r="G2947" t="s">
        <v>7</v>
      </c>
      <c r="H2947">
        <v>-2</v>
      </c>
      <c r="K2947" t="s">
        <v>9</v>
      </c>
      <c r="L2947" s="8">
        <f t="shared" si="8262"/>
        <v>-1</v>
      </c>
      <c r="M2947" t="s">
        <v>3271</v>
      </c>
    </row>
    <row r="2948" spans="1:13" x14ac:dyDescent="0.35">
      <c r="A2948">
        <f t="shared" si="8454"/>
        <v>2944</v>
      </c>
      <c r="B2948" s="9">
        <f t="shared" ref="B2948" si="8463">B2947+H2948+I2948+J2948</f>
        <v>54.120000000000005</v>
      </c>
      <c r="C2948" s="3" t="s">
        <v>3263</v>
      </c>
      <c r="D2948">
        <f t="shared" ref="D2948" si="8464">_xlfn.NUMBERVALUE(LEFT(C2948,2))</f>
        <v>28</v>
      </c>
      <c r="E2948">
        <f t="shared" ref="E2948" si="8465">_xlfn.NUMBERVALUE(MID(C2948,4,2))</f>
        <v>9</v>
      </c>
      <c r="F2948">
        <f t="shared" ref="F2948" si="8466">_xlfn.NUMBERVALUE(RIGHT(C2948,4))</f>
        <v>2024</v>
      </c>
      <c r="G2948" t="s">
        <v>7</v>
      </c>
      <c r="H2948">
        <v>-2</v>
      </c>
      <c r="I2948">
        <v>4</v>
      </c>
      <c r="K2948" t="s">
        <v>10</v>
      </c>
      <c r="L2948" s="8">
        <f t="shared" si="8262"/>
        <v>1</v>
      </c>
      <c r="M2948" t="s">
        <v>3272</v>
      </c>
    </row>
    <row r="2949" spans="1:13" x14ac:dyDescent="0.35">
      <c r="A2949">
        <f t="shared" si="8454"/>
        <v>2945</v>
      </c>
      <c r="B2949" s="9">
        <f t="shared" ref="B2949" si="8467">B2948+H2949+I2949+J2949</f>
        <v>52.120000000000005</v>
      </c>
      <c r="C2949" s="3" t="s">
        <v>3263</v>
      </c>
      <c r="D2949">
        <f t="shared" ref="D2949" si="8468">_xlfn.NUMBERVALUE(LEFT(C2949,2))</f>
        <v>28</v>
      </c>
      <c r="E2949">
        <f t="shared" ref="E2949" si="8469">_xlfn.NUMBERVALUE(MID(C2949,4,2))</f>
        <v>9</v>
      </c>
      <c r="F2949">
        <f t="shared" ref="F2949" si="8470">_xlfn.NUMBERVALUE(RIGHT(C2949,4))</f>
        <v>2024</v>
      </c>
      <c r="G2949" t="s">
        <v>7</v>
      </c>
      <c r="H2949">
        <v>-2</v>
      </c>
      <c r="K2949" t="s">
        <v>9</v>
      </c>
      <c r="L2949" s="8">
        <f t="shared" si="8262"/>
        <v>-1</v>
      </c>
      <c r="M2949" t="s">
        <v>3273</v>
      </c>
    </row>
    <row r="2950" spans="1:13" x14ac:dyDescent="0.35">
      <c r="A2950">
        <f t="shared" si="8454"/>
        <v>2946</v>
      </c>
      <c r="B2950" s="9">
        <f t="shared" ref="B2950" si="8471">B2949+H2950+I2950+J2950</f>
        <v>50.120000000000005</v>
      </c>
      <c r="C2950" s="3" t="s">
        <v>3263</v>
      </c>
      <c r="D2950">
        <f t="shared" ref="D2950" si="8472">_xlfn.NUMBERVALUE(LEFT(C2950,2))</f>
        <v>28</v>
      </c>
      <c r="E2950">
        <f t="shared" ref="E2950" si="8473">_xlfn.NUMBERVALUE(MID(C2950,4,2))</f>
        <v>9</v>
      </c>
      <c r="F2950">
        <f t="shared" ref="F2950" si="8474">_xlfn.NUMBERVALUE(RIGHT(C2950,4))</f>
        <v>2024</v>
      </c>
      <c r="G2950" t="s">
        <v>7</v>
      </c>
      <c r="H2950">
        <v>-2</v>
      </c>
      <c r="K2950" t="s">
        <v>9</v>
      </c>
      <c r="L2950" s="8">
        <f t="shared" ref="L2950:L3013" si="8475">IF(H2950="",0,(SUM(I2950:J2950)/-H2950)-1)</f>
        <v>-1</v>
      </c>
      <c r="M2950" t="s">
        <v>3274</v>
      </c>
    </row>
    <row r="2951" spans="1:13" x14ac:dyDescent="0.35">
      <c r="A2951">
        <f t="shared" si="8454"/>
        <v>2947</v>
      </c>
      <c r="B2951" s="9">
        <f t="shared" ref="B2951" si="8476">B2950+H2951+I2951+J2951</f>
        <v>48.120000000000005</v>
      </c>
      <c r="C2951" s="3" t="s">
        <v>3263</v>
      </c>
      <c r="D2951">
        <f t="shared" ref="D2951" si="8477">_xlfn.NUMBERVALUE(LEFT(C2951,2))</f>
        <v>28</v>
      </c>
      <c r="E2951">
        <f t="shared" ref="E2951" si="8478">_xlfn.NUMBERVALUE(MID(C2951,4,2))</f>
        <v>9</v>
      </c>
      <c r="F2951">
        <f t="shared" ref="F2951" si="8479">_xlfn.NUMBERVALUE(RIGHT(C2951,4))</f>
        <v>2024</v>
      </c>
      <c r="G2951" t="s">
        <v>7</v>
      </c>
      <c r="H2951">
        <v>-2</v>
      </c>
      <c r="K2951" t="s">
        <v>9</v>
      </c>
      <c r="L2951" s="8">
        <f t="shared" si="8475"/>
        <v>-1</v>
      </c>
      <c r="M2951" t="s">
        <v>3275</v>
      </c>
    </row>
    <row r="2952" spans="1:13" x14ac:dyDescent="0.35">
      <c r="A2952">
        <f t="shared" si="8454"/>
        <v>2948</v>
      </c>
      <c r="B2952" s="9">
        <f t="shared" ref="B2952" si="8480">B2951+H2952+I2952+J2952</f>
        <v>52.120000000000005</v>
      </c>
      <c r="C2952" s="3" t="s">
        <v>3263</v>
      </c>
      <c r="D2952">
        <f t="shared" ref="D2952" si="8481">_xlfn.NUMBERVALUE(LEFT(C2952,2))</f>
        <v>28</v>
      </c>
      <c r="E2952">
        <f t="shared" ref="E2952" si="8482">_xlfn.NUMBERVALUE(MID(C2952,4,2))</f>
        <v>9</v>
      </c>
      <c r="F2952">
        <f t="shared" ref="F2952" si="8483">_xlfn.NUMBERVALUE(RIGHT(C2952,4))</f>
        <v>2024</v>
      </c>
      <c r="G2952" t="s">
        <v>7</v>
      </c>
      <c r="H2952">
        <v>-2</v>
      </c>
      <c r="I2952">
        <v>6</v>
      </c>
      <c r="K2952" t="s">
        <v>10</v>
      </c>
      <c r="L2952" s="8">
        <f t="shared" si="8475"/>
        <v>2</v>
      </c>
      <c r="M2952" t="s">
        <v>3276</v>
      </c>
    </row>
    <row r="2953" spans="1:13" x14ac:dyDescent="0.35">
      <c r="A2953">
        <f t="shared" si="8454"/>
        <v>2949</v>
      </c>
      <c r="B2953" s="9">
        <f t="shared" ref="B2953" si="8484">B2952+H2953+I2953+J2953</f>
        <v>54.120000000000005</v>
      </c>
      <c r="C2953" s="3" t="s">
        <v>3263</v>
      </c>
      <c r="D2953">
        <f t="shared" ref="D2953" si="8485">_xlfn.NUMBERVALUE(LEFT(C2953,2))</f>
        <v>28</v>
      </c>
      <c r="E2953">
        <f t="shared" ref="E2953" si="8486">_xlfn.NUMBERVALUE(MID(C2953,4,2))</f>
        <v>9</v>
      </c>
      <c r="F2953">
        <f t="shared" ref="F2953" si="8487">_xlfn.NUMBERVALUE(RIGHT(C2953,4))</f>
        <v>2024</v>
      </c>
      <c r="G2953" t="s">
        <v>7</v>
      </c>
      <c r="H2953">
        <v>-2</v>
      </c>
      <c r="I2953">
        <v>4</v>
      </c>
      <c r="K2953" t="s">
        <v>10</v>
      </c>
      <c r="L2953" s="8">
        <f t="shared" si="8475"/>
        <v>1</v>
      </c>
      <c r="M2953" t="s">
        <v>3277</v>
      </c>
    </row>
    <row r="2954" spans="1:13" x14ac:dyDescent="0.35">
      <c r="A2954">
        <f t="shared" si="8454"/>
        <v>2950</v>
      </c>
      <c r="B2954" s="9">
        <f t="shared" ref="B2954" si="8488">B2953+H2954+I2954+J2954</f>
        <v>52.120000000000005</v>
      </c>
      <c r="C2954" s="3" t="s">
        <v>3263</v>
      </c>
      <c r="D2954">
        <f t="shared" ref="D2954" si="8489">_xlfn.NUMBERVALUE(LEFT(C2954,2))</f>
        <v>28</v>
      </c>
      <c r="E2954">
        <f t="shared" ref="E2954" si="8490">_xlfn.NUMBERVALUE(MID(C2954,4,2))</f>
        <v>9</v>
      </c>
      <c r="F2954">
        <f t="shared" ref="F2954" si="8491">_xlfn.NUMBERVALUE(RIGHT(C2954,4))</f>
        <v>2024</v>
      </c>
      <c r="G2954" t="s">
        <v>7</v>
      </c>
      <c r="H2954">
        <v>-2</v>
      </c>
      <c r="K2954" t="s">
        <v>9</v>
      </c>
      <c r="L2954" s="8">
        <f t="shared" si="8475"/>
        <v>-1</v>
      </c>
      <c r="M2954" t="s">
        <v>3278</v>
      </c>
    </row>
    <row r="2955" spans="1:13" x14ac:dyDescent="0.35">
      <c r="A2955">
        <f t="shared" si="8454"/>
        <v>2951</v>
      </c>
      <c r="B2955" s="9">
        <f t="shared" ref="B2955:B2956" si="8492">B2954+H2955+I2955+J2955</f>
        <v>50.120000000000005</v>
      </c>
      <c r="C2955" s="3" t="s">
        <v>3279</v>
      </c>
      <c r="D2955">
        <f t="shared" ref="D2955:D2956" si="8493">_xlfn.NUMBERVALUE(LEFT(C2955,2))</f>
        <v>29</v>
      </c>
      <c r="E2955">
        <f t="shared" ref="E2955:E2956" si="8494">_xlfn.NUMBERVALUE(MID(C2955,4,2))</f>
        <v>9</v>
      </c>
      <c r="F2955">
        <f t="shared" ref="F2955:F2956" si="8495">_xlfn.NUMBERVALUE(RIGHT(C2955,4))</f>
        <v>2024</v>
      </c>
      <c r="G2955" t="s">
        <v>7</v>
      </c>
      <c r="H2955">
        <v>-2</v>
      </c>
      <c r="K2955" t="s">
        <v>9</v>
      </c>
      <c r="L2955" s="8">
        <f t="shared" si="8475"/>
        <v>-1</v>
      </c>
      <c r="M2955" t="s">
        <v>3280</v>
      </c>
    </row>
    <row r="2956" spans="1:13" x14ac:dyDescent="0.35">
      <c r="A2956">
        <f t="shared" si="8454"/>
        <v>2952</v>
      </c>
      <c r="B2956" s="9">
        <f t="shared" si="8492"/>
        <v>50.120000000000005</v>
      </c>
      <c r="C2956" s="3" t="s">
        <v>3279</v>
      </c>
      <c r="D2956">
        <f t="shared" si="8493"/>
        <v>29</v>
      </c>
      <c r="E2956">
        <f t="shared" si="8494"/>
        <v>9</v>
      </c>
      <c r="F2956">
        <f t="shared" si="8495"/>
        <v>2024</v>
      </c>
      <c r="G2956" t="s">
        <v>3039</v>
      </c>
      <c r="K2956" t="s">
        <v>9</v>
      </c>
      <c r="L2956" s="8">
        <f t="shared" si="8475"/>
        <v>0</v>
      </c>
      <c r="M2956" t="s">
        <v>3281</v>
      </c>
    </row>
    <row r="2957" spans="1:13" x14ac:dyDescent="0.35">
      <c r="A2957">
        <f t="shared" si="8454"/>
        <v>2953</v>
      </c>
      <c r="B2957" s="9">
        <f t="shared" ref="B2957" si="8496">B2956+H2957+I2957+J2957</f>
        <v>52.120000000000005</v>
      </c>
      <c r="C2957" s="3" t="s">
        <v>3285</v>
      </c>
      <c r="D2957">
        <f t="shared" ref="D2957" si="8497">_xlfn.NUMBERVALUE(LEFT(C2957,2))</f>
        <v>1</v>
      </c>
      <c r="E2957">
        <f t="shared" ref="E2957" si="8498">_xlfn.NUMBERVALUE(MID(C2957,4,2))</f>
        <v>10</v>
      </c>
      <c r="F2957">
        <f t="shared" ref="F2957" si="8499">_xlfn.NUMBERVALUE(RIGHT(C2957,4))</f>
        <v>2024</v>
      </c>
      <c r="G2957" t="s">
        <v>7</v>
      </c>
      <c r="H2957">
        <v>-2</v>
      </c>
      <c r="I2957">
        <v>4</v>
      </c>
      <c r="K2957" t="s">
        <v>10</v>
      </c>
      <c r="L2957" s="8">
        <f t="shared" si="8475"/>
        <v>1</v>
      </c>
      <c r="M2957" t="s">
        <v>3282</v>
      </c>
    </row>
    <row r="2958" spans="1:13" x14ac:dyDescent="0.35">
      <c r="A2958">
        <f t="shared" si="8454"/>
        <v>2954</v>
      </c>
      <c r="B2958" s="9">
        <f t="shared" ref="B2958:B2959" si="8500">B2957+H2958+I2958+J2958</f>
        <v>52.120000000000005</v>
      </c>
      <c r="C2958" s="3" t="s">
        <v>3285</v>
      </c>
      <c r="D2958">
        <f t="shared" ref="D2958:D2959" si="8501">_xlfn.NUMBERVALUE(LEFT(C2958,2))</f>
        <v>1</v>
      </c>
      <c r="E2958">
        <f t="shared" ref="E2958:E2959" si="8502">_xlfn.NUMBERVALUE(MID(C2958,4,2))</f>
        <v>10</v>
      </c>
      <c r="F2958">
        <f t="shared" ref="F2958:F2959" si="8503">_xlfn.NUMBERVALUE(RIGHT(C2958,4))</f>
        <v>2024</v>
      </c>
      <c r="G2958" t="s">
        <v>3039</v>
      </c>
      <c r="K2958" t="s">
        <v>9</v>
      </c>
      <c r="L2958" s="8">
        <f t="shared" si="8475"/>
        <v>0</v>
      </c>
      <c r="M2958" t="s">
        <v>3283</v>
      </c>
    </row>
    <row r="2959" spans="1:13" x14ac:dyDescent="0.35">
      <c r="A2959">
        <f t="shared" si="8454"/>
        <v>2955</v>
      </c>
      <c r="B2959" s="9">
        <f t="shared" si="8500"/>
        <v>50.120000000000005</v>
      </c>
      <c r="C2959" s="3" t="s">
        <v>3285</v>
      </c>
      <c r="D2959">
        <f t="shared" si="8501"/>
        <v>1</v>
      </c>
      <c r="E2959">
        <f t="shared" si="8502"/>
        <v>10</v>
      </c>
      <c r="F2959">
        <f t="shared" si="8503"/>
        <v>2024</v>
      </c>
      <c r="G2959" t="s">
        <v>7</v>
      </c>
      <c r="H2959">
        <v>-2</v>
      </c>
      <c r="K2959" t="s">
        <v>9</v>
      </c>
      <c r="L2959" s="8">
        <f t="shared" si="8475"/>
        <v>-1</v>
      </c>
      <c r="M2959" t="s">
        <v>3284</v>
      </c>
    </row>
    <row r="2960" spans="1:13" x14ac:dyDescent="0.35">
      <c r="A2960">
        <f t="shared" si="8454"/>
        <v>2956</v>
      </c>
      <c r="B2960" s="9">
        <f t="shared" ref="B2960" si="8504">B2959+H2960+I2960+J2960</f>
        <v>54.120000000000005</v>
      </c>
      <c r="C2960" s="3" t="s">
        <v>3285</v>
      </c>
      <c r="D2960">
        <f t="shared" ref="D2960" si="8505">_xlfn.NUMBERVALUE(LEFT(C2960,2))</f>
        <v>1</v>
      </c>
      <c r="E2960">
        <f t="shared" ref="E2960" si="8506">_xlfn.NUMBERVALUE(MID(C2960,4,2))</f>
        <v>10</v>
      </c>
      <c r="F2960">
        <f t="shared" ref="F2960" si="8507">_xlfn.NUMBERVALUE(RIGHT(C2960,4))</f>
        <v>2024</v>
      </c>
      <c r="G2960" t="s">
        <v>7</v>
      </c>
      <c r="H2960">
        <v>-2</v>
      </c>
      <c r="I2960">
        <v>6</v>
      </c>
      <c r="K2960" t="s">
        <v>10</v>
      </c>
      <c r="L2960" s="8">
        <f t="shared" si="8475"/>
        <v>2</v>
      </c>
      <c r="M2960" t="s">
        <v>3286</v>
      </c>
    </row>
    <row r="2961" spans="1:13" x14ac:dyDescent="0.35">
      <c r="A2961">
        <f t="shared" si="8454"/>
        <v>2957</v>
      </c>
      <c r="B2961" s="9">
        <f t="shared" ref="B2961" si="8508">B2960+H2961+I2961+J2961</f>
        <v>52.120000000000005</v>
      </c>
      <c r="C2961" s="3" t="s">
        <v>3285</v>
      </c>
      <c r="D2961">
        <f t="shared" ref="D2961" si="8509">_xlfn.NUMBERVALUE(LEFT(C2961,2))</f>
        <v>1</v>
      </c>
      <c r="E2961">
        <f t="shared" ref="E2961" si="8510">_xlfn.NUMBERVALUE(MID(C2961,4,2))</f>
        <v>10</v>
      </c>
      <c r="F2961">
        <f t="shared" ref="F2961" si="8511">_xlfn.NUMBERVALUE(RIGHT(C2961,4))</f>
        <v>2024</v>
      </c>
      <c r="G2961" t="s">
        <v>7</v>
      </c>
      <c r="H2961">
        <v>-2</v>
      </c>
      <c r="K2961" t="s">
        <v>9</v>
      </c>
      <c r="L2961" s="8">
        <f t="shared" si="8475"/>
        <v>-1</v>
      </c>
      <c r="M2961" t="s">
        <v>3287</v>
      </c>
    </row>
    <row r="2962" spans="1:13" x14ac:dyDescent="0.35">
      <c r="A2962">
        <f t="shared" si="8454"/>
        <v>2958</v>
      </c>
      <c r="B2962" s="9">
        <f t="shared" ref="B2962" si="8512">B2961+H2962+I2962+J2962</f>
        <v>54.120000000000005</v>
      </c>
      <c r="C2962" s="3" t="s">
        <v>3288</v>
      </c>
      <c r="D2962">
        <f t="shared" ref="D2962" si="8513">_xlfn.NUMBERVALUE(LEFT(C2962,2))</f>
        <v>2</v>
      </c>
      <c r="E2962">
        <f t="shared" ref="E2962" si="8514">_xlfn.NUMBERVALUE(MID(C2962,4,2))</f>
        <v>10</v>
      </c>
      <c r="F2962">
        <f t="shared" ref="F2962" si="8515">_xlfn.NUMBERVALUE(RIGHT(C2962,4))</f>
        <v>2024</v>
      </c>
      <c r="G2962" t="s">
        <v>7</v>
      </c>
      <c r="H2962">
        <v>-2</v>
      </c>
      <c r="I2962">
        <v>4</v>
      </c>
      <c r="K2962" t="s">
        <v>10</v>
      </c>
      <c r="L2962" s="8">
        <f t="shared" si="8475"/>
        <v>1</v>
      </c>
      <c r="M2962" t="s">
        <v>3289</v>
      </c>
    </row>
    <row r="2963" spans="1:13" x14ac:dyDescent="0.35">
      <c r="A2963">
        <f t="shared" si="8454"/>
        <v>2959</v>
      </c>
      <c r="B2963" s="9">
        <f t="shared" ref="B2963:B2964" si="8516">B2962+H2963+I2963+J2963</f>
        <v>54.120000000000005</v>
      </c>
      <c r="C2963" s="3" t="s">
        <v>3288</v>
      </c>
      <c r="D2963">
        <f t="shared" ref="D2963:D2964" si="8517">_xlfn.NUMBERVALUE(LEFT(C2963,2))</f>
        <v>2</v>
      </c>
      <c r="E2963">
        <f t="shared" ref="E2963:E2964" si="8518">_xlfn.NUMBERVALUE(MID(C2963,4,2))</f>
        <v>10</v>
      </c>
      <c r="F2963">
        <f t="shared" ref="F2963:F2964" si="8519">_xlfn.NUMBERVALUE(RIGHT(C2963,4))</f>
        <v>2024</v>
      </c>
      <c r="G2963" t="s">
        <v>3039</v>
      </c>
      <c r="K2963" t="s">
        <v>9</v>
      </c>
      <c r="L2963" s="8">
        <f t="shared" si="8475"/>
        <v>0</v>
      </c>
      <c r="M2963" t="s">
        <v>3290</v>
      </c>
    </row>
    <row r="2964" spans="1:13" x14ac:dyDescent="0.35">
      <c r="A2964">
        <f t="shared" si="8454"/>
        <v>2960</v>
      </c>
      <c r="B2964" s="9">
        <f t="shared" si="8516"/>
        <v>57.150000000000006</v>
      </c>
      <c r="C2964" s="3" t="s">
        <v>3288</v>
      </c>
      <c r="D2964">
        <f t="shared" si="8517"/>
        <v>2</v>
      </c>
      <c r="E2964">
        <f t="shared" si="8518"/>
        <v>10</v>
      </c>
      <c r="F2964">
        <f t="shared" si="8519"/>
        <v>2024</v>
      </c>
      <c r="G2964" t="s">
        <v>1389</v>
      </c>
      <c r="H2964">
        <v>-2</v>
      </c>
      <c r="I2964">
        <v>5.03</v>
      </c>
      <c r="K2964" t="s">
        <v>10</v>
      </c>
      <c r="L2964" s="8">
        <f t="shared" si="8475"/>
        <v>1.5150000000000001</v>
      </c>
      <c r="M2964" t="s">
        <v>3291</v>
      </c>
    </row>
    <row r="2965" spans="1:13" x14ac:dyDescent="0.35">
      <c r="A2965">
        <f t="shared" si="8454"/>
        <v>2961</v>
      </c>
      <c r="B2965" s="9">
        <f t="shared" ref="B2965" si="8520">B2964+H2965+I2965+J2965</f>
        <v>55.150000000000006</v>
      </c>
      <c r="C2965" s="3" t="s">
        <v>3288</v>
      </c>
      <c r="D2965">
        <f t="shared" ref="D2965" si="8521">_xlfn.NUMBERVALUE(LEFT(C2965,2))</f>
        <v>2</v>
      </c>
      <c r="E2965">
        <f t="shared" ref="E2965" si="8522">_xlfn.NUMBERVALUE(MID(C2965,4,2))</f>
        <v>10</v>
      </c>
      <c r="F2965">
        <f t="shared" ref="F2965" si="8523">_xlfn.NUMBERVALUE(RIGHT(C2965,4))</f>
        <v>2024</v>
      </c>
      <c r="G2965" t="s">
        <v>1389</v>
      </c>
      <c r="H2965">
        <v>-2</v>
      </c>
      <c r="K2965" t="s">
        <v>9</v>
      </c>
      <c r="L2965" s="8">
        <f t="shared" si="8475"/>
        <v>-1</v>
      </c>
      <c r="M2965" t="s">
        <v>3292</v>
      </c>
    </row>
    <row r="2966" spans="1:13" x14ac:dyDescent="0.35">
      <c r="A2966">
        <f t="shared" si="8454"/>
        <v>2962</v>
      </c>
      <c r="B2966" s="9">
        <f t="shared" ref="B2966" si="8524">B2965+H2966+I2966+J2966</f>
        <v>53.150000000000006</v>
      </c>
      <c r="C2966" s="3" t="s">
        <v>3288</v>
      </c>
      <c r="D2966">
        <f t="shared" ref="D2966" si="8525">_xlfn.NUMBERVALUE(LEFT(C2966,2))</f>
        <v>2</v>
      </c>
      <c r="E2966">
        <f t="shared" ref="E2966" si="8526">_xlfn.NUMBERVALUE(MID(C2966,4,2))</f>
        <v>10</v>
      </c>
      <c r="F2966">
        <f t="shared" ref="F2966" si="8527">_xlfn.NUMBERVALUE(RIGHT(C2966,4))</f>
        <v>2024</v>
      </c>
      <c r="G2966" t="s">
        <v>1389</v>
      </c>
      <c r="H2966">
        <v>-2</v>
      </c>
      <c r="K2966" t="s">
        <v>9</v>
      </c>
      <c r="L2966" s="8">
        <f t="shared" si="8475"/>
        <v>-1</v>
      </c>
      <c r="M2966" t="s">
        <v>3293</v>
      </c>
    </row>
    <row r="2967" spans="1:13" x14ac:dyDescent="0.35">
      <c r="A2967">
        <f t="shared" si="8454"/>
        <v>2963</v>
      </c>
      <c r="B2967" s="9">
        <f t="shared" ref="B2967:B2968" si="8528">B2966+H2967+I2967+J2967</f>
        <v>54.120000000000005</v>
      </c>
      <c r="C2967" s="3" t="s">
        <v>3288</v>
      </c>
      <c r="D2967">
        <f t="shared" ref="D2967:D2968" si="8529">_xlfn.NUMBERVALUE(LEFT(C2967,2))</f>
        <v>2</v>
      </c>
      <c r="E2967">
        <f t="shared" ref="E2967:E2968" si="8530">_xlfn.NUMBERVALUE(MID(C2967,4,2))</f>
        <v>10</v>
      </c>
      <c r="F2967">
        <f t="shared" ref="F2967:F2968" si="8531">_xlfn.NUMBERVALUE(RIGHT(C2967,4))</f>
        <v>2024</v>
      </c>
      <c r="G2967" t="s">
        <v>1389</v>
      </c>
      <c r="H2967">
        <v>-2</v>
      </c>
      <c r="I2967">
        <v>2.97</v>
      </c>
      <c r="K2967" t="s">
        <v>10</v>
      </c>
      <c r="L2967" s="8">
        <f t="shared" si="8475"/>
        <v>0.4850000000000001</v>
      </c>
      <c r="M2967" t="s">
        <v>3294</v>
      </c>
    </row>
    <row r="2968" spans="1:13" x14ac:dyDescent="0.35">
      <c r="A2968">
        <f t="shared" si="8454"/>
        <v>2964</v>
      </c>
      <c r="B2968" s="9">
        <f t="shared" si="8528"/>
        <v>52.120000000000005</v>
      </c>
      <c r="C2968" s="3" t="s">
        <v>3288</v>
      </c>
      <c r="D2968">
        <f t="shared" si="8529"/>
        <v>2</v>
      </c>
      <c r="E2968">
        <f t="shared" si="8530"/>
        <v>10</v>
      </c>
      <c r="F2968">
        <f t="shared" si="8531"/>
        <v>2024</v>
      </c>
      <c r="G2968" t="s">
        <v>7</v>
      </c>
      <c r="H2968">
        <v>-2</v>
      </c>
      <c r="K2968" t="s">
        <v>9</v>
      </c>
      <c r="L2968" s="8">
        <f t="shared" si="8475"/>
        <v>-1</v>
      </c>
      <c r="M2968" t="s">
        <v>3295</v>
      </c>
    </row>
    <row r="2969" spans="1:13" x14ac:dyDescent="0.35">
      <c r="A2969">
        <f t="shared" si="8454"/>
        <v>2965</v>
      </c>
      <c r="B2969" s="9">
        <f t="shared" ref="B2969" si="8532">B2968+H2969+I2969+J2969</f>
        <v>50.120000000000005</v>
      </c>
      <c r="C2969" s="3" t="s">
        <v>3288</v>
      </c>
      <c r="D2969">
        <f t="shared" ref="D2969" si="8533">_xlfn.NUMBERVALUE(LEFT(C2969,2))</f>
        <v>2</v>
      </c>
      <c r="E2969">
        <f t="shared" ref="E2969" si="8534">_xlfn.NUMBERVALUE(MID(C2969,4,2))</f>
        <v>10</v>
      </c>
      <c r="F2969">
        <f t="shared" ref="F2969" si="8535">_xlfn.NUMBERVALUE(RIGHT(C2969,4))</f>
        <v>2024</v>
      </c>
      <c r="G2969" t="s">
        <v>7</v>
      </c>
      <c r="H2969">
        <v>-2</v>
      </c>
      <c r="K2969" t="s">
        <v>9</v>
      </c>
      <c r="L2969" s="8">
        <f t="shared" si="8475"/>
        <v>-1</v>
      </c>
      <c r="M2969" t="s">
        <v>3296</v>
      </c>
    </row>
    <row r="2970" spans="1:13" x14ac:dyDescent="0.35">
      <c r="A2970">
        <f t="shared" si="8454"/>
        <v>2966</v>
      </c>
      <c r="B2970" s="9">
        <f t="shared" ref="B2970" si="8536">B2969+H2970+I2970+J2970</f>
        <v>48.120000000000005</v>
      </c>
      <c r="C2970" s="3" t="s">
        <v>3288</v>
      </c>
      <c r="D2970">
        <f t="shared" ref="D2970" si="8537">_xlfn.NUMBERVALUE(LEFT(C2970,2))</f>
        <v>2</v>
      </c>
      <c r="E2970">
        <f t="shared" ref="E2970" si="8538">_xlfn.NUMBERVALUE(MID(C2970,4,2))</f>
        <v>10</v>
      </c>
      <c r="F2970">
        <f t="shared" ref="F2970" si="8539">_xlfn.NUMBERVALUE(RIGHT(C2970,4))</f>
        <v>2024</v>
      </c>
      <c r="G2970" t="s">
        <v>7</v>
      </c>
      <c r="H2970">
        <v>-2</v>
      </c>
      <c r="K2970" t="s">
        <v>9</v>
      </c>
      <c r="L2970" s="8">
        <f t="shared" si="8475"/>
        <v>-1</v>
      </c>
      <c r="M2970" t="s">
        <v>3297</v>
      </c>
    </row>
    <row r="2971" spans="1:13" x14ac:dyDescent="0.35">
      <c r="A2971">
        <f t="shared" si="8454"/>
        <v>2967</v>
      </c>
      <c r="B2971" s="9">
        <f t="shared" ref="B2971" si="8540">B2970+H2971+I2971+J2971</f>
        <v>46.120000000000005</v>
      </c>
      <c r="C2971" s="3" t="s">
        <v>3288</v>
      </c>
      <c r="D2971">
        <f t="shared" ref="D2971" si="8541">_xlfn.NUMBERVALUE(LEFT(C2971,2))</f>
        <v>2</v>
      </c>
      <c r="E2971">
        <f t="shared" ref="E2971" si="8542">_xlfn.NUMBERVALUE(MID(C2971,4,2))</f>
        <v>10</v>
      </c>
      <c r="F2971">
        <f t="shared" ref="F2971" si="8543">_xlfn.NUMBERVALUE(RIGHT(C2971,4))</f>
        <v>2024</v>
      </c>
      <c r="G2971" t="s">
        <v>7</v>
      </c>
      <c r="H2971">
        <v>-2</v>
      </c>
      <c r="K2971" t="s">
        <v>9</v>
      </c>
      <c r="L2971" s="8">
        <f t="shared" si="8475"/>
        <v>-1</v>
      </c>
      <c r="M2971" t="s">
        <v>3298</v>
      </c>
    </row>
    <row r="2972" spans="1:13" x14ac:dyDescent="0.35">
      <c r="A2972">
        <f t="shared" si="8454"/>
        <v>2968</v>
      </c>
      <c r="B2972" s="9">
        <f t="shared" ref="B2972" si="8544">B2971+H2972+I2972+J2972</f>
        <v>44.120000000000005</v>
      </c>
      <c r="C2972" s="3" t="s">
        <v>3288</v>
      </c>
      <c r="D2972">
        <f t="shared" ref="D2972" si="8545">_xlfn.NUMBERVALUE(LEFT(C2972,2))</f>
        <v>2</v>
      </c>
      <c r="E2972">
        <f t="shared" ref="E2972" si="8546">_xlfn.NUMBERVALUE(MID(C2972,4,2))</f>
        <v>10</v>
      </c>
      <c r="F2972">
        <f t="shared" ref="F2972" si="8547">_xlfn.NUMBERVALUE(RIGHT(C2972,4))</f>
        <v>2024</v>
      </c>
      <c r="G2972" t="s">
        <v>7</v>
      </c>
      <c r="H2972">
        <v>-2</v>
      </c>
      <c r="K2972" t="s">
        <v>9</v>
      </c>
      <c r="L2972" s="8">
        <f t="shared" si="8475"/>
        <v>-1</v>
      </c>
      <c r="M2972" t="s">
        <v>3299</v>
      </c>
    </row>
    <row r="2973" spans="1:13" x14ac:dyDescent="0.35">
      <c r="A2973">
        <f t="shared" si="8454"/>
        <v>2969</v>
      </c>
      <c r="B2973" s="9">
        <f t="shared" ref="B2973" si="8548">B2972+H2973+I2973+J2973</f>
        <v>48.120000000000005</v>
      </c>
      <c r="C2973" s="3" t="s">
        <v>3288</v>
      </c>
      <c r="D2973">
        <f t="shared" ref="D2973" si="8549">_xlfn.NUMBERVALUE(LEFT(C2973,2))</f>
        <v>2</v>
      </c>
      <c r="E2973">
        <f t="shared" ref="E2973" si="8550">_xlfn.NUMBERVALUE(MID(C2973,4,2))</f>
        <v>10</v>
      </c>
      <c r="F2973">
        <f t="shared" ref="F2973" si="8551">_xlfn.NUMBERVALUE(RIGHT(C2973,4))</f>
        <v>2024</v>
      </c>
      <c r="G2973" t="s">
        <v>7</v>
      </c>
      <c r="H2973">
        <v>-2</v>
      </c>
      <c r="I2973">
        <v>6</v>
      </c>
      <c r="K2973" t="s">
        <v>10</v>
      </c>
      <c r="L2973" s="8">
        <f t="shared" si="8475"/>
        <v>2</v>
      </c>
      <c r="M2973" t="s">
        <v>3300</v>
      </c>
    </row>
    <row r="2974" spans="1:13" x14ac:dyDescent="0.35">
      <c r="A2974">
        <f t="shared" si="8454"/>
        <v>2970</v>
      </c>
      <c r="B2974" s="9">
        <f t="shared" ref="B2974" si="8552">B2973+H2974+I2974+J2974</f>
        <v>46.120000000000005</v>
      </c>
      <c r="C2974" s="3" t="s">
        <v>3288</v>
      </c>
      <c r="D2974">
        <f t="shared" ref="D2974" si="8553">_xlfn.NUMBERVALUE(LEFT(C2974,2))</f>
        <v>2</v>
      </c>
      <c r="E2974">
        <f t="shared" ref="E2974" si="8554">_xlfn.NUMBERVALUE(MID(C2974,4,2))</f>
        <v>10</v>
      </c>
      <c r="F2974">
        <f t="shared" ref="F2974" si="8555">_xlfn.NUMBERVALUE(RIGHT(C2974,4))</f>
        <v>2024</v>
      </c>
      <c r="G2974" t="s">
        <v>7</v>
      </c>
      <c r="H2974">
        <v>-2</v>
      </c>
      <c r="K2974" t="s">
        <v>9</v>
      </c>
      <c r="L2974" s="8">
        <f t="shared" si="8475"/>
        <v>-1</v>
      </c>
      <c r="M2974" t="s">
        <v>3301</v>
      </c>
    </row>
    <row r="2975" spans="1:13" x14ac:dyDescent="0.35">
      <c r="A2975">
        <f t="shared" si="8454"/>
        <v>2971</v>
      </c>
      <c r="B2975" s="9">
        <f t="shared" ref="B2975" si="8556">B2974+H2975+I2975+J2975</f>
        <v>44.120000000000005</v>
      </c>
      <c r="C2975" s="3" t="s">
        <v>3288</v>
      </c>
      <c r="D2975">
        <f t="shared" ref="D2975" si="8557">_xlfn.NUMBERVALUE(LEFT(C2975,2))</f>
        <v>2</v>
      </c>
      <c r="E2975">
        <f t="shared" ref="E2975" si="8558">_xlfn.NUMBERVALUE(MID(C2975,4,2))</f>
        <v>10</v>
      </c>
      <c r="F2975">
        <f t="shared" ref="F2975" si="8559">_xlfn.NUMBERVALUE(RIGHT(C2975,4))</f>
        <v>2024</v>
      </c>
      <c r="G2975" t="s">
        <v>7</v>
      </c>
      <c r="H2975">
        <v>-2</v>
      </c>
      <c r="K2975" t="s">
        <v>9</v>
      </c>
      <c r="L2975" s="8">
        <f t="shared" si="8475"/>
        <v>-1</v>
      </c>
      <c r="M2975" t="s">
        <v>3302</v>
      </c>
    </row>
    <row r="2976" spans="1:13" x14ac:dyDescent="0.35">
      <c r="A2976">
        <f t="shared" si="8454"/>
        <v>2972</v>
      </c>
      <c r="B2976" s="9">
        <f t="shared" ref="B2976" si="8560">B2975+H2976+I2976+J2976</f>
        <v>48.120000000000005</v>
      </c>
      <c r="C2976" s="3" t="s">
        <v>3288</v>
      </c>
      <c r="D2976">
        <f t="shared" ref="D2976" si="8561">_xlfn.NUMBERVALUE(LEFT(C2976,2))</f>
        <v>2</v>
      </c>
      <c r="E2976">
        <f t="shared" ref="E2976" si="8562">_xlfn.NUMBERVALUE(MID(C2976,4,2))</f>
        <v>10</v>
      </c>
      <c r="F2976">
        <f t="shared" ref="F2976" si="8563">_xlfn.NUMBERVALUE(RIGHT(C2976,4))</f>
        <v>2024</v>
      </c>
      <c r="G2976" t="s">
        <v>7</v>
      </c>
      <c r="H2976">
        <v>-2</v>
      </c>
      <c r="I2976">
        <v>6</v>
      </c>
      <c r="K2976" t="s">
        <v>10</v>
      </c>
      <c r="L2976" s="8">
        <f t="shared" si="8475"/>
        <v>2</v>
      </c>
      <c r="M2976" t="s">
        <v>3303</v>
      </c>
    </row>
    <row r="2977" spans="1:13" x14ac:dyDescent="0.35">
      <c r="A2977">
        <f t="shared" si="8454"/>
        <v>2973</v>
      </c>
      <c r="B2977" s="9">
        <f t="shared" ref="B2977" si="8564">B2976+H2977+I2977+J2977</f>
        <v>50.120000000000005</v>
      </c>
      <c r="C2977" s="3" t="s">
        <v>3288</v>
      </c>
      <c r="D2977">
        <f t="shared" ref="D2977" si="8565">_xlfn.NUMBERVALUE(LEFT(C2977,2))</f>
        <v>2</v>
      </c>
      <c r="E2977">
        <f t="shared" ref="E2977" si="8566">_xlfn.NUMBERVALUE(MID(C2977,4,2))</f>
        <v>10</v>
      </c>
      <c r="F2977">
        <f t="shared" ref="F2977" si="8567">_xlfn.NUMBERVALUE(RIGHT(C2977,4))</f>
        <v>2024</v>
      </c>
      <c r="G2977" t="s">
        <v>7</v>
      </c>
      <c r="H2977">
        <v>-2</v>
      </c>
      <c r="I2977">
        <v>4</v>
      </c>
      <c r="K2977" t="s">
        <v>10</v>
      </c>
      <c r="L2977" s="8">
        <f t="shared" si="8475"/>
        <v>1</v>
      </c>
      <c r="M2977" t="s">
        <v>3304</v>
      </c>
    </row>
    <row r="2978" spans="1:13" x14ac:dyDescent="0.35">
      <c r="A2978">
        <f t="shared" si="8454"/>
        <v>2974</v>
      </c>
      <c r="B2978" s="9">
        <f t="shared" ref="B2978" si="8568">B2977+H2978+I2978+J2978</f>
        <v>52.120000000000005</v>
      </c>
      <c r="C2978" s="3" t="s">
        <v>3288</v>
      </c>
      <c r="D2978">
        <f t="shared" ref="D2978" si="8569">_xlfn.NUMBERVALUE(LEFT(C2978,2))</f>
        <v>2</v>
      </c>
      <c r="E2978">
        <f t="shared" ref="E2978" si="8570">_xlfn.NUMBERVALUE(MID(C2978,4,2))</f>
        <v>10</v>
      </c>
      <c r="F2978">
        <f t="shared" ref="F2978" si="8571">_xlfn.NUMBERVALUE(RIGHT(C2978,4))</f>
        <v>2024</v>
      </c>
      <c r="G2978" t="s">
        <v>7</v>
      </c>
      <c r="H2978">
        <v>-2</v>
      </c>
      <c r="I2978">
        <v>4</v>
      </c>
      <c r="K2978" t="s">
        <v>10</v>
      </c>
      <c r="L2978" s="8">
        <f t="shared" si="8475"/>
        <v>1</v>
      </c>
      <c r="M2978" t="s">
        <v>3305</v>
      </c>
    </row>
    <row r="2979" spans="1:13" x14ac:dyDescent="0.35">
      <c r="A2979">
        <f t="shared" si="8454"/>
        <v>2975</v>
      </c>
      <c r="B2979" s="9">
        <f t="shared" ref="B2979" si="8572">B2978+H2979+I2979+J2979</f>
        <v>54.120000000000005</v>
      </c>
      <c r="C2979" s="3" t="s">
        <v>3288</v>
      </c>
      <c r="D2979">
        <f t="shared" ref="D2979" si="8573">_xlfn.NUMBERVALUE(LEFT(C2979,2))</f>
        <v>2</v>
      </c>
      <c r="E2979">
        <f t="shared" ref="E2979" si="8574">_xlfn.NUMBERVALUE(MID(C2979,4,2))</f>
        <v>10</v>
      </c>
      <c r="F2979">
        <f t="shared" ref="F2979" si="8575">_xlfn.NUMBERVALUE(RIGHT(C2979,4))</f>
        <v>2024</v>
      </c>
      <c r="G2979" t="s">
        <v>7</v>
      </c>
      <c r="H2979">
        <v>-2</v>
      </c>
      <c r="I2979">
        <v>4</v>
      </c>
      <c r="K2979" t="s">
        <v>10</v>
      </c>
      <c r="L2979" s="8">
        <f t="shared" si="8475"/>
        <v>1</v>
      </c>
      <c r="M2979" t="s">
        <v>3306</v>
      </c>
    </row>
    <row r="2980" spans="1:13" x14ac:dyDescent="0.35">
      <c r="A2980">
        <f t="shared" si="8454"/>
        <v>2976</v>
      </c>
      <c r="B2980" s="9">
        <f t="shared" ref="B2980" si="8576">B2979+H2980+I2980+J2980</f>
        <v>53.870000000000005</v>
      </c>
      <c r="C2980" s="3" t="s">
        <v>3288</v>
      </c>
      <c r="D2980">
        <f t="shared" ref="D2980" si="8577">_xlfn.NUMBERVALUE(LEFT(C2980,2))</f>
        <v>2</v>
      </c>
      <c r="E2980">
        <f t="shared" ref="E2980" si="8578">_xlfn.NUMBERVALUE(MID(C2980,4,2))</f>
        <v>10</v>
      </c>
      <c r="F2980">
        <f t="shared" ref="F2980" si="8579">_xlfn.NUMBERVALUE(RIGHT(C2980,4))</f>
        <v>2024</v>
      </c>
      <c r="G2980" t="s">
        <v>1068</v>
      </c>
      <c r="H2980">
        <v>-0.25</v>
      </c>
      <c r="K2980" t="s">
        <v>9</v>
      </c>
      <c r="L2980" s="8">
        <f t="shared" si="8475"/>
        <v>-1</v>
      </c>
      <c r="M2980" t="s">
        <v>3307</v>
      </c>
    </row>
    <row r="2981" spans="1:13" x14ac:dyDescent="0.35">
      <c r="A2981">
        <f t="shared" si="8454"/>
        <v>2977</v>
      </c>
      <c r="B2981" s="9">
        <f t="shared" ref="B2981:B2983" si="8580">B2980+H2981+I2981+J2981</f>
        <v>54.250000000000007</v>
      </c>
      <c r="C2981" s="3" t="s">
        <v>3288</v>
      </c>
      <c r="D2981">
        <f t="shared" ref="D2981:D2983" si="8581">_xlfn.NUMBERVALUE(LEFT(C2981,2))</f>
        <v>2</v>
      </c>
      <c r="E2981">
        <f t="shared" ref="E2981:E2983" si="8582">_xlfn.NUMBERVALUE(MID(C2981,4,2))</f>
        <v>10</v>
      </c>
      <c r="F2981">
        <f t="shared" ref="F2981:F2983" si="8583">_xlfn.NUMBERVALUE(RIGHT(C2981,4))</f>
        <v>2024</v>
      </c>
      <c r="G2981" t="s">
        <v>1068</v>
      </c>
      <c r="H2981">
        <v>-0.5</v>
      </c>
      <c r="I2981">
        <v>0.88</v>
      </c>
      <c r="K2981" t="s">
        <v>10</v>
      </c>
      <c r="L2981" s="8">
        <f t="shared" si="8475"/>
        <v>0.76</v>
      </c>
      <c r="M2981" t="s">
        <v>3308</v>
      </c>
    </row>
    <row r="2982" spans="1:13" x14ac:dyDescent="0.35">
      <c r="A2982">
        <f t="shared" si="8454"/>
        <v>2978</v>
      </c>
      <c r="B2982" s="9">
        <f t="shared" si="8580"/>
        <v>52.250000000000007</v>
      </c>
      <c r="C2982" s="3" t="s">
        <v>3310</v>
      </c>
      <c r="D2982">
        <f t="shared" si="8581"/>
        <v>3</v>
      </c>
      <c r="E2982">
        <f t="shared" si="8582"/>
        <v>10</v>
      </c>
      <c r="F2982">
        <f t="shared" si="8583"/>
        <v>2024</v>
      </c>
      <c r="G2982" t="s">
        <v>7</v>
      </c>
      <c r="H2982">
        <v>-2</v>
      </c>
      <c r="K2982" t="s">
        <v>9</v>
      </c>
      <c r="L2982" s="8">
        <f t="shared" si="8475"/>
        <v>-1</v>
      </c>
      <c r="M2982" t="s">
        <v>3309</v>
      </c>
    </row>
    <row r="2983" spans="1:13" x14ac:dyDescent="0.35">
      <c r="A2983">
        <f t="shared" si="8454"/>
        <v>2979</v>
      </c>
      <c r="B2983" s="9">
        <f t="shared" si="8580"/>
        <v>52.250000000000007</v>
      </c>
      <c r="C2983" s="3" t="s">
        <v>3310</v>
      </c>
      <c r="D2983">
        <f t="shared" si="8581"/>
        <v>3</v>
      </c>
      <c r="E2983">
        <f t="shared" si="8582"/>
        <v>10</v>
      </c>
      <c r="F2983">
        <f t="shared" si="8583"/>
        <v>2024</v>
      </c>
      <c r="G2983" t="s">
        <v>3039</v>
      </c>
      <c r="K2983" t="s">
        <v>9</v>
      </c>
      <c r="L2983" s="8">
        <f t="shared" si="8475"/>
        <v>0</v>
      </c>
      <c r="M2983" t="s">
        <v>3311</v>
      </c>
    </row>
    <row r="2984" spans="1:13" x14ac:dyDescent="0.35">
      <c r="A2984">
        <f t="shared" si="8454"/>
        <v>2980</v>
      </c>
      <c r="B2984" s="9">
        <f t="shared" ref="B2984" si="8584">B2983+H2984+I2984+J2984</f>
        <v>50.250000000000007</v>
      </c>
      <c r="C2984" s="3" t="s">
        <v>3310</v>
      </c>
      <c r="D2984">
        <f t="shared" ref="D2984" si="8585">_xlfn.NUMBERVALUE(LEFT(C2984,2))</f>
        <v>3</v>
      </c>
      <c r="E2984">
        <f t="shared" ref="E2984" si="8586">_xlfn.NUMBERVALUE(MID(C2984,4,2))</f>
        <v>10</v>
      </c>
      <c r="F2984">
        <f t="shared" ref="F2984" si="8587">_xlfn.NUMBERVALUE(RIGHT(C2984,4))</f>
        <v>2024</v>
      </c>
      <c r="G2984" t="s">
        <v>7</v>
      </c>
      <c r="H2984">
        <v>-2</v>
      </c>
      <c r="K2984" t="s">
        <v>9</v>
      </c>
      <c r="L2984" s="8">
        <f t="shared" si="8475"/>
        <v>-1</v>
      </c>
      <c r="M2984" t="s">
        <v>3312</v>
      </c>
    </row>
    <row r="2985" spans="1:13" x14ac:dyDescent="0.35">
      <c r="A2985">
        <f t="shared" si="8454"/>
        <v>2981</v>
      </c>
      <c r="B2985" s="9">
        <f t="shared" ref="B2985:B2987" si="8588">B2984+H2985+I2985+J2985</f>
        <v>48.830000000000013</v>
      </c>
      <c r="C2985" s="3" t="s">
        <v>3310</v>
      </c>
      <c r="D2985">
        <f t="shared" ref="D2985:D2987" si="8589">_xlfn.NUMBERVALUE(LEFT(C2985,2))</f>
        <v>3</v>
      </c>
      <c r="E2985">
        <f t="shared" ref="E2985:E2987" si="8590">_xlfn.NUMBERVALUE(MID(C2985,4,2))</f>
        <v>10</v>
      </c>
      <c r="F2985">
        <f t="shared" ref="F2985:F2987" si="8591">_xlfn.NUMBERVALUE(RIGHT(C2985,4))</f>
        <v>2024</v>
      </c>
      <c r="G2985" t="s">
        <v>44</v>
      </c>
      <c r="H2985">
        <v>-3.3</v>
      </c>
      <c r="J2985">
        <v>1.88</v>
      </c>
      <c r="K2985" t="s">
        <v>9</v>
      </c>
      <c r="L2985" s="8">
        <f t="shared" si="8475"/>
        <v>-0.4303030303030303</v>
      </c>
      <c r="M2985" t="s">
        <v>3313</v>
      </c>
    </row>
    <row r="2986" spans="1:13" x14ac:dyDescent="0.35">
      <c r="A2986">
        <f t="shared" si="8454"/>
        <v>2982</v>
      </c>
      <c r="B2986" s="9">
        <f t="shared" si="8588"/>
        <v>46.830000000000013</v>
      </c>
      <c r="C2986" s="3" t="s">
        <v>3314</v>
      </c>
      <c r="D2986">
        <f t="shared" si="8589"/>
        <v>4</v>
      </c>
      <c r="E2986">
        <f t="shared" si="8590"/>
        <v>10</v>
      </c>
      <c r="F2986">
        <f t="shared" si="8591"/>
        <v>2024</v>
      </c>
      <c r="G2986" t="s">
        <v>7</v>
      </c>
      <c r="H2986">
        <v>-2</v>
      </c>
      <c r="K2986" t="s">
        <v>9</v>
      </c>
      <c r="L2986" s="8">
        <f t="shared" si="8475"/>
        <v>-1</v>
      </c>
      <c r="M2986" t="s">
        <v>3315</v>
      </c>
    </row>
    <row r="2987" spans="1:13" x14ac:dyDescent="0.35">
      <c r="A2987">
        <f t="shared" si="8454"/>
        <v>2983</v>
      </c>
      <c r="B2987" s="9">
        <f t="shared" si="8588"/>
        <v>46.830000000000013</v>
      </c>
      <c r="C2987" s="3" t="s">
        <v>3314</v>
      </c>
      <c r="D2987">
        <f t="shared" si="8589"/>
        <v>4</v>
      </c>
      <c r="E2987">
        <f t="shared" si="8590"/>
        <v>10</v>
      </c>
      <c r="F2987">
        <f t="shared" si="8591"/>
        <v>2024</v>
      </c>
      <c r="G2987" t="s">
        <v>3039</v>
      </c>
      <c r="K2987" t="s">
        <v>10</v>
      </c>
      <c r="L2987" s="8">
        <f t="shared" si="8475"/>
        <v>0</v>
      </c>
      <c r="M2987" t="s">
        <v>3316</v>
      </c>
    </row>
    <row r="2988" spans="1:13" x14ac:dyDescent="0.35">
      <c r="A2988">
        <f t="shared" si="8454"/>
        <v>2984</v>
      </c>
      <c r="B2988" s="9">
        <f t="shared" ref="B2988:B2989" si="8592">B2987+H2988+I2988+J2988</f>
        <v>46.830000000000013</v>
      </c>
      <c r="C2988" s="3" t="s">
        <v>3314</v>
      </c>
      <c r="D2988">
        <f t="shared" ref="D2988:D2989" si="8593">_xlfn.NUMBERVALUE(LEFT(C2988,2))</f>
        <v>4</v>
      </c>
      <c r="E2988">
        <f t="shared" ref="E2988:E2989" si="8594">_xlfn.NUMBERVALUE(MID(C2988,4,2))</f>
        <v>10</v>
      </c>
      <c r="F2988">
        <f t="shared" ref="F2988:F2989" si="8595">_xlfn.NUMBERVALUE(RIGHT(C2988,4))</f>
        <v>2024</v>
      </c>
      <c r="G2988" t="s">
        <v>2969</v>
      </c>
      <c r="K2988" t="s">
        <v>9</v>
      </c>
      <c r="L2988" s="8">
        <f t="shared" si="8475"/>
        <v>0</v>
      </c>
      <c r="M2988" t="s">
        <v>3317</v>
      </c>
    </row>
    <row r="2989" spans="1:13" x14ac:dyDescent="0.35">
      <c r="A2989">
        <f t="shared" si="8454"/>
        <v>2985</v>
      </c>
      <c r="B2989" s="9">
        <f t="shared" si="8592"/>
        <v>44.830000000000013</v>
      </c>
      <c r="C2989" s="3" t="s">
        <v>3314</v>
      </c>
      <c r="D2989">
        <f t="shared" si="8593"/>
        <v>4</v>
      </c>
      <c r="E2989">
        <f t="shared" si="8594"/>
        <v>10</v>
      </c>
      <c r="F2989">
        <f t="shared" si="8595"/>
        <v>2024</v>
      </c>
      <c r="G2989" t="s">
        <v>7</v>
      </c>
      <c r="H2989">
        <v>-2</v>
      </c>
      <c r="K2989" t="s">
        <v>9</v>
      </c>
      <c r="L2989" s="8">
        <f t="shared" si="8475"/>
        <v>-1</v>
      </c>
      <c r="M2989" t="s">
        <v>3318</v>
      </c>
    </row>
    <row r="2990" spans="1:13" x14ac:dyDescent="0.35">
      <c r="A2990">
        <f t="shared" si="8454"/>
        <v>2986</v>
      </c>
      <c r="B2990" s="9">
        <f t="shared" ref="B2990" si="8596">B2989+H2990+I2990+J2990</f>
        <v>42.830000000000013</v>
      </c>
      <c r="C2990" s="3" t="s">
        <v>3314</v>
      </c>
      <c r="D2990">
        <f t="shared" ref="D2990" si="8597">_xlfn.NUMBERVALUE(LEFT(C2990,2))</f>
        <v>4</v>
      </c>
      <c r="E2990">
        <f t="shared" ref="E2990" si="8598">_xlfn.NUMBERVALUE(MID(C2990,4,2))</f>
        <v>10</v>
      </c>
      <c r="F2990">
        <f t="shared" ref="F2990" si="8599">_xlfn.NUMBERVALUE(RIGHT(C2990,4))</f>
        <v>2024</v>
      </c>
      <c r="G2990" t="s">
        <v>7</v>
      </c>
      <c r="H2990">
        <v>-2</v>
      </c>
      <c r="K2990" t="s">
        <v>9</v>
      </c>
      <c r="L2990" s="8">
        <f t="shared" si="8475"/>
        <v>-1</v>
      </c>
      <c r="M2990" t="s">
        <v>3319</v>
      </c>
    </row>
    <row r="2991" spans="1:13" x14ac:dyDescent="0.35">
      <c r="A2991">
        <f t="shared" si="8454"/>
        <v>2987</v>
      </c>
      <c r="B2991" s="9">
        <f t="shared" ref="B2991" si="8600">B2990+H2991+I2991+J2991</f>
        <v>40.830000000000013</v>
      </c>
      <c r="C2991" s="3" t="s">
        <v>3314</v>
      </c>
      <c r="D2991">
        <f t="shared" ref="D2991" si="8601">_xlfn.NUMBERVALUE(LEFT(C2991,2))</f>
        <v>4</v>
      </c>
      <c r="E2991">
        <f t="shared" ref="E2991" si="8602">_xlfn.NUMBERVALUE(MID(C2991,4,2))</f>
        <v>10</v>
      </c>
      <c r="F2991">
        <f t="shared" ref="F2991" si="8603">_xlfn.NUMBERVALUE(RIGHT(C2991,4))</f>
        <v>2024</v>
      </c>
      <c r="G2991" t="s">
        <v>7</v>
      </c>
      <c r="H2991">
        <v>-2</v>
      </c>
      <c r="K2991" t="s">
        <v>9</v>
      </c>
      <c r="L2991" s="8">
        <f t="shared" si="8475"/>
        <v>-1</v>
      </c>
      <c r="M2991" t="s">
        <v>3320</v>
      </c>
    </row>
    <row r="2992" spans="1:13" x14ac:dyDescent="0.35">
      <c r="A2992">
        <f t="shared" si="8454"/>
        <v>2988</v>
      </c>
      <c r="B2992" s="9">
        <f t="shared" ref="B2992" si="8604">B2991+H2992+I2992+J2992</f>
        <v>42.830000000000013</v>
      </c>
      <c r="C2992" s="3" t="s">
        <v>3314</v>
      </c>
      <c r="D2992">
        <f t="shared" ref="D2992" si="8605">_xlfn.NUMBERVALUE(LEFT(C2992,2))</f>
        <v>4</v>
      </c>
      <c r="E2992">
        <f t="shared" ref="E2992" si="8606">_xlfn.NUMBERVALUE(MID(C2992,4,2))</f>
        <v>10</v>
      </c>
      <c r="F2992">
        <f t="shared" ref="F2992" si="8607">_xlfn.NUMBERVALUE(RIGHT(C2992,4))</f>
        <v>2024</v>
      </c>
      <c r="G2992" t="s">
        <v>7</v>
      </c>
      <c r="H2992">
        <v>-2</v>
      </c>
      <c r="I2992">
        <v>4</v>
      </c>
      <c r="K2992" t="s">
        <v>10</v>
      </c>
      <c r="L2992" s="8">
        <f t="shared" si="8475"/>
        <v>1</v>
      </c>
      <c r="M2992" t="s">
        <v>3321</v>
      </c>
    </row>
    <row r="2993" spans="1:13" x14ac:dyDescent="0.35">
      <c r="A2993">
        <f t="shared" si="8454"/>
        <v>2989</v>
      </c>
      <c r="B2993" s="9">
        <f t="shared" ref="B2993" si="8608">B2992+H2993+I2993+J2993</f>
        <v>40.830000000000013</v>
      </c>
      <c r="C2993" s="3" t="s">
        <v>3314</v>
      </c>
      <c r="D2993">
        <f t="shared" ref="D2993" si="8609">_xlfn.NUMBERVALUE(LEFT(C2993,2))</f>
        <v>4</v>
      </c>
      <c r="E2993">
        <f t="shared" ref="E2993" si="8610">_xlfn.NUMBERVALUE(MID(C2993,4,2))</f>
        <v>10</v>
      </c>
      <c r="F2993">
        <f t="shared" ref="F2993" si="8611">_xlfn.NUMBERVALUE(RIGHT(C2993,4))</f>
        <v>2024</v>
      </c>
      <c r="G2993" t="s">
        <v>7</v>
      </c>
      <c r="H2993">
        <v>-2</v>
      </c>
      <c r="K2993" t="s">
        <v>9</v>
      </c>
      <c r="L2993" s="8">
        <f t="shared" si="8475"/>
        <v>-1</v>
      </c>
      <c r="M2993" t="s">
        <v>3322</v>
      </c>
    </row>
    <row r="2994" spans="1:13" x14ac:dyDescent="0.35">
      <c r="A2994">
        <f t="shared" si="8454"/>
        <v>2990</v>
      </c>
      <c r="B2994" s="9">
        <f t="shared" ref="B2994" si="8612">B2993+H2994+I2994+J2994</f>
        <v>38.830000000000013</v>
      </c>
      <c r="C2994" s="3" t="s">
        <v>3314</v>
      </c>
      <c r="D2994">
        <f t="shared" ref="D2994" si="8613">_xlfn.NUMBERVALUE(LEFT(C2994,2))</f>
        <v>4</v>
      </c>
      <c r="E2994">
        <f t="shared" ref="E2994" si="8614">_xlfn.NUMBERVALUE(MID(C2994,4,2))</f>
        <v>10</v>
      </c>
      <c r="F2994">
        <f t="shared" ref="F2994" si="8615">_xlfn.NUMBERVALUE(RIGHT(C2994,4))</f>
        <v>2024</v>
      </c>
      <c r="G2994" t="s">
        <v>7</v>
      </c>
      <c r="H2994">
        <v>-2</v>
      </c>
      <c r="K2994" t="s">
        <v>9</v>
      </c>
      <c r="L2994" s="8">
        <f t="shared" si="8475"/>
        <v>-1</v>
      </c>
      <c r="M2994" t="s">
        <v>3323</v>
      </c>
    </row>
    <row r="2995" spans="1:13" x14ac:dyDescent="0.35">
      <c r="A2995">
        <f t="shared" si="8454"/>
        <v>2991</v>
      </c>
      <c r="B2995" s="9">
        <f t="shared" ref="B2995" si="8616">B2994+H2995+I2995+J2995</f>
        <v>42.830000000000013</v>
      </c>
      <c r="C2995" s="3" t="s">
        <v>3314</v>
      </c>
      <c r="D2995">
        <f t="shared" ref="D2995" si="8617">_xlfn.NUMBERVALUE(LEFT(C2995,2))</f>
        <v>4</v>
      </c>
      <c r="E2995">
        <f t="shared" ref="E2995" si="8618">_xlfn.NUMBERVALUE(MID(C2995,4,2))</f>
        <v>10</v>
      </c>
      <c r="F2995">
        <f t="shared" ref="F2995" si="8619">_xlfn.NUMBERVALUE(RIGHT(C2995,4))</f>
        <v>2024</v>
      </c>
      <c r="G2995" t="s">
        <v>7</v>
      </c>
      <c r="H2995">
        <v>-2</v>
      </c>
      <c r="I2995">
        <v>6</v>
      </c>
      <c r="K2995" t="s">
        <v>10</v>
      </c>
      <c r="L2995" s="8">
        <f t="shared" si="8475"/>
        <v>2</v>
      </c>
      <c r="M2995" t="s">
        <v>3324</v>
      </c>
    </row>
    <row r="2996" spans="1:13" x14ac:dyDescent="0.35">
      <c r="A2996">
        <f t="shared" si="8454"/>
        <v>2992</v>
      </c>
      <c r="B2996" s="9">
        <f t="shared" ref="B2996" si="8620">B2995+H2996+I2996+J2996</f>
        <v>40.830000000000013</v>
      </c>
      <c r="C2996" s="3" t="s">
        <v>3314</v>
      </c>
      <c r="D2996">
        <f t="shared" ref="D2996" si="8621">_xlfn.NUMBERVALUE(LEFT(C2996,2))</f>
        <v>4</v>
      </c>
      <c r="E2996">
        <f t="shared" ref="E2996" si="8622">_xlfn.NUMBERVALUE(MID(C2996,4,2))</f>
        <v>10</v>
      </c>
      <c r="F2996">
        <f t="shared" ref="F2996" si="8623">_xlfn.NUMBERVALUE(RIGHT(C2996,4))</f>
        <v>2024</v>
      </c>
      <c r="G2996" t="s">
        <v>7</v>
      </c>
      <c r="H2996">
        <v>-2</v>
      </c>
      <c r="K2996" t="s">
        <v>9</v>
      </c>
      <c r="L2996" s="8">
        <f t="shared" si="8475"/>
        <v>-1</v>
      </c>
      <c r="M2996" t="s">
        <v>3325</v>
      </c>
    </row>
    <row r="2997" spans="1:13" x14ac:dyDescent="0.35">
      <c r="A2997">
        <f t="shared" si="8454"/>
        <v>2993</v>
      </c>
      <c r="B2997" s="9">
        <f t="shared" ref="B2997" si="8624">B2996+H2997+I2997+J2997</f>
        <v>38.830000000000013</v>
      </c>
      <c r="C2997" s="3" t="s">
        <v>3314</v>
      </c>
      <c r="D2997">
        <f t="shared" ref="D2997" si="8625">_xlfn.NUMBERVALUE(LEFT(C2997,2))</f>
        <v>4</v>
      </c>
      <c r="E2997">
        <f t="shared" ref="E2997" si="8626">_xlfn.NUMBERVALUE(MID(C2997,4,2))</f>
        <v>10</v>
      </c>
      <c r="F2997">
        <f t="shared" ref="F2997" si="8627">_xlfn.NUMBERVALUE(RIGHT(C2997,4))</f>
        <v>2024</v>
      </c>
      <c r="G2997" t="s">
        <v>7</v>
      </c>
      <c r="H2997">
        <v>-2</v>
      </c>
      <c r="K2997" t="s">
        <v>9</v>
      </c>
      <c r="L2997" s="8">
        <f t="shared" si="8475"/>
        <v>-1</v>
      </c>
      <c r="M2997" t="s">
        <v>3326</v>
      </c>
    </row>
    <row r="2998" spans="1:13" x14ac:dyDescent="0.35">
      <c r="A2998">
        <f t="shared" si="8454"/>
        <v>2994</v>
      </c>
      <c r="B2998" s="9">
        <f t="shared" ref="B2998" si="8628">B2997+H2998+I2998+J2998</f>
        <v>36.830000000000013</v>
      </c>
      <c r="C2998" s="3" t="s">
        <v>3314</v>
      </c>
      <c r="D2998">
        <f t="shared" ref="D2998" si="8629">_xlfn.NUMBERVALUE(LEFT(C2998,2))</f>
        <v>4</v>
      </c>
      <c r="E2998">
        <f t="shared" ref="E2998" si="8630">_xlfn.NUMBERVALUE(MID(C2998,4,2))</f>
        <v>10</v>
      </c>
      <c r="F2998">
        <f t="shared" ref="F2998" si="8631">_xlfn.NUMBERVALUE(RIGHT(C2998,4))</f>
        <v>2024</v>
      </c>
      <c r="G2998" t="s">
        <v>7</v>
      </c>
      <c r="H2998">
        <v>-2</v>
      </c>
      <c r="K2998" t="s">
        <v>9</v>
      </c>
      <c r="L2998" s="8">
        <f t="shared" si="8475"/>
        <v>-1</v>
      </c>
      <c r="M2998" t="s">
        <v>3327</v>
      </c>
    </row>
    <row r="2999" spans="1:13" x14ac:dyDescent="0.35">
      <c r="A2999">
        <f t="shared" si="8454"/>
        <v>2995</v>
      </c>
      <c r="B2999" s="9">
        <f t="shared" ref="B2999" si="8632">B2998+H2999+I2999+J2999</f>
        <v>34.830000000000013</v>
      </c>
      <c r="C2999" s="3" t="s">
        <v>3314</v>
      </c>
      <c r="D2999">
        <f t="shared" ref="D2999" si="8633">_xlfn.NUMBERVALUE(LEFT(C2999,2))</f>
        <v>4</v>
      </c>
      <c r="E2999">
        <f t="shared" ref="E2999" si="8634">_xlfn.NUMBERVALUE(MID(C2999,4,2))</f>
        <v>10</v>
      </c>
      <c r="F2999">
        <f t="shared" ref="F2999" si="8635">_xlfn.NUMBERVALUE(RIGHT(C2999,4))</f>
        <v>2024</v>
      </c>
      <c r="G2999" t="s">
        <v>7</v>
      </c>
      <c r="H2999">
        <v>-2</v>
      </c>
      <c r="K2999" t="s">
        <v>9</v>
      </c>
      <c r="L2999" s="8">
        <f t="shared" si="8475"/>
        <v>-1</v>
      </c>
      <c r="M2999" t="s">
        <v>3328</v>
      </c>
    </row>
    <row r="3000" spans="1:13" x14ac:dyDescent="0.35">
      <c r="A3000">
        <f t="shared" si="8454"/>
        <v>2996</v>
      </c>
      <c r="B3000" s="9">
        <f t="shared" ref="B3000" si="8636">B2999+H3000+I3000+J3000</f>
        <v>36.830000000000013</v>
      </c>
      <c r="C3000" s="3" t="s">
        <v>3314</v>
      </c>
      <c r="D3000">
        <f t="shared" ref="D3000" si="8637">_xlfn.NUMBERVALUE(LEFT(C3000,2))</f>
        <v>4</v>
      </c>
      <c r="E3000">
        <f t="shared" ref="E3000" si="8638">_xlfn.NUMBERVALUE(MID(C3000,4,2))</f>
        <v>10</v>
      </c>
      <c r="F3000">
        <f t="shared" ref="F3000" si="8639">_xlfn.NUMBERVALUE(RIGHT(C3000,4))</f>
        <v>2024</v>
      </c>
      <c r="G3000" t="s">
        <v>7</v>
      </c>
      <c r="H3000">
        <v>-2</v>
      </c>
      <c r="I3000">
        <v>4</v>
      </c>
      <c r="K3000" t="s">
        <v>10</v>
      </c>
      <c r="L3000" s="8">
        <f t="shared" si="8475"/>
        <v>1</v>
      </c>
      <c r="M3000" t="s">
        <v>3329</v>
      </c>
    </row>
    <row r="3001" spans="1:13" x14ac:dyDescent="0.35">
      <c r="A3001">
        <f t="shared" si="8454"/>
        <v>2997</v>
      </c>
      <c r="B3001" s="9">
        <f t="shared" ref="B3001" si="8640">B3000+H3001+I3001+J3001</f>
        <v>40.830000000000013</v>
      </c>
      <c r="C3001" s="3" t="s">
        <v>3314</v>
      </c>
      <c r="D3001">
        <f t="shared" ref="D3001" si="8641">_xlfn.NUMBERVALUE(LEFT(C3001,2))</f>
        <v>4</v>
      </c>
      <c r="E3001">
        <f t="shared" ref="E3001" si="8642">_xlfn.NUMBERVALUE(MID(C3001,4,2))</f>
        <v>10</v>
      </c>
      <c r="F3001">
        <f t="shared" ref="F3001" si="8643">_xlfn.NUMBERVALUE(RIGHT(C3001,4))</f>
        <v>2024</v>
      </c>
      <c r="G3001" t="s">
        <v>7</v>
      </c>
      <c r="H3001">
        <v>-2</v>
      </c>
      <c r="I3001">
        <v>6</v>
      </c>
      <c r="K3001" t="s">
        <v>10</v>
      </c>
      <c r="L3001" s="8">
        <f t="shared" si="8475"/>
        <v>2</v>
      </c>
      <c r="M3001" t="s">
        <v>3330</v>
      </c>
    </row>
    <row r="3002" spans="1:13" x14ac:dyDescent="0.35">
      <c r="A3002">
        <f t="shared" si="8454"/>
        <v>2998</v>
      </c>
      <c r="B3002" s="9">
        <f t="shared" ref="B3002" si="8644">B3001+H3002+I3002+J3002</f>
        <v>38.830000000000013</v>
      </c>
      <c r="C3002" s="3" t="s">
        <v>3314</v>
      </c>
      <c r="D3002">
        <f t="shared" ref="D3002" si="8645">_xlfn.NUMBERVALUE(LEFT(C3002,2))</f>
        <v>4</v>
      </c>
      <c r="E3002">
        <f t="shared" ref="E3002" si="8646">_xlfn.NUMBERVALUE(MID(C3002,4,2))</f>
        <v>10</v>
      </c>
      <c r="F3002">
        <f t="shared" ref="F3002" si="8647">_xlfn.NUMBERVALUE(RIGHT(C3002,4))</f>
        <v>2024</v>
      </c>
      <c r="G3002" t="s">
        <v>7</v>
      </c>
      <c r="H3002">
        <v>-2</v>
      </c>
      <c r="K3002" t="s">
        <v>9</v>
      </c>
      <c r="L3002" s="8">
        <f t="shared" si="8475"/>
        <v>-1</v>
      </c>
      <c r="M3002" t="s">
        <v>3331</v>
      </c>
    </row>
    <row r="3003" spans="1:13" x14ac:dyDescent="0.35">
      <c r="A3003">
        <f t="shared" si="8454"/>
        <v>2999</v>
      </c>
      <c r="B3003" s="9">
        <f t="shared" ref="B3003" si="8648">B3002+H3003+I3003+J3003</f>
        <v>36.830000000000013</v>
      </c>
      <c r="C3003" s="3" t="s">
        <v>3314</v>
      </c>
      <c r="D3003">
        <f t="shared" ref="D3003" si="8649">_xlfn.NUMBERVALUE(LEFT(C3003,2))</f>
        <v>4</v>
      </c>
      <c r="E3003">
        <f t="shared" ref="E3003" si="8650">_xlfn.NUMBERVALUE(MID(C3003,4,2))</f>
        <v>10</v>
      </c>
      <c r="F3003">
        <f t="shared" ref="F3003" si="8651">_xlfn.NUMBERVALUE(RIGHT(C3003,4))</f>
        <v>2024</v>
      </c>
      <c r="G3003" t="s">
        <v>7</v>
      </c>
      <c r="H3003">
        <v>-2</v>
      </c>
      <c r="K3003" t="s">
        <v>9</v>
      </c>
      <c r="L3003" s="8">
        <f t="shared" si="8475"/>
        <v>-1</v>
      </c>
      <c r="M3003" t="s">
        <v>3332</v>
      </c>
    </row>
    <row r="3004" spans="1:13" x14ac:dyDescent="0.35">
      <c r="A3004">
        <f t="shared" si="8454"/>
        <v>3000</v>
      </c>
      <c r="B3004" s="9">
        <f t="shared" ref="B3004" si="8652">B3003+H3004+I3004+J3004</f>
        <v>34.830000000000013</v>
      </c>
      <c r="C3004" s="3" t="s">
        <v>3314</v>
      </c>
      <c r="D3004">
        <f t="shared" ref="D3004" si="8653">_xlfn.NUMBERVALUE(LEFT(C3004,2))</f>
        <v>4</v>
      </c>
      <c r="E3004">
        <f t="shared" ref="E3004" si="8654">_xlfn.NUMBERVALUE(MID(C3004,4,2))</f>
        <v>10</v>
      </c>
      <c r="F3004">
        <f t="shared" ref="F3004" si="8655">_xlfn.NUMBERVALUE(RIGHT(C3004,4))</f>
        <v>2024</v>
      </c>
      <c r="G3004" t="s">
        <v>7</v>
      </c>
      <c r="H3004">
        <v>-2</v>
      </c>
      <c r="K3004" t="s">
        <v>9</v>
      </c>
      <c r="L3004" s="8">
        <f t="shared" si="8475"/>
        <v>-1</v>
      </c>
      <c r="M3004" t="s">
        <v>3333</v>
      </c>
    </row>
    <row r="3005" spans="1:13" x14ac:dyDescent="0.35">
      <c r="A3005">
        <f t="shared" si="8454"/>
        <v>3001</v>
      </c>
      <c r="B3005" s="9">
        <f t="shared" ref="B3005" si="8656">B3004+H3005+I3005+J3005</f>
        <v>32.830000000000013</v>
      </c>
      <c r="C3005" s="3" t="s">
        <v>3314</v>
      </c>
      <c r="D3005">
        <f t="shared" ref="D3005" si="8657">_xlfn.NUMBERVALUE(LEFT(C3005,2))</f>
        <v>4</v>
      </c>
      <c r="E3005">
        <f t="shared" ref="E3005" si="8658">_xlfn.NUMBERVALUE(MID(C3005,4,2))</f>
        <v>10</v>
      </c>
      <c r="F3005">
        <f t="shared" ref="F3005" si="8659">_xlfn.NUMBERVALUE(RIGHT(C3005,4))</f>
        <v>2024</v>
      </c>
      <c r="G3005" t="s">
        <v>7</v>
      </c>
      <c r="H3005">
        <v>-2</v>
      </c>
      <c r="K3005" t="s">
        <v>9</v>
      </c>
      <c r="L3005" s="8">
        <f t="shared" si="8475"/>
        <v>-1</v>
      </c>
      <c r="M3005" t="s">
        <v>3334</v>
      </c>
    </row>
    <row r="3006" spans="1:13" x14ac:dyDescent="0.35">
      <c r="A3006">
        <f t="shared" si="8454"/>
        <v>3002</v>
      </c>
      <c r="B3006" s="9">
        <f t="shared" ref="B3006" si="8660">B3005+H3006+I3006+J3006</f>
        <v>30.830000000000013</v>
      </c>
      <c r="C3006" s="3" t="s">
        <v>3314</v>
      </c>
      <c r="D3006">
        <f t="shared" ref="D3006" si="8661">_xlfn.NUMBERVALUE(LEFT(C3006,2))</f>
        <v>4</v>
      </c>
      <c r="E3006">
        <f t="shared" ref="E3006" si="8662">_xlfn.NUMBERVALUE(MID(C3006,4,2))</f>
        <v>10</v>
      </c>
      <c r="F3006">
        <f t="shared" ref="F3006" si="8663">_xlfn.NUMBERVALUE(RIGHT(C3006,4))</f>
        <v>2024</v>
      </c>
      <c r="G3006" t="s">
        <v>7</v>
      </c>
      <c r="H3006">
        <v>-2</v>
      </c>
      <c r="K3006" t="s">
        <v>9</v>
      </c>
      <c r="L3006" s="8">
        <f t="shared" si="8475"/>
        <v>-1</v>
      </c>
      <c r="M3006" t="s">
        <v>3335</v>
      </c>
    </row>
    <row r="3007" spans="1:13" x14ac:dyDescent="0.35">
      <c r="A3007">
        <f t="shared" si="8454"/>
        <v>3003</v>
      </c>
      <c r="B3007" s="9">
        <f t="shared" ref="B3007" si="8664">B3006+H3007+I3007+J3007</f>
        <v>28.830000000000013</v>
      </c>
      <c r="C3007" s="3" t="s">
        <v>3314</v>
      </c>
      <c r="D3007">
        <f t="shared" ref="D3007" si="8665">_xlfn.NUMBERVALUE(LEFT(C3007,2))</f>
        <v>4</v>
      </c>
      <c r="E3007">
        <f t="shared" ref="E3007" si="8666">_xlfn.NUMBERVALUE(MID(C3007,4,2))</f>
        <v>10</v>
      </c>
      <c r="F3007">
        <f t="shared" ref="F3007" si="8667">_xlfn.NUMBERVALUE(RIGHT(C3007,4))</f>
        <v>2024</v>
      </c>
      <c r="G3007" t="s">
        <v>7</v>
      </c>
      <c r="H3007">
        <v>-2</v>
      </c>
      <c r="K3007" t="s">
        <v>9</v>
      </c>
      <c r="L3007" s="8">
        <f t="shared" si="8475"/>
        <v>-1</v>
      </c>
      <c r="M3007" t="s">
        <v>3336</v>
      </c>
    </row>
    <row r="3008" spans="1:13" x14ac:dyDescent="0.35">
      <c r="A3008">
        <f t="shared" si="8454"/>
        <v>3004</v>
      </c>
      <c r="B3008" s="9">
        <f t="shared" ref="B3008" si="8668">B3007+H3008+I3008+J3008</f>
        <v>30.830000000000013</v>
      </c>
      <c r="C3008" s="3" t="s">
        <v>3314</v>
      </c>
      <c r="D3008">
        <f t="shared" ref="D3008" si="8669">_xlfn.NUMBERVALUE(LEFT(C3008,2))</f>
        <v>4</v>
      </c>
      <c r="E3008">
        <f t="shared" ref="E3008" si="8670">_xlfn.NUMBERVALUE(MID(C3008,4,2))</f>
        <v>10</v>
      </c>
      <c r="F3008">
        <f t="shared" ref="F3008" si="8671">_xlfn.NUMBERVALUE(RIGHT(C3008,4))</f>
        <v>2024</v>
      </c>
      <c r="G3008" t="s">
        <v>7</v>
      </c>
      <c r="H3008">
        <v>-2</v>
      </c>
      <c r="I3008">
        <v>4</v>
      </c>
      <c r="K3008" t="s">
        <v>10</v>
      </c>
      <c r="L3008" s="8">
        <f t="shared" si="8475"/>
        <v>1</v>
      </c>
      <c r="M3008" t="s">
        <v>3337</v>
      </c>
    </row>
    <row r="3009" spans="1:13" x14ac:dyDescent="0.35">
      <c r="A3009">
        <f t="shared" si="8454"/>
        <v>3005</v>
      </c>
      <c r="B3009" s="9">
        <f t="shared" ref="B3009" si="8672">B3008+H3009+I3009+J3009</f>
        <v>28.830000000000013</v>
      </c>
      <c r="C3009" s="3" t="s">
        <v>3340</v>
      </c>
      <c r="D3009">
        <f t="shared" ref="D3009" si="8673">_xlfn.NUMBERVALUE(LEFT(C3009,2))</f>
        <v>5</v>
      </c>
      <c r="E3009">
        <f t="shared" ref="E3009" si="8674">_xlfn.NUMBERVALUE(MID(C3009,4,2))</f>
        <v>10</v>
      </c>
      <c r="F3009">
        <f t="shared" ref="F3009" si="8675">_xlfn.NUMBERVALUE(RIGHT(C3009,4))</f>
        <v>2024</v>
      </c>
      <c r="G3009" t="s">
        <v>7</v>
      </c>
      <c r="H3009">
        <v>-2</v>
      </c>
      <c r="K3009" t="s">
        <v>9</v>
      </c>
      <c r="L3009" s="8">
        <f t="shared" si="8475"/>
        <v>-1</v>
      </c>
      <c r="M3009" t="s">
        <v>3338</v>
      </c>
    </row>
    <row r="3010" spans="1:13" x14ac:dyDescent="0.35">
      <c r="A3010">
        <f t="shared" si="8454"/>
        <v>3006</v>
      </c>
      <c r="B3010" s="9">
        <f t="shared" ref="B3010:B3011" si="8676">B3009+H3010+I3010+J3010</f>
        <v>28.830000000000013</v>
      </c>
      <c r="C3010" s="3" t="s">
        <v>3340</v>
      </c>
      <c r="D3010">
        <f t="shared" ref="D3010:D3011" si="8677">_xlfn.NUMBERVALUE(LEFT(C3010,2))</f>
        <v>5</v>
      </c>
      <c r="E3010">
        <f t="shared" ref="E3010:E3011" si="8678">_xlfn.NUMBERVALUE(MID(C3010,4,2))</f>
        <v>10</v>
      </c>
      <c r="F3010">
        <f t="shared" ref="F3010:F3011" si="8679">_xlfn.NUMBERVALUE(RIGHT(C3010,4))</f>
        <v>2024</v>
      </c>
      <c r="G3010" t="s">
        <v>3039</v>
      </c>
      <c r="K3010" t="s">
        <v>9</v>
      </c>
      <c r="L3010" s="8">
        <f t="shared" si="8475"/>
        <v>0</v>
      </c>
      <c r="M3010" t="s">
        <v>3339</v>
      </c>
    </row>
    <row r="3011" spans="1:13" x14ac:dyDescent="0.35">
      <c r="A3011">
        <f t="shared" si="8454"/>
        <v>3007</v>
      </c>
      <c r="B3011" s="9">
        <f t="shared" si="8676"/>
        <v>26.830000000000013</v>
      </c>
      <c r="C3011" s="3" t="s">
        <v>3340</v>
      </c>
      <c r="D3011">
        <f t="shared" si="8677"/>
        <v>5</v>
      </c>
      <c r="E3011">
        <f t="shared" si="8678"/>
        <v>10</v>
      </c>
      <c r="F3011">
        <f t="shared" si="8679"/>
        <v>2024</v>
      </c>
      <c r="G3011" t="s">
        <v>7</v>
      </c>
      <c r="H3011">
        <v>-2</v>
      </c>
      <c r="K3011" t="s">
        <v>9</v>
      </c>
      <c r="L3011" s="8">
        <f t="shared" si="8475"/>
        <v>-1</v>
      </c>
      <c r="M3011" t="s">
        <v>3341</v>
      </c>
    </row>
    <row r="3012" spans="1:13" x14ac:dyDescent="0.35">
      <c r="A3012">
        <f t="shared" si="8454"/>
        <v>3008</v>
      </c>
      <c r="B3012" s="9">
        <f t="shared" ref="B3012" si="8680">B3011+H3012+I3012+J3012</f>
        <v>28.830000000000013</v>
      </c>
      <c r="C3012" s="3" t="s">
        <v>3340</v>
      </c>
      <c r="D3012">
        <f t="shared" ref="D3012" si="8681">_xlfn.NUMBERVALUE(LEFT(C3012,2))</f>
        <v>5</v>
      </c>
      <c r="E3012">
        <f t="shared" ref="E3012" si="8682">_xlfn.NUMBERVALUE(MID(C3012,4,2))</f>
        <v>10</v>
      </c>
      <c r="F3012">
        <f t="shared" ref="F3012" si="8683">_xlfn.NUMBERVALUE(RIGHT(C3012,4))</f>
        <v>2024</v>
      </c>
      <c r="G3012" t="s">
        <v>7</v>
      </c>
      <c r="H3012">
        <v>-2</v>
      </c>
      <c r="I3012">
        <v>4</v>
      </c>
      <c r="K3012" t="s">
        <v>10</v>
      </c>
      <c r="L3012" s="8">
        <f t="shared" si="8475"/>
        <v>1</v>
      </c>
      <c r="M3012" t="s">
        <v>3342</v>
      </c>
    </row>
    <row r="3013" spans="1:13" x14ac:dyDescent="0.35">
      <c r="A3013">
        <f t="shared" si="8454"/>
        <v>3009</v>
      </c>
      <c r="B3013" s="9">
        <f t="shared" ref="B3013" si="8684">B3012+H3013+I3013+J3013</f>
        <v>30.830000000000013</v>
      </c>
      <c r="C3013" s="3" t="s">
        <v>3340</v>
      </c>
      <c r="D3013">
        <f t="shared" ref="D3013" si="8685">_xlfn.NUMBERVALUE(LEFT(C3013,2))</f>
        <v>5</v>
      </c>
      <c r="E3013">
        <f t="shared" ref="E3013" si="8686">_xlfn.NUMBERVALUE(MID(C3013,4,2))</f>
        <v>10</v>
      </c>
      <c r="F3013">
        <f t="shared" ref="F3013" si="8687">_xlfn.NUMBERVALUE(RIGHT(C3013,4))</f>
        <v>2024</v>
      </c>
      <c r="G3013" t="s">
        <v>7</v>
      </c>
      <c r="H3013">
        <v>-2</v>
      </c>
      <c r="I3013">
        <v>4</v>
      </c>
      <c r="K3013" t="s">
        <v>10</v>
      </c>
      <c r="L3013" s="8">
        <f t="shared" si="8475"/>
        <v>1</v>
      </c>
      <c r="M3013" t="s">
        <v>3343</v>
      </c>
    </row>
    <row r="3014" spans="1:13" x14ac:dyDescent="0.35">
      <c r="A3014">
        <f t="shared" si="8454"/>
        <v>3010</v>
      </c>
      <c r="B3014" s="9">
        <f t="shared" ref="B3014" si="8688">B3013+H3014+I3014+J3014</f>
        <v>28.830000000000013</v>
      </c>
      <c r="C3014" s="3" t="s">
        <v>3340</v>
      </c>
      <c r="D3014">
        <f t="shared" ref="D3014" si="8689">_xlfn.NUMBERVALUE(LEFT(C3014,2))</f>
        <v>5</v>
      </c>
      <c r="E3014">
        <f t="shared" ref="E3014" si="8690">_xlfn.NUMBERVALUE(MID(C3014,4,2))</f>
        <v>10</v>
      </c>
      <c r="F3014">
        <f t="shared" ref="F3014" si="8691">_xlfn.NUMBERVALUE(RIGHT(C3014,4))</f>
        <v>2024</v>
      </c>
      <c r="G3014" t="s">
        <v>7</v>
      </c>
      <c r="H3014">
        <v>-2</v>
      </c>
      <c r="K3014" t="s">
        <v>9</v>
      </c>
      <c r="L3014" s="8">
        <f t="shared" ref="L3014:L3077" si="8692">IF(H3014="",0,(SUM(I3014:J3014)/-H3014)-1)</f>
        <v>-1</v>
      </c>
      <c r="M3014" t="s">
        <v>3344</v>
      </c>
    </row>
    <row r="3015" spans="1:13" x14ac:dyDescent="0.35">
      <c r="A3015">
        <f t="shared" si="8454"/>
        <v>3011</v>
      </c>
      <c r="B3015" s="9">
        <f t="shared" ref="B3015" si="8693">B3014+H3015+I3015+J3015</f>
        <v>26.830000000000013</v>
      </c>
      <c r="C3015" s="3" t="s">
        <v>3340</v>
      </c>
      <c r="D3015">
        <f t="shared" ref="D3015" si="8694">_xlfn.NUMBERVALUE(LEFT(C3015,2))</f>
        <v>5</v>
      </c>
      <c r="E3015">
        <f t="shared" ref="E3015" si="8695">_xlfn.NUMBERVALUE(MID(C3015,4,2))</f>
        <v>10</v>
      </c>
      <c r="F3015">
        <f t="shared" ref="F3015" si="8696">_xlfn.NUMBERVALUE(RIGHT(C3015,4))</f>
        <v>2024</v>
      </c>
      <c r="G3015" t="s">
        <v>7</v>
      </c>
      <c r="H3015">
        <v>-2</v>
      </c>
      <c r="K3015" t="s">
        <v>9</v>
      </c>
      <c r="L3015" s="8">
        <f t="shared" si="8692"/>
        <v>-1</v>
      </c>
      <c r="M3015" t="s">
        <v>3345</v>
      </c>
    </row>
    <row r="3016" spans="1:13" x14ac:dyDescent="0.35">
      <c r="A3016">
        <f t="shared" si="8454"/>
        <v>3012</v>
      </c>
      <c r="B3016" s="9">
        <f t="shared" ref="B3016" si="8697">B3015+H3016+I3016+J3016</f>
        <v>24.830000000000013</v>
      </c>
      <c r="C3016" s="3" t="s">
        <v>3340</v>
      </c>
      <c r="D3016">
        <f t="shared" ref="D3016" si="8698">_xlfn.NUMBERVALUE(LEFT(C3016,2))</f>
        <v>5</v>
      </c>
      <c r="E3016">
        <f t="shared" ref="E3016" si="8699">_xlfn.NUMBERVALUE(MID(C3016,4,2))</f>
        <v>10</v>
      </c>
      <c r="F3016">
        <f t="shared" ref="F3016" si="8700">_xlfn.NUMBERVALUE(RIGHT(C3016,4))</f>
        <v>2024</v>
      </c>
      <c r="G3016" t="s">
        <v>7</v>
      </c>
      <c r="H3016">
        <v>-2</v>
      </c>
      <c r="K3016" t="s">
        <v>9</v>
      </c>
      <c r="L3016" s="8">
        <f t="shared" si="8692"/>
        <v>-1</v>
      </c>
      <c r="M3016" t="s">
        <v>3346</v>
      </c>
    </row>
    <row r="3017" spans="1:13" x14ac:dyDescent="0.35">
      <c r="A3017">
        <f t="shared" si="8454"/>
        <v>3013</v>
      </c>
      <c r="B3017" s="9">
        <f t="shared" ref="B3017:B3018" si="8701">B3016+H3017+I3017+J3017</f>
        <v>26.830000000000013</v>
      </c>
      <c r="C3017" s="3" t="s">
        <v>3347</v>
      </c>
      <c r="D3017">
        <f t="shared" ref="D3017:D3018" si="8702">_xlfn.NUMBERVALUE(LEFT(C3017,2))</f>
        <v>6</v>
      </c>
      <c r="E3017">
        <f t="shared" ref="E3017:E3018" si="8703">_xlfn.NUMBERVALUE(MID(C3017,4,2))</f>
        <v>10</v>
      </c>
      <c r="F3017">
        <f t="shared" ref="F3017:F3018" si="8704">_xlfn.NUMBERVALUE(RIGHT(C3017,4))</f>
        <v>2024</v>
      </c>
      <c r="G3017" t="s">
        <v>7</v>
      </c>
      <c r="H3017">
        <v>-2</v>
      </c>
      <c r="I3017">
        <v>4</v>
      </c>
      <c r="K3017" t="s">
        <v>10</v>
      </c>
      <c r="L3017" s="8">
        <f t="shared" si="8692"/>
        <v>1</v>
      </c>
      <c r="M3017" t="s">
        <v>3348</v>
      </c>
    </row>
    <row r="3018" spans="1:13" x14ac:dyDescent="0.35">
      <c r="A3018">
        <f t="shared" si="8454"/>
        <v>3014</v>
      </c>
      <c r="B3018" s="9">
        <f t="shared" si="8701"/>
        <v>26.830000000000013</v>
      </c>
      <c r="C3018" s="3" t="s">
        <v>3347</v>
      </c>
      <c r="D3018">
        <f t="shared" si="8702"/>
        <v>6</v>
      </c>
      <c r="E3018">
        <f t="shared" si="8703"/>
        <v>10</v>
      </c>
      <c r="F3018">
        <f t="shared" si="8704"/>
        <v>2024</v>
      </c>
      <c r="G3018" t="s">
        <v>3039</v>
      </c>
      <c r="K3018" t="s">
        <v>9</v>
      </c>
      <c r="L3018" s="8">
        <f t="shared" si="8692"/>
        <v>0</v>
      </c>
      <c r="M3018" t="s">
        <v>3349</v>
      </c>
    </row>
    <row r="3019" spans="1:13" x14ac:dyDescent="0.35">
      <c r="A3019">
        <f t="shared" si="8454"/>
        <v>3015</v>
      </c>
      <c r="B3019" s="9">
        <f t="shared" ref="B3019:B3020" si="8705">B3018+H3019+I3019+J3019</f>
        <v>24.830000000000013</v>
      </c>
      <c r="C3019" s="3" t="s">
        <v>3350</v>
      </c>
      <c r="D3019">
        <f t="shared" ref="D3019:D3020" si="8706">_xlfn.NUMBERVALUE(LEFT(C3019,2))</f>
        <v>7</v>
      </c>
      <c r="E3019">
        <f t="shared" ref="E3019:E3020" si="8707">_xlfn.NUMBERVALUE(MID(C3019,4,2))</f>
        <v>10</v>
      </c>
      <c r="F3019">
        <f t="shared" ref="F3019:F3020" si="8708">_xlfn.NUMBERVALUE(RIGHT(C3019,4))</f>
        <v>2024</v>
      </c>
      <c r="G3019" t="s">
        <v>7</v>
      </c>
      <c r="H3019">
        <v>-2</v>
      </c>
      <c r="K3019" t="s">
        <v>9</v>
      </c>
      <c r="L3019" s="8">
        <f t="shared" si="8692"/>
        <v>-1</v>
      </c>
      <c r="M3019" t="s">
        <v>3351</v>
      </c>
    </row>
    <row r="3020" spans="1:13" x14ac:dyDescent="0.35">
      <c r="A3020">
        <f t="shared" si="8454"/>
        <v>3016</v>
      </c>
      <c r="B3020" s="9">
        <f t="shared" si="8705"/>
        <v>24.830000000000013</v>
      </c>
      <c r="C3020" s="3" t="s">
        <v>3350</v>
      </c>
      <c r="D3020">
        <f t="shared" si="8706"/>
        <v>7</v>
      </c>
      <c r="E3020">
        <f t="shared" si="8707"/>
        <v>10</v>
      </c>
      <c r="F3020">
        <f t="shared" si="8708"/>
        <v>2024</v>
      </c>
      <c r="G3020" t="s">
        <v>3039</v>
      </c>
      <c r="K3020" t="s">
        <v>10</v>
      </c>
      <c r="L3020" s="8">
        <f t="shared" si="8692"/>
        <v>0</v>
      </c>
      <c r="M3020" t="s">
        <v>3352</v>
      </c>
    </row>
    <row r="3021" spans="1:13" x14ac:dyDescent="0.35">
      <c r="A3021">
        <f t="shared" si="8454"/>
        <v>3017</v>
      </c>
      <c r="B3021" s="9">
        <f t="shared" ref="B3021:B3022" si="8709">B3020+H3021+I3021+J3021</f>
        <v>24.830000000000013</v>
      </c>
      <c r="C3021" s="3" t="s">
        <v>3350</v>
      </c>
      <c r="D3021">
        <f t="shared" ref="D3021:D3022" si="8710">_xlfn.NUMBERVALUE(LEFT(C3021,2))</f>
        <v>7</v>
      </c>
      <c r="E3021">
        <f t="shared" ref="E3021:E3022" si="8711">_xlfn.NUMBERVALUE(MID(C3021,4,2))</f>
        <v>10</v>
      </c>
      <c r="F3021">
        <f t="shared" ref="F3021:F3022" si="8712">_xlfn.NUMBERVALUE(RIGHT(C3021,4))</f>
        <v>2024</v>
      </c>
      <c r="G3021" t="s">
        <v>2969</v>
      </c>
      <c r="K3021" t="s">
        <v>9</v>
      </c>
      <c r="L3021" s="8">
        <f t="shared" si="8692"/>
        <v>0</v>
      </c>
      <c r="M3021" t="s">
        <v>3353</v>
      </c>
    </row>
    <row r="3022" spans="1:13" x14ac:dyDescent="0.35">
      <c r="A3022">
        <f t="shared" si="8454"/>
        <v>3018</v>
      </c>
      <c r="B3022" s="9">
        <f t="shared" si="8709"/>
        <v>22.830000000000013</v>
      </c>
      <c r="C3022" s="3" t="s">
        <v>3350</v>
      </c>
      <c r="D3022">
        <f t="shared" si="8710"/>
        <v>7</v>
      </c>
      <c r="E3022">
        <f t="shared" si="8711"/>
        <v>10</v>
      </c>
      <c r="F3022">
        <f t="shared" si="8712"/>
        <v>2024</v>
      </c>
      <c r="G3022" t="s">
        <v>7</v>
      </c>
      <c r="H3022">
        <v>-2</v>
      </c>
      <c r="K3022" t="s">
        <v>9</v>
      </c>
      <c r="L3022" s="8">
        <f t="shared" si="8692"/>
        <v>-1</v>
      </c>
      <c r="M3022" t="s">
        <v>3354</v>
      </c>
    </row>
    <row r="3023" spans="1:13" x14ac:dyDescent="0.35">
      <c r="A3023">
        <f t="shared" si="8454"/>
        <v>3019</v>
      </c>
      <c r="B3023" s="9">
        <f t="shared" ref="B3023" si="8713">B3022+H3023+I3023+J3023</f>
        <v>20.830000000000013</v>
      </c>
      <c r="C3023" s="3" t="s">
        <v>3350</v>
      </c>
      <c r="D3023">
        <f t="shared" ref="D3023" si="8714">_xlfn.NUMBERVALUE(LEFT(C3023,2))</f>
        <v>7</v>
      </c>
      <c r="E3023">
        <f t="shared" ref="E3023" si="8715">_xlfn.NUMBERVALUE(MID(C3023,4,2))</f>
        <v>10</v>
      </c>
      <c r="F3023">
        <f t="shared" ref="F3023" si="8716">_xlfn.NUMBERVALUE(RIGHT(C3023,4))</f>
        <v>2024</v>
      </c>
      <c r="G3023" t="s">
        <v>7</v>
      </c>
      <c r="H3023">
        <v>-2</v>
      </c>
      <c r="K3023" t="s">
        <v>9</v>
      </c>
      <c r="L3023" s="8">
        <f t="shared" si="8692"/>
        <v>-1</v>
      </c>
      <c r="M3023" t="s">
        <v>3355</v>
      </c>
    </row>
    <row r="3024" spans="1:13" x14ac:dyDescent="0.35">
      <c r="A3024">
        <f t="shared" si="8454"/>
        <v>3020</v>
      </c>
      <c r="B3024" s="9">
        <f t="shared" ref="B3024" si="8717">B3023+H3024+I3024+J3024</f>
        <v>18.830000000000013</v>
      </c>
      <c r="C3024" s="3" t="s">
        <v>3350</v>
      </c>
      <c r="D3024">
        <f t="shared" ref="D3024" si="8718">_xlfn.NUMBERVALUE(LEFT(C3024,2))</f>
        <v>7</v>
      </c>
      <c r="E3024">
        <f t="shared" ref="E3024" si="8719">_xlfn.NUMBERVALUE(MID(C3024,4,2))</f>
        <v>10</v>
      </c>
      <c r="F3024">
        <f t="shared" ref="F3024" si="8720">_xlfn.NUMBERVALUE(RIGHT(C3024,4))</f>
        <v>2024</v>
      </c>
      <c r="G3024" t="s">
        <v>7</v>
      </c>
      <c r="H3024">
        <v>-2</v>
      </c>
      <c r="K3024" t="s">
        <v>9</v>
      </c>
      <c r="L3024" s="8">
        <f t="shared" si="8692"/>
        <v>-1</v>
      </c>
      <c r="M3024" t="s">
        <v>3356</v>
      </c>
    </row>
    <row r="3025" spans="1:13" x14ac:dyDescent="0.35">
      <c r="A3025">
        <f t="shared" si="8454"/>
        <v>3021</v>
      </c>
      <c r="B3025" s="9">
        <f t="shared" ref="B3025" si="8721">B3024+H3025+I3025+J3025</f>
        <v>16.830000000000013</v>
      </c>
      <c r="C3025" s="3" t="s">
        <v>3350</v>
      </c>
      <c r="D3025">
        <f t="shared" ref="D3025" si="8722">_xlfn.NUMBERVALUE(LEFT(C3025,2))</f>
        <v>7</v>
      </c>
      <c r="E3025">
        <f t="shared" ref="E3025" si="8723">_xlfn.NUMBERVALUE(MID(C3025,4,2))</f>
        <v>10</v>
      </c>
      <c r="F3025">
        <f t="shared" ref="F3025" si="8724">_xlfn.NUMBERVALUE(RIGHT(C3025,4))</f>
        <v>2024</v>
      </c>
      <c r="G3025" t="s">
        <v>7</v>
      </c>
      <c r="H3025">
        <v>-2</v>
      </c>
      <c r="K3025" t="s">
        <v>9</v>
      </c>
      <c r="L3025" s="8">
        <f t="shared" si="8692"/>
        <v>-1</v>
      </c>
      <c r="M3025" t="s">
        <v>3357</v>
      </c>
    </row>
    <row r="3026" spans="1:13" x14ac:dyDescent="0.35">
      <c r="A3026">
        <f t="shared" si="8454"/>
        <v>3022</v>
      </c>
      <c r="B3026" s="9">
        <f t="shared" ref="B3026" si="8725">B3025+H3026+I3026+J3026</f>
        <v>14.830000000000013</v>
      </c>
      <c r="C3026" s="3" t="s">
        <v>3350</v>
      </c>
      <c r="D3026">
        <f t="shared" ref="D3026" si="8726">_xlfn.NUMBERVALUE(LEFT(C3026,2))</f>
        <v>7</v>
      </c>
      <c r="E3026">
        <f t="shared" ref="E3026" si="8727">_xlfn.NUMBERVALUE(MID(C3026,4,2))</f>
        <v>10</v>
      </c>
      <c r="F3026">
        <f t="shared" ref="F3026" si="8728">_xlfn.NUMBERVALUE(RIGHT(C3026,4))</f>
        <v>2024</v>
      </c>
      <c r="G3026" t="s">
        <v>7</v>
      </c>
      <c r="H3026">
        <v>-2</v>
      </c>
      <c r="K3026" t="s">
        <v>9</v>
      </c>
      <c r="L3026" s="8">
        <f t="shared" si="8692"/>
        <v>-1</v>
      </c>
      <c r="M3026" t="s">
        <v>3358</v>
      </c>
    </row>
    <row r="3027" spans="1:13" x14ac:dyDescent="0.35">
      <c r="A3027">
        <f t="shared" si="8454"/>
        <v>3023</v>
      </c>
      <c r="B3027" s="9">
        <f t="shared" ref="B3027" si="8729">B3026+H3027+I3027+J3027</f>
        <v>12.830000000000013</v>
      </c>
      <c r="C3027" s="3" t="s">
        <v>3350</v>
      </c>
      <c r="D3027">
        <f t="shared" ref="D3027" si="8730">_xlfn.NUMBERVALUE(LEFT(C3027,2))</f>
        <v>7</v>
      </c>
      <c r="E3027">
        <f t="shared" ref="E3027" si="8731">_xlfn.NUMBERVALUE(MID(C3027,4,2))</f>
        <v>10</v>
      </c>
      <c r="F3027">
        <f t="shared" ref="F3027" si="8732">_xlfn.NUMBERVALUE(RIGHT(C3027,4))</f>
        <v>2024</v>
      </c>
      <c r="G3027" t="s">
        <v>7</v>
      </c>
      <c r="H3027">
        <v>-2</v>
      </c>
      <c r="K3027" t="s">
        <v>9</v>
      </c>
      <c r="L3027" s="8">
        <f t="shared" si="8692"/>
        <v>-1</v>
      </c>
      <c r="M3027" t="s">
        <v>3359</v>
      </c>
    </row>
    <row r="3028" spans="1:13" x14ac:dyDescent="0.35">
      <c r="A3028">
        <f t="shared" si="8454"/>
        <v>3024</v>
      </c>
      <c r="B3028" s="9">
        <f t="shared" ref="B3028" si="8733">B3027+H3028+I3028+J3028</f>
        <v>10.830000000000013</v>
      </c>
      <c r="C3028" s="3" t="s">
        <v>3350</v>
      </c>
      <c r="D3028">
        <f t="shared" ref="D3028" si="8734">_xlfn.NUMBERVALUE(LEFT(C3028,2))</f>
        <v>7</v>
      </c>
      <c r="E3028">
        <f t="shared" ref="E3028" si="8735">_xlfn.NUMBERVALUE(MID(C3028,4,2))</f>
        <v>10</v>
      </c>
      <c r="F3028">
        <f t="shared" ref="F3028" si="8736">_xlfn.NUMBERVALUE(RIGHT(C3028,4))</f>
        <v>2024</v>
      </c>
      <c r="G3028" t="s">
        <v>7</v>
      </c>
      <c r="H3028">
        <v>-2</v>
      </c>
      <c r="K3028" t="s">
        <v>9</v>
      </c>
      <c r="L3028" s="8">
        <f t="shared" si="8692"/>
        <v>-1</v>
      </c>
      <c r="M3028" t="s">
        <v>3360</v>
      </c>
    </row>
    <row r="3029" spans="1:13" x14ac:dyDescent="0.35">
      <c r="A3029">
        <f t="shared" si="8454"/>
        <v>3025</v>
      </c>
      <c r="B3029" s="9">
        <f t="shared" ref="B3029" si="8737">B3028+H3029+I3029+J3029</f>
        <v>0.83000000000001251</v>
      </c>
      <c r="C3029" s="3" t="s">
        <v>3350</v>
      </c>
      <c r="D3029">
        <f t="shared" ref="D3029" si="8738">_xlfn.NUMBERVALUE(LEFT(C3029,2))</f>
        <v>7</v>
      </c>
      <c r="E3029">
        <f t="shared" ref="E3029" si="8739">_xlfn.NUMBERVALUE(MID(C3029,4,2))</f>
        <v>10</v>
      </c>
      <c r="F3029">
        <f t="shared" ref="F3029" si="8740">_xlfn.NUMBERVALUE(RIGHT(C3029,4))</f>
        <v>2024</v>
      </c>
      <c r="G3029" t="s">
        <v>7</v>
      </c>
      <c r="H3029">
        <v>-10</v>
      </c>
      <c r="K3029" t="s">
        <v>9</v>
      </c>
      <c r="L3029" s="8">
        <f t="shared" si="8692"/>
        <v>-1</v>
      </c>
      <c r="M3029" t="s">
        <v>3361</v>
      </c>
    </row>
    <row r="3030" spans="1:13" x14ac:dyDescent="0.35">
      <c r="A3030">
        <f t="shared" si="8454"/>
        <v>3026</v>
      </c>
      <c r="B3030" s="9">
        <f>B3029+H3030+I3030+J3030</f>
        <v>30.050000000000011</v>
      </c>
      <c r="C3030" s="3" t="s">
        <v>3363</v>
      </c>
      <c r="D3030">
        <f t="shared" ref="D3030:D3032" si="8741">_xlfn.NUMBERVALUE(LEFT(C3030,2))</f>
        <v>8</v>
      </c>
      <c r="E3030">
        <f t="shared" ref="E3030:E3032" si="8742">_xlfn.NUMBERVALUE(MID(C3030,4,2))</f>
        <v>10</v>
      </c>
      <c r="F3030">
        <f t="shared" ref="F3030:F3032" si="8743">_xlfn.NUMBERVALUE(RIGHT(C3030,4))</f>
        <v>2024</v>
      </c>
      <c r="G3030" t="s">
        <v>3362</v>
      </c>
      <c r="I3030">
        <v>29.22</v>
      </c>
      <c r="L3030" s="8"/>
    </row>
    <row r="3031" spans="1:13" x14ac:dyDescent="0.35">
      <c r="A3031">
        <f t="shared" si="8454"/>
        <v>3027</v>
      </c>
      <c r="B3031" s="9">
        <f t="shared" ref="B3031:B3032" si="8744">B3030+H3031+I3031+J3031</f>
        <v>32.050000000000011</v>
      </c>
      <c r="C3031" s="3" t="s">
        <v>3363</v>
      </c>
      <c r="D3031">
        <f t="shared" si="8741"/>
        <v>8</v>
      </c>
      <c r="E3031">
        <f t="shared" si="8742"/>
        <v>10</v>
      </c>
      <c r="F3031">
        <f t="shared" si="8743"/>
        <v>2024</v>
      </c>
      <c r="G3031" t="s">
        <v>7</v>
      </c>
      <c r="H3031">
        <v>-2</v>
      </c>
      <c r="I3031">
        <v>4</v>
      </c>
      <c r="K3031" t="s">
        <v>10</v>
      </c>
      <c r="L3031" s="8">
        <f t="shared" si="8692"/>
        <v>1</v>
      </c>
      <c r="M3031" t="s">
        <v>3364</v>
      </c>
    </row>
    <row r="3032" spans="1:13" x14ac:dyDescent="0.35">
      <c r="A3032">
        <f t="shared" si="8454"/>
        <v>3028</v>
      </c>
      <c r="B3032" s="9">
        <f t="shared" si="8744"/>
        <v>32.050000000000011</v>
      </c>
      <c r="C3032" s="3" t="s">
        <v>3363</v>
      </c>
      <c r="D3032">
        <f t="shared" si="8741"/>
        <v>8</v>
      </c>
      <c r="E3032">
        <f t="shared" si="8742"/>
        <v>10</v>
      </c>
      <c r="F3032">
        <f t="shared" si="8743"/>
        <v>2024</v>
      </c>
      <c r="G3032" t="s">
        <v>3039</v>
      </c>
      <c r="H3032" s="9"/>
      <c r="K3032" t="s">
        <v>9</v>
      </c>
      <c r="L3032" s="8">
        <f t="shared" si="8692"/>
        <v>0</v>
      </c>
      <c r="M3032" t="s">
        <v>3365</v>
      </c>
    </row>
    <row r="3033" spans="1:13" x14ac:dyDescent="0.35">
      <c r="A3033">
        <f t="shared" si="8454"/>
        <v>3029</v>
      </c>
      <c r="B3033" s="9">
        <f t="shared" ref="B3033:B3034" si="8745">B3032+H3033+I3033+J3033</f>
        <v>30.050000000000011</v>
      </c>
      <c r="C3033" s="3" t="s">
        <v>3367</v>
      </c>
      <c r="D3033">
        <f t="shared" ref="D3033:D3034" si="8746">_xlfn.NUMBERVALUE(LEFT(C3033,2))</f>
        <v>9</v>
      </c>
      <c r="E3033">
        <f t="shared" ref="E3033:E3034" si="8747">_xlfn.NUMBERVALUE(MID(C3033,4,2))</f>
        <v>10</v>
      </c>
      <c r="F3033">
        <f t="shared" ref="F3033:F3034" si="8748">_xlfn.NUMBERVALUE(RIGHT(C3033,4))</f>
        <v>2024</v>
      </c>
      <c r="G3033" t="s">
        <v>7</v>
      </c>
      <c r="H3033">
        <v>-2</v>
      </c>
      <c r="K3033" t="s">
        <v>9</v>
      </c>
      <c r="L3033" s="8">
        <f t="shared" si="8692"/>
        <v>-1</v>
      </c>
      <c r="M3033" t="s">
        <v>3366</v>
      </c>
    </row>
    <row r="3034" spans="1:13" x14ac:dyDescent="0.35">
      <c r="A3034">
        <f t="shared" si="8454"/>
        <v>3030</v>
      </c>
      <c r="B3034" s="9">
        <f t="shared" si="8745"/>
        <v>30.050000000000011</v>
      </c>
      <c r="C3034" s="3" t="s">
        <v>3367</v>
      </c>
      <c r="D3034">
        <f t="shared" si="8746"/>
        <v>9</v>
      </c>
      <c r="E3034">
        <f t="shared" si="8747"/>
        <v>10</v>
      </c>
      <c r="F3034">
        <f t="shared" si="8748"/>
        <v>2024</v>
      </c>
      <c r="G3034" t="s">
        <v>3039</v>
      </c>
      <c r="K3034" t="s">
        <v>9</v>
      </c>
      <c r="L3034" s="8">
        <f t="shared" si="8692"/>
        <v>0</v>
      </c>
      <c r="M3034" t="s">
        <v>3368</v>
      </c>
    </row>
    <row r="3035" spans="1:13" x14ac:dyDescent="0.35">
      <c r="A3035">
        <f t="shared" si="8454"/>
        <v>3031</v>
      </c>
      <c r="B3035" s="9">
        <f t="shared" ref="B3035" si="8749">B3034+H3035+I3035+J3035</f>
        <v>28.050000000000011</v>
      </c>
      <c r="C3035" s="3" t="s">
        <v>3367</v>
      </c>
      <c r="D3035">
        <f t="shared" ref="D3035" si="8750">_xlfn.NUMBERVALUE(LEFT(C3035,2))</f>
        <v>9</v>
      </c>
      <c r="E3035">
        <f t="shared" ref="E3035" si="8751">_xlfn.NUMBERVALUE(MID(C3035,4,2))</f>
        <v>10</v>
      </c>
      <c r="F3035">
        <f t="shared" ref="F3035" si="8752">_xlfn.NUMBERVALUE(RIGHT(C3035,4))</f>
        <v>2024</v>
      </c>
      <c r="G3035" t="s">
        <v>7</v>
      </c>
      <c r="H3035">
        <v>-2</v>
      </c>
      <c r="K3035" t="s">
        <v>9</v>
      </c>
      <c r="L3035" s="8">
        <f t="shared" si="8692"/>
        <v>-1</v>
      </c>
      <c r="M3035" t="s">
        <v>3369</v>
      </c>
    </row>
    <row r="3036" spans="1:13" x14ac:dyDescent="0.35">
      <c r="A3036">
        <f t="shared" si="8454"/>
        <v>3032</v>
      </c>
      <c r="B3036" s="9">
        <f t="shared" ref="B3036" si="8753">B3035+H3036+I3036+J3036</f>
        <v>26.050000000000011</v>
      </c>
      <c r="C3036" s="3" t="s">
        <v>3367</v>
      </c>
      <c r="D3036">
        <f t="shared" ref="D3036" si="8754">_xlfn.NUMBERVALUE(LEFT(C3036,2))</f>
        <v>9</v>
      </c>
      <c r="E3036">
        <f t="shared" ref="E3036" si="8755">_xlfn.NUMBERVALUE(MID(C3036,4,2))</f>
        <v>10</v>
      </c>
      <c r="F3036">
        <f t="shared" ref="F3036" si="8756">_xlfn.NUMBERVALUE(RIGHT(C3036,4))</f>
        <v>2024</v>
      </c>
      <c r="G3036" t="s">
        <v>7</v>
      </c>
      <c r="H3036">
        <v>-2</v>
      </c>
      <c r="K3036" t="s">
        <v>9</v>
      </c>
      <c r="L3036" s="8">
        <f t="shared" si="8692"/>
        <v>-1</v>
      </c>
      <c r="M3036" t="s">
        <v>3370</v>
      </c>
    </row>
    <row r="3037" spans="1:13" x14ac:dyDescent="0.35">
      <c r="A3037">
        <f t="shared" si="8454"/>
        <v>3033</v>
      </c>
      <c r="B3037" s="9">
        <f t="shared" ref="B3037" si="8757">B3036+H3037+I3037+J3037</f>
        <v>28.050000000000011</v>
      </c>
      <c r="C3037" s="3" t="s">
        <v>3367</v>
      </c>
      <c r="D3037">
        <f t="shared" ref="D3037" si="8758">_xlfn.NUMBERVALUE(LEFT(C3037,2))</f>
        <v>9</v>
      </c>
      <c r="E3037">
        <f t="shared" ref="E3037" si="8759">_xlfn.NUMBERVALUE(MID(C3037,4,2))</f>
        <v>10</v>
      </c>
      <c r="F3037">
        <f t="shared" ref="F3037" si="8760">_xlfn.NUMBERVALUE(RIGHT(C3037,4))</f>
        <v>2024</v>
      </c>
      <c r="G3037" t="s">
        <v>7</v>
      </c>
      <c r="H3037">
        <v>-2</v>
      </c>
      <c r="I3037">
        <v>4</v>
      </c>
      <c r="K3037" t="s">
        <v>10</v>
      </c>
      <c r="L3037" s="8">
        <f t="shared" si="8692"/>
        <v>1</v>
      </c>
      <c r="M3037" t="s">
        <v>3371</v>
      </c>
    </row>
    <row r="3038" spans="1:13" x14ac:dyDescent="0.35">
      <c r="A3038">
        <f t="shared" si="8454"/>
        <v>3034</v>
      </c>
      <c r="B3038" s="9">
        <f t="shared" ref="B3038" si="8761">B3037+H3038+I3038+J3038</f>
        <v>32.050000000000011</v>
      </c>
      <c r="C3038" s="3" t="s">
        <v>3367</v>
      </c>
      <c r="D3038">
        <f t="shared" ref="D3038" si="8762">_xlfn.NUMBERVALUE(LEFT(C3038,2))</f>
        <v>9</v>
      </c>
      <c r="E3038">
        <f t="shared" ref="E3038" si="8763">_xlfn.NUMBERVALUE(MID(C3038,4,2))</f>
        <v>10</v>
      </c>
      <c r="F3038">
        <f t="shared" ref="F3038" si="8764">_xlfn.NUMBERVALUE(RIGHT(C3038,4))</f>
        <v>2024</v>
      </c>
      <c r="G3038" t="s">
        <v>7</v>
      </c>
      <c r="H3038">
        <v>-2</v>
      </c>
      <c r="I3038">
        <v>6</v>
      </c>
      <c r="K3038" t="s">
        <v>10</v>
      </c>
      <c r="L3038" s="8">
        <f t="shared" si="8692"/>
        <v>2</v>
      </c>
      <c r="M3038" t="s">
        <v>3372</v>
      </c>
    </row>
    <row r="3039" spans="1:13" x14ac:dyDescent="0.35">
      <c r="A3039">
        <f t="shared" si="8454"/>
        <v>3035</v>
      </c>
      <c r="B3039" s="9">
        <f t="shared" ref="B3039" si="8765">B3038+H3039+I3039+J3039</f>
        <v>30.050000000000011</v>
      </c>
      <c r="C3039" s="3" t="s">
        <v>3367</v>
      </c>
      <c r="D3039">
        <f t="shared" ref="D3039" si="8766">_xlfn.NUMBERVALUE(LEFT(C3039,2))</f>
        <v>9</v>
      </c>
      <c r="E3039">
        <f t="shared" ref="E3039" si="8767">_xlfn.NUMBERVALUE(MID(C3039,4,2))</f>
        <v>10</v>
      </c>
      <c r="F3039">
        <f t="shared" ref="F3039" si="8768">_xlfn.NUMBERVALUE(RIGHT(C3039,4))</f>
        <v>2024</v>
      </c>
      <c r="G3039" t="s">
        <v>7</v>
      </c>
      <c r="H3039">
        <v>-2</v>
      </c>
      <c r="K3039" t="s">
        <v>9</v>
      </c>
      <c r="L3039" s="8">
        <f t="shared" si="8692"/>
        <v>-1</v>
      </c>
      <c r="M3039" t="s">
        <v>3373</v>
      </c>
    </row>
    <row r="3040" spans="1:13" x14ac:dyDescent="0.35">
      <c r="A3040">
        <f t="shared" si="8454"/>
        <v>3036</v>
      </c>
      <c r="B3040" s="9">
        <f t="shared" ref="B3040" si="8769">B3039+H3040+I3040+J3040</f>
        <v>28.050000000000011</v>
      </c>
      <c r="C3040" s="3" t="s">
        <v>3367</v>
      </c>
      <c r="D3040">
        <f t="shared" ref="D3040" si="8770">_xlfn.NUMBERVALUE(LEFT(C3040,2))</f>
        <v>9</v>
      </c>
      <c r="E3040">
        <f t="shared" ref="E3040" si="8771">_xlfn.NUMBERVALUE(MID(C3040,4,2))</f>
        <v>10</v>
      </c>
      <c r="F3040">
        <f t="shared" ref="F3040" si="8772">_xlfn.NUMBERVALUE(RIGHT(C3040,4))</f>
        <v>2024</v>
      </c>
      <c r="G3040" t="s">
        <v>7</v>
      </c>
      <c r="H3040">
        <v>-2</v>
      </c>
      <c r="K3040" t="s">
        <v>9</v>
      </c>
      <c r="L3040" s="8">
        <f t="shared" si="8692"/>
        <v>-1</v>
      </c>
      <c r="M3040" t="s">
        <v>3374</v>
      </c>
    </row>
    <row r="3041" spans="1:13" x14ac:dyDescent="0.35">
      <c r="A3041">
        <f t="shared" si="8454"/>
        <v>3037</v>
      </c>
      <c r="B3041" s="9">
        <f t="shared" ref="B3041" si="8773">B3040+H3041+I3041+J3041</f>
        <v>32.050000000000011</v>
      </c>
      <c r="C3041" s="3" t="s">
        <v>3367</v>
      </c>
      <c r="D3041">
        <f t="shared" ref="D3041" si="8774">_xlfn.NUMBERVALUE(LEFT(C3041,2))</f>
        <v>9</v>
      </c>
      <c r="E3041">
        <f t="shared" ref="E3041" si="8775">_xlfn.NUMBERVALUE(MID(C3041,4,2))</f>
        <v>10</v>
      </c>
      <c r="F3041">
        <f t="shared" ref="F3041" si="8776">_xlfn.NUMBERVALUE(RIGHT(C3041,4))</f>
        <v>2024</v>
      </c>
      <c r="G3041" t="s">
        <v>7</v>
      </c>
      <c r="H3041">
        <v>-2</v>
      </c>
      <c r="I3041">
        <v>6</v>
      </c>
      <c r="K3041" t="s">
        <v>10</v>
      </c>
      <c r="L3041" s="8">
        <f t="shared" si="8692"/>
        <v>2</v>
      </c>
      <c r="M3041" t="s">
        <v>3375</v>
      </c>
    </row>
    <row r="3042" spans="1:13" x14ac:dyDescent="0.35">
      <c r="A3042">
        <f t="shared" si="8454"/>
        <v>3038</v>
      </c>
      <c r="B3042" s="9">
        <f t="shared" ref="B3042" si="8777">B3041+H3042+I3042+J3042</f>
        <v>36.050000000000011</v>
      </c>
      <c r="C3042" s="3" t="s">
        <v>3367</v>
      </c>
      <c r="D3042">
        <f t="shared" ref="D3042" si="8778">_xlfn.NUMBERVALUE(LEFT(C3042,2))</f>
        <v>9</v>
      </c>
      <c r="E3042">
        <f t="shared" ref="E3042" si="8779">_xlfn.NUMBERVALUE(MID(C3042,4,2))</f>
        <v>10</v>
      </c>
      <c r="F3042">
        <f t="shared" ref="F3042" si="8780">_xlfn.NUMBERVALUE(RIGHT(C3042,4))</f>
        <v>2024</v>
      </c>
      <c r="G3042" t="s">
        <v>7</v>
      </c>
      <c r="H3042">
        <v>-2</v>
      </c>
      <c r="I3042">
        <v>6</v>
      </c>
      <c r="K3042" t="s">
        <v>10</v>
      </c>
      <c r="L3042" s="8">
        <f t="shared" si="8692"/>
        <v>2</v>
      </c>
      <c r="M3042" t="s">
        <v>3376</v>
      </c>
    </row>
    <row r="3043" spans="1:13" x14ac:dyDescent="0.35">
      <c r="A3043">
        <f t="shared" si="8454"/>
        <v>3039</v>
      </c>
      <c r="B3043" s="9">
        <f t="shared" ref="B3043" si="8781">B3042+H3043+I3043+J3043</f>
        <v>34.050000000000011</v>
      </c>
      <c r="C3043" s="3" t="s">
        <v>3367</v>
      </c>
      <c r="D3043">
        <f t="shared" ref="D3043" si="8782">_xlfn.NUMBERVALUE(LEFT(C3043,2))</f>
        <v>9</v>
      </c>
      <c r="E3043">
        <f t="shared" ref="E3043" si="8783">_xlfn.NUMBERVALUE(MID(C3043,4,2))</f>
        <v>10</v>
      </c>
      <c r="F3043">
        <f t="shared" ref="F3043" si="8784">_xlfn.NUMBERVALUE(RIGHT(C3043,4))</f>
        <v>2024</v>
      </c>
      <c r="G3043" t="s">
        <v>7</v>
      </c>
      <c r="H3043">
        <v>-2</v>
      </c>
      <c r="K3043" t="s">
        <v>9</v>
      </c>
      <c r="L3043" s="8">
        <f t="shared" si="8692"/>
        <v>-1</v>
      </c>
      <c r="M3043" t="s">
        <v>3377</v>
      </c>
    </row>
    <row r="3044" spans="1:13" x14ac:dyDescent="0.35">
      <c r="A3044">
        <f t="shared" si="8454"/>
        <v>3040</v>
      </c>
      <c r="B3044" s="9">
        <f t="shared" ref="B3044" si="8785">B3043+H3044+I3044+J3044</f>
        <v>32.050000000000011</v>
      </c>
      <c r="C3044" s="3" t="s">
        <v>3367</v>
      </c>
      <c r="D3044">
        <f t="shared" ref="D3044" si="8786">_xlfn.NUMBERVALUE(LEFT(C3044,2))</f>
        <v>9</v>
      </c>
      <c r="E3044">
        <f t="shared" ref="E3044" si="8787">_xlfn.NUMBERVALUE(MID(C3044,4,2))</f>
        <v>10</v>
      </c>
      <c r="F3044">
        <f t="shared" ref="F3044" si="8788">_xlfn.NUMBERVALUE(RIGHT(C3044,4))</f>
        <v>2024</v>
      </c>
      <c r="G3044" t="s">
        <v>7</v>
      </c>
      <c r="H3044">
        <v>-2</v>
      </c>
      <c r="K3044" t="s">
        <v>9</v>
      </c>
      <c r="L3044" s="8">
        <f t="shared" si="8692"/>
        <v>-1</v>
      </c>
      <c r="M3044" t="s">
        <v>3378</v>
      </c>
    </row>
    <row r="3045" spans="1:13" x14ac:dyDescent="0.35">
      <c r="A3045">
        <f t="shared" si="8454"/>
        <v>3041</v>
      </c>
      <c r="B3045" s="9">
        <f t="shared" ref="B3045" si="8789">B3044+H3045+I3045+J3045</f>
        <v>30.050000000000011</v>
      </c>
      <c r="C3045" s="3" t="s">
        <v>3367</v>
      </c>
      <c r="D3045">
        <f t="shared" ref="D3045" si="8790">_xlfn.NUMBERVALUE(LEFT(C3045,2))</f>
        <v>9</v>
      </c>
      <c r="E3045">
        <f t="shared" ref="E3045" si="8791">_xlfn.NUMBERVALUE(MID(C3045,4,2))</f>
        <v>10</v>
      </c>
      <c r="F3045">
        <f t="shared" ref="F3045" si="8792">_xlfn.NUMBERVALUE(RIGHT(C3045,4))</f>
        <v>2024</v>
      </c>
      <c r="G3045" t="s">
        <v>7</v>
      </c>
      <c r="H3045">
        <v>-2</v>
      </c>
      <c r="K3045" t="s">
        <v>9</v>
      </c>
      <c r="L3045" s="8">
        <f t="shared" si="8692"/>
        <v>-1</v>
      </c>
      <c r="M3045" t="s">
        <v>3379</v>
      </c>
    </row>
    <row r="3046" spans="1:13" x14ac:dyDescent="0.35">
      <c r="A3046">
        <f t="shared" si="8454"/>
        <v>3042</v>
      </c>
      <c r="B3046" s="9">
        <f t="shared" ref="B3046" si="8793">B3045+H3046+I3046+J3046</f>
        <v>28.050000000000011</v>
      </c>
      <c r="C3046" s="3" t="s">
        <v>3367</v>
      </c>
      <c r="D3046">
        <f t="shared" ref="D3046" si="8794">_xlfn.NUMBERVALUE(LEFT(C3046,2))</f>
        <v>9</v>
      </c>
      <c r="E3046">
        <f t="shared" ref="E3046" si="8795">_xlfn.NUMBERVALUE(MID(C3046,4,2))</f>
        <v>10</v>
      </c>
      <c r="F3046">
        <f t="shared" ref="F3046" si="8796">_xlfn.NUMBERVALUE(RIGHT(C3046,4))</f>
        <v>2024</v>
      </c>
      <c r="G3046" t="s">
        <v>7</v>
      </c>
      <c r="H3046">
        <v>-2</v>
      </c>
      <c r="K3046" t="s">
        <v>9</v>
      </c>
      <c r="L3046" s="8">
        <f t="shared" si="8692"/>
        <v>-1</v>
      </c>
      <c r="M3046" t="s">
        <v>3380</v>
      </c>
    </row>
    <row r="3047" spans="1:13" x14ac:dyDescent="0.35">
      <c r="A3047">
        <f t="shared" si="8454"/>
        <v>3043</v>
      </c>
      <c r="B3047" s="9">
        <f t="shared" ref="B3047" si="8797">B3046+H3047+I3047+J3047</f>
        <v>26.050000000000011</v>
      </c>
      <c r="C3047" s="3" t="s">
        <v>3367</v>
      </c>
      <c r="D3047">
        <f t="shared" ref="D3047" si="8798">_xlfn.NUMBERVALUE(LEFT(C3047,2))</f>
        <v>9</v>
      </c>
      <c r="E3047">
        <f t="shared" ref="E3047" si="8799">_xlfn.NUMBERVALUE(MID(C3047,4,2))</f>
        <v>10</v>
      </c>
      <c r="F3047">
        <f t="shared" ref="F3047" si="8800">_xlfn.NUMBERVALUE(RIGHT(C3047,4))</f>
        <v>2024</v>
      </c>
      <c r="G3047" t="s">
        <v>7</v>
      </c>
      <c r="H3047">
        <v>-2</v>
      </c>
      <c r="K3047" t="s">
        <v>9</v>
      </c>
      <c r="L3047" s="8">
        <f t="shared" si="8692"/>
        <v>-1</v>
      </c>
      <c r="M3047" t="s">
        <v>3381</v>
      </c>
    </row>
    <row r="3048" spans="1:13" x14ac:dyDescent="0.35">
      <c r="A3048">
        <f t="shared" si="8454"/>
        <v>3044</v>
      </c>
      <c r="B3048" s="9">
        <f t="shared" ref="B3048" si="8801">B3047+H3048+I3048+J3048</f>
        <v>24.050000000000011</v>
      </c>
      <c r="C3048" s="3" t="s">
        <v>3367</v>
      </c>
      <c r="D3048">
        <f t="shared" ref="D3048" si="8802">_xlfn.NUMBERVALUE(LEFT(C3048,2))</f>
        <v>9</v>
      </c>
      <c r="E3048">
        <f t="shared" ref="E3048" si="8803">_xlfn.NUMBERVALUE(MID(C3048,4,2))</f>
        <v>10</v>
      </c>
      <c r="F3048">
        <f t="shared" ref="F3048" si="8804">_xlfn.NUMBERVALUE(RIGHT(C3048,4))</f>
        <v>2024</v>
      </c>
      <c r="G3048" t="s">
        <v>7</v>
      </c>
      <c r="H3048">
        <v>-2</v>
      </c>
      <c r="K3048" t="s">
        <v>9</v>
      </c>
      <c r="L3048" s="8">
        <f t="shared" si="8692"/>
        <v>-1</v>
      </c>
      <c r="M3048" t="s">
        <v>3382</v>
      </c>
    </row>
    <row r="3049" spans="1:13" x14ac:dyDescent="0.35">
      <c r="A3049">
        <f t="shared" si="8454"/>
        <v>3045</v>
      </c>
      <c r="B3049" s="9">
        <f t="shared" ref="B3049" si="8805">B3048+H3049+I3049+J3049</f>
        <v>22.050000000000011</v>
      </c>
      <c r="C3049" s="3" t="s">
        <v>3367</v>
      </c>
      <c r="D3049">
        <f t="shared" ref="D3049" si="8806">_xlfn.NUMBERVALUE(LEFT(C3049,2))</f>
        <v>9</v>
      </c>
      <c r="E3049">
        <f t="shared" ref="E3049" si="8807">_xlfn.NUMBERVALUE(MID(C3049,4,2))</f>
        <v>10</v>
      </c>
      <c r="F3049">
        <f t="shared" ref="F3049" si="8808">_xlfn.NUMBERVALUE(RIGHT(C3049,4))</f>
        <v>2024</v>
      </c>
      <c r="G3049" t="s">
        <v>7</v>
      </c>
      <c r="H3049">
        <v>-2</v>
      </c>
      <c r="K3049" t="s">
        <v>9</v>
      </c>
      <c r="L3049" s="8">
        <f t="shared" si="8692"/>
        <v>-1</v>
      </c>
      <c r="M3049" t="s">
        <v>3383</v>
      </c>
    </row>
    <row r="3050" spans="1:13" x14ac:dyDescent="0.35">
      <c r="A3050">
        <f t="shared" si="8454"/>
        <v>3046</v>
      </c>
      <c r="B3050" s="9">
        <f t="shared" ref="B3050" si="8809">B3049+H3050+I3050+J3050</f>
        <v>24.050000000000011</v>
      </c>
      <c r="C3050" s="3" t="s">
        <v>3367</v>
      </c>
      <c r="D3050">
        <f t="shared" ref="D3050" si="8810">_xlfn.NUMBERVALUE(LEFT(C3050,2))</f>
        <v>9</v>
      </c>
      <c r="E3050">
        <f t="shared" ref="E3050" si="8811">_xlfn.NUMBERVALUE(MID(C3050,4,2))</f>
        <v>10</v>
      </c>
      <c r="F3050">
        <f t="shared" ref="F3050" si="8812">_xlfn.NUMBERVALUE(RIGHT(C3050,4))</f>
        <v>2024</v>
      </c>
      <c r="G3050" t="s">
        <v>7</v>
      </c>
      <c r="H3050">
        <v>-2</v>
      </c>
      <c r="I3050">
        <v>4</v>
      </c>
      <c r="K3050" t="s">
        <v>10</v>
      </c>
      <c r="L3050" s="8">
        <f t="shared" si="8692"/>
        <v>1</v>
      </c>
      <c r="M3050" t="s">
        <v>3384</v>
      </c>
    </row>
    <row r="3051" spans="1:13" x14ac:dyDescent="0.35">
      <c r="A3051">
        <f t="shared" si="8454"/>
        <v>3047</v>
      </c>
      <c r="B3051" s="9">
        <f t="shared" ref="B3051" si="8813">B3050+H3051+I3051+J3051</f>
        <v>30.050000000000011</v>
      </c>
      <c r="C3051" s="3" t="s">
        <v>3367</v>
      </c>
      <c r="D3051">
        <f t="shared" ref="D3051" si="8814">_xlfn.NUMBERVALUE(LEFT(C3051,2))</f>
        <v>9</v>
      </c>
      <c r="E3051">
        <f t="shared" ref="E3051" si="8815">_xlfn.NUMBERVALUE(MID(C3051,4,2))</f>
        <v>10</v>
      </c>
      <c r="F3051">
        <f t="shared" ref="F3051" si="8816">_xlfn.NUMBERVALUE(RIGHT(C3051,4))</f>
        <v>2024</v>
      </c>
      <c r="G3051" t="s">
        <v>7</v>
      </c>
      <c r="H3051">
        <v>-2</v>
      </c>
      <c r="I3051">
        <v>8</v>
      </c>
      <c r="K3051" t="s">
        <v>10</v>
      </c>
      <c r="L3051" s="8">
        <f t="shared" si="8692"/>
        <v>3</v>
      </c>
      <c r="M3051" t="s">
        <v>3385</v>
      </c>
    </row>
    <row r="3052" spans="1:13" x14ac:dyDescent="0.35">
      <c r="A3052">
        <f t="shared" si="8454"/>
        <v>3048</v>
      </c>
      <c r="B3052" s="9">
        <f t="shared" ref="B3052" si="8817">B3051+H3052+I3052+J3052</f>
        <v>34.050000000000011</v>
      </c>
      <c r="C3052" s="3" t="s">
        <v>3367</v>
      </c>
      <c r="D3052">
        <f t="shared" ref="D3052" si="8818">_xlfn.NUMBERVALUE(LEFT(C3052,2))</f>
        <v>9</v>
      </c>
      <c r="E3052">
        <f t="shared" ref="E3052" si="8819">_xlfn.NUMBERVALUE(MID(C3052,4,2))</f>
        <v>10</v>
      </c>
      <c r="F3052">
        <f t="shared" ref="F3052" si="8820">_xlfn.NUMBERVALUE(RIGHT(C3052,4))</f>
        <v>2024</v>
      </c>
      <c r="G3052" t="s">
        <v>7</v>
      </c>
      <c r="H3052">
        <v>-2</v>
      </c>
      <c r="I3052">
        <v>6</v>
      </c>
      <c r="K3052" t="s">
        <v>10</v>
      </c>
      <c r="L3052" s="8">
        <f t="shared" si="8692"/>
        <v>2</v>
      </c>
      <c r="M3052" t="s">
        <v>3386</v>
      </c>
    </row>
    <row r="3053" spans="1:13" x14ac:dyDescent="0.35">
      <c r="A3053">
        <f t="shared" si="8454"/>
        <v>3049</v>
      </c>
      <c r="B3053" s="9">
        <f t="shared" ref="B3053" si="8821">B3052+H3053+I3053+J3053</f>
        <v>32.050000000000011</v>
      </c>
      <c r="C3053" s="3" t="s">
        <v>3367</v>
      </c>
      <c r="D3053">
        <f t="shared" ref="D3053" si="8822">_xlfn.NUMBERVALUE(LEFT(C3053,2))</f>
        <v>9</v>
      </c>
      <c r="E3053">
        <f t="shared" ref="E3053" si="8823">_xlfn.NUMBERVALUE(MID(C3053,4,2))</f>
        <v>10</v>
      </c>
      <c r="F3053">
        <f t="shared" ref="F3053" si="8824">_xlfn.NUMBERVALUE(RIGHT(C3053,4))</f>
        <v>2024</v>
      </c>
      <c r="G3053" t="s">
        <v>7</v>
      </c>
      <c r="H3053">
        <v>-2</v>
      </c>
      <c r="K3053" t="s">
        <v>9</v>
      </c>
      <c r="L3053" s="8">
        <f t="shared" si="8692"/>
        <v>-1</v>
      </c>
      <c r="M3053" t="s">
        <v>3387</v>
      </c>
    </row>
    <row r="3054" spans="1:13" x14ac:dyDescent="0.35">
      <c r="A3054">
        <f t="shared" si="8454"/>
        <v>3050</v>
      </c>
      <c r="B3054" s="9">
        <f t="shared" ref="B3054" si="8825">B3053+H3054+I3054+J3054</f>
        <v>36.050000000000011</v>
      </c>
      <c r="C3054" s="3" t="s">
        <v>3367</v>
      </c>
      <c r="D3054">
        <f t="shared" ref="D3054" si="8826">_xlfn.NUMBERVALUE(LEFT(C3054,2))</f>
        <v>9</v>
      </c>
      <c r="E3054">
        <f t="shared" ref="E3054" si="8827">_xlfn.NUMBERVALUE(MID(C3054,4,2))</f>
        <v>10</v>
      </c>
      <c r="F3054">
        <f t="shared" ref="F3054" si="8828">_xlfn.NUMBERVALUE(RIGHT(C3054,4))</f>
        <v>2024</v>
      </c>
      <c r="G3054" t="s">
        <v>7</v>
      </c>
      <c r="H3054">
        <v>-2</v>
      </c>
      <c r="I3054">
        <v>6</v>
      </c>
      <c r="K3054" t="s">
        <v>10</v>
      </c>
      <c r="L3054" s="8">
        <f t="shared" si="8692"/>
        <v>2</v>
      </c>
      <c r="M3054" t="s">
        <v>3388</v>
      </c>
    </row>
    <row r="3055" spans="1:13" x14ac:dyDescent="0.35">
      <c r="A3055">
        <f t="shared" si="8454"/>
        <v>3051</v>
      </c>
      <c r="B3055" s="9">
        <f t="shared" ref="B3055" si="8829">B3054+H3055+I3055+J3055</f>
        <v>38.050000000000011</v>
      </c>
      <c r="C3055" s="3" t="s">
        <v>3367</v>
      </c>
      <c r="D3055">
        <f t="shared" ref="D3055" si="8830">_xlfn.NUMBERVALUE(LEFT(C3055,2))</f>
        <v>9</v>
      </c>
      <c r="E3055">
        <f t="shared" ref="E3055" si="8831">_xlfn.NUMBERVALUE(MID(C3055,4,2))</f>
        <v>10</v>
      </c>
      <c r="F3055">
        <f t="shared" ref="F3055" si="8832">_xlfn.NUMBERVALUE(RIGHT(C3055,4))</f>
        <v>2024</v>
      </c>
      <c r="G3055" t="s">
        <v>7</v>
      </c>
      <c r="H3055">
        <v>-2</v>
      </c>
      <c r="I3055">
        <v>4</v>
      </c>
      <c r="K3055" t="s">
        <v>10</v>
      </c>
      <c r="L3055" s="8">
        <f t="shared" si="8692"/>
        <v>1</v>
      </c>
      <c r="M3055" t="s">
        <v>3389</v>
      </c>
    </row>
    <row r="3056" spans="1:13" x14ac:dyDescent="0.35">
      <c r="A3056">
        <f t="shared" si="8454"/>
        <v>3052</v>
      </c>
      <c r="B3056" s="9">
        <f t="shared" ref="B3056" si="8833">B3055+H3056+I3056+J3056</f>
        <v>36.050000000000011</v>
      </c>
      <c r="C3056" s="3" t="s">
        <v>3367</v>
      </c>
      <c r="D3056">
        <f t="shared" ref="D3056" si="8834">_xlfn.NUMBERVALUE(LEFT(C3056,2))</f>
        <v>9</v>
      </c>
      <c r="E3056">
        <f t="shared" ref="E3056" si="8835">_xlfn.NUMBERVALUE(MID(C3056,4,2))</f>
        <v>10</v>
      </c>
      <c r="F3056">
        <f t="shared" ref="F3056" si="8836">_xlfn.NUMBERVALUE(RIGHT(C3056,4))</f>
        <v>2024</v>
      </c>
      <c r="G3056" t="s">
        <v>7</v>
      </c>
      <c r="H3056">
        <v>-2</v>
      </c>
      <c r="K3056" t="s">
        <v>9</v>
      </c>
      <c r="L3056" s="8">
        <f t="shared" si="8692"/>
        <v>-1</v>
      </c>
      <c r="M3056" t="s">
        <v>3390</v>
      </c>
    </row>
    <row r="3057" spans="1:13" x14ac:dyDescent="0.35">
      <c r="A3057">
        <f t="shared" si="8454"/>
        <v>3053</v>
      </c>
      <c r="B3057" s="9">
        <f t="shared" ref="B3057" si="8837">B3056+H3057+I3057+J3057</f>
        <v>34.050000000000011</v>
      </c>
      <c r="C3057" s="3" t="s">
        <v>3367</v>
      </c>
      <c r="D3057">
        <f t="shared" ref="D3057" si="8838">_xlfn.NUMBERVALUE(LEFT(C3057,2))</f>
        <v>9</v>
      </c>
      <c r="E3057">
        <f t="shared" ref="E3057" si="8839">_xlfn.NUMBERVALUE(MID(C3057,4,2))</f>
        <v>10</v>
      </c>
      <c r="F3057">
        <f t="shared" ref="F3057" si="8840">_xlfn.NUMBERVALUE(RIGHT(C3057,4))</f>
        <v>2024</v>
      </c>
      <c r="G3057" t="s">
        <v>7</v>
      </c>
      <c r="H3057">
        <v>-2</v>
      </c>
      <c r="K3057" t="s">
        <v>9</v>
      </c>
      <c r="L3057" s="8">
        <f t="shared" si="8692"/>
        <v>-1</v>
      </c>
      <c r="M3057" t="s">
        <v>3391</v>
      </c>
    </row>
    <row r="3058" spans="1:13" x14ac:dyDescent="0.35">
      <c r="A3058">
        <f t="shared" si="8454"/>
        <v>3054</v>
      </c>
      <c r="B3058" s="9">
        <f t="shared" ref="B3058:B3059" si="8841">B3057+H3058+I3058+J3058</f>
        <v>29.990000000000013</v>
      </c>
      <c r="C3058" s="3" t="s">
        <v>3367</v>
      </c>
      <c r="D3058">
        <f t="shared" ref="D3058:D3059" si="8842">_xlfn.NUMBERVALUE(LEFT(C3058,2))</f>
        <v>9</v>
      </c>
      <c r="E3058">
        <f t="shared" ref="E3058:E3059" si="8843">_xlfn.NUMBERVALUE(MID(C3058,4,2))</f>
        <v>10</v>
      </c>
      <c r="F3058">
        <f t="shared" ref="F3058:F3059" si="8844">_xlfn.NUMBERVALUE(RIGHT(C3058,4))</f>
        <v>2024</v>
      </c>
      <c r="G3058" t="s">
        <v>44</v>
      </c>
      <c r="H3058">
        <v>-4.4000000000000004</v>
      </c>
      <c r="J3058">
        <v>0.34</v>
      </c>
      <c r="K3058" t="s">
        <v>9</v>
      </c>
      <c r="L3058" s="8">
        <f t="shared" si="8692"/>
        <v>-0.92272727272727273</v>
      </c>
      <c r="M3058" t="s">
        <v>3392</v>
      </c>
    </row>
    <row r="3059" spans="1:13" x14ac:dyDescent="0.35">
      <c r="A3059">
        <f t="shared" si="8454"/>
        <v>3055</v>
      </c>
      <c r="B3059" s="9">
        <f t="shared" si="8841"/>
        <v>33.990000000000009</v>
      </c>
      <c r="C3059" s="3" t="s">
        <v>3367</v>
      </c>
      <c r="D3059">
        <f t="shared" si="8842"/>
        <v>9</v>
      </c>
      <c r="E3059">
        <f t="shared" si="8843"/>
        <v>10</v>
      </c>
      <c r="F3059">
        <f t="shared" si="8844"/>
        <v>2024</v>
      </c>
      <c r="G3059" t="s">
        <v>7</v>
      </c>
      <c r="H3059">
        <v>-2</v>
      </c>
      <c r="I3059">
        <v>6</v>
      </c>
      <c r="K3059" t="s">
        <v>10</v>
      </c>
      <c r="L3059" s="8">
        <f t="shared" si="8692"/>
        <v>2</v>
      </c>
      <c r="M3059" t="s">
        <v>3393</v>
      </c>
    </row>
    <row r="3060" spans="1:13" x14ac:dyDescent="0.35">
      <c r="A3060">
        <f t="shared" si="8454"/>
        <v>3056</v>
      </c>
      <c r="B3060" s="9">
        <f t="shared" ref="B3060" si="8845">B3059+H3060+I3060+J3060</f>
        <v>31.990000000000009</v>
      </c>
      <c r="C3060" s="3" t="s">
        <v>3367</v>
      </c>
      <c r="D3060">
        <f t="shared" ref="D3060" si="8846">_xlfn.NUMBERVALUE(LEFT(C3060,2))</f>
        <v>9</v>
      </c>
      <c r="E3060">
        <f t="shared" ref="E3060" si="8847">_xlfn.NUMBERVALUE(MID(C3060,4,2))</f>
        <v>10</v>
      </c>
      <c r="F3060">
        <f t="shared" ref="F3060" si="8848">_xlfn.NUMBERVALUE(RIGHT(C3060,4))</f>
        <v>2024</v>
      </c>
      <c r="G3060" t="s">
        <v>7</v>
      </c>
      <c r="H3060">
        <v>-2</v>
      </c>
      <c r="K3060" t="s">
        <v>9</v>
      </c>
      <c r="L3060" s="8">
        <f t="shared" si="8692"/>
        <v>-1</v>
      </c>
      <c r="M3060" t="s">
        <v>3394</v>
      </c>
    </row>
    <row r="3061" spans="1:13" x14ac:dyDescent="0.35">
      <c r="A3061">
        <f t="shared" si="8454"/>
        <v>3057</v>
      </c>
      <c r="B3061" s="9">
        <f t="shared" ref="B3061" si="8849">B3060+H3061+I3061+J3061</f>
        <v>29.990000000000009</v>
      </c>
      <c r="C3061" s="3" t="s">
        <v>3367</v>
      </c>
      <c r="D3061">
        <f t="shared" ref="D3061" si="8850">_xlfn.NUMBERVALUE(LEFT(C3061,2))</f>
        <v>9</v>
      </c>
      <c r="E3061">
        <f t="shared" ref="E3061" si="8851">_xlfn.NUMBERVALUE(MID(C3061,4,2))</f>
        <v>10</v>
      </c>
      <c r="F3061">
        <f t="shared" ref="F3061" si="8852">_xlfn.NUMBERVALUE(RIGHT(C3061,4))</f>
        <v>2024</v>
      </c>
      <c r="G3061" t="s">
        <v>7</v>
      </c>
      <c r="H3061">
        <v>-2</v>
      </c>
      <c r="K3061" t="s">
        <v>9</v>
      </c>
      <c r="L3061" s="8">
        <f t="shared" si="8692"/>
        <v>-1</v>
      </c>
      <c r="M3061" t="s">
        <v>3395</v>
      </c>
    </row>
    <row r="3062" spans="1:13" x14ac:dyDescent="0.35">
      <c r="A3062">
        <f t="shared" si="8454"/>
        <v>3058</v>
      </c>
      <c r="B3062" s="9">
        <f t="shared" ref="B3062" si="8853">B3061+H3062+I3062+J3062</f>
        <v>31.990000000000009</v>
      </c>
      <c r="C3062" s="3" t="s">
        <v>3367</v>
      </c>
      <c r="D3062">
        <f t="shared" ref="D3062" si="8854">_xlfn.NUMBERVALUE(LEFT(C3062,2))</f>
        <v>9</v>
      </c>
      <c r="E3062">
        <f t="shared" ref="E3062" si="8855">_xlfn.NUMBERVALUE(MID(C3062,4,2))</f>
        <v>10</v>
      </c>
      <c r="F3062">
        <f t="shared" ref="F3062" si="8856">_xlfn.NUMBERVALUE(RIGHT(C3062,4))</f>
        <v>2024</v>
      </c>
      <c r="G3062" t="s">
        <v>7</v>
      </c>
      <c r="H3062">
        <v>-2</v>
      </c>
      <c r="I3062">
        <v>4</v>
      </c>
      <c r="K3062" t="s">
        <v>10</v>
      </c>
      <c r="L3062" s="8">
        <f t="shared" si="8692"/>
        <v>1</v>
      </c>
      <c r="M3062" t="s">
        <v>3396</v>
      </c>
    </row>
    <row r="3063" spans="1:13" x14ac:dyDescent="0.35">
      <c r="A3063">
        <f t="shared" si="8454"/>
        <v>3059</v>
      </c>
      <c r="B3063" s="9">
        <f t="shared" ref="B3063" si="8857">B3062+H3063+I3063+J3063</f>
        <v>35.990000000000009</v>
      </c>
      <c r="C3063" s="3" t="s">
        <v>3367</v>
      </c>
      <c r="D3063">
        <f t="shared" ref="D3063" si="8858">_xlfn.NUMBERVALUE(LEFT(C3063,2))</f>
        <v>9</v>
      </c>
      <c r="E3063">
        <f t="shared" ref="E3063" si="8859">_xlfn.NUMBERVALUE(MID(C3063,4,2))</f>
        <v>10</v>
      </c>
      <c r="F3063">
        <f t="shared" ref="F3063" si="8860">_xlfn.NUMBERVALUE(RIGHT(C3063,4))</f>
        <v>2024</v>
      </c>
      <c r="G3063" t="s">
        <v>7</v>
      </c>
      <c r="H3063">
        <v>-2</v>
      </c>
      <c r="I3063">
        <v>6</v>
      </c>
      <c r="K3063" t="s">
        <v>10</v>
      </c>
      <c r="L3063" s="8">
        <f t="shared" si="8692"/>
        <v>2</v>
      </c>
      <c r="M3063" t="s">
        <v>3397</v>
      </c>
    </row>
    <row r="3064" spans="1:13" x14ac:dyDescent="0.35">
      <c r="A3064">
        <f t="shared" si="8454"/>
        <v>3060</v>
      </c>
      <c r="B3064" s="9">
        <f t="shared" ref="B3064:B3065" si="8861">B3063+H3064+I3064+J3064</f>
        <v>37.990000000000009</v>
      </c>
      <c r="C3064" s="3" t="s">
        <v>3398</v>
      </c>
      <c r="D3064">
        <f t="shared" ref="D3064:D3065" si="8862">_xlfn.NUMBERVALUE(LEFT(C3064,2))</f>
        <v>10</v>
      </c>
      <c r="E3064">
        <f t="shared" ref="E3064:E3065" si="8863">_xlfn.NUMBERVALUE(MID(C3064,4,2))</f>
        <v>10</v>
      </c>
      <c r="F3064">
        <f t="shared" ref="F3064:F3065" si="8864">_xlfn.NUMBERVALUE(RIGHT(C3064,4))</f>
        <v>2024</v>
      </c>
      <c r="G3064" t="s">
        <v>7</v>
      </c>
      <c r="H3064">
        <v>-2</v>
      </c>
      <c r="I3064">
        <v>4</v>
      </c>
      <c r="K3064" t="s">
        <v>10</v>
      </c>
      <c r="L3064" s="8">
        <f t="shared" si="8692"/>
        <v>1</v>
      </c>
      <c r="M3064" t="s">
        <v>3399</v>
      </c>
    </row>
    <row r="3065" spans="1:13" x14ac:dyDescent="0.35">
      <c r="A3065">
        <f t="shared" si="8454"/>
        <v>3061</v>
      </c>
      <c r="B3065" s="9">
        <f t="shared" si="8861"/>
        <v>37.990000000000009</v>
      </c>
      <c r="C3065" s="3" t="s">
        <v>3398</v>
      </c>
      <c r="D3065">
        <f t="shared" si="8862"/>
        <v>10</v>
      </c>
      <c r="E3065">
        <f t="shared" si="8863"/>
        <v>10</v>
      </c>
      <c r="F3065">
        <f t="shared" si="8864"/>
        <v>2024</v>
      </c>
      <c r="G3065" t="s">
        <v>3039</v>
      </c>
      <c r="K3065" t="s">
        <v>9</v>
      </c>
      <c r="L3065" s="8">
        <f t="shared" si="8692"/>
        <v>0</v>
      </c>
      <c r="M3065" t="s">
        <v>3400</v>
      </c>
    </row>
    <row r="3066" spans="1:13" x14ac:dyDescent="0.35">
      <c r="A3066">
        <f t="shared" si="8454"/>
        <v>3062</v>
      </c>
      <c r="B3066" s="9">
        <f t="shared" ref="B3066" si="8865">B3065+H3066+I3066+J3066</f>
        <v>35.990000000000009</v>
      </c>
      <c r="C3066" s="3" t="s">
        <v>3398</v>
      </c>
      <c r="D3066">
        <f t="shared" ref="D3066" si="8866">_xlfn.NUMBERVALUE(LEFT(C3066,2))</f>
        <v>10</v>
      </c>
      <c r="E3066">
        <f t="shared" ref="E3066" si="8867">_xlfn.NUMBERVALUE(MID(C3066,4,2))</f>
        <v>10</v>
      </c>
      <c r="F3066">
        <f t="shared" ref="F3066" si="8868">_xlfn.NUMBERVALUE(RIGHT(C3066,4))</f>
        <v>2024</v>
      </c>
      <c r="G3066" t="s">
        <v>7</v>
      </c>
      <c r="H3066">
        <v>-2</v>
      </c>
      <c r="K3066" t="s">
        <v>9</v>
      </c>
      <c r="L3066" s="8">
        <f t="shared" si="8692"/>
        <v>-1</v>
      </c>
      <c r="M3066" t="s">
        <v>3401</v>
      </c>
    </row>
    <row r="3067" spans="1:13" x14ac:dyDescent="0.35">
      <c r="A3067">
        <f t="shared" si="8454"/>
        <v>3063</v>
      </c>
      <c r="B3067" s="9">
        <f t="shared" ref="B3067" si="8869">B3066+H3067+I3067+J3067</f>
        <v>33.990000000000009</v>
      </c>
      <c r="C3067" s="3" t="s">
        <v>3398</v>
      </c>
      <c r="D3067">
        <f t="shared" ref="D3067" si="8870">_xlfn.NUMBERVALUE(LEFT(C3067,2))</f>
        <v>10</v>
      </c>
      <c r="E3067">
        <f t="shared" ref="E3067" si="8871">_xlfn.NUMBERVALUE(MID(C3067,4,2))</f>
        <v>10</v>
      </c>
      <c r="F3067">
        <f t="shared" ref="F3067" si="8872">_xlfn.NUMBERVALUE(RIGHT(C3067,4))</f>
        <v>2024</v>
      </c>
      <c r="G3067" t="s">
        <v>7</v>
      </c>
      <c r="H3067">
        <v>-2</v>
      </c>
      <c r="K3067" t="s">
        <v>9</v>
      </c>
      <c r="L3067" s="8">
        <f t="shared" si="8692"/>
        <v>-1</v>
      </c>
      <c r="M3067" t="s">
        <v>3402</v>
      </c>
    </row>
    <row r="3068" spans="1:13" x14ac:dyDescent="0.35">
      <c r="A3068">
        <f t="shared" si="8454"/>
        <v>3064</v>
      </c>
      <c r="B3068" s="9">
        <f t="shared" ref="B3068" si="8873">B3067+H3068+I3068+J3068</f>
        <v>31.990000000000009</v>
      </c>
      <c r="C3068" s="3" t="s">
        <v>3398</v>
      </c>
      <c r="D3068">
        <f t="shared" ref="D3068" si="8874">_xlfn.NUMBERVALUE(LEFT(C3068,2))</f>
        <v>10</v>
      </c>
      <c r="E3068">
        <f t="shared" ref="E3068" si="8875">_xlfn.NUMBERVALUE(MID(C3068,4,2))</f>
        <v>10</v>
      </c>
      <c r="F3068">
        <f t="shared" ref="F3068" si="8876">_xlfn.NUMBERVALUE(RIGHT(C3068,4))</f>
        <v>2024</v>
      </c>
      <c r="G3068" t="s">
        <v>7</v>
      </c>
      <c r="H3068">
        <v>-2</v>
      </c>
      <c r="K3068" t="s">
        <v>9</v>
      </c>
      <c r="L3068" s="8">
        <f t="shared" si="8692"/>
        <v>-1</v>
      </c>
      <c r="M3068" t="s">
        <v>3403</v>
      </c>
    </row>
    <row r="3069" spans="1:13" x14ac:dyDescent="0.35">
      <c r="A3069">
        <f t="shared" si="8454"/>
        <v>3065</v>
      </c>
      <c r="B3069" s="9">
        <f t="shared" ref="B3069" si="8877">B3068+H3069+I3069+J3069</f>
        <v>29.990000000000009</v>
      </c>
      <c r="C3069" s="3" t="s">
        <v>3398</v>
      </c>
      <c r="D3069">
        <f t="shared" ref="D3069" si="8878">_xlfn.NUMBERVALUE(LEFT(C3069,2))</f>
        <v>10</v>
      </c>
      <c r="E3069">
        <f t="shared" ref="E3069" si="8879">_xlfn.NUMBERVALUE(MID(C3069,4,2))</f>
        <v>10</v>
      </c>
      <c r="F3069">
        <f t="shared" ref="F3069" si="8880">_xlfn.NUMBERVALUE(RIGHT(C3069,4))</f>
        <v>2024</v>
      </c>
      <c r="G3069" t="s">
        <v>7</v>
      </c>
      <c r="H3069">
        <v>-2</v>
      </c>
      <c r="K3069" t="s">
        <v>9</v>
      </c>
      <c r="L3069" s="8">
        <f t="shared" si="8692"/>
        <v>-1</v>
      </c>
      <c r="M3069" t="s">
        <v>3404</v>
      </c>
    </row>
    <row r="3070" spans="1:13" x14ac:dyDescent="0.35">
      <c r="A3070">
        <f t="shared" si="8454"/>
        <v>3066</v>
      </c>
      <c r="B3070" s="9">
        <f t="shared" ref="B3070" si="8881">B3069+H3070+I3070+J3070</f>
        <v>31.990000000000009</v>
      </c>
      <c r="C3070" s="3" t="s">
        <v>3398</v>
      </c>
      <c r="D3070">
        <f t="shared" ref="D3070" si="8882">_xlfn.NUMBERVALUE(LEFT(C3070,2))</f>
        <v>10</v>
      </c>
      <c r="E3070">
        <f t="shared" ref="E3070" si="8883">_xlfn.NUMBERVALUE(MID(C3070,4,2))</f>
        <v>10</v>
      </c>
      <c r="F3070">
        <f t="shared" ref="F3070" si="8884">_xlfn.NUMBERVALUE(RIGHT(C3070,4))</f>
        <v>2024</v>
      </c>
      <c r="G3070" t="s">
        <v>7</v>
      </c>
      <c r="H3070">
        <v>-2</v>
      </c>
      <c r="I3070">
        <v>4</v>
      </c>
      <c r="K3070" t="s">
        <v>10</v>
      </c>
      <c r="L3070" s="8">
        <f t="shared" si="8692"/>
        <v>1</v>
      </c>
      <c r="M3070" t="s">
        <v>3405</v>
      </c>
    </row>
    <row r="3071" spans="1:13" x14ac:dyDescent="0.35">
      <c r="A3071">
        <f t="shared" si="8454"/>
        <v>3067</v>
      </c>
      <c r="B3071" s="9">
        <f t="shared" ref="B3071" si="8885">B3070+H3071+I3071+J3071</f>
        <v>29.990000000000009</v>
      </c>
      <c r="C3071" s="3" t="s">
        <v>3398</v>
      </c>
      <c r="D3071">
        <f t="shared" ref="D3071" si="8886">_xlfn.NUMBERVALUE(LEFT(C3071,2))</f>
        <v>10</v>
      </c>
      <c r="E3071">
        <f t="shared" ref="E3071" si="8887">_xlfn.NUMBERVALUE(MID(C3071,4,2))</f>
        <v>10</v>
      </c>
      <c r="F3071">
        <f t="shared" ref="F3071" si="8888">_xlfn.NUMBERVALUE(RIGHT(C3071,4))</f>
        <v>2024</v>
      </c>
      <c r="G3071" t="s">
        <v>7</v>
      </c>
      <c r="H3071">
        <v>-2</v>
      </c>
      <c r="K3071" t="s">
        <v>9</v>
      </c>
      <c r="L3071" s="8">
        <f t="shared" si="8692"/>
        <v>-1</v>
      </c>
      <c r="M3071" t="s">
        <v>3406</v>
      </c>
    </row>
    <row r="3072" spans="1:13" x14ac:dyDescent="0.35">
      <c r="A3072">
        <f t="shared" si="8454"/>
        <v>3068</v>
      </c>
      <c r="B3072" s="9">
        <f t="shared" ref="B3072" si="8889">B3071+H3072+I3072+J3072</f>
        <v>27.990000000000009</v>
      </c>
      <c r="C3072" s="3" t="s">
        <v>3398</v>
      </c>
      <c r="D3072">
        <f t="shared" ref="D3072" si="8890">_xlfn.NUMBERVALUE(LEFT(C3072,2))</f>
        <v>10</v>
      </c>
      <c r="E3072">
        <f t="shared" ref="E3072" si="8891">_xlfn.NUMBERVALUE(MID(C3072,4,2))</f>
        <v>10</v>
      </c>
      <c r="F3072">
        <f t="shared" ref="F3072" si="8892">_xlfn.NUMBERVALUE(RIGHT(C3072,4))</f>
        <v>2024</v>
      </c>
      <c r="G3072" t="s">
        <v>7</v>
      </c>
      <c r="H3072">
        <v>-2</v>
      </c>
      <c r="K3072" t="s">
        <v>9</v>
      </c>
      <c r="L3072" s="8">
        <f t="shared" si="8692"/>
        <v>-1</v>
      </c>
      <c r="M3072" t="s">
        <v>3407</v>
      </c>
    </row>
    <row r="3073" spans="1:13" x14ac:dyDescent="0.35">
      <c r="A3073">
        <f t="shared" si="8454"/>
        <v>3069</v>
      </c>
      <c r="B3073" s="9">
        <f t="shared" ref="B3073" si="8893">B3072+H3073+I3073+J3073</f>
        <v>25.990000000000009</v>
      </c>
      <c r="C3073" s="3" t="s">
        <v>3398</v>
      </c>
      <c r="D3073">
        <f t="shared" ref="D3073" si="8894">_xlfn.NUMBERVALUE(LEFT(C3073,2))</f>
        <v>10</v>
      </c>
      <c r="E3073">
        <f t="shared" ref="E3073" si="8895">_xlfn.NUMBERVALUE(MID(C3073,4,2))</f>
        <v>10</v>
      </c>
      <c r="F3073">
        <f t="shared" ref="F3073" si="8896">_xlfn.NUMBERVALUE(RIGHT(C3073,4))</f>
        <v>2024</v>
      </c>
      <c r="G3073" t="s">
        <v>7</v>
      </c>
      <c r="H3073">
        <v>-2</v>
      </c>
      <c r="K3073" t="s">
        <v>9</v>
      </c>
      <c r="L3073" s="8">
        <f t="shared" si="8692"/>
        <v>-1</v>
      </c>
      <c r="M3073" t="s">
        <v>3408</v>
      </c>
    </row>
    <row r="3074" spans="1:13" x14ac:dyDescent="0.35">
      <c r="A3074">
        <f t="shared" si="8454"/>
        <v>3070</v>
      </c>
      <c r="B3074" s="9">
        <f t="shared" ref="B3074" si="8897">B3073+H3074+I3074+J3074</f>
        <v>23.990000000000009</v>
      </c>
      <c r="C3074" s="3" t="s">
        <v>3398</v>
      </c>
      <c r="D3074">
        <f t="shared" ref="D3074" si="8898">_xlfn.NUMBERVALUE(LEFT(C3074,2))</f>
        <v>10</v>
      </c>
      <c r="E3074">
        <f t="shared" ref="E3074" si="8899">_xlfn.NUMBERVALUE(MID(C3074,4,2))</f>
        <v>10</v>
      </c>
      <c r="F3074">
        <f t="shared" ref="F3074" si="8900">_xlfn.NUMBERVALUE(RIGHT(C3074,4))</f>
        <v>2024</v>
      </c>
      <c r="G3074" t="s">
        <v>7</v>
      </c>
      <c r="H3074">
        <v>-2</v>
      </c>
      <c r="K3074" t="s">
        <v>9</v>
      </c>
      <c r="L3074" s="8">
        <f t="shared" si="8692"/>
        <v>-1</v>
      </c>
      <c r="M3074" t="s">
        <v>3409</v>
      </c>
    </row>
    <row r="3075" spans="1:13" x14ac:dyDescent="0.35">
      <c r="A3075">
        <f t="shared" si="8454"/>
        <v>3071</v>
      </c>
      <c r="B3075" s="9">
        <f t="shared" ref="B3075" si="8901">B3074+H3075+I3075+J3075</f>
        <v>21.990000000000009</v>
      </c>
      <c r="C3075" s="3" t="s">
        <v>3398</v>
      </c>
      <c r="D3075">
        <f t="shared" ref="D3075" si="8902">_xlfn.NUMBERVALUE(LEFT(C3075,2))</f>
        <v>10</v>
      </c>
      <c r="E3075">
        <f t="shared" ref="E3075" si="8903">_xlfn.NUMBERVALUE(MID(C3075,4,2))</f>
        <v>10</v>
      </c>
      <c r="F3075">
        <f t="shared" ref="F3075" si="8904">_xlfn.NUMBERVALUE(RIGHT(C3075,4))</f>
        <v>2024</v>
      </c>
      <c r="G3075" t="s">
        <v>7</v>
      </c>
      <c r="H3075">
        <v>-2</v>
      </c>
      <c r="K3075" t="s">
        <v>9</v>
      </c>
      <c r="L3075" s="8">
        <f t="shared" si="8692"/>
        <v>-1</v>
      </c>
      <c r="M3075" t="s">
        <v>3410</v>
      </c>
    </row>
    <row r="3076" spans="1:13" x14ac:dyDescent="0.35">
      <c r="A3076">
        <f t="shared" si="8454"/>
        <v>3072</v>
      </c>
      <c r="B3076" s="9">
        <f t="shared" ref="B3076" si="8905">B3075+H3076+I3076+J3076</f>
        <v>19.990000000000009</v>
      </c>
      <c r="C3076" s="3" t="s">
        <v>3398</v>
      </c>
      <c r="D3076">
        <f t="shared" ref="D3076" si="8906">_xlfn.NUMBERVALUE(LEFT(C3076,2))</f>
        <v>10</v>
      </c>
      <c r="E3076">
        <f t="shared" ref="E3076" si="8907">_xlfn.NUMBERVALUE(MID(C3076,4,2))</f>
        <v>10</v>
      </c>
      <c r="F3076">
        <f t="shared" ref="F3076" si="8908">_xlfn.NUMBERVALUE(RIGHT(C3076,4))</f>
        <v>2024</v>
      </c>
      <c r="G3076" t="s">
        <v>7</v>
      </c>
      <c r="H3076">
        <v>-2</v>
      </c>
      <c r="K3076" t="s">
        <v>9</v>
      </c>
      <c r="L3076" s="8">
        <f t="shared" si="8692"/>
        <v>-1</v>
      </c>
      <c r="M3076" t="s">
        <v>3411</v>
      </c>
    </row>
    <row r="3077" spans="1:13" x14ac:dyDescent="0.35">
      <c r="A3077">
        <f t="shared" si="8454"/>
        <v>3073</v>
      </c>
      <c r="B3077" s="9">
        <f t="shared" ref="B3077" si="8909">B3076+H3077+I3077+J3077</f>
        <v>17.990000000000009</v>
      </c>
      <c r="C3077" s="3" t="s">
        <v>3398</v>
      </c>
      <c r="D3077">
        <f t="shared" ref="D3077" si="8910">_xlfn.NUMBERVALUE(LEFT(C3077,2))</f>
        <v>10</v>
      </c>
      <c r="E3077">
        <f t="shared" ref="E3077" si="8911">_xlfn.NUMBERVALUE(MID(C3077,4,2))</f>
        <v>10</v>
      </c>
      <c r="F3077">
        <f t="shared" ref="F3077" si="8912">_xlfn.NUMBERVALUE(RIGHT(C3077,4))</f>
        <v>2024</v>
      </c>
      <c r="G3077" t="s">
        <v>7</v>
      </c>
      <c r="H3077">
        <v>-2</v>
      </c>
      <c r="K3077" t="s">
        <v>9</v>
      </c>
      <c r="L3077" s="8">
        <f t="shared" si="8692"/>
        <v>-1</v>
      </c>
      <c r="M3077" t="s">
        <v>3412</v>
      </c>
    </row>
    <row r="3078" spans="1:13" x14ac:dyDescent="0.35">
      <c r="A3078">
        <f t="shared" si="8454"/>
        <v>3074</v>
      </c>
      <c r="B3078" s="9">
        <f t="shared" ref="B3078" si="8913">B3077+H3078+I3078+J3078</f>
        <v>23.990000000000009</v>
      </c>
      <c r="C3078" s="3" t="s">
        <v>3398</v>
      </c>
      <c r="D3078">
        <f t="shared" ref="D3078" si="8914">_xlfn.NUMBERVALUE(LEFT(C3078,2))</f>
        <v>10</v>
      </c>
      <c r="E3078">
        <f t="shared" ref="E3078" si="8915">_xlfn.NUMBERVALUE(MID(C3078,4,2))</f>
        <v>10</v>
      </c>
      <c r="F3078">
        <f t="shared" ref="F3078" si="8916">_xlfn.NUMBERVALUE(RIGHT(C3078,4))</f>
        <v>2024</v>
      </c>
      <c r="G3078" t="s">
        <v>7</v>
      </c>
      <c r="H3078">
        <v>-2</v>
      </c>
      <c r="I3078">
        <v>8</v>
      </c>
      <c r="K3078" t="s">
        <v>10</v>
      </c>
      <c r="L3078" s="8">
        <f t="shared" ref="L3078:L3141" si="8917">IF(H3078="",0,(SUM(I3078:J3078)/-H3078)-1)</f>
        <v>3</v>
      </c>
      <c r="M3078" t="s">
        <v>3413</v>
      </c>
    </row>
    <row r="3079" spans="1:13" x14ac:dyDescent="0.35">
      <c r="A3079">
        <f t="shared" si="8454"/>
        <v>3075</v>
      </c>
      <c r="B3079" s="9">
        <f t="shared" ref="B3079" si="8918">B3078+H3079+I3079+J3079</f>
        <v>21.990000000000009</v>
      </c>
      <c r="C3079" s="3" t="s">
        <v>3398</v>
      </c>
      <c r="D3079">
        <f t="shared" ref="D3079" si="8919">_xlfn.NUMBERVALUE(LEFT(C3079,2))</f>
        <v>10</v>
      </c>
      <c r="E3079">
        <f t="shared" ref="E3079" si="8920">_xlfn.NUMBERVALUE(MID(C3079,4,2))</f>
        <v>10</v>
      </c>
      <c r="F3079">
        <f t="shared" ref="F3079" si="8921">_xlfn.NUMBERVALUE(RIGHT(C3079,4))</f>
        <v>2024</v>
      </c>
      <c r="G3079" t="s">
        <v>7</v>
      </c>
      <c r="H3079">
        <v>-2</v>
      </c>
      <c r="K3079" t="s">
        <v>9</v>
      </c>
      <c r="L3079" s="8">
        <f t="shared" si="8917"/>
        <v>-1</v>
      </c>
      <c r="M3079" t="s">
        <v>3414</v>
      </c>
    </row>
    <row r="3080" spans="1:13" x14ac:dyDescent="0.35">
      <c r="A3080">
        <f t="shared" si="8454"/>
        <v>3076</v>
      </c>
      <c r="B3080" s="9">
        <f t="shared" ref="B3080" si="8922">B3079+H3080+I3080+J3080</f>
        <v>19.990000000000009</v>
      </c>
      <c r="C3080" s="3" t="s">
        <v>3398</v>
      </c>
      <c r="D3080">
        <f t="shared" ref="D3080" si="8923">_xlfn.NUMBERVALUE(LEFT(C3080,2))</f>
        <v>10</v>
      </c>
      <c r="E3080">
        <f t="shared" ref="E3080" si="8924">_xlfn.NUMBERVALUE(MID(C3080,4,2))</f>
        <v>10</v>
      </c>
      <c r="F3080">
        <f t="shared" ref="F3080" si="8925">_xlfn.NUMBERVALUE(RIGHT(C3080,4))</f>
        <v>2024</v>
      </c>
      <c r="G3080" t="s">
        <v>7</v>
      </c>
      <c r="H3080">
        <v>-2</v>
      </c>
      <c r="K3080" t="s">
        <v>9</v>
      </c>
      <c r="L3080" s="8">
        <f t="shared" si="8917"/>
        <v>-1</v>
      </c>
      <c r="M3080" t="s">
        <v>3415</v>
      </c>
    </row>
    <row r="3081" spans="1:13" x14ac:dyDescent="0.35">
      <c r="A3081">
        <f t="shared" si="8454"/>
        <v>3077</v>
      </c>
      <c r="B3081" s="9">
        <f t="shared" ref="B3081" si="8926">B3080+H3081+I3081+J3081</f>
        <v>21.990000000000009</v>
      </c>
      <c r="C3081" s="3" t="s">
        <v>3398</v>
      </c>
      <c r="D3081">
        <f t="shared" ref="D3081" si="8927">_xlfn.NUMBERVALUE(LEFT(C3081,2))</f>
        <v>10</v>
      </c>
      <c r="E3081">
        <f t="shared" ref="E3081" si="8928">_xlfn.NUMBERVALUE(MID(C3081,4,2))</f>
        <v>10</v>
      </c>
      <c r="F3081">
        <f t="shared" ref="F3081" si="8929">_xlfn.NUMBERVALUE(RIGHT(C3081,4))</f>
        <v>2024</v>
      </c>
      <c r="G3081" t="s">
        <v>7</v>
      </c>
      <c r="H3081">
        <v>-2</v>
      </c>
      <c r="I3081">
        <v>4</v>
      </c>
      <c r="K3081" t="s">
        <v>10</v>
      </c>
      <c r="L3081" s="8">
        <f t="shared" si="8917"/>
        <v>1</v>
      </c>
      <c r="M3081" t="s">
        <v>3416</v>
      </c>
    </row>
    <row r="3082" spans="1:13" x14ac:dyDescent="0.35">
      <c r="A3082">
        <f t="shared" si="8454"/>
        <v>3078</v>
      </c>
      <c r="B3082" s="9">
        <f t="shared" ref="B3082" si="8930">B3081+H3082+I3082+J3082</f>
        <v>25.990000000000009</v>
      </c>
      <c r="C3082" s="3" t="s">
        <v>3398</v>
      </c>
      <c r="D3082">
        <f t="shared" ref="D3082" si="8931">_xlfn.NUMBERVALUE(LEFT(C3082,2))</f>
        <v>10</v>
      </c>
      <c r="E3082">
        <f t="shared" ref="E3082" si="8932">_xlfn.NUMBERVALUE(MID(C3082,4,2))</f>
        <v>10</v>
      </c>
      <c r="F3082">
        <f t="shared" ref="F3082" si="8933">_xlfn.NUMBERVALUE(RIGHT(C3082,4))</f>
        <v>2024</v>
      </c>
      <c r="G3082" t="s">
        <v>7</v>
      </c>
      <c r="H3082">
        <v>-2</v>
      </c>
      <c r="I3082">
        <v>6</v>
      </c>
      <c r="K3082" t="s">
        <v>10</v>
      </c>
      <c r="L3082" s="8">
        <f t="shared" si="8917"/>
        <v>2</v>
      </c>
      <c r="M3082" t="s">
        <v>3417</v>
      </c>
    </row>
    <row r="3083" spans="1:13" x14ac:dyDescent="0.35">
      <c r="A3083">
        <f t="shared" si="8454"/>
        <v>3079</v>
      </c>
      <c r="B3083" s="9">
        <f t="shared" ref="B3083" si="8934">B3082+H3083+I3083+J3083</f>
        <v>23.990000000000009</v>
      </c>
      <c r="C3083" s="3" t="s">
        <v>3398</v>
      </c>
      <c r="D3083">
        <f t="shared" ref="D3083" si="8935">_xlfn.NUMBERVALUE(LEFT(C3083,2))</f>
        <v>10</v>
      </c>
      <c r="E3083">
        <f t="shared" ref="E3083" si="8936">_xlfn.NUMBERVALUE(MID(C3083,4,2))</f>
        <v>10</v>
      </c>
      <c r="F3083">
        <f t="shared" ref="F3083" si="8937">_xlfn.NUMBERVALUE(RIGHT(C3083,4))</f>
        <v>2024</v>
      </c>
      <c r="G3083" t="s">
        <v>7</v>
      </c>
      <c r="H3083">
        <v>-2</v>
      </c>
      <c r="K3083" t="s">
        <v>9</v>
      </c>
      <c r="L3083" s="8">
        <f t="shared" si="8917"/>
        <v>-1</v>
      </c>
      <c r="M3083" t="s">
        <v>3418</v>
      </c>
    </row>
    <row r="3084" spans="1:13" x14ac:dyDescent="0.35">
      <c r="A3084">
        <f t="shared" si="8454"/>
        <v>3080</v>
      </c>
      <c r="B3084" s="9">
        <f t="shared" ref="B3084" si="8938">B3083+H3084+I3084+J3084</f>
        <v>25.990000000000009</v>
      </c>
      <c r="C3084" s="3" t="s">
        <v>3398</v>
      </c>
      <c r="D3084">
        <f t="shared" ref="D3084" si="8939">_xlfn.NUMBERVALUE(LEFT(C3084,2))</f>
        <v>10</v>
      </c>
      <c r="E3084">
        <f t="shared" ref="E3084" si="8940">_xlfn.NUMBERVALUE(MID(C3084,4,2))</f>
        <v>10</v>
      </c>
      <c r="F3084">
        <f t="shared" ref="F3084" si="8941">_xlfn.NUMBERVALUE(RIGHT(C3084,4))</f>
        <v>2024</v>
      </c>
      <c r="G3084" t="s">
        <v>7</v>
      </c>
      <c r="H3084">
        <v>-2</v>
      </c>
      <c r="I3084">
        <v>4</v>
      </c>
      <c r="K3084" t="s">
        <v>10</v>
      </c>
      <c r="L3084" s="8">
        <f t="shared" si="8917"/>
        <v>1</v>
      </c>
      <c r="M3084" t="s">
        <v>3419</v>
      </c>
    </row>
    <row r="3085" spans="1:13" x14ac:dyDescent="0.35">
      <c r="A3085">
        <f t="shared" si="8454"/>
        <v>3081</v>
      </c>
      <c r="B3085" s="9">
        <f t="shared" ref="B3085" si="8942">B3084+H3085+I3085+J3085</f>
        <v>29.990000000000009</v>
      </c>
      <c r="C3085" s="3" t="s">
        <v>3398</v>
      </c>
      <c r="D3085">
        <f t="shared" ref="D3085" si="8943">_xlfn.NUMBERVALUE(LEFT(C3085,2))</f>
        <v>10</v>
      </c>
      <c r="E3085">
        <f t="shared" ref="E3085" si="8944">_xlfn.NUMBERVALUE(MID(C3085,4,2))</f>
        <v>10</v>
      </c>
      <c r="F3085">
        <f t="shared" ref="F3085" si="8945">_xlfn.NUMBERVALUE(RIGHT(C3085,4))</f>
        <v>2024</v>
      </c>
      <c r="G3085" t="s">
        <v>7</v>
      </c>
      <c r="H3085">
        <v>-2</v>
      </c>
      <c r="I3085">
        <v>6</v>
      </c>
      <c r="K3085" t="s">
        <v>10</v>
      </c>
      <c r="L3085" s="8">
        <f t="shared" si="8917"/>
        <v>2</v>
      </c>
      <c r="M3085" t="s">
        <v>3420</v>
      </c>
    </row>
    <row r="3086" spans="1:13" x14ac:dyDescent="0.35">
      <c r="A3086">
        <f t="shared" si="8454"/>
        <v>3082</v>
      </c>
      <c r="B3086" s="9">
        <f t="shared" ref="B3086" si="8946">B3085+H3086+I3086+J3086</f>
        <v>27.990000000000009</v>
      </c>
      <c r="C3086" s="3" t="s">
        <v>3398</v>
      </c>
      <c r="D3086">
        <f t="shared" ref="D3086" si="8947">_xlfn.NUMBERVALUE(LEFT(C3086,2))</f>
        <v>10</v>
      </c>
      <c r="E3086">
        <f t="shared" ref="E3086" si="8948">_xlfn.NUMBERVALUE(MID(C3086,4,2))</f>
        <v>10</v>
      </c>
      <c r="F3086">
        <f t="shared" ref="F3086" si="8949">_xlfn.NUMBERVALUE(RIGHT(C3086,4))</f>
        <v>2024</v>
      </c>
      <c r="G3086" t="s">
        <v>7</v>
      </c>
      <c r="H3086">
        <v>-2</v>
      </c>
      <c r="K3086" t="s">
        <v>9</v>
      </c>
      <c r="L3086" s="8">
        <f t="shared" si="8917"/>
        <v>-1</v>
      </c>
      <c r="M3086" t="s">
        <v>3421</v>
      </c>
    </row>
    <row r="3087" spans="1:13" x14ac:dyDescent="0.35">
      <c r="A3087">
        <f t="shared" si="8454"/>
        <v>3083</v>
      </c>
      <c r="B3087" s="9">
        <f t="shared" ref="B3087" si="8950">B3086+H3087+I3087+J3087</f>
        <v>25.990000000000009</v>
      </c>
      <c r="C3087" s="3" t="s">
        <v>3398</v>
      </c>
      <c r="D3087">
        <f t="shared" ref="D3087" si="8951">_xlfn.NUMBERVALUE(LEFT(C3087,2))</f>
        <v>10</v>
      </c>
      <c r="E3087">
        <f t="shared" ref="E3087" si="8952">_xlfn.NUMBERVALUE(MID(C3087,4,2))</f>
        <v>10</v>
      </c>
      <c r="F3087">
        <f t="shared" ref="F3087" si="8953">_xlfn.NUMBERVALUE(RIGHT(C3087,4))</f>
        <v>2024</v>
      </c>
      <c r="G3087" t="s">
        <v>7</v>
      </c>
      <c r="H3087">
        <v>-2</v>
      </c>
      <c r="K3087" t="s">
        <v>9</v>
      </c>
      <c r="L3087" s="8">
        <f t="shared" si="8917"/>
        <v>-1</v>
      </c>
      <c r="M3087" t="s">
        <v>3422</v>
      </c>
    </row>
    <row r="3088" spans="1:13" x14ac:dyDescent="0.35">
      <c r="A3088">
        <f t="shared" si="8454"/>
        <v>3084</v>
      </c>
      <c r="B3088" s="9">
        <f t="shared" ref="B3088" si="8954">B3087+H3088+I3088+J3088</f>
        <v>23.990000000000009</v>
      </c>
      <c r="C3088" s="3" t="s">
        <v>3398</v>
      </c>
      <c r="D3088">
        <f t="shared" ref="D3088" si="8955">_xlfn.NUMBERVALUE(LEFT(C3088,2))</f>
        <v>10</v>
      </c>
      <c r="E3088">
        <f t="shared" ref="E3088" si="8956">_xlfn.NUMBERVALUE(MID(C3088,4,2))</f>
        <v>10</v>
      </c>
      <c r="F3088">
        <f t="shared" ref="F3088" si="8957">_xlfn.NUMBERVALUE(RIGHT(C3088,4))</f>
        <v>2024</v>
      </c>
      <c r="G3088" t="s">
        <v>7</v>
      </c>
      <c r="H3088">
        <v>-2</v>
      </c>
      <c r="K3088" t="s">
        <v>9</v>
      </c>
      <c r="L3088" s="8">
        <f t="shared" si="8917"/>
        <v>-1</v>
      </c>
      <c r="M3088" t="s">
        <v>3423</v>
      </c>
    </row>
    <row r="3089" spans="1:13" x14ac:dyDescent="0.35">
      <c r="A3089">
        <f t="shared" si="8454"/>
        <v>3085</v>
      </c>
      <c r="B3089" s="9">
        <f t="shared" ref="B3089" si="8958">B3088+H3089+I3089+J3089</f>
        <v>25.990000000000009</v>
      </c>
      <c r="C3089" s="3" t="s">
        <v>3398</v>
      </c>
      <c r="D3089">
        <f t="shared" ref="D3089" si="8959">_xlfn.NUMBERVALUE(LEFT(C3089,2))</f>
        <v>10</v>
      </c>
      <c r="E3089">
        <f t="shared" ref="E3089" si="8960">_xlfn.NUMBERVALUE(MID(C3089,4,2))</f>
        <v>10</v>
      </c>
      <c r="F3089">
        <f t="shared" ref="F3089" si="8961">_xlfn.NUMBERVALUE(RIGHT(C3089,4))</f>
        <v>2024</v>
      </c>
      <c r="G3089" t="s">
        <v>7</v>
      </c>
      <c r="H3089">
        <v>-2</v>
      </c>
      <c r="I3089">
        <v>4</v>
      </c>
      <c r="K3089" t="s">
        <v>10</v>
      </c>
      <c r="L3089" s="8">
        <f t="shared" si="8917"/>
        <v>1</v>
      </c>
      <c r="M3089" t="s">
        <v>3424</v>
      </c>
    </row>
    <row r="3090" spans="1:13" x14ac:dyDescent="0.35">
      <c r="A3090">
        <f t="shared" si="8454"/>
        <v>3086</v>
      </c>
      <c r="B3090" s="9">
        <f t="shared" ref="B3090" si="8962">B3089+H3090+I3090+J3090</f>
        <v>23.990000000000009</v>
      </c>
      <c r="C3090" s="3" t="s">
        <v>3398</v>
      </c>
      <c r="D3090">
        <f t="shared" ref="D3090" si="8963">_xlfn.NUMBERVALUE(LEFT(C3090,2))</f>
        <v>10</v>
      </c>
      <c r="E3090">
        <f t="shared" ref="E3090" si="8964">_xlfn.NUMBERVALUE(MID(C3090,4,2))</f>
        <v>10</v>
      </c>
      <c r="F3090">
        <f t="shared" ref="F3090" si="8965">_xlfn.NUMBERVALUE(RIGHT(C3090,4))</f>
        <v>2024</v>
      </c>
      <c r="G3090" t="s">
        <v>7</v>
      </c>
      <c r="H3090">
        <v>-2</v>
      </c>
      <c r="K3090" t="s">
        <v>9</v>
      </c>
      <c r="L3090" s="8">
        <f t="shared" si="8917"/>
        <v>-1</v>
      </c>
      <c r="M3090" t="s">
        <v>3425</v>
      </c>
    </row>
    <row r="3091" spans="1:13" x14ac:dyDescent="0.35">
      <c r="A3091">
        <f t="shared" si="8454"/>
        <v>3087</v>
      </c>
      <c r="B3091" s="9">
        <f t="shared" ref="B3091" si="8966">B3090+H3091+I3091+J3091</f>
        <v>21.990000000000009</v>
      </c>
      <c r="C3091" s="3" t="s">
        <v>3398</v>
      </c>
      <c r="D3091">
        <f t="shared" ref="D3091" si="8967">_xlfn.NUMBERVALUE(LEFT(C3091,2))</f>
        <v>10</v>
      </c>
      <c r="E3091">
        <f t="shared" ref="E3091" si="8968">_xlfn.NUMBERVALUE(MID(C3091,4,2))</f>
        <v>10</v>
      </c>
      <c r="F3091">
        <f t="shared" ref="F3091" si="8969">_xlfn.NUMBERVALUE(RIGHT(C3091,4))</f>
        <v>2024</v>
      </c>
      <c r="G3091" t="s">
        <v>7</v>
      </c>
      <c r="H3091">
        <v>-2</v>
      </c>
      <c r="K3091" t="s">
        <v>9</v>
      </c>
      <c r="L3091" s="8">
        <f t="shared" si="8917"/>
        <v>-1</v>
      </c>
      <c r="M3091" t="s">
        <v>3426</v>
      </c>
    </row>
    <row r="3092" spans="1:13" x14ac:dyDescent="0.35">
      <c r="A3092">
        <f t="shared" si="8454"/>
        <v>3088</v>
      </c>
      <c r="B3092" s="9">
        <f t="shared" ref="B3092" si="8970">B3091+H3092+I3092+J3092</f>
        <v>19.990000000000009</v>
      </c>
      <c r="C3092" s="3" t="s">
        <v>3398</v>
      </c>
      <c r="D3092">
        <f t="shared" ref="D3092" si="8971">_xlfn.NUMBERVALUE(LEFT(C3092,2))</f>
        <v>10</v>
      </c>
      <c r="E3092">
        <f t="shared" ref="E3092" si="8972">_xlfn.NUMBERVALUE(MID(C3092,4,2))</f>
        <v>10</v>
      </c>
      <c r="F3092">
        <f t="shared" ref="F3092" si="8973">_xlfn.NUMBERVALUE(RIGHT(C3092,4))</f>
        <v>2024</v>
      </c>
      <c r="G3092" t="s">
        <v>7</v>
      </c>
      <c r="H3092">
        <v>-2</v>
      </c>
      <c r="K3092" t="s">
        <v>9</v>
      </c>
      <c r="L3092" s="8">
        <f t="shared" si="8917"/>
        <v>-1</v>
      </c>
      <c r="M3092" t="s">
        <v>3427</v>
      </c>
    </row>
    <row r="3093" spans="1:13" x14ac:dyDescent="0.35">
      <c r="A3093">
        <f t="shared" si="8454"/>
        <v>3089</v>
      </c>
      <c r="B3093" s="9">
        <f t="shared" ref="B3093" si="8974">B3092+H3093+I3093+J3093</f>
        <v>23.990000000000009</v>
      </c>
      <c r="C3093" s="3" t="s">
        <v>3398</v>
      </c>
      <c r="D3093">
        <f t="shared" ref="D3093" si="8975">_xlfn.NUMBERVALUE(LEFT(C3093,2))</f>
        <v>10</v>
      </c>
      <c r="E3093">
        <f t="shared" ref="E3093" si="8976">_xlfn.NUMBERVALUE(MID(C3093,4,2))</f>
        <v>10</v>
      </c>
      <c r="F3093">
        <f t="shared" ref="F3093" si="8977">_xlfn.NUMBERVALUE(RIGHT(C3093,4))</f>
        <v>2024</v>
      </c>
      <c r="G3093" t="s">
        <v>7</v>
      </c>
      <c r="H3093">
        <v>-2</v>
      </c>
      <c r="I3093">
        <v>6</v>
      </c>
      <c r="K3093" t="s">
        <v>10</v>
      </c>
      <c r="L3093" s="8">
        <f t="shared" si="8917"/>
        <v>2</v>
      </c>
      <c r="M3093" t="s">
        <v>3428</v>
      </c>
    </row>
    <row r="3094" spans="1:13" x14ac:dyDescent="0.35">
      <c r="A3094">
        <f t="shared" si="8454"/>
        <v>3090</v>
      </c>
      <c r="B3094" s="9">
        <f t="shared" ref="B3094" si="8978">B3093+H3094+I3094+J3094</f>
        <v>21.990000000000009</v>
      </c>
      <c r="C3094" s="3" t="s">
        <v>3398</v>
      </c>
      <c r="D3094">
        <f t="shared" ref="D3094" si="8979">_xlfn.NUMBERVALUE(LEFT(C3094,2))</f>
        <v>10</v>
      </c>
      <c r="E3094">
        <f t="shared" ref="E3094" si="8980">_xlfn.NUMBERVALUE(MID(C3094,4,2))</f>
        <v>10</v>
      </c>
      <c r="F3094">
        <f t="shared" ref="F3094" si="8981">_xlfn.NUMBERVALUE(RIGHT(C3094,4))</f>
        <v>2024</v>
      </c>
      <c r="G3094" t="s">
        <v>7</v>
      </c>
      <c r="H3094">
        <v>-2</v>
      </c>
      <c r="K3094" t="s">
        <v>9</v>
      </c>
      <c r="L3094" s="8">
        <f t="shared" si="8917"/>
        <v>-1</v>
      </c>
      <c r="M3094" t="s">
        <v>3429</v>
      </c>
    </row>
    <row r="3095" spans="1:13" x14ac:dyDescent="0.35">
      <c r="A3095">
        <f t="shared" si="8454"/>
        <v>3091</v>
      </c>
      <c r="B3095" s="9">
        <f t="shared" ref="B3095" si="8982">B3094+H3095+I3095+J3095</f>
        <v>19.990000000000009</v>
      </c>
      <c r="C3095" s="3" t="s">
        <v>3398</v>
      </c>
      <c r="D3095">
        <f t="shared" ref="D3095" si="8983">_xlfn.NUMBERVALUE(LEFT(C3095,2))</f>
        <v>10</v>
      </c>
      <c r="E3095">
        <f t="shared" ref="E3095" si="8984">_xlfn.NUMBERVALUE(MID(C3095,4,2))</f>
        <v>10</v>
      </c>
      <c r="F3095">
        <f t="shared" ref="F3095" si="8985">_xlfn.NUMBERVALUE(RIGHT(C3095,4))</f>
        <v>2024</v>
      </c>
      <c r="G3095" t="s">
        <v>7</v>
      </c>
      <c r="H3095">
        <v>-2</v>
      </c>
      <c r="K3095" t="s">
        <v>9</v>
      </c>
      <c r="L3095" s="8">
        <f t="shared" si="8917"/>
        <v>-1</v>
      </c>
      <c r="M3095" t="s">
        <v>3430</v>
      </c>
    </row>
    <row r="3096" spans="1:13" x14ac:dyDescent="0.35">
      <c r="A3096">
        <f t="shared" si="8454"/>
        <v>3092</v>
      </c>
      <c r="B3096" s="9">
        <f t="shared" ref="B3096" si="8986">B3095+H3096+I3096+J3096</f>
        <v>17.990000000000009</v>
      </c>
      <c r="C3096" s="3" t="s">
        <v>3398</v>
      </c>
      <c r="D3096">
        <f t="shared" ref="D3096" si="8987">_xlfn.NUMBERVALUE(LEFT(C3096,2))</f>
        <v>10</v>
      </c>
      <c r="E3096">
        <f t="shared" ref="E3096" si="8988">_xlfn.NUMBERVALUE(MID(C3096,4,2))</f>
        <v>10</v>
      </c>
      <c r="F3096">
        <f t="shared" ref="F3096" si="8989">_xlfn.NUMBERVALUE(RIGHT(C3096,4))</f>
        <v>2024</v>
      </c>
      <c r="G3096" t="s">
        <v>7</v>
      </c>
      <c r="H3096">
        <v>-2</v>
      </c>
      <c r="K3096" t="s">
        <v>9</v>
      </c>
      <c r="L3096" s="8">
        <f t="shared" si="8917"/>
        <v>-1</v>
      </c>
      <c r="M3096" t="s">
        <v>3431</v>
      </c>
    </row>
    <row r="3097" spans="1:13" x14ac:dyDescent="0.35">
      <c r="A3097">
        <f t="shared" si="8454"/>
        <v>3093</v>
      </c>
      <c r="B3097" s="9">
        <f t="shared" ref="B3097" si="8990">B3096+H3097+I3097+J3097</f>
        <v>15.990000000000009</v>
      </c>
      <c r="C3097" s="3" t="s">
        <v>3398</v>
      </c>
      <c r="D3097">
        <f t="shared" ref="D3097" si="8991">_xlfn.NUMBERVALUE(LEFT(C3097,2))</f>
        <v>10</v>
      </c>
      <c r="E3097">
        <f t="shared" ref="E3097" si="8992">_xlfn.NUMBERVALUE(MID(C3097,4,2))</f>
        <v>10</v>
      </c>
      <c r="F3097">
        <f t="shared" ref="F3097" si="8993">_xlfn.NUMBERVALUE(RIGHT(C3097,4))</f>
        <v>2024</v>
      </c>
      <c r="G3097" t="s">
        <v>7</v>
      </c>
      <c r="H3097">
        <v>-2</v>
      </c>
      <c r="K3097" t="s">
        <v>9</v>
      </c>
      <c r="L3097" s="8">
        <f t="shared" si="8917"/>
        <v>-1</v>
      </c>
      <c r="M3097" t="s">
        <v>3432</v>
      </c>
    </row>
    <row r="3098" spans="1:13" x14ac:dyDescent="0.35">
      <c r="A3098">
        <f t="shared" si="8454"/>
        <v>3094</v>
      </c>
      <c r="B3098" s="9">
        <f t="shared" ref="B3098" si="8994">B3097+H3098+I3098+J3098</f>
        <v>19.990000000000009</v>
      </c>
      <c r="C3098" s="3" t="s">
        <v>3398</v>
      </c>
      <c r="D3098">
        <f t="shared" ref="D3098" si="8995">_xlfn.NUMBERVALUE(LEFT(C3098,2))</f>
        <v>10</v>
      </c>
      <c r="E3098">
        <f t="shared" ref="E3098" si="8996">_xlfn.NUMBERVALUE(MID(C3098,4,2))</f>
        <v>10</v>
      </c>
      <c r="F3098">
        <f t="shared" ref="F3098" si="8997">_xlfn.NUMBERVALUE(RIGHT(C3098,4))</f>
        <v>2024</v>
      </c>
      <c r="G3098" t="s">
        <v>7</v>
      </c>
      <c r="H3098">
        <v>-2</v>
      </c>
      <c r="I3098">
        <v>6</v>
      </c>
      <c r="K3098" t="s">
        <v>10</v>
      </c>
      <c r="L3098" s="8">
        <f t="shared" si="8917"/>
        <v>2</v>
      </c>
      <c r="M3098" t="s">
        <v>3433</v>
      </c>
    </row>
    <row r="3099" spans="1:13" x14ac:dyDescent="0.35">
      <c r="A3099">
        <f t="shared" si="8454"/>
        <v>3095</v>
      </c>
      <c r="B3099" s="9">
        <f t="shared" ref="B3099" si="8998">B3098+H3099+I3099+J3099</f>
        <v>21.990000000000009</v>
      </c>
      <c r="C3099" s="3" t="s">
        <v>3398</v>
      </c>
      <c r="D3099">
        <f t="shared" ref="D3099" si="8999">_xlfn.NUMBERVALUE(LEFT(C3099,2))</f>
        <v>10</v>
      </c>
      <c r="E3099">
        <f t="shared" ref="E3099" si="9000">_xlfn.NUMBERVALUE(MID(C3099,4,2))</f>
        <v>10</v>
      </c>
      <c r="F3099">
        <f t="shared" ref="F3099" si="9001">_xlfn.NUMBERVALUE(RIGHT(C3099,4))</f>
        <v>2024</v>
      </c>
      <c r="G3099" t="s">
        <v>7</v>
      </c>
      <c r="H3099">
        <v>-2</v>
      </c>
      <c r="I3099">
        <v>4</v>
      </c>
      <c r="K3099" t="s">
        <v>10</v>
      </c>
      <c r="L3099" s="8">
        <f t="shared" si="8917"/>
        <v>1</v>
      </c>
      <c r="M3099" t="s">
        <v>3434</v>
      </c>
    </row>
    <row r="3100" spans="1:13" x14ac:dyDescent="0.35">
      <c r="A3100">
        <f t="shared" si="8454"/>
        <v>3096</v>
      </c>
      <c r="B3100" s="9">
        <f t="shared" ref="B3100" si="9002">B3099+H3100+I3100+J3100</f>
        <v>19.990000000000009</v>
      </c>
      <c r="C3100" s="3" t="s">
        <v>3398</v>
      </c>
      <c r="D3100">
        <f t="shared" ref="D3100" si="9003">_xlfn.NUMBERVALUE(LEFT(C3100,2))</f>
        <v>10</v>
      </c>
      <c r="E3100">
        <f t="shared" ref="E3100" si="9004">_xlfn.NUMBERVALUE(MID(C3100,4,2))</f>
        <v>10</v>
      </c>
      <c r="F3100">
        <f t="shared" ref="F3100" si="9005">_xlfn.NUMBERVALUE(RIGHT(C3100,4))</f>
        <v>2024</v>
      </c>
      <c r="G3100" t="s">
        <v>7</v>
      </c>
      <c r="H3100">
        <v>-2</v>
      </c>
      <c r="K3100" t="s">
        <v>9</v>
      </c>
      <c r="L3100" s="8">
        <f t="shared" si="8917"/>
        <v>-1</v>
      </c>
      <c r="M3100" t="s">
        <v>3435</v>
      </c>
    </row>
    <row r="3101" spans="1:13" x14ac:dyDescent="0.35">
      <c r="A3101">
        <f t="shared" si="8454"/>
        <v>3097</v>
      </c>
      <c r="B3101" s="9">
        <f t="shared" ref="B3101" si="9006">B3100+H3101+I3101+J3101</f>
        <v>23.990000000000009</v>
      </c>
      <c r="C3101" s="3" t="s">
        <v>3398</v>
      </c>
      <c r="D3101">
        <f t="shared" ref="D3101" si="9007">_xlfn.NUMBERVALUE(LEFT(C3101,2))</f>
        <v>10</v>
      </c>
      <c r="E3101">
        <f t="shared" ref="E3101" si="9008">_xlfn.NUMBERVALUE(MID(C3101,4,2))</f>
        <v>10</v>
      </c>
      <c r="F3101">
        <f t="shared" ref="F3101" si="9009">_xlfn.NUMBERVALUE(RIGHT(C3101,4))</f>
        <v>2024</v>
      </c>
      <c r="G3101" t="s">
        <v>7</v>
      </c>
      <c r="H3101">
        <v>-2</v>
      </c>
      <c r="I3101">
        <v>6</v>
      </c>
      <c r="K3101" t="s">
        <v>10</v>
      </c>
      <c r="L3101" s="8">
        <f t="shared" si="8917"/>
        <v>2</v>
      </c>
      <c r="M3101" t="s">
        <v>3436</v>
      </c>
    </row>
    <row r="3102" spans="1:13" x14ac:dyDescent="0.35">
      <c r="A3102">
        <f t="shared" si="8454"/>
        <v>3098</v>
      </c>
      <c r="B3102" s="9">
        <f t="shared" ref="B3102:B3103" si="9010">B3101+H3102+I3102+J3102</f>
        <v>19.590000000000011</v>
      </c>
      <c r="C3102" s="3" t="s">
        <v>3398</v>
      </c>
      <c r="D3102">
        <f t="shared" ref="D3102:D3103" si="9011">_xlfn.NUMBERVALUE(LEFT(C3102,2))</f>
        <v>10</v>
      </c>
      <c r="E3102">
        <f t="shared" ref="E3102:E3103" si="9012">_xlfn.NUMBERVALUE(MID(C3102,4,2))</f>
        <v>10</v>
      </c>
      <c r="F3102">
        <f t="shared" ref="F3102:F3103" si="9013">_xlfn.NUMBERVALUE(RIGHT(C3102,4))</f>
        <v>2024</v>
      </c>
      <c r="G3102" t="s">
        <v>44</v>
      </c>
      <c r="H3102">
        <v>-4.4000000000000004</v>
      </c>
      <c r="K3102" t="s">
        <v>9</v>
      </c>
      <c r="L3102" s="8">
        <f t="shared" si="8917"/>
        <v>-1</v>
      </c>
      <c r="M3102" t="s">
        <v>3442</v>
      </c>
    </row>
    <row r="3103" spans="1:13" x14ac:dyDescent="0.35">
      <c r="A3103">
        <f t="shared" si="8454"/>
        <v>3099</v>
      </c>
      <c r="B3103" s="9">
        <f t="shared" si="9010"/>
        <v>17.590000000000011</v>
      </c>
      <c r="C3103" s="3" t="s">
        <v>3398</v>
      </c>
      <c r="D3103">
        <f t="shared" si="9011"/>
        <v>10</v>
      </c>
      <c r="E3103">
        <f t="shared" si="9012"/>
        <v>10</v>
      </c>
      <c r="F3103">
        <f t="shared" si="9013"/>
        <v>2024</v>
      </c>
      <c r="G3103" t="s">
        <v>7</v>
      </c>
      <c r="H3103">
        <v>-2</v>
      </c>
      <c r="K3103" t="s">
        <v>9</v>
      </c>
      <c r="L3103" s="8">
        <f t="shared" si="8917"/>
        <v>-1</v>
      </c>
      <c r="M3103" t="s">
        <v>3443</v>
      </c>
    </row>
    <row r="3104" spans="1:13" x14ac:dyDescent="0.35">
      <c r="A3104">
        <f t="shared" si="8454"/>
        <v>3100</v>
      </c>
      <c r="B3104" s="9">
        <f t="shared" ref="B3104" si="9014">B3103+H3104+I3104+J3104</f>
        <v>15.590000000000011</v>
      </c>
      <c r="C3104" s="3" t="s">
        <v>3398</v>
      </c>
      <c r="D3104">
        <f t="shared" ref="D3104" si="9015">_xlfn.NUMBERVALUE(LEFT(C3104,2))</f>
        <v>10</v>
      </c>
      <c r="E3104">
        <f t="shared" ref="E3104" si="9016">_xlfn.NUMBERVALUE(MID(C3104,4,2))</f>
        <v>10</v>
      </c>
      <c r="F3104">
        <f t="shared" ref="F3104" si="9017">_xlfn.NUMBERVALUE(RIGHT(C3104,4))</f>
        <v>2024</v>
      </c>
      <c r="G3104" t="s">
        <v>7</v>
      </c>
      <c r="H3104">
        <v>-2</v>
      </c>
      <c r="K3104" t="s">
        <v>9</v>
      </c>
      <c r="L3104" s="8">
        <f t="shared" si="8917"/>
        <v>-1</v>
      </c>
      <c r="M3104" t="s">
        <v>3444</v>
      </c>
    </row>
    <row r="3105" spans="1:13" x14ac:dyDescent="0.35">
      <c r="A3105">
        <f t="shared" si="8454"/>
        <v>3101</v>
      </c>
      <c r="B3105" s="9">
        <f t="shared" ref="B3105" si="9018">B3104+H3105+I3105+J3105</f>
        <v>13.590000000000011</v>
      </c>
      <c r="C3105" s="3" t="s">
        <v>3398</v>
      </c>
      <c r="D3105">
        <f t="shared" ref="D3105" si="9019">_xlfn.NUMBERVALUE(LEFT(C3105,2))</f>
        <v>10</v>
      </c>
      <c r="E3105">
        <f t="shared" ref="E3105" si="9020">_xlfn.NUMBERVALUE(MID(C3105,4,2))</f>
        <v>10</v>
      </c>
      <c r="F3105">
        <f t="shared" ref="F3105" si="9021">_xlfn.NUMBERVALUE(RIGHT(C3105,4))</f>
        <v>2024</v>
      </c>
      <c r="G3105" t="s">
        <v>7</v>
      </c>
      <c r="H3105">
        <v>-2</v>
      </c>
      <c r="K3105" t="s">
        <v>9</v>
      </c>
      <c r="L3105" s="8">
        <f t="shared" si="8917"/>
        <v>-1</v>
      </c>
      <c r="M3105" t="s">
        <v>3445</v>
      </c>
    </row>
    <row r="3106" spans="1:13" x14ac:dyDescent="0.35">
      <c r="A3106">
        <f t="shared" si="8454"/>
        <v>3102</v>
      </c>
      <c r="B3106" s="9">
        <f t="shared" ref="B3106" si="9022">B3105+H3106+I3106+J3106</f>
        <v>11.590000000000011</v>
      </c>
      <c r="C3106" s="3" t="s">
        <v>3398</v>
      </c>
      <c r="D3106">
        <f t="shared" ref="D3106" si="9023">_xlfn.NUMBERVALUE(LEFT(C3106,2))</f>
        <v>10</v>
      </c>
      <c r="E3106">
        <f t="shared" ref="E3106" si="9024">_xlfn.NUMBERVALUE(MID(C3106,4,2))</f>
        <v>10</v>
      </c>
      <c r="F3106">
        <f t="shared" ref="F3106" si="9025">_xlfn.NUMBERVALUE(RIGHT(C3106,4))</f>
        <v>2024</v>
      </c>
      <c r="G3106" t="s">
        <v>7</v>
      </c>
      <c r="H3106">
        <v>-2</v>
      </c>
      <c r="K3106" t="s">
        <v>9</v>
      </c>
      <c r="L3106" s="8">
        <f t="shared" si="8917"/>
        <v>-1</v>
      </c>
      <c r="M3106" t="s">
        <v>3446</v>
      </c>
    </row>
    <row r="3107" spans="1:13" x14ac:dyDescent="0.35">
      <c r="A3107">
        <f t="shared" si="8454"/>
        <v>3103</v>
      </c>
      <c r="B3107" s="9">
        <f t="shared" ref="B3107" si="9026">B3106+H3107+I3107+J3107</f>
        <v>1.5900000000000105</v>
      </c>
      <c r="C3107" s="3" t="s">
        <v>3398</v>
      </c>
      <c r="D3107">
        <f t="shared" ref="D3107" si="9027">_xlfn.NUMBERVALUE(LEFT(C3107,2))</f>
        <v>10</v>
      </c>
      <c r="E3107">
        <f t="shared" ref="E3107" si="9028">_xlfn.NUMBERVALUE(MID(C3107,4,2))</f>
        <v>10</v>
      </c>
      <c r="F3107">
        <f t="shared" ref="F3107" si="9029">_xlfn.NUMBERVALUE(RIGHT(C3107,4))</f>
        <v>2024</v>
      </c>
      <c r="G3107" t="s">
        <v>7</v>
      </c>
      <c r="H3107">
        <v>-10</v>
      </c>
      <c r="K3107" t="s">
        <v>9</v>
      </c>
      <c r="L3107" s="8">
        <f t="shared" si="8917"/>
        <v>-1</v>
      </c>
      <c r="M3107" t="s">
        <v>3447</v>
      </c>
    </row>
    <row r="3108" spans="1:13" x14ac:dyDescent="0.35">
      <c r="A3108">
        <f t="shared" si="8454"/>
        <v>3104</v>
      </c>
      <c r="B3108" s="9">
        <f t="shared" ref="B3108:B3110" si="9030">B3107+H3108+I3108+J3108</f>
        <v>59.960000000000008</v>
      </c>
      <c r="C3108" s="3" t="s">
        <v>3398</v>
      </c>
      <c r="D3108">
        <f t="shared" ref="D3108:D3110" si="9031">_xlfn.NUMBERVALUE(LEFT(C3108,2))</f>
        <v>10</v>
      </c>
      <c r="E3108">
        <f t="shared" ref="E3108:E3110" si="9032">_xlfn.NUMBERVALUE(MID(C3108,4,2))</f>
        <v>10</v>
      </c>
      <c r="F3108">
        <f t="shared" ref="F3108:F3110" si="9033">_xlfn.NUMBERVALUE(RIGHT(C3108,4))</f>
        <v>2024</v>
      </c>
      <c r="G3108" t="s">
        <v>3362</v>
      </c>
      <c r="H3108" s="9"/>
      <c r="I3108">
        <v>58.37</v>
      </c>
      <c r="L3108" s="8"/>
    </row>
    <row r="3109" spans="1:13" x14ac:dyDescent="0.35">
      <c r="A3109">
        <f t="shared" si="8454"/>
        <v>3105</v>
      </c>
      <c r="B3109" s="9">
        <f t="shared" si="9030"/>
        <v>63.960000000000008</v>
      </c>
      <c r="C3109" s="3" t="s">
        <v>3448</v>
      </c>
      <c r="D3109">
        <f t="shared" si="9031"/>
        <v>11</v>
      </c>
      <c r="E3109">
        <f t="shared" si="9032"/>
        <v>10</v>
      </c>
      <c r="F3109">
        <f t="shared" si="9033"/>
        <v>2024</v>
      </c>
      <c r="G3109" t="s">
        <v>7</v>
      </c>
      <c r="H3109">
        <v>-2</v>
      </c>
      <c r="I3109">
        <v>6</v>
      </c>
      <c r="K3109" t="s">
        <v>10</v>
      </c>
      <c r="L3109" s="8">
        <f t="shared" si="8917"/>
        <v>2</v>
      </c>
      <c r="M3109" t="s">
        <v>3449</v>
      </c>
    </row>
    <row r="3110" spans="1:13" x14ac:dyDescent="0.35">
      <c r="A3110">
        <f t="shared" si="8454"/>
        <v>3106</v>
      </c>
      <c r="B3110" s="9">
        <f t="shared" si="9030"/>
        <v>63.960000000000008</v>
      </c>
      <c r="C3110" s="3" t="s">
        <v>3448</v>
      </c>
      <c r="D3110">
        <f t="shared" si="9031"/>
        <v>11</v>
      </c>
      <c r="E3110">
        <f t="shared" si="9032"/>
        <v>10</v>
      </c>
      <c r="F3110">
        <f t="shared" si="9033"/>
        <v>2024</v>
      </c>
      <c r="G3110" t="s">
        <v>3039</v>
      </c>
      <c r="K3110" t="s">
        <v>10</v>
      </c>
      <c r="L3110" s="8">
        <f t="shared" si="8917"/>
        <v>0</v>
      </c>
      <c r="M3110" t="s">
        <v>3450</v>
      </c>
    </row>
    <row r="3111" spans="1:13" x14ac:dyDescent="0.35">
      <c r="A3111">
        <f t="shared" si="8454"/>
        <v>3107</v>
      </c>
      <c r="B3111" s="9">
        <f t="shared" ref="B3111" si="9034">B3110+H3111+I3111+J3111</f>
        <v>65.960000000000008</v>
      </c>
      <c r="C3111" s="3" t="s">
        <v>3448</v>
      </c>
      <c r="D3111">
        <f t="shared" ref="D3111" si="9035">_xlfn.NUMBERVALUE(LEFT(C3111,2))</f>
        <v>11</v>
      </c>
      <c r="E3111">
        <f t="shared" ref="E3111" si="9036">_xlfn.NUMBERVALUE(MID(C3111,4,2))</f>
        <v>10</v>
      </c>
      <c r="F3111">
        <f t="shared" ref="F3111" si="9037">_xlfn.NUMBERVALUE(RIGHT(C3111,4))</f>
        <v>2024</v>
      </c>
      <c r="G3111" t="s">
        <v>7</v>
      </c>
      <c r="H3111">
        <v>-2</v>
      </c>
      <c r="I3111">
        <v>4</v>
      </c>
      <c r="K3111" t="s">
        <v>10</v>
      </c>
      <c r="L3111" s="8">
        <f t="shared" si="8917"/>
        <v>1</v>
      </c>
      <c r="M3111" t="s">
        <v>3451</v>
      </c>
    </row>
    <row r="3112" spans="1:13" x14ac:dyDescent="0.35">
      <c r="A3112">
        <f t="shared" si="8454"/>
        <v>3108</v>
      </c>
      <c r="B3112" s="9">
        <f t="shared" ref="B3112" si="9038">B3111+H3112+I3112+J3112</f>
        <v>63.960000000000008</v>
      </c>
      <c r="C3112" s="3" t="s">
        <v>3448</v>
      </c>
      <c r="D3112">
        <f t="shared" ref="D3112" si="9039">_xlfn.NUMBERVALUE(LEFT(C3112,2))</f>
        <v>11</v>
      </c>
      <c r="E3112">
        <f t="shared" ref="E3112" si="9040">_xlfn.NUMBERVALUE(MID(C3112,4,2))</f>
        <v>10</v>
      </c>
      <c r="F3112">
        <f t="shared" ref="F3112" si="9041">_xlfn.NUMBERVALUE(RIGHT(C3112,4))</f>
        <v>2024</v>
      </c>
      <c r="G3112" t="s">
        <v>7</v>
      </c>
      <c r="H3112">
        <v>-2</v>
      </c>
      <c r="K3112" t="s">
        <v>9</v>
      </c>
      <c r="L3112" s="8">
        <f t="shared" si="8917"/>
        <v>-1</v>
      </c>
      <c r="M3112" t="s">
        <v>3452</v>
      </c>
    </row>
    <row r="3113" spans="1:13" x14ac:dyDescent="0.35">
      <c r="A3113">
        <f t="shared" si="8454"/>
        <v>3109</v>
      </c>
      <c r="B3113" s="9">
        <f t="shared" ref="B3113" si="9042">B3112+H3113+I3113+J3113</f>
        <v>61.960000000000008</v>
      </c>
      <c r="C3113" s="3" t="s">
        <v>3448</v>
      </c>
      <c r="D3113">
        <f t="shared" ref="D3113" si="9043">_xlfn.NUMBERVALUE(LEFT(C3113,2))</f>
        <v>11</v>
      </c>
      <c r="E3113">
        <f t="shared" ref="E3113" si="9044">_xlfn.NUMBERVALUE(MID(C3113,4,2))</f>
        <v>10</v>
      </c>
      <c r="F3113">
        <f t="shared" ref="F3113" si="9045">_xlfn.NUMBERVALUE(RIGHT(C3113,4))</f>
        <v>2024</v>
      </c>
      <c r="G3113" t="s">
        <v>7</v>
      </c>
      <c r="H3113">
        <v>-2</v>
      </c>
      <c r="K3113" t="s">
        <v>9</v>
      </c>
      <c r="L3113" s="8">
        <f t="shared" si="8917"/>
        <v>-1</v>
      </c>
      <c r="M3113" t="s">
        <v>3453</v>
      </c>
    </row>
    <row r="3114" spans="1:13" x14ac:dyDescent="0.35">
      <c r="A3114">
        <f t="shared" si="8454"/>
        <v>3110</v>
      </c>
      <c r="B3114" s="9">
        <f t="shared" ref="B3114" si="9046">B3113+H3114+I3114+J3114</f>
        <v>59.960000000000008</v>
      </c>
      <c r="C3114" s="3" t="s">
        <v>3448</v>
      </c>
      <c r="D3114">
        <f t="shared" ref="D3114" si="9047">_xlfn.NUMBERVALUE(LEFT(C3114,2))</f>
        <v>11</v>
      </c>
      <c r="E3114">
        <f t="shared" ref="E3114" si="9048">_xlfn.NUMBERVALUE(MID(C3114,4,2))</f>
        <v>10</v>
      </c>
      <c r="F3114">
        <f t="shared" ref="F3114" si="9049">_xlfn.NUMBERVALUE(RIGHT(C3114,4))</f>
        <v>2024</v>
      </c>
      <c r="G3114" t="s">
        <v>7</v>
      </c>
      <c r="H3114">
        <v>-2</v>
      </c>
      <c r="K3114" t="s">
        <v>9</v>
      </c>
      <c r="L3114" s="8">
        <f t="shared" si="8917"/>
        <v>-1</v>
      </c>
      <c r="M3114" t="s">
        <v>3454</v>
      </c>
    </row>
    <row r="3115" spans="1:13" x14ac:dyDescent="0.35">
      <c r="A3115">
        <f t="shared" si="8454"/>
        <v>3111</v>
      </c>
      <c r="B3115" s="9">
        <f t="shared" ref="B3115" si="9050">B3114+H3115+I3115+J3115</f>
        <v>61.960000000000008</v>
      </c>
      <c r="C3115" s="3" t="s">
        <v>3448</v>
      </c>
      <c r="D3115">
        <f t="shared" ref="D3115" si="9051">_xlfn.NUMBERVALUE(LEFT(C3115,2))</f>
        <v>11</v>
      </c>
      <c r="E3115">
        <f t="shared" ref="E3115" si="9052">_xlfn.NUMBERVALUE(MID(C3115,4,2))</f>
        <v>10</v>
      </c>
      <c r="F3115">
        <f t="shared" ref="F3115" si="9053">_xlfn.NUMBERVALUE(RIGHT(C3115,4))</f>
        <v>2024</v>
      </c>
      <c r="G3115" t="s">
        <v>7</v>
      </c>
      <c r="H3115">
        <v>-2</v>
      </c>
      <c r="I3115">
        <v>4</v>
      </c>
      <c r="K3115" t="s">
        <v>10</v>
      </c>
      <c r="L3115" s="8">
        <f t="shared" si="8917"/>
        <v>1</v>
      </c>
      <c r="M3115" t="s">
        <v>3455</v>
      </c>
    </row>
    <row r="3116" spans="1:13" x14ac:dyDescent="0.35">
      <c r="A3116">
        <f t="shared" si="8454"/>
        <v>3112</v>
      </c>
      <c r="B3116" s="9">
        <f t="shared" ref="B3116" si="9054">B3115+H3116+I3116+J3116</f>
        <v>59.960000000000008</v>
      </c>
      <c r="C3116" s="3" t="s">
        <v>3448</v>
      </c>
      <c r="D3116">
        <f t="shared" ref="D3116" si="9055">_xlfn.NUMBERVALUE(LEFT(C3116,2))</f>
        <v>11</v>
      </c>
      <c r="E3116">
        <f t="shared" ref="E3116" si="9056">_xlfn.NUMBERVALUE(MID(C3116,4,2))</f>
        <v>10</v>
      </c>
      <c r="F3116">
        <f t="shared" ref="F3116" si="9057">_xlfn.NUMBERVALUE(RIGHT(C3116,4))</f>
        <v>2024</v>
      </c>
      <c r="G3116" t="s">
        <v>7</v>
      </c>
      <c r="H3116">
        <v>-2</v>
      </c>
      <c r="K3116" t="s">
        <v>9</v>
      </c>
      <c r="L3116" s="8">
        <f t="shared" si="8917"/>
        <v>-1</v>
      </c>
      <c r="M3116" t="s">
        <v>3456</v>
      </c>
    </row>
    <row r="3117" spans="1:13" x14ac:dyDescent="0.35">
      <c r="A3117">
        <f t="shared" si="8454"/>
        <v>3113</v>
      </c>
      <c r="B3117" s="9">
        <f t="shared" ref="B3117" si="9058">B3116+H3117+I3117+J3117</f>
        <v>63.960000000000008</v>
      </c>
      <c r="C3117" s="3" t="s">
        <v>3448</v>
      </c>
      <c r="D3117">
        <f t="shared" ref="D3117" si="9059">_xlfn.NUMBERVALUE(LEFT(C3117,2))</f>
        <v>11</v>
      </c>
      <c r="E3117">
        <f t="shared" ref="E3117" si="9060">_xlfn.NUMBERVALUE(MID(C3117,4,2))</f>
        <v>10</v>
      </c>
      <c r="F3117">
        <f t="shared" ref="F3117" si="9061">_xlfn.NUMBERVALUE(RIGHT(C3117,4))</f>
        <v>2024</v>
      </c>
      <c r="G3117" t="s">
        <v>7</v>
      </c>
      <c r="H3117">
        <v>-2</v>
      </c>
      <c r="I3117">
        <v>6</v>
      </c>
      <c r="K3117" t="s">
        <v>10</v>
      </c>
      <c r="L3117" s="8">
        <f t="shared" si="8917"/>
        <v>2</v>
      </c>
      <c r="M3117" t="s">
        <v>3457</v>
      </c>
    </row>
    <row r="3118" spans="1:13" x14ac:dyDescent="0.35">
      <c r="A3118">
        <f t="shared" si="8454"/>
        <v>3114</v>
      </c>
      <c r="B3118" s="9">
        <f t="shared" ref="B3118" si="9062">B3117+H3118+I3118+J3118</f>
        <v>67.960000000000008</v>
      </c>
      <c r="C3118" s="3" t="s">
        <v>3448</v>
      </c>
      <c r="D3118">
        <f t="shared" ref="D3118" si="9063">_xlfn.NUMBERVALUE(LEFT(C3118,2))</f>
        <v>11</v>
      </c>
      <c r="E3118">
        <f t="shared" ref="E3118" si="9064">_xlfn.NUMBERVALUE(MID(C3118,4,2))</f>
        <v>10</v>
      </c>
      <c r="F3118">
        <f t="shared" ref="F3118" si="9065">_xlfn.NUMBERVALUE(RIGHT(C3118,4))</f>
        <v>2024</v>
      </c>
      <c r="G3118" t="s">
        <v>7</v>
      </c>
      <c r="H3118">
        <v>-2</v>
      </c>
      <c r="I3118">
        <v>6</v>
      </c>
      <c r="K3118" t="s">
        <v>10</v>
      </c>
      <c r="L3118" s="8">
        <f t="shared" si="8917"/>
        <v>2</v>
      </c>
      <c r="M3118" t="s">
        <v>3458</v>
      </c>
    </row>
    <row r="3119" spans="1:13" x14ac:dyDescent="0.35">
      <c r="A3119">
        <f t="shared" si="8454"/>
        <v>3115</v>
      </c>
      <c r="B3119" s="9">
        <f t="shared" ref="B3119" si="9066">B3118+H3119+I3119+J3119</f>
        <v>65.960000000000008</v>
      </c>
      <c r="C3119" s="3" t="s">
        <v>3448</v>
      </c>
      <c r="D3119">
        <f t="shared" ref="D3119" si="9067">_xlfn.NUMBERVALUE(LEFT(C3119,2))</f>
        <v>11</v>
      </c>
      <c r="E3119">
        <f t="shared" ref="E3119" si="9068">_xlfn.NUMBERVALUE(MID(C3119,4,2))</f>
        <v>10</v>
      </c>
      <c r="F3119">
        <f t="shared" ref="F3119" si="9069">_xlfn.NUMBERVALUE(RIGHT(C3119,4))</f>
        <v>2024</v>
      </c>
      <c r="G3119" t="s">
        <v>7</v>
      </c>
      <c r="H3119">
        <v>-2</v>
      </c>
      <c r="K3119" t="s">
        <v>9</v>
      </c>
      <c r="L3119" s="8">
        <f t="shared" si="8917"/>
        <v>-1</v>
      </c>
      <c r="M3119" t="s">
        <v>3459</v>
      </c>
    </row>
    <row r="3120" spans="1:13" x14ac:dyDescent="0.35">
      <c r="A3120">
        <f t="shared" si="8454"/>
        <v>3116</v>
      </c>
      <c r="B3120" s="9">
        <f t="shared" ref="B3120" si="9070">B3119+H3120+I3120+J3120</f>
        <v>63.960000000000008</v>
      </c>
      <c r="C3120" s="3" t="s">
        <v>3448</v>
      </c>
      <c r="D3120">
        <f t="shared" ref="D3120" si="9071">_xlfn.NUMBERVALUE(LEFT(C3120,2))</f>
        <v>11</v>
      </c>
      <c r="E3120">
        <f t="shared" ref="E3120" si="9072">_xlfn.NUMBERVALUE(MID(C3120,4,2))</f>
        <v>10</v>
      </c>
      <c r="F3120">
        <f t="shared" ref="F3120" si="9073">_xlfn.NUMBERVALUE(RIGHT(C3120,4))</f>
        <v>2024</v>
      </c>
      <c r="G3120" t="s">
        <v>7</v>
      </c>
      <c r="H3120">
        <v>-2</v>
      </c>
      <c r="K3120" t="s">
        <v>9</v>
      </c>
      <c r="L3120" s="8">
        <f t="shared" si="8917"/>
        <v>-1</v>
      </c>
      <c r="M3120" t="s">
        <v>3460</v>
      </c>
    </row>
    <row r="3121" spans="1:13" x14ac:dyDescent="0.35">
      <c r="A3121">
        <f t="shared" si="8454"/>
        <v>3117</v>
      </c>
      <c r="B3121" s="9">
        <f t="shared" ref="B3121" si="9074">B3120+H3121+I3121+J3121</f>
        <v>65.960000000000008</v>
      </c>
      <c r="C3121" s="3" t="s">
        <v>3448</v>
      </c>
      <c r="D3121">
        <f t="shared" ref="D3121" si="9075">_xlfn.NUMBERVALUE(LEFT(C3121,2))</f>
        <v>11</v>
      </c>
      <c r="E3121">
        <f t="shared" ref="E3121" si="9076">_xlfn.NUMBERVALUE(MID(C3121,4,2))</f>
        <v>10</v>
      </c>
      <c r="F3121">
        <f t="shared" ref="F3121" si="9077">_xlfn.NUMBERVALUE(RIGHT(C3121,4))</f>
        <v>2024</v>
      </c>
      <c r="G3121" t="s">
        <v>7</v>
      </c>
      <c r="H3121">
        <v>-2</v>
      </c>
      <c r="I3121">
        <v>4</v>
      </c>
      <c r="K3121" t="s">
        <v>10</v>
      </c>
      <c r="L3121" s="8">
        <f t="shared" si="8917"/>
        <v>1</v>
      </c>
      <c r="M3121" t="s">
        <v>3461</v>
      </c>
    </row>
    <row r="3122" spans="1:13" x14ac:dyDescent="0.35">
      <c r="A3122">
        <f t="shared" si="8454"/>
        <v>3118</v>
      </c>
      <c r="B3122" s="9">
        <f t="shared" ref="B3122" si="9078">B3121+H3122+I3122+J3122</f>
        <v>63.960000000000008</v>
      </c>
      <c r="C3122" s="3" t="s">
        <v>3448</v>
      </c>
      <c r="D3122">
        <f t="shared" ref="D3122" si="9079">_xlfn.NUMBERVALUE(LEFT(C3122,2))</f>
        <v>11</v>
      </c>
      <c r="E3122">
        <f t="shared" ref="E3122" si="9080">_xlfn.NUMBERVALUE(MID(C3122,4,2))</f>
        <v>10</v>
      </c>
      <c r="F3122">
        <f t="shared" ref="F3122" si="9081">_xlfn.NUMBERVALUE(RIGHT(C3122,4))</f>
        <v>2024</v>
      </c>
      <c r="G3122" t="s">
        <v>7</v>
      </c>
      <c r="H3122">
        <v>-2</v>
      </c>
      <c r="K3122" t="s">
        <v>9</v>
      </c>
      <c r="L3122" s="8">
        <f t="shared" si="8917"/>
        <v>-1</v>
      </c>
      <c r="M3122" t="s">
        <v>3462</v>
      </c>
    </row>
    <row r="3123" spans="1:13" x14ac:dyDescent="0.35">
      <c r="A3123">
        <f t="shared" si="8454"/>
        <v>3119</v>
      </c>
      <c r="B3123" s="9">
        <f t="shared" ref="B3123" si="9082">B3122+H3123+I3123+J3123</f>
        <v>65.960000000000008</v>
      </c>
      <c r="C3123" s="3" t="s">
        <v>3448</v>
      </c>
      <c r="D3123">
        <f t="shared" ref="D3123" si="9083">_xlfn.NUMBERVALUE(LEFT(C3123,2))</f>
        <v>11</v>
      </c>
      <c r="E3123">
        <f t="shared" ref="E3123" si="9084">_xlfn.NUMBERVALUE(MID(C3123,4,2))</f>
        <v>10</v>
      </c>
      <c r="F3123">
        <f t="shared" ref="F3123" si="9085">_xlfn.NUMBERVALUE(RIGHT(C3123,4))</f>
        <v>2024</v>
      </c>
      <c r="G3123" t="s">
        <v>7</v>
      </c>
      <c r="H3123">
        <v>-2</v>
      </c>
      <c r="I3123">
        <v>4</v>
      </c>
      <c r="K3123" t="s">
        <v>10</v>
      </c>
      <c r="L3123" s="8">
        <f t="shared" si="8917"/>
        <v>1</v>
      </c>
      <c r="M3123" t="s">
        <v>3463</v>
      </c>
    </row>
    <row r="3124" spans="1:13" x14ac:dyDescent="0.35">
      <c r="A3124">
        <f t="shared" si="8454"/>
        <v>3120</v>
      </c>
      <c r="B3124" s="9">
        <f t="shared" ref="B3124" si="9086">B3123+H3124+I3124+J3124</f>
        <v>63.960000000000008</v>
      </c>
      <c r="C3124" s="3" t="s">
        <v>3448</v>
      </c>
      <c r="D3124">
        <f t="shared" ref="D3124" si="9087">_xlfn.NUMBERVALUE(LEFT(C3124,2))</f>
        <v>11</v>
      </c>
      <c r="E3124">
        <f t="shared" ref="E3124" si="9088">_xlfn.NUMBERVALUE(MID(C3124,4,2))</f>
        <v>10</v>
      </c>
      <c r="F3124">
        <f t="shared" ref="F3124" si="9089">_xlfn.NUMBERVALUE(RIGHT(C3124,4))</f>
        <v>2024</v>
      </c>
      <c r="G3124" t="s">
        <v>7</v>
      </c>
      <c r="H3124">
        <v>-2</v>
      </c>
      <c r="K3124" t="s">
        <v>9</v>
      </c>
      <c r="L3124" s="8">
        <f t="shared" si="8917"/>
        <v>-1</v>
      </c>
      <c r="M3124" t="s">
        <v>3464</v>
      </c>
    </row>
    <row r="3125" spans="1:13" x14ac:dyDescent="0.35">
      <c r="A3125">
        <f t="shared" si="8454"/>
        <v>3121</v>
      </c>
      <c r="B3125" s="9">
        <f t="shared" ref="B3125" si="9090">B3124+H3125+I3125+J3125</f>
        <v>61.960000000000008</v>
      </c>
      <c r="C3125" s="3" t="s">
        <v>3448</v>
      </c>
      <c r="D3125">
        <f t="shared" ref="D3125" si="9091">_xlfn.NUMBERVALUE(LEFT(C3125,2))</f>
        <v>11</v>
      </c>
      <c r="E3125">
        <f t="shared" ref="E3125" si="9092">_xlfn.NUMBERVALUE(MID(C3125,4,2))</f>
        <v>10</v>
      </c>
      <c r="F3125">
        <f t="shared" ref="F3125" si="9093">_xlfn.NUMBERVALUE(RIGHT(C3125,4))</f>
        <v>2024</v>
      </c>
      <c r="G3125" t="s">
        <v>7</v>
      </c>
      <c r="H3125">
        <v>-2</v>
      </c>
      <c r="K3125" t="s">
        <v>9</v>
      </c>
      <c r="L3125" s="8">
        <f t="shared" si="8917"/>
        <v>-1</v>
      </c>
      <c r="M3125" t="s">
        <v>3465</v>
      </c>
    </row>
    <row r="3126" spans="1:13" x14ac:dyDescent="0.35">
      <c r="A3126">
        <f t="shared" si="8454"/>
        <v>3122</v>
      </c>
      <c r="B3126" s="9">
        <f t="shared" ref="B3126" si="9094">B3125+H3126+I3126+J3126</f>
        <v>63.960000000000008</v>
      </c>
      <c r="C3126" s="3" t="s">
        <v>3466</v>
      </c>
      <c r="D3126">
        <f t="shared" ref="D3126" si="9095">_xlfn.NUMBERVALUE(LEFT(C3126,2))</f>
        <v>12</v>
      </c>
      <c r="E3126">
        <f t="shared" ref="E3126" si="9096">_xlfn.NUMBERVALUE(MID(C3126,4,2))</f>
        <v>10</v>
      </c>
      <c r="F3126">
        <f t="shared" ref="F3126" si="9097">_xlfn.NUMBERVALUE(RIGHT(C3126,4))</f>
        <v>2024</v>
      </c>
      <c r="G3126" t="s">
        <v>7</v>
      </c>
      <c r="H3126">
        <v>-2</v>
      </c>
      <c r="I3126">
        <v>4</v>
      </c>
      <c r="K3126" t="s">
        <v>10</v>
      </c>
      <c r="L3126" s="8">
        <f t="shared" si="8917"/>
        <v>1</v>
      </c>
      <c r="M3126" t="s">
        <v>3467</v>
      </c>
    </row>
    <row r="3127" spans="1:13" x14ac:dyDescent="0.35">
      <c r="A3127">
        <f t="shared" si="8454"/>
        <v>3123</v>
      </c>
      <c r="B3127" s="9">
        <f t="shared" ref="B3127:B3150" si="9098">B3126+H3127+I3127+J3127</f>
        <v>52.960000000000008</v>
      </c>
      <c r="C3127" s="3" t="s">
        <v>3466</v>
      </c>
      <c r="D3127">
        <f t="shared" ref="D3127:D3128" si="9099">_xlfn.NUMBERVALUE(LEFT(C3127,2))</f>
        <v>12</v>
      </c>
      <c r="E3127">
        <f t="shared" ref="E3127:E3128" si="9100">_xlfn.NUMBERVALUE(MID(C3127,4,2))</f>
        <v>10</v>
      </c>
      <c r="F3127">
        <f t="shared" ref="F3127:F3128" si="9101">_xlfn.NUMBERVALUE(RIGHT(C3127,4))</f>
        <v>2024</v>
      </c>
      <c r="G3127" t="s">
        <v>3118</v>
      </c>
      <c r="H3127">
        <v>-11</v>
      </c>
      <c r="K3127" t="s">
        <v>9</v>
      </c>
      <c r="L3127" s="8">
        <f t="shared" si="8917"/>
        <v>-1</v>
      </c>
      <c r="M3127" t="s">
        <v>3468</v>
      </c>
    </row>
    <row r="3128" spans="1:13" x14ac:dyDescent="0.35">
      <c r="A3128">
        <f t="shared" si="8454"/>
        <v>3124</v>
      </c>
      <c r="B3128" s="9">
        <f t="shared" si="9098"/>
        <v>52.960000000000008</v>
      </c>
      <c r="C3128" s="3" t="s">
        <v>3466</v>
      </c>
      <c r="D3128">
        <f t="shared" si="9099"/>
        <v>12</v>
      </c>
      <c r="E3128">
        <f t="shared" si="9100"/>
        <v>10</v>
      </c>
      <c r="F3128">
        <f t="shared" si="9101"/>
        <v>2024</v>
      </c>
      <c r="G3128" t="s">
        <v>3039</v>
      </c>
      <c r="K3128" t="s">
        <v>9</v>
      </c>
      <c r="L3128" s="8">
        <f t="shared" si="8917"/>
        <v>0</v>
      </c>
      <c r="M3128" t="s">
        <v>3469</v>
      </c>
    </row>
    <row r="3129" spans="1:13" x14ac:dyDescent="0.35">
      <c r="A3129">
        <f t="shared" si="8454"/>
        <v>3125</v>
      </c>
      <c r="B3129" s="9">
        <f t="shared" si="9098"/>
        <v>52.960000000000008</v>
      </c>
      <c r="C3129" s="3" t="s">
        <v>3466</v>
      </c>
      <c r="D3129">
        <f t="shared" ref="D3129:D3130" si="9102">_xlfn.NUMBERVALUE(LEFT(C3129,2))</f>
        <v>12</v>
      </c>
      <c r="E3129">
        <f t="shared" ref="E3129:E3130" si="9103">_xlfn.NUMBERVALUE(MID(C3129,4,2))</f>
        <v>10</v>
      </c>
      <c r="F3129">
        <f t="shared" ref="F3129:F3130" si="9104">_xlfn.NUMBERVALUE(RIGHT(C3129,4))</f>
        <v>2024</v>
      </c>
      <c r="G3129" t="s">
        <v>2969</v>
      </c>
      <c r="K3129" t="s">
        <v>9</v>
      </c>
      <c r="L3129" s="8">
        <f t="shared" si="8917"/>
        <v>0</v>
      </c>
      <c r="M3129" t="s">
        <v>3470</v>
      </c>
    </row>
    <row r="3130" spans="1:13" x14ac:dyDescent="0.35">
      <c r="A3130">
        <f t="shared" si="8454"/>
        <v>3126</v>
      </c>
      <c r="B3130" s="9">
        <f t="shared" si="9098"/>
        <v>50.960000000000008</v>
      </c>
      <c r="C3130" s="3" t="s">
        <v>3466</v>
      </c>
      <c r="D3130">
        <f t="shared" si="9102"/>
        <v>12</v>
      </c>
      <c r="E3130">
        <f t="shared" si="9103"/>
        <v>10</v>
      </c>
      <c r="F3130">
        <f t="shared" si="9104"/>
        <v>2024</v>
      </c>
      <c r="G3130" t="s">
        <v>7</v>
      </c>
      <c r="H3130">
        <v>-2</v>
      </c>
      <c r="K3130" t="s">
        <v>9</v>
      </c>
      <c r="L3130" s="8">
        <f t="shared" si="8917"/>
        <v>-1</v>
      </c>
      <c r="M3130" t="s">
        <v>3471</v>
      </c>
    </row>
    <row r="3131" spans="1:13" x14ac:dyDescent="0.35">
      <c r="A3131">
        <f t="shared" si="8454"/>
        <v>3127</v>
      </c>
      <c r="B3131" s="9">
        <f t="shared" si="9098"/>
        <v>48.960000000000008</v>
      </c>
      <c r="C3131" s="3" t="s">
        <v>3466</v>
      </c>
      <c r="D3131">
        <f t="shared" ref="D3131" si="9105">_xlfn.NUMBERVALUE(LEFT(C3131,2))</f>
        <v>12</v>
      </c>
      <c r="E3131">
        <f t="shared" ref="E3131" si="9106">_xlfn.NUMBERVALUE(MID(C3131,4,2))</f>
        <v>10</v>
      </c>
      <c r="F3131">
        <f t="shared" ref="F3131" si="9107">_xlfn.NUMBERVALUE(RIGHT(C3131,4))</f>
        <v>2024</v>
      </c>
      <c r="G3131" t="s">
        <v>7</v>
      </c>
      <c r="H3131">
        <v>-2</v>
      </c>
      <c r="K3131" t="s">
        <v>9</v>
      </c>
      <c r="L3131" s="8">
        <f t="shared" si="8917"/>
        <v>-1</v>
      </c>
      <c r="M3131" t="s">
        <v>3472</v>
      </c>
    </row>
    <row r="3132" spans="1:13" x14ac:dyDescent="0.35">
      <c r="A3132">
        <f t="shared" si="8454"/>
        <v>3128</v>
      </c>
      <c r="B3132" s="9">
        <f t="shared" si="9098"/>
        <v>46.960000000000008</v>
      </c>
      <c r="C3132" s="3" t="s">
        <v>3466</v>
      </c>
      <c r="D3132">
        <f t="shared" ref="D3132:D3133" si="9108">_xlfn.NUMBERVALUE(LEFT(C3132,2))</f>
        <v>12</v>
      </c>
      <c r="E3132">
        <f t="shared" ref="E3132:E3133" si="9109">_xlfn.NUMBERVALUE(MID(C3132,4,2))</f>
        <v>10</v>
      </c>
      <c r="F3132">
        <f t="shared" ref="F3132:F3133" si="9110">_xlfn.NUMBERVALUE(RIGHT(C3132,4))</f>
        <v>2024</v>
      </c>
      <c r="G3132" t="s">
        <v>7</v>
      </c>
      <c r="H3132">
        <v>-2</v>
      </c>
      <c r="K3132" t="s">
        <v>9</v>
      </c>
      <c r="L3132" s="8">
        <f t="shared" si="8917"/>
        <v>-1</v>
      </c>
      <c r="M3132" t="s">
        <v>3473</v>
      </c>
    </row>
    <row r="3133" spans="1:13" x14ac:dyDescent="0.35">
      <c r="A3133">
        <f t="shared" si="8454"/>
        <v>3129</v>
      </c>
      <c r="B3133" s="9">
        <f t="shared" si="9098"/>
        <v>46.960000000000008</v>
      </c>
      <c r="C3133" s="3" t="s">
        <v>3466</v>
      </c>
      <c r="D3133">
        <f t="shared" si="9108"/>
        <v>12</v>
      </c>
      <c r="E3133">
        <f t="shared" si="9109"/>
        <v>10</v>
      </c>
      <c r="F3133">
        <f t="shared" si="9110"/>
        <v>2024</v>
      </c>
      <c r="G3133" t="s">
        <v>3040</v>
      </c>
      <c r="K3133" t="s">
        <v>9</v>
      </c>
      <c r="L3133" s="8">
        <f t="shared" si="8917"/>
        <v>0</v>
      </c>
      <c r="M3133" t="s">
        <v>3474</v>
      </c>
    </row>
    <row r="3134" spans="1:13" x14ac:dyDescent="0.35">
      <c r="A3134">
        <f t="shared" si="8454"/>
        <v>3130</v>
      </c>
      <c r="B3134" s="9">
        <f t="shared" si="9098"/>
        <v>44.960000000000008</v>
      </c>
      <c r="C3134" s="3" t="s">
        <v>3466</v>
      </c>
      <c r="D3134">
        <f t="shared" ref="D3134" si="9111">_xlfn.NUMBERVALUE(LEFT(C3134,2))</f>
        <v>12</v>
      </c>
      <c r="E3134">
        <f t="shared" ref="E3134" si="9112">_xlfn.NUMBERVALUE(MID(C3134,4,2))</f>
        <v>10</v>
      </c>
      <c r="F3134">
        <f t="shared" ref="F3134" si="9113">_xlfn.NUMBERVALUE(RIGHT(C3134,4))</f>
        <v>2024</v>
      </c>
      <c r="G3134" t="s">
        <v>7</v>
      </c>
      <c r="H3134">
        <v>-2</v>
      </c>
      <c r="K3134" t="s">
        <v>9</v>
      </c>
      <c r="L3134" s="8">
        <f t="shared" si="8917"/>
        <v>-1</v>
      </c>
      <c r="M3134" t="s">
        <v>3475</v>
      </c>
    </row>
    <row r="3135" spans="1:13" x14ac:dyDescent="0.35">
      <c r="A3135">
        <f t="shared" si="8454"/>
        <v>3131</v>
      </c>
      <c r="B3135" s="9">
        <f t="shared" si="9098"/>
        <v>42.960000000000008</v>
      </c>
      <c r="C3135" s="3" t="s">
        <v>3466</v>
      </c>
      <c r="D3135">
        <f t="shared" ref="D3135" si="9114">_xlfn.NUMBERVALUE(LEFT(C3135,2))</f>
        <v>12</v>
      </c>
      <c r="E3135">
        <f t="shared" ref="E3135" si="9115">_xlfn.NUMBERVALUE(MID(C3135,4,2))</f>
        <v>10</v>
      </c>
      <c r="F3135">
        <f t="shared" ref="F3135" si="9116">_xlfn.NUMBERVALUE(RIGHT(C3135,4))</f>
        <v>2024</v>
      </c>
      <c r="G3135" t="s">
        <v>7</v>
      </c>
      <c r="H3135">
        <v>-2</v>
      </c>
      <c r="K3135" t="s">
        <v>9</v>
      </c>
      <c r="L3135" s="8">
        <f t="shared" si="8917"/>
        <v>-1</v>
      </c>
      <c r="M3135" t="s">
        <v>3476</v>
      </c>
    </row>
    <row r="3136" spans="1:13" x14ac:dyDescent="0.35">
      <c r="A3136">
        <f t="shared" si="8454"/>
        <v>3132</v>
      </c>
      <c r="B3136" s="9">
        <f t="shared" si="9098"/>
        <v>40.960000000000008</v>
      </c>
      <c r="C3136" s="3" t="s">
        <v>3466</v>
      </c>
      <c r="D3136">
        <f t="shared" ref="D3136" si="9117">_xlfn.NUMBERVALUE(LEFT(C3136,2))</f>
        <v>12</v>
      </c>
      <c r="E3136">
        <f t="shared" ref="E3136" si="9118">_xlfn.NUMBERVALUE(MID(C3136,4,2))</f>
        <v>10</v>
      </c>
      <c r="F3136">
        <f t="shared" ref="F3136" si="9119">_xlfn.NUMBERVALUE(RIGHT(C3136,4))</f>
        <v>2024</v>
      </c>
      <c r="G3136" t="s">
        <v>7</v>
      </c>
      <c r="H3136">
        <v>-2</v>
      </c>
      <c r="K3136" t="s">
        <v>9</v>
      </c>
      <c r="L3136" s="8">
        <f t="shared" si="8917"/>
        <v>-1</v>
      </c>
      <c r="M3136" t="s">
        <v>3477</v>
      </c>
    </row>
    <row r="3137" spans="1:13" x14ac:dyDescent="0.35">
      <c r="A3137">
        <f t="shared" si="8454"/>
        <v>3133</v>
      </c>
      <c r="B3137" s="9">
        <f t="shared" si="9098"/>
        <v>38.960000000000008</v>
      </c>
      <c r="C3137" s="3" t="s">
        <v>3466</v>
      </c>
      <c r="D3137">
        <f t="shared" ref="D3137" si="9120">_xlfn.NUMBERVALUE(LEFT(C3137,2))</f>
        <v>12</v>
      </c>
      <c r="E3137">
        <f t="shared" ref="E3137" si="9121">_xlfn.NUMBERVALUE(MID(C3137,4,2))</f>
        <v>10</v>
      </c>
      <c r="F3137">
        <f t="shared" ref="F3137" si="9122">_xlfn.NUMBERVALUE(RIGHT(C3137,4))</f>
        <v>2024</v>
      </c>
      <c r="G3137" t="s">
        <v>7</v>
      </c>
      <c r="H3137">
        <v>-2</v>
      </c>
      <c r="K3137" t="s">
        <v>9</v>
      </c>
      <c r="L3137" s="8">
        <f t="shared" si="8917"/>
        <v>-1</v>
      </c>
      <c r="M3137" t="s">
        <v>3478</v>
      </c>
    </row>
    <row r="3138" spans="1:13" x14ac:dyDescent="0.35">
      <c r="A3138">
        <f t="shared" si="8454"/>
        <v>3134</v>
      </c>
      <c r="B3138" s="9">
        <f t="shared" si="9098"/>
        <v>36.960000000000008</v>
      </c>
      <c r="C3138" s="3" t="s">
        <v>3466</v>
      </c>
      <c r="D3138">
        <f t="shared" ref="D3138" si="9123">_xlfn.NUMBERVALUE(LEFT(C3138,2))</f>
        <v>12</v>
      </c>
      <c r="E3138">
        <f t="shared" ref="E3138" si="9124">_xlfn.NUMBERVALUE(MID(C3138,4,2))</f>
        <v>10</v>
      </c>
      <c r="F3138">
        <f t="shared" ref="F3138" si="9125">_xlfn.NUMBERVALUE(RIGHT(C3138,4))</f>
        <v>2024</v>
      </c>
      <c r="G3138" t="s">
        <v>7</v>
      </c>
      <c r="H3138">
        <v>-2</v>
      </c>
      <c r="K3138" t="s">
        <v>9</v>
      </c>
      <c r="L3138" s="8">
        <f t="shared" si="8917"/>
        <v>-1</v>
      </c>
      <c r="M3138" t="s">
        <v>3479</v>
      </c>
    </row>
    <row r="3139" spans="1:13" x14ac:dyDescent="0.35">
      <c r="A3139">
        <f t="shared" si="8454"/>
        <v>3135</v>
      </c>
      <c r="B3139" s="9">
        <f t="shared" si="9098"/>
        <v>38.960000000000008</v>
      </c>
      <c r="C3139" s="3" t="s">
        <v>3466</v>
      </c>
      <c r="D3139">
        <f t="shared" ref="D3139" si="9126">_xlfn.NUMBERVALUE(LEFT(C3139,2))</f>
        <v>12</v>
      </c>
      <c r="E3139">
        <f t="shared" ref="E3139" si="9127">_xlfn.NUMBERVALUE(MID(C3139,4,2))</f>
        <v>10</v>
      </c>
      <c r="F3139">
        <f t="shared" ref="F3139" si="9128">_xlfn.NUMBERVALUE(RIGHT(C3139,4))</f>
        <v>2024</v>
      </c>
      <c r="G3139" t="s">
        <v>7</v>
      </c>
      <c r="H3139">
        <v>-2</v>
      </c>
      <c r="I3139">
        <v>4</v>
      </c>
      <c r="K3139" t="s">
        <v>10</v>
      </c>
      <c r="L3139" s="8">
        <f t="shared" si="8917"/>
        <v>1</v>
      </c>
      <c r="M3139" t="s">
        <v>3480</v>
      </c>
    </row>
    <row r="3140" spans="1:13" x14ac:dyDescent="0.35">
      <c r="A3140">
        <f t="shared" si="8454"/>
        <v>3136</v>
      </c>
      <c r="B3140" s="9">
        <f t="shared" si="9098"/>
        <v>36.960000000000008</v>
      </c>
      <c r="C3140" s="3" t="s">
        <v>3466</v>
      </c>
      <c r="D3140">
        <f t="shared" ref="D3140" si="9129">_xlfn.NUMBERVALUE(LEFT(C3140,2))</f>
        <v>12</v>
      </c>
      <c r="E3140">
        <f t="shared" ref="E3140" si="9130">_xlfn.NUMBERVALUE(MID(C3140,4,2))</f>
        <v>10</v>
      </c>
      <c r="F3140">
        <f t="shared" ref="F3140" si="9131">_xlfn.NUMBERVALUE(RIGHT(C3140,4))</f>
        <v>2024</v>
      </c>
      <c r="G3140" t="s">
        <v>7</v>
      </c>
      <c r="H3140">
        <v>-2</v>
      </c>
      <c r="K3140" t="s">
        <v>9</v>
      </c>
      <c r="L3140" s="8">
        <f t="shared" si="8917"/>
        <v>-1</v>
      </c>
      <c r="M3140" t="s">
        <v>3481</v>
      </c>
    </row>
    <row r="3141" spans="1:13" x14ac:dyDescent="0.35">
      <c r="A3141">
        <f t="shared" si="8454"/>
        <v>3137</v>
      </c>
      <c r="B3141" s="9">
        <f t="shared" si="9098"/>
        <v>34.960000000000008</v>
      </c>
      <c r="C3141" s="3" t="s">
        <v>3466</v>
      </c>
      <c r="D3141">
        <f t="shared" ref="D3141" si="9132">_xlfn.NUMBERVALUE(LEFT(C3141,2))</f>
        <v>12</v>
      </c>
      <c r="E3141">
        <f t="shared" ref="E3141" si="9133">_xlfn.NUMBERVALUE(MID(C3141,4,2))</f>
        <v>10</v>
      </c>
      <c r="F3141">
        <f t="shared" ref="F3141" si="9134">_xlfn.NUMBERVALUE(RIGHT(C3141,4))</f>
        <v>2024</v>
      </c>
      <c r="G3141" t="s">
        <v>7</v>
      </c>
      <c r="H3141">
        <v>-2</v>
      </c>
      <c r="K3141" t="s">
        <v>9</v>
      </c>
      <c r="L3141" s="8">
        <f t="shared" si="8917"/>
        <v>-1</v>
      </c>
      <c r="M3141" t="s">
        <v>3482</v>
      </c>
    </row>
    <row r="3142" spans="1:13" x14ac:dyDescent="0.35">
      <c r="A3142">
        <f t="shared" si="8454"/>
        <v>3138</v>
      </c>
      <c r="B3142" s="9">
        <f t="shared" si="9098"/>
        <v>32.960000000000008</v>
      </c>
      <c r="C3142" s="3" t="s">
        <v>3466</v>
      </c>
      <c r="D3142">
        <f t="shared" ref="D3142" si="9135">_xlfn.NUMBERVALUE(LEFT(C3142,2))</f>
        <v>12</v>
      </c>
      <c r="E3142">
        <f t="shared" ref="E3142" si="9136">_xlfn.NUMBERVALUE(MID(C3142,4,2))</f>
        <v>10</v>
      </c>
      <c r="F3142">
        <f t="shared" ref="F3142" si="9137">_xlfn.NUMBERVALUE(RIGHT(C3142,4))</f>
        <v>2024</v>
      </c>
      <c r="G3142" t="s">
        <v>7</v>
      </c>
      <c r="H3142">
        <v>-2</v>
      </c>
      <c r="K3142" t="s">
        <v>9</v>
      </c>
      <c r="L3142" s="8">
        <f t="shared" ref="L3142:L3205" si="9138">IF(H3142="",0,(SUM(I3142:J3142)/-H3142)-1)</f>
        <v>-1</v>
      </c>
      <c r="M3142" t="s">
        <v>3483</v>
      </c>
    </row>
    <row r="3143" spans="1:13" x14ac:dyDescent="0.35">
      <c r="A3143">
        <f t="shared" si="8454"/>
        <v>3139</v>
      </c>
      <c r="B3143" s="9">
        <f t="shared" si="9098"/>
        <v>30.960000000000008</v>
      </c>
      <c r="C3143" s="3" t="s">
        <v>3466</v>
      </c>
      <c r="D3143">
        <f t="shared" ref="D3143" si="9139">_xlfn.NUMBERVALUE(LEFT(C3143,2))</f>
        <v>12</v>
      </c>
      <c r="E3143">
        <f t="shared" ref="E3143" si="9140">_xlfn.NUMBERVALUE(MID(C3143,4,2))</f>
        <v>10</v>
      </c>
      <c r="F3143">
        <f t="shared" ref="F3143" si="9141">_xlfn.NUMBERVALUE(RIGHT(C3143,4))</f>
        <v>2024</v>
      </c>
      <c r="G3143" t="s">
        <v>7</v>
      </c>
      <c r="H3143">
        <v>-2</v>
      </c>
      <c r="K3143" t="s">
        <v>9</v>
      </c>
      <c r="L3143" s="8">
        <f t="shared" si="9138"/>
        <v>-1</v>
      </c>
      <c r="M3143" t="s">
        <v>3484</v>
      </c>
    </row>
    <row r="3144" spans="1:13" x14ac:dyDescent="0.35">
      <c r="A3144">
        <f t="shared" si="8454"/>
        <v>3140</v>
      </c>
      <c r="B3144" s="9">
        <f t="shared" si="9098"/>
        <v>28.960000000000008</v>
      </c>
      <c r="C3144" s="3" t="s">
        <v>3466</v>
      </c>
      <c r="D3144">
        <f t="shared" ref="D3144" si="9142">_xlfn.NUMBERVALUE(LEFT(C3144,2))</f>
        <v>12</v>
      </c>
      <c r="E3144">
        <f t="shared" ref="E3144" si="9143">_xlfn.NUMBERVALUE(MID(C3144,4,2))</f>
        <v>10</v>
      </c>
      <c r="F3144">
        <f t="shared" ref="F3144" si="9144">_xlfn.NUMBERVALUE(RIGHT(C3144,4))</f>
        <v>2024</v>
      </c>
      <c r="G3144" t="s">
        <v>7</v>
      </c>
      <c r="H3144">
        <v>-2</v>
      </c>
      <c r="K3144" t="s">
        <v>9</v>
      </c>
      <c r="L3144" s="8">
        <f t="shared" si="9138"/>
        <v>-1</v>
      </c>
      <c r="M3144" t="s">
        <v>3485</v>
      </c>
    </row>
    <row r="3145" spans="1:13" x14ac:dyDescent="0.35">
      <c r="A3145">
        <f t="shared" si="8454"/>
        <v>3141</v>
      </c>
      <c r="B3145" s="9">
        <f t="shared" si="9098"/>
        <v>30.960000000000008</v>
      </c>
      <c r="C3145" s="3" t="s">
        <v>3466</v>
      </c>
      <c r="D3145">
        <f t="shared" ref="D3145" si="9145">_xlfn.NUMBERVALUE(LEFT(C3145,2))</f>
        <v>12</v>
      </c>
      <c r="E3145">
        <f t="shared" ref="E3145" si="9146">_xlfn.NUMBERVALUE(MID(C3145,4,2))</f>
        <v>10</v>
      </c>
      <c r="F3145">
        <f t="shared" ref="F3145" si="9147">_xlfn.NUMBERVALUE(RIGHT(C3145,4))</f>
        <v>2024</v>
      </c>
      <c r="G3145" t="s">
        <v>7</v>
      </c>
      <c r="H3145">
        <v>-2</v>
      </c>
      <c r="I3145">
        <v>4</v>
      </c>
      <c r="K3145" t="s">
        <v>10</v>
      </c>
      <c r="L3145" s="8">
        <f t="shared" si="9138"/>
        <v>1</v>
      </c>
      <c r="M3145" t="s">
        <v>3486</v>
      </c>
    </row>
    <row r="3146" spans="1:13" x14ac:dyDescent="0.35">
      <c r="A3146">
        <f t="shared" si="8454"/>
        <v>3142</v>
      </c>
      <c r="B3146" s="9">
        <f t="shared" si="9098"/>
        <v>36.960000000000008</v>
      </c>
      <c r="C3146" s="3" t="s">
        <v>3466</v>
      </c>
      <c r="D3146">
        <f t="shared" ref="D3146" si="9148">_xlfn.NUMBERVALUE(LEFT(C3146,2))</f>
        <v>12</v>
      </c>
      <c r="E3146">
        <f t="shared" ref="E3146" si="9149">_xlfn.NUMBERVALUE(MID(C3146,4,2))</f>
        <v>10</v>
      </c>
      <c r="F3146">
        <f t="shared" ref="F3146" si="9150">_xlfn.NUMBERVALUE(RIGHT(C3146,4))</f>
        <v>2024</v>
      </c>
      <c r="G3146" t="s">
        <v>7</v>
      </c>
      <c r="H3146">
        <v>-2</v>
      </c>
      <c r="I3146">
        <v>8</v>
      </c>
      <c r="K3146" t="s">
        <v>10</v>
      </c>
      <c r="L3146" s="8">
        <f t="shared" si="9138"/>
        <v>3</v>
      </c>
      <c r="M3146" t="s">
        <v>3487</v>
      </c>
    </row>
    <row r="3147" spans="1:13" x14ac:dyDescent="0.35">
      <c r="A3147">
        <f t="shared" si="8454"/>
        <v>3143</v>
      </c>
      <c r="B3147" s="9">
        <f t="shared" si="9098"/>
        <v>34.960000000000008</v>
      </c>
      <c r="C3147" s="3" t="s">
        <v>3466</v>
      </c>
      <c r="D3147">
        <f t="shared" ref="D3147" si="9151">_xlfn.NUMBERVALUE(LEFT(C3147,2))</f>
        <v>12</v>
      </c>
      <c r="E3147">
        <f t="shared" ref="E3147" si="9152">_xlfn.NUMBERVALUE(MID(C3147,4,2))</f>
        <v>10</v>
      </c>
      <c r="F3147">
        <f t="shared" ref="F3147" si="9153">_xlfn.NUMBERVALUE(RIGHT(C3147,4))</f>
        <v>2024</v>
      </c>
      <c r="G3147" t="s">
        <v>7</v>
      </c>
      <c r="H3147">
        <v>-2</v>
      </c>
      <c r="K3147" t="s">
        <v>9</v>
      </c>
      <c r="L3147" s="8">
        <f t="shared" si="9138"/>
        <v>-1</v>
      </c>
      <c r="M3147" t="s">
        <v>3488</v>
      </c>
    </row>
    <row r="3148" spans="1:13" x14ac:dyDescent="0.35">
      <c r="A3148">
        <f t="shared" si="8454"/>
        <v>3144</v>
      </c>
      <c r="B3148" s="9">
        <f t="shared" si="9098"/>
        <v>38.960000000000008</v>
      </c>
      <c r="C3148" s="3" t="s">
        <v>3466</v>
      </c>
      <c r="D3148">
        <f t="shared" ref="D3148" si="9154">_xlfn.NUMBERVALUE(LEFT(C3148,2))</f>
        <v>12</v>
      </c>
      <c r="E3148">
        <f t="shared" ref="E3148" si="9155">_xlfn.NUMBERVALUE(MID(C3148,4,2))</f>
        <v>10</v>
      </c>
      <c r="F3148">
        <f t="shared" ref="F3148" si="9156">_xlfn.NUMBERVALUE(RIGHT(C3148,4))</f>
        <v>2024</v>
      </c>
      <c r="G3148" t="s">
        <v>7</v>
      </c>
      <c r="H3148">
        <v>-2</v>
      </c>
      <c r="I3148">
        <v>6</v>
      </c>
      <c r="K3148" t="s">
        <v>10</v>
      </c>
      <c r="L3148" s="8">
        <f t="shared" si="9138"/>
        <v>2</v>
      </c>
      <c r="M3148" t="s">
        <v>3489</v>
      </c>
    </row>
    <row r="3149" spans="1:13" x14ac:dyDescent="0.35">
      <c r="A3149">
        <f t="shared" si="8454"/>
        <v>3145</v>
      </c>
      <c r="B3149" s="9">
        <f t="shared" si="9098"/>
        <v>36.960000000000008</v>
      </c>
      <c r="C3149" s="3" t="s">
        <v>3466</v>
      </c>
      <c r="D3149">
        <f t="shared" ref="D3149" si="9157">_xlfn.NUMBERVALUE(LEFT(C3149,2))</f>
        <v>12</v>
      </c>
      <c r="E3149">
        <f t="shared" ref="E3149" si="9158">_xlfn.NUMBERVALUE(MID(C3149,4,2))</f>
        <v>10</v>
      </c>
      <c r="F3149">
        <f t="shared" ref="F3149" si="9159">_xlfn.NUMBERVALUE(RIGHT(C3149,4))</f>
        <v>2024</v>
      </c>
      <c r="G3149" t="s">
        <v>7</v>
      </c>
      <c r="H3149">
        <v>-2</v>
      </c>
      <c r="K3149" t="s">
        <v>9</v>
      </c>
      <c r="L3149" s="8">
        <f t="shared" si="9138"/>
        <v>-1</v>
      </c>
      <c r="M3149" t="s">
        <v>3490</v>
      </c>
    </row>
    <row r="3150" spans="1:13" x14ac:dyDescent="0.35">
      <c r="A3150">
        <f t="shared" si="8454"/>
        <v>3146</v>
      </c>
      <c r="B3150" s="9">
        <f t="shared" si="9098"/>
        <v>34.960000000000008</v>
      </c>
      <c r="C3150" s="3" t="s">
        <v>3466</v>
      </c>
      <c r="D3150">
        <f t="shared" ref="D3150" si="9160">_xlfn.NUMBERVALUE(LEFT(C3150,2))</f>
        <v>12</v>
      </c>
      <c r="E3150">
        <f t="shared" ref="E3150" si="9161">_xlfn.NUMBERVALUE(MID(C3150,4,2))</f>
        <v>10</v>
      </c>
      <c r="F3150">
        <f t="shared" ref="F3150" si="9162">_xlfn.NUMBERVALUE(RIGHT(C3150,4))</f>
        <v>2024</v>
      </c>
      <c r="G3150" t="s">
        <v>7</v>
      </c>
      <c r="H3150">
        <v>-2</v>
      </c>
      <c r="K3150" t="s">
        <v>9</v>
      </c>
      <c r="L3150" s="8">
        <f t="shared" si="9138"/>
        <v>-1</v>
      </c>
      <c r="M3150" t="s">
        <v>3491</v>
      </c>
    </row>
    <row r="3151" spans="1:13" x14ac:dyDescent="0.35">
      <c r="A3151">
        <f t="shared" si="8454"/>
        <v>3147</v>
      </c>
      <c r="B3151" s="9">
        <f t="shared" ref="B3151" si="9163">B3150+H3151+I3151+J3151</f>
        <v>32.960000000000008</v>
      </c>
      <c r="C3151" s="3" t="s">
        <v>3492</v>
      </c>
      <c r="D3151">
        <f t="shared" ref="D3151" si="9164">_xlfn.NUMBERVALUE(LEFT(C3151,2))</f>
        <v>13</v>
      </c>
      <c r="E3151">
        <f t="shared" ref="E3151" si="9165">_xlfn.NUMBERVALUE(MID(C3151,4,2))</f>
        <v>10</v>
      </c>
      <c r="F3151">
        <f t="shared" ref="F3151" si="9166">_xlfn.NUMBERVALUE(RIGHT(C3151,4))</f>
        <v>2024</v>
      </c>
      <c r="G3151" t="s">
        <v>7</v>
      </c>
      <c r="H3151">
        <v>-2</v>
      </c>
      <c r="K3151" t="s">
        <v>9</v>
      </c>
      <c r="L3151" s="8">
        <f t="shared" si="9138"/>
        <v>-1</v>
      </c>
      <c r="M3151" t="s">
        <v>3493</v>
      </c>
    </row>
    <row r="3152" spans="1:13" x14ac:dyDescent="0.35">
      <c r="A3152">
        <f t="shared" si="8454"/>
        <v>3148</v>
      </c>
      <c r="B3152" s="9">
        <f t="shared" ref="B3152:B3153" si="9167">B3151+H3152+I3152+J3152</f>
        <v>32.960000000000008</v>
      </c>
      <c r="C3152" s="3" t="s">
        <v>3492</v>
      </c>
      <c r="D3152">
        <f t="shared" ref="D3152:D3153" si="9168">_xlfn.NUMBERVALUE(LEFT(C3152,2))</f>
        <v>13</v>
      </c>
      <c r="E3152">
        <f t="shared" ref="E3152:E3153" si="9169">_xlfn.NUMBERVALUE(MID(C3152,4,2))</f>
        <v>10</v>
      </c>
      <c r="F3152">
        <f t="shared" ref="F3152:F3153" si="9170">_xlfn.NUMBERVALUE(RIGHT(C3152,4))</f>
        <v>2024</v>
      </c>
      <c r="G3152" t="s">
        <v>3039</v>
      </c>
      <c r="K3152" t="s">
        <v>9</v>
      </c>
      <c r="L3152" s="8">
        <f t="shared" si="9138"/>
        <v>0</v>
      </c>
      <c r="M3152" t="s">
        <v>3494</v>
      </c>
    </row>
    <row r="3153" spans="1:13" x14ac:dyDescent="0.35">
      <c r="A3153">
        <f t="shared" si="8454"/>
        <v>3149</v>
      </c>
      <c r="B3153" s="9">
        <f t="shared" si="9167"/>
        <v>34.960000000000008</v>
      </c>
      <c r="C3153" s="3" t="s">
        <v>3492</v>
      </c>
      <c r="D3153">
        <f t="shared" si="9168"/>
        <v>13</v>
      </c>
      <c r="E3153">
        <f t="shared" si="9169"/>
        <v>10</v>
      </c>
      <c r="F3153">
        <f t="shared" si="9170"/>
        <v>2024</v>
      </c>
      <c r="G3153" t="s">
        <v>7</v>
      </c>
      <c r="H3153">
        <v>-2</v>
      </c>
      <c r="I3153">
        <v>4</v>
      </c>
      <c r="K3153" t="s">
        <v>10</v>
      </c>
      <c r="L3153" s="8">
        <f t="shared" si="9138"/>
        <v>1</v>
      </c>
      <c r="M3153" t="s">
        <v>3495</v>
      </c>
    </row>
    <row r="3154" spans="1:13" x14ac:dyDescent="0.35">
      <c r="A3154">
        <f t="shared" si="8454"/>
        <v>3150</v>
      </c>
      <c r="B3154" s="9">
        <f t="shared" ref="B3154" si="9171">B3153+H3154+I3154+J3154</f>
        <v>32.960000000000008</v>
      </c>
      <c r="C3154" s="3" t="s">
        <v>3492</v>
      </c>
      <c r="D3154">
        <f t="shared" ref="D3154" si="9172">_xlfn.NUMBERVALUE(LEFT(C3154,2))</f>
        <v>13</v>
      </c>
      <c r="E3154">
        <f t="shared" ref="E3154" si="9173">_xlfn.NUMBERVALUE(MID(C3154,4,2))</f>
        <v>10</v>
      </c>
      <c r="F3154">
        <f t="shared" ref="F3154" si="9174">_xlfn.NUMBERVALUE(RIGHT(C3154,4))</f>
        <v>2024</v>
      </c>
      <c r="G3154" t="s">
        <v>7</v>
      </c>
      <c r="H3154">
        <v>-2</v>
      </c>
      <c r="K3154" t="s">
        <v>9</v>
      </c>
      <c r="L3154" s="8">
        <f t="shared" si="9138"/>
        <v>-1</v>
      </c>
      <c r="M3154" t="s">
        <v>3496</v>
      </c>
    </row>
    <row r="3155" spans="1:13" x14ac:dyDescent="0.35">
      <c r="A3155">
        <f t="shared" si="8454"/>
        <v>3151</v>
      </c>
      <c r="B3155" s="9">
        <f t="shared" ref="B3155" si="9175">B3154+H3155+I3155+J3155</f>
        <v>30.960000000000008</v>
      </c>
      <c r="C3155" s="3" t="s">
        <v>3492</v>
      </c>
      <c r="D3155">
        <f t="shared" ref="D3155" si="9176">_xlfn.NUMBERVALUE(LEFT(C3155,2))</f>
        <v>13</v>
      </c>
      <c r="E3155">
        <f t="shared" ref="E3155" si="9177">_xlfn.NUMBERVALUE(MID(C3155,4,2))</f>
        <v>10</v>
      </c>
      <c r="F3155">
        <f t="shared" ref="F3155" si="9178">_xlfn.NUMBERVALUE(RIGHT(C3155,4))</f>
        <v>2024</v>
      </c>
      <c r="G3155" t="s">
        <v>7</v>
      </c>
      <c r="H3155">
        <v>-2</v>
      </c>
      <c r="K3155" t="s">
        <v>9</v>
      </c>
      <c r="L3155" s="8">
        <f t="shared" si="9138"/>
        <v>-1</v>
      </c>
      <c r="M3155" t="s">
        <v>3497</v>
      </c>
    </row>
    <row r="3156" spans="1:13" x14ac:dyDescent="0.35">
      <c r="A3156">
        <f t="shared" si="8454"/>
        <v>3152</v>
      </c>
      <c r="B3156" s="9">
        <f t="shared" ref="B3156" si="9179">B3155+H3156+I3156+J3156</f>
        <v>28.960000000000008</v>
      </c>
      <c r="C3156" s="3" t="s">
        <v>3492</v>
      </c>
      <c r="D3156">
        <f t="shared" ref="D3156" si="9180">_xlfn.NUMBERVALUE(LEFT(C3156,2))</f>
        <v>13</v>
      </c>
      <c r="E3156">
        <f t="shared" ref="E3156" si="9181">_xlfn.NUMBERVALUE(MID(C3156,4,2))</f>
        <v>10</v>
      </c>
      <c r="F3156">
        <f t="shared" ref="F3156" si="9182">_xlfn.NUMBERVALUE(RIGHT(C3156,4))</f>
        <v>2024</v>
      </c>
      <c r="G3156" t="s">
        <v>7</v>
      </c>
      <c r="H3156">
        <v>-2</v>
      </c>
      <c r="K3156" t="s">
        <v>9</v>
      </c>
      <c r="L3156" s="8">
        <f t="shared" si="9138"/>
        <v>-1</v>
      </c>
      <c r="M3156" t="s">
        <v>3498</v>
      </c>
    </row>
    <row r="3157" spans="1:13" x14ac:dyDescent="0.35">
      <c r="A3157">
        <f t="shared" si="8454"/>
        <v>3153</v>
      </c>
      <c r="B3157" s="9">
        <f t="shared" ref="B3157" si="9183">B3156+H3157+I3157+J3157</f>
        <v>26.960000000000008</v>
      </c>
      <c r="C3157" s="3" t="s">
        <v>3492</v>
      </c>
      <c r="D3157">
        <f t="shared" ref="D3157" si="9184">_xlfn.NUMBERVALUE(LEFT(C3157,2))</f>
        <v>13</v>
      </c>
      <c r="E3157">
        <f t="shared" ref="E3157" si="9185">_xlfn.NUMBERVALUE(MID(C3157,4,2))</f>
        <v>10</v>
      </c>
      <c r="F3157">
        <f t="shared" ref="F3157" si="9186">_xlfn.NUMBERVALUE(RIGHT(C3157,4))</f>
        <v>2024</v>
      </c>
      <c r="G3157" t="s">
        <v>7</v>
      </c>
      <c r="H3157">
        <v>-2</v>
      </c>
      <c r="K3157" t="s">
        <v>9</v>
      </c>
      <c r="L3157" s="8">
        <f t="shared" si="9138"/>
        <v>-1</v>
      </c>
      <c r="M3157" t="s">
        <v>3499</v>
      </c>
    </row>
    <row r="3158" spans="1:13" x14ac:dyDescent="0.35">
      <c r="A3158">
        <f t="shared" si="8454"/>
        <v>3154</v>
      </c>
      <c r="B3158" s="9">
        <f t="shared" ref="B3158" si="9187">B3157+H3158+I3158+J3158</f>
        <v>28.960000000000008</v>
      </c>
      <c r="C3158" s="3" t="s">
        <v>3492</v>
      </c>
      <c r="D3158">
        <f t="shared" ref="D3158" si="9188">_xlfn.NUMBERVALUE(LEFT(C3158,2))</f>
        <v>13</v>
      </c>
      <c r="E3158">
        <f t="shared" ref="E3158" si="9189">_xlfn.NUMBERVALUE(MID(C3158,4,2))</f>
        <v>10</v>
      </c>
      <c r="F3158">
        <f t="shared" ref="F3158" si="9190">_xlfn.NUMBERVALUE(RIGHT(C3158,4))</f>
        <v>2024</v>
      </c>
      <c r="G3158" t="s">
        <v>7</v>
      </c>
      <c r="H3158">
        <v>-2</v>
      </c>
      <c r="I3158">
        <v>4</v>
      </c>
      <c r="K3158" t="s">
        <v>10</v>
      </c>
      <c r="L3158" s="8">
        <f t="shared" si="9138"/>
        <v>1</v>
      </c>
      <c r="M3158" t="s">
        <v>3500</v>
      </c>
    </row>
    <row r="3159" spans="1:13" x14ac:dyDescent="0.35">
      <c r="A3159">
        <f t="shared" si="8454"/>
        <v>3155</v>
      </c>
      <c r="B3159" s="9">
        <f t="shared" ref="B3159" si="9191">B3158+H3159+I3159+J3159</f>
        <v>26.960000000000008</v>
      </c>
      <c r="C3159" s="3" t="s">
        <v>3492</v>
      </c>
      <c r="D3159">
        <f t="shared" ref="D3159" si="9192">_xlfn.NUMBERVALUE(LEFT(C3159,2))</f>
        <v>13</v>
      </c>
      <c r="E3159">
        <f t="shared" ref="E3159" si="9193">_xlfn.NUMBERVALUE(MID(C3159,4,2))</f>
        <v>10</v>
      </c>
      <c r="F3159">
        <f t="shared" ref="F3159" si="9194">_xlfn.NUMBERVALUE(RIGHT(C3159,4))</f>
        <v>2024</v>
      </c>
      <c r="G3159" t="s">
        <v>7</v>
      </c>
      <c r="H3159">
        <v>-2</v>
      </c>
      <c r="K3159" t="s">
        <v>9</v>
      </c>
      <c r="L3159" s="8">
        <f t="shared" si="9138"/>
        <v>-1</v>
      </c>
      <c r="M3159" t="s">
        <v>3501</v>
      </c>
    </row>
    <row r="3160" spans="1:13" x14ac:dyDescent="0.35">
      <c r="A3160">
        <f t="shared" si="8454"/>
        <v>3156</v>
      </c>
      <c r="B3160" s="9">
        <f t="shared" ref="B3160" si="9195">B3159+H3160+I3160+J3160</f>
        <v>30.960000000000008</v>
      </c>
      <c r="C3160" s="3" t="s">
        <v>3492</v>
      </c>
      <c r="D3160">
        <f t="shared" ref="D3160" si="9196">_xlfn.NUMBERVALUE(LEFT(C3160,2))</f>
        <v>13</v>
      </c>
      <c r="E3160">
        <f t="shared" ref="E3160" si="9197">_xlfn.NUMBERVALUE(MID(C3160,4,2))</f>
        <v>10</v>
      </c>
      <c r="F3160">
        <f t="shared" ref="F3160" si="9198">_xlfn.NUMBERVALUE(RIGHT(C3160,4))</f>
        <v>2024</v>
      </c>
      <c r="G3160" t="s">
        <v>7</v>
      </c>
      <c r="H3160">
        <v>-2</v>
      </c>
      <c r="I3160">
        <v>6</v>
      </c>
      <c r="K3160" t="s">
        <v>10</v>
      </c>
      <c r="L3160" s="8">
        <f t="shared" si="9138"/>
        <v>2</v>
      </c>
      <c r="M3160" t="s">
        <v>3502</v>
      </c>
    </row>
    <row r="3161" spans="1:13" x14ac:dyDescent="0.35">
      <c r="A3161">
        <f t="shared" si="8454"/>
        <v>3157</v>
      </c>
      <c r="B3161" s="9">
        <f t="shared" ref="B3161" si="9199">B3160+H3161+I3161+J3161</f>
        <v>32.960000000000008</v>
      </c>
      <c r="C3161" s="3" t="s">
        <v>3492</v>
      </c>
      <c r="D3161">
        <f t="shared" ref="D3161" si="9200">_xlfn.NUMBERVALUE(LEFT(C3161,2))</f>
        <v>13</v>
      </c>
      <c r="E3161">
        <f t="shared" ref="E3161" si="9201">_xlfn.NUMBERVALUE(MID(C3161,4,2))</f>
        <v>10</v>
      </c>
      <c r="F3161">
        <f t="shared" ref="F3161" si="9202">_xlfn.NUMBERVALUE(RIGHT(C3161,4))</f>
        <v>2024</v>
      </c>
      <c r="G3161" t="s">
        <v>7</v>
      </c>
      <c r="H3161">
        <v>-2</v>
      </c>
      <c r="I3161">
        <v>4</v>
      </c>
      <c r="K3161" t="s">
        <v>10</v>
      </c>
      <c r="L3161" s="8">
        <f t="shared" si="9138"/>
        <v>1</v>
      </c>
      <c r="M3161" t="s">
        <v>3503</v>
      </c>
    </row>
    <row r="3162" spans="1:13" x14ac:dyDescent="0.35">
      <c r="A3162">
        <f t="shared" si="8454"/>
        <v>3158</v>
      </c>
      <c r="B3162" s="9">
        <f t="shared" ref="B3162" si="9203">B3161+H3162+I3162+J3162</f>
        <v>30.960000000000008</v>
      </c>
      <c r="C3162" s="3" t="s">
        <v>3492</v>
      </c>
      <c r="D3162">
        <f t="shared" ref="D3162" si="9204">_xlfn.NUMBERVALUE(LEFT(C3162,2))</f>
        <v>13</v>
      </c>
      <c r="E3162">
        <f t="shared" ref="E3162" si="9205">_xlfn.NUMBERVALUE(MID(C3162,4,2))</f>
        <v>10</v>
      </c>
      <c r="F3162">
        <f t="shared" ref="F3162" si="9206">_xlfn.NUMBERVALUE(RIGHT(C3162,4))</f>
        <v>2024</v>
      </c>
      <c r="G3162" t="s">
        <v>7</v>
      </c>
      <c r="H3162">
        <v>-2</v>
      </c>
      <c r="K3162" t="s">
        <v>9</v>
      </c>
      <c r="L3162" s="8">
        <f t="shared" si="9138"/>
        <v>-1</v>
      </c>
      <c r="M3162" t="s">
        <v>3504</v>
      </c>
    </row>
    <row r="3163" spans="1:13" x14ac:dyDescent="0.35">
      <c r="A3163">
        <f t="shared" si="8454"/>
        <v>3159</v>
      </c>
      <c r="B3163" s="9">
        <f t="shared" ref="B3163" si="9207">B3162+H3163+I3163+J3163</f>
        <v>28.960000000000008</v>
      </c>
      <c r="C3163" s="3" t="s">
        <v>3492</v>
      </c>
      <c r="D3163">
        <f t="shared" ref="D3163" si="9208">_xlfn.NUMBERVALUE(LEFT(C3163,2))</f>
        <v>13</v>
      </c>
      <c r="E3163">
        <f t="shared" ref="E3163" si="9209">_xlfn.NUMBERVALUE(MID(C3163,4,2))</f>
        <v>10</v>
      </c>
      <c r="F3163">
        <f t="shared" ref="F3163" si="9210">_xlfn.NUMBERVALUE(RIGHT(C3163,4))</f>
        <v>2024</v>
      </c>
      <c r="G3163" t="s">
        <v>7</v>
      </c>
      <c r="H3163">
        <v>-2</v>
      </c>
      <c r="K3163" t="s">
        <v>9</v>
      </c>
      <c r="L3163" s="8">
        <f t="shared" si="9138"/>
        <v>-1</v>
      </c>
      <c r="M3163" t="s">
        <v>3505</v>
      </c>
    </row>
    <row r="3164" spans="1:13" x14ac:dyDescent="0.35">
      <c r="A3164">
        <f t="shared" si="8454"/>
        <v>3160</v>
      </c>
      <c r="B3164" s="9">
        <f t="shared" ref="B3164" si="9211">B3163+H3164+I3164+J3164</f>
        <v>32.960000000000008</v>
      </c>
      <c r="C3164" s="3" t="s">
        <v>3492</v>
      </c>
      <c r="D3164">
        <f t="shared" ref="D3164" si="9212">_xlfn.NUMBERVALUE(LEFT(C3164,2))</f>
        <v>13</v>
      </c>
      <c r="E3164">
        <f t="shared" ref="E3164" si="9213">_xlfn.NUMBERVALUE(MID(C3164,4,2))</f>
        <v>10</v>
      </c>
      <c r="F3164">
        <f t="shared" ref="F3164" si="9214">_xlfn.NUMBERVALUE(RIGHT(C3164,4))</f>
        <v>2024</v>
      </c>
      <c r="G3164" t="s">
        <v>7</v>
      </c>
      <c r="H3164">
        <v>-2</v>
      </c>
      <c r="I3164">
        <v>6</v>
      </c>
      <c r="K3164" t="s">
        <v>10</v>
      </c>
      <c r="L3164" s="8">
        <f t="shared" si="9138"/>
        <v>2</v>
      </c>
      <c r="M3164" t="s">
        <v>3506</v>
      </c>
    </row>
    <row r="3165" spans="1:13" x14ac:dyDescent="0.35">
      <c r="A3165">
        <f t="shared" si="8454"/>
        <v>3161</v>
      </c>
      <c r="B3165" s="9">
        <f t="shared" ref="B3165" si="9215">B3164+H3165+I3165+J3165</f>
        <v>38.960000000000008</v>
      </c>
      <c r="C3165" s="3" t="s">
        <v>3492</v>
      </c>
      <c r="D3165">
        <f t="shared" ref="D3165" si="9216">_xlfn.NUMBERVALUE(LEFT(C3165,2))</f>
        <v>13</v>
      </c>
      <c r="E3165">
        <f t="shared" ref="E3165" si="9217">_xlfn.NUMBERVALUE(MID(C3165,4,2))</f>
        <v>10</v>
      </c>
      <c r="F3165">
        <f t="shared" ref="F3165" si="9218">_xlfn.NUMBERVALUE(RIGHT(C3165,4))</f>
        <v>2024</v>
      </c>
      <c r="G3165" t="s">
        <v>7</v>
      </c>
      <c r="H3165">
        <v>-2</v>
      </c>
      <c r="I3165">
        <v>8</v>
      </c>
      <c r="K3165" t="s">
        <v>10</v>
      </c>
      <c r="L3165" s="8">
        <f t="shared" si="9138"/>
        <v>3</v>
      </c>
      <c r="M3165" t="s">
        <v>3507</v>
      </c>
    </row>
    <row r="3166" spans="1:13" x14ac:dyDescent="0.35">
      <c r="A3166">
        <f t="shared" si="8454"/>
        <v>3162</v>
      </c>
      <c r="B3166" s="9">
        <f t="shared" ref="B3166" si="9219">B3165+H3166+I3166+J3166</f>
        <v>36.960000000000008</v>
      </c>
      <c r="C3166" s="3" t="s">
        <v>3492</v>
      </c>
      <c r="D3166">
        <f t="shared" ref="D3166" si="9220">_xlfn.NUMBERVALUE(LEFT(C3166,2))</f>
        <v>13</v>
      </c>
      <c r="E3166">
        <f t="shared" ref="E3166" si="9221">_xlfn.NUMBERVALUE(MID(C3166,4,2))</f>
        <v>10</v>
      </c>
      <c r="F3166">
        <f t="shared" ref="F3166" si="9222">_xlfn.NUMBERVALUE(RIGHT(C3166,4))</f>
        <v>2024</v>
      </c>
      <c r="G3166" t="s">
        <v>7</v>
      </c>
      <c r="H3166">
        <v>-2</v>
      </c>
      <c r="K3166" t="s">
        <v>9</v>
      </c>
      <c r="L3166" s="8">
        <f t="shared" si="9138"/>
        <v>-1</v>
      </c>
      <c r="M3166" t="s">
        <v>3508</v>
      </c>
    </row>
    <row r="3167" spans="1:13" x14ac:dyDescent="0.35">
      <c r="A3167">
        <f t="shared" si="8454"/>
        <v>3163</v>
      </c>
      <c r="B3167" s="9">
        <f t="shared" ref="B3167" si="9223">B3166+H3167+I3167+J3167</f>
        <v>34.960000000000008</v>
      </c>
      <c r="C3167" s="3" t="s">
        <v>3492</v>
      </c>
      <c r="D3167">
        <f t="shared" ref="D3167" si="9224">_xlfn.NUMBERVALUE(LEFT(C3167,2))</f>
        <v>13</v>
      </c>
      <c r="E3167">
        <f t="shared" ref="E3167" si="9225">_xlfn.NUMBERVALUE(MID(C3167,4,2))</f>
        <v>10</v>
      </c>
      <c r="F3167">
        <f t="shared" ref="F3167" si="9226">_xlfn.NUMBERVALUE(RIGHT(C3167,4))</f>
        <v>2024</v>
      </c>
      <c r="G3167" t="s">
        <v>7</v>
      </c>
      <c r="H3167">
        <v>-2</v>
      </c>
      <c r="K3167" t="s">
        <v>9</v>
      </c>
      <c r="L3167" s="8">
        <f t="shared" si="9138"/>
        <v>-1</v>
      </c>
      <c r="M3167" t="s">
        <v>3509</v>
      </c>
    </row>
    <row r="3168" spans="1:13" x14ac:dyDescent="0.35">
      <c r="A3168">
        <f t="shared" si="8454"/>
        <v>3164</v>
      </c>
      <c r="B3168" s="9">
        <f t="shared" ref="B3168" si="9227">B3167+H3168+I3168+J3168</f>
        <v>36.960000000000008</v>
      </c>
      <c r="C3168" s="3" t="s">
        <v>3492</v>
      </c>
      <c r="D3168">
        <f t="shared" ref="D3168" si="9228">_xlfn.NUMBERVALUE(LEFT(C3168,2))</f>
        <v>13</v>
      </c>
      <c r="E3168">
        <f t="shared" ref="E3168" si="9229">_xlfn.NUMBERVALUE(MID(C3168,4,2))</f>
        <v>10</v>
      </c>
      <c r="F3168">
        <f t="shared" ref="F3168" si="9230">_xlfn.NUMBERVALUE(RIGHT(C3168,4))</f>
        <v>2024</v>
      </c>
      <c r="G3168" t="s">
        <v>7</v>
      </c>
      <c r="H3168">
        <v>-2</v>
      </c>
      <c r="I3168">
        <v>4</v>
      </c>
      <c r="K3168" t="s">
        <v>10</v>
      </c>
      <c r="L3168" s="8">
        <f t="shared" si="9138"/>
        <v>1</v>
      </c>
      <c r="M3168" t="s">
        <v>3510</v>
      </c>
    </row>
    <row r="3169" spans="1:13" x14ac:dyDescent="0.35">
      <c r="A3169">
        <f t="shared" si="8454"/>
        <v>3165</v>
      </c>
      <c r="B3169" s="9">
        <f t="shared" ref="B3169" si="9231">B3168+H3169+I3169+J3169</f>
        <v>40.960000000000008</v>
      </c>
      <c r="C3169" s="3" t="s">
        <v>3492</v>
      </c>
      <c r="D3169">
        <f t="shared" ref="D3169" si="9232">_xlfn.NUMBERVALUE(LEFT(C3169,2))</f>
        <v>13</v>
      </c>
      <c r="E3169">
        <f t="shared" ref="E3169" si="9233">_xlfn.NUMBERVALUE(MID(C3169,4,2))</f>
        <v>10</v>
      </c>
      <c r="F3169">
        <f t="shared" ref="F3169" si="9234">_xlfn.NUMBERVALUE(RIGHT(C3169,4))</f>
        <v>2024</v>
      </c>
      <c r="G3169" t="s">
        <v>7</v>
      </c>
      <c r="H3169">
        <v>-2</v>
      </c>
      <c r="I3169">
        <v>6</v>
      </c>
      <c r="K3169" t="s">
        <v>10</v>
      </c>
      <c r="L3169" s="8">
        <f t="shared" si="9138"/>
        <v>2</v>
      </c>
      <c r="M3169" t="s">
        <v>3511</v>
      </c>
    </row>
    <row r="3170" spans="1:13" x14ac:dyDescent="0.35">
      <c r="A3170">
        <f t="shared" si="8454"/>
        <v>3166</v>
      </c>
      <c r="B3170" s="9">
        <f t="shared" ref="B3170" si="9235">B3169+H3170+I3170+J3170</f>
        <v>42.960000000000008</v>
      </c>
      <c r="C3170" s="3" t="s">
        <v>3492</v>
      </c>
      <c r="D3170">
        <f t="shared" ref="D3170" si="9236">_xlfn.NUMBERVALUE(LEFT(C3170,2))</f>
        <v>13</v>
      </c>
      <c r="E3170">
        <f t="shared" ref="E3170" si="9237">_xlfn.NUMBERVALUE(MID(C3170,4,2))</f>
        <v>10</v>
      </c>
      <c r="F3170">
        <f t="shared" ref="F3170" si="9238">_xlfn.NUMBERVALUE(RIGHT(C3170,4))</f>
        <v>2024</v>
      </c>
      <c r="G3170" t="s">
        <v>7</v>
      </c>
      <c r="H3170">
        <v>-2</v>
      </c>
      <c r="I3170">
        <v>4</v>
      </c>
      <c r="K3170" t="s">
        <v>10</v>
      </c>
      <c r="L3170" s="8">
        <f t="shared" si="9138"/>
        <v>1</v>
      </c>
      <c r="M3170" t="s">
        <v>3512</v>
      </c>
    </row>
    <row r="3171" spans="1:13" x14ac:dyDescent="0.35">
      <c r="A3171">
        <f t="shared" si="8454"/>
        <v>3167</v>
      </c>
      <c r="B3171" s="9">
        <f t="shared" ref="B3171" si="9239">B3170+H3171+I3171+J3171</f>
        <v>40.960000000000008</v>
      </c>
      <c r="C3171" s="3" t="s">
        <v>3513</v>
      </c>
      <c r="D3171">
        <f t="shared" ref="D3171:D3172" si="9240">_xlfn.NUMBERVALUE(LEFT(C3171,2))</f>
        <v>14</v>
      </c>
      <c r="E3171">
        <f t="shared" ref="E3171:E3172" si="9241">_xlfn.NUMBERVALUE(MID(C3171,4,2))</f>
        <v>10</v>
      </c>
      <c r="F3171">
        <f t="shared" ref="F3171:F3172" si="9242">_xlfn.NUMBERVALUE(RIGHT(C3171,4))</f>
        <v>2024</v>
      </c>
      <c r="G3171" t="s">
        <v>7</v>
      </c>
      <c r="H3171">
        <v>-2</v>
      </c>
      <c r="K3171" t="s">
        <v>9</v>
      </c>
      <c r="L3171" s="8">
        <f t="shared" si="9138"/>
        <v>-1</v>
      </c>
      <c r="M3171" t="s">
        <v>3514</v>
      </c>
    </row>
    <row r="3172" spans="1:13" x14ac:dyDescent="0.35">
      <c r="A3172">
        <f>A3171+1</f>
        <v>3168</v>
      </c>
      <c r="B3172" s="9">
        <f>B3171+H3172+I3172+J3172</f>
        <v>40.960000000000008</v>
      </c>
      <c r="C3172" s="3" t="s">
        <v>3513</v>
      </c>
      <c r="D3172">
        <f t="shared" si="9240"/>
        <v>14</v>
      </c>
      <c r="E3172">
        <f t="shared" si="9241"/>
        <v>10</v>
      </c>
      <c r="F3172">
        <f t="shared" si="9242"/>
        <v>2024</v>
      </c>
      <c r="G3172" t="s">
        <v>3039</v>
      </c>
      <c r="K3172" t="s">
        <v>9</v>
      </c>
      <c r="L3172" s="8">
        <f t="shared" si="9138"/>
        <v>0</v>
      </c>
      <c r="M3172" t="s">
        <v>3515</v>
      </c>
    </row>
    <row r="3173" spans="1:13" x14ac:dyDescent="0.35">
      <c r="A3173">
        <f t="shared" si="8454"/>
        <v>3169</v>
      </c>
      <c r="B3173" s="9">
        <f t="shared" ref="B3173" si="9243">B3172+H3173+I3173+J3173</f>
        <v>38.960000000000008</v>
      </c>
      <c r="C3173" s="3" t="s">
        <v>3513</v>
      </c>
      <c r="D3173">
        <f t="shared" ref="D3173" si="9244">_xlfn.NUMBERVALUE(LEFT(C3173,2))</f>
        <v>14</v>
      </c>
      <c r="E3173">
        <f t="shared" ref="E3173" si="9245">_xlfn.NUMBERVALUE(MID(C3173,4,2))</f>
        <v>10</v>
      </c>
      <c r="F3173">
        <f t="shared" ref="F3173" si="9246">_xlfn.NUMBERVALUE(RIGHT(C3173,4))</f>
        <v>2024</v>
      </c>
      <c r="G3173" t="s">
        <v>7</v>
      </c>
      <c r="H3173">
        <v>-2</v>
      </c>
      <c r="K3173" t="s">
        <v>9</v>
      </c>
      <c r="L3173" s="8">
        <f t="shared" si="9138"/>
        <v>-1</v>
      </c>
      <c r="M3173" t="s">
        <v>3516</v>
      </c>
    </row>
    <row r="3174" spans="1:13" x14ac:dyDescent="0.35">
      <c r="A3174">
        <f t="shared" si="8454"/>
        <v>3170</v>
      </c>
      <c r="B3174" s="9">
        <f t="shared" ref="B3174" si="9247">B3173+H3174+I3174+J3174</f>
        <v>36.960000000000008</v>
      </c>
      <c r="C3174" s="3" t="s">
        <v>3513</v>
      </c>
      <c r="D3174">
        <f t="shared" ref="D3174" si="9248">_xlfn.NUMBERVALUE(LEFT(C3174,2))</f>
        <v>14</v>
      </c>
      <c r="E3174">
        <f t="shared" ref="E3174" si="9249">_xlfn.NUMBERVALUE(MID(C3174,4,2))</f>
        <v>10</v>
      </c>
      <c r="F3174">
        <f t="shared" ref="F3174" si="9250">_xlfn.NUMBERVALUE(RIGHT(C3174,4))</f>
        <v>2024</v>
      </c>
      <c r="G3174" t="s">
        <v>7</v>
      </c>
      <c r="H3174">
        <v>-2</v>
      </c>
      <c r="K3174" t="s">
        <v>9</v>
      </c>
      <c r="L3174" s="8">
        <f t="shared" si="9138"/>
        <v>-1</v>
      </c>
      <c r="M3174" t="s">
        <v>3517</v>
      </c>
    </row>
    <row r="3175" spans="1:13" x14ac:dyDescent="0.35">
      <c r="A3175">
        <f t="shared" si="8454"/>
        <v>3171</v>
      </c>
      <c r="B3175" s="9">
        <f t="shared" ref="B3175" si="9251">B3174+H3175+I3175+J3175</f>
        <v>34.960000000000008</v>
      </c>
      <c r="C3175" s="3" t="s">
        <v>3513</v>
      </c>
      <c r="D3175">
        <f t="shared" ref="D3175" si="9252">_xlfn.NUMBERVALUE(LEFT(C3175,2))</f>
        <v>14</v>
      </c>
      <c r="E3175">
        <f t="shared" ref="E3175" si="9253">_xlfn.NUMBERVALUE(MID(C3175,4,2))</f>
        <v>10</v>
      </c>
      <c r="F3175">
        <f t="shared" ref="F3175" si="9254">_xlfn.NUMBERVALUE(RIGHT(C3175,4))</f>
        <v>2024</v>
      </c>
      <c r="G3175" t="s">
        <v>7</v>
      </c>
      <c r="H3175">
        <v>-2</v>
      </c>
      <c r="K3175" t="s">
        <v>9</v>
      </c>
      <c r="L3175" s="8">
        <f t="shared" si="9138"/>
        <v>-1</v>
      </c>
      <c r="M3175" t="s">
        <v>3518</v>
      </c>
    </row>
    <row r="3176" spans="1:13" x14ac:dyDescent="0.35">
      <c r="A3176">
        <f t="shared" si="8454"/>
        <v>3172</v>
      </c>
      <c r="B3176" s="9">
        <f t="shared" ref="B3176" si="9255">B3175+H3176+I3176+J3176</f>
        <v>32.960000000000008</v>
      </c>
      <c r="C3176" s="3" t="s">
        <v>3513</v>
      </c>
      <c r="D3176">
        <f t="shared" ref="D3176" si="9256">_xlfn.NUMBERVALUE(LEFT(C3176,2))</f>
        <v>14</v>
      </c>
      <c r="E3176">
        <f t="shared" ref="E3176" si="9257">_xlfn.NUMBERVALUE(MID(C3176,4,2))</f>
        <v>10</v>
      </c>
      <c r="F3176">
        <f t="shared" ref="F3176" si="9258">_xlfn.NUMBERVALUE(RIGHT(C3176,4))</f>
        <v>2024</v>
      </c>
      <c r="G3176" t="s">
        <v>7</v>
      </c>
      <c r="H3176">
        <v>-2</v>
      </c>
      <c r="K3176" t="s">
        <v>9</v>
      </c>
      <c r="L3176" s="8">
        <f t="shared" si="9138"/>
        <v>-1</v>
      </c>
      <c r="M3176" t="s">
        <v>3519</v>
      </c>
    </row>
    <row r="3177" spans="1:13" x14ac:dyDescent="0.35">
      <c r="A3177">
        <f t="shared" si="8454"/>
        <v>3173</v>
      </c>
      <c r="B3177" s="9">
        <f t="shared" ref="B3177" si="9259">B3176+H3177+I3177+J3177</f>
        <v>30.960000000000008</v>
      </c>
      <c r="C3177" s="3" t="s">
        <v>3513</v>
      </c>
      <c r="D3177">
        <f t="shared" ref="D3177" si="9260">_xlfn.NUMBERVALUE(LEFT(C3177,2))</f>
        <v>14</v>
      </c>
      <c r="E3177">
        <f t="shared" ref="E3177" si="9261">_xlfn.NUMBERVALUE(MID(C3177,4,2))</f>
        <v>10</v>
      </c>
      <c r="F3177">
        <f t="shared" ref="F3177" si="9262">_xlfn.NUMBERVALUE(RIGHT(C3177,4))</f>
        <v>2024</v>
      </c>
      <c r="G3177" t="s">
        <v>7</v>
      </c>
      <c r="H3177">
        <v>-2</v>
      </c>
      <c r="K3177" t="s">
        <v>9</v>
      </c>
      <c r="L3177" s="8">
        <f t="shared" si="9138"/>
        <v>-1</v>
      </c>
      <c r="M3177" t="s">
        <v>3520</v>
      </c>
    </row>
    <row r="3178" spans="1:13" x14ac:dyDescent="0.35">
      <c r="A3178">
        <f t="shared" si="8454"/>
        <v>3174</v>
      </c>
      <c r="B3178" s="9">
        <f t="shared" ref="B3178" si="9263">B3177+H3178+I3178+J3178</f>
        <v>36.960000000000008</v>
      </c>
      <c r="C3178" s="3" t="s">
        <v>3513</v>
      </c>
      <c r="D3178">
        <f t="shared" ref="D3178" si="9264">_xlfn.NUMBERVALUE(LEFT(C3178,2))</f>
        <v>14</v>
      </c>
      <c r="E3178">
        <f t="shared" ref="E3178" si="9265">_xlfn.NUMBERVALUE(MID(C3178,4,2))</f>
        <v>10</v>
      </c>
      <c r="F3178">
        <f t="shared" ref="F3178" si="9266">_xlfn.NUMBERVALUE(RIGHT(C3178,4))</f>
        <v>2024</v>
      </c>
      <c r="G3178" t="s">
        <v>7</v>
      </c>
      <c r="H3178">
        <v>-2</v>
      </c>
      <c r="I3178">
        <v>8</v>
      </c>
      <c r="K3178" t="s">
        <v>10</v>
      </c>
      <c r="L3178" s="8">
        <f t="shared" si="9138"/>
        <v>3</v>
      </c>
      <c r="M3178" t="s">
        <v>3521</v>
      </c>
    </row>
    <row r="3179" spans="1:13" x14ac:dyDescent="0.35">
      <c r="A3179">
        <f t="shared" si="8454"/>
        <v>3175</v>
      </c>
      <c r="B3179" s="9">
        <f t="shared" ref="B3179" si="9267">B3178+H3179+I3179+J3179</f>
        <v>34.960000000000008</v>
      </c>
      <c r="C3179" s="3" t="s">
        <v>3513</v>
      </c>
      <c r="D3179">
        <f t="shared" ref="D3179" si="9268">_xlfn.NUMBERVALUE(LEFT(C3179,2))</f>
        <v>14</v>
      </c>
      <c r="E3179">
        <f t="shared" ref="E3179" si="9269">_xlfn.NUMBERVALUE(MID(C3179,4,2))</f>
        <v>10</v>
      </c>
      <c r="F3179">
        <f t="shared" ref="F3179" si="9270">_xlfn.NUMBERVALUE(RIGHT(C3179,4))</f>
        <v>2024</v>
      </c>
      <c r="G3179" t="s">
        <v>7</v>
      </c>
      <c r="H3179">
        <v>-2</v>
      </c>
      <c r="K3179" t="s">
        <v>9</v>
      </c>
      <c r="L3179" s="8">
        <f t="shared" si="9138"/>
        <v>-1</v>
      </c>
      <c r="M3179" t="s">
        <v>3522</v>
      </c>
    </row>
    <row r="3180" spans="1:13" x14ac:dyDescent="0.35">
      <c r="A3180">
        <f t="shared" si="8454"/>
        <v>3176</v>
      </c>
      <c r="B3180" s="9">
        <f t="shared" ref="B3180" si="9271">B3179+H3180+I3180+J3180</f>
        <v>36.960000000000008</v>
      </c>
      <c r="C3180" s="3" t="s">
        <v>3513</v>
      </c>
      <c r="D3180">
        <f t="shared" ref="D3180" si="9272">_xlfn.NUMBERVALUE(LEFT(C3180,2))</f>
        <v>14</v>
      </c>
      <c r="E3180">
        <f t="shared" ref="E3180" si="9273">_xlfn.NUMBERVALUE(MID(C3180,4,2))</f>
        <v>10</v>
      </c>
      <c r="F3180">
        <f t="shared" ref="F3180" si="9274">_xlfn.NUMBERVALUE(RIGHT(C3180,4))</f>
        <v>2024</v>
      </c>
      <c r="G3180" t="s">
        <v>7</v>
      </c>
      <c r="H3180">
        <v>-2</v>
      </c>
      <c r="I3180">
        <v>4</v>
      </c>
      <c r="K3180" t="s">
        <v>10</v>
      </c>
      <c r="L3180" s="8">
        <f t="shared" si="9138"/>
        <v>1</v>
      </c>
      <c r="M3180" t="s">
        <v>3523</v>
      </c>
    </row>
    <row r="3181" spans="1:13" x14ac:dyDescent="0.35">
      <c r="A3181">
        <f t="shared" si="8454"/>
        <v>3177</v>
      </c>
      <c r="B3181" s="9">
        <f t="shared" ref="B3181" si="9275">B3180+H3181+I3181+J3181</f>
        <v>34.960000000000008</v>
      </c>
      <c r="C3181" s="3" t="s">
        <v>3513</v>
      </c>
      <c r="D3181">
        <f t="shared" ref="D3181" si="9276">_xlfn.NUMBERVALUE(LEFT(C3181,2))</f>
        <v>14</v>
      </c>
      <c r="E3181">
        <f t="shared" ref="E3181" si="9277">_xlfn.NUMBERVALUE(MID(C3181,4,2))</f>
        <v>10</v>
      </c>
      <c r="F3181">
        <f t="shared" ref="F3181" si="9278">_xlfn.NUMBERVALUE(RIGHT(C3181,4))</f>
        <v>2024</v>
      </c>
      <c r="G3181" t="s">
        <v>7</v>
      </c>
      <c r="H3181">
        <v>-2</v>
      </c>
      <c r="K3181" t="s">
        <v>9</v>
      </c>
      <c r="L3181" s="8">
        <f t="shared" si="9138"/>
        <v>-1</v>
      </c>
      <c r="M3181" t="s">
        <v>3524</v>
      </c>
    </row>
    <row r="3182" spans="1:13" x14ac:dyDescent="0.35">
      <c r="A3182">
        <f t="shared" si="8454"/>
        <v>3178</v>
      </c>
      <c r="B3182" s="9">
        <f t="shared" ref="B3182" si="9279">B3181+H3182+I3182+J3182</f>
        <v>38.960000000000008</v>
      </c>
      <c r="C3182" s="3" t="s">
        <v>3513</v>
      </c>
      <c r="D3182">
        <f t="shared" ref="D3182" si="9280">_xlfn.NUMBERVALUE(LEFT(C3182,2))</f>
        <v>14</v>
      </c>
      <c r="E3182">
        <f t="shared" ref="E3182" si="9281">_xlfn.NUMBERVALUE(MID(C3182,4,2))</f>
        <v>10</v>
      </c>
      <c r="F3182">
        <f t="shared" ref="F3182" si="9282">_xlfn.NUMBERVALUE(RIGHT(C3182,4))</f>
        <v>2024</v>
      </c>
      <c r="G3182" t="s">
        <v>7</v>
      </c>
      <c r="H3182">
        <v>-2</v>
      </c>
      <c r="I3182">
        <v>6</v>
      </c>
      <c r="K3182" t="s">
        <v>10</v>
      </c>
      <c r="L3182" s="8">
        <f t="shared" si="9138"/>
        <v>2</v>
      </c>
      <c r="M3182" t="s">
        <v>3525</v>
      </c>
    </row>
    <row r="3183" spans="1:13" x14ac:dyDescent="0.35">
      <c r="A3183">
        <f t="shared" si="8454"/>
        <v>3179</v>
      </c>
      <c r="B3183" s="9">
        <f t="shared" ref="B3183" si="9283">B3182+H3183+I3183+J3183</f>
        <v>36.960000000000008</v>
      </c>
      <c r="C3183" s="3" t="s">
        <v>3513</v>
      </c>
      <c r="D3183">
        <f t="shared" ref="D3183" si="9284">_xlfn.NUMBERVALUE(LEFT(C3183,2))</f>
        <v>14</v>
      </c>
      <c r="E3183">
        <f t="shared" ref="E3183" si="9285">_xlfn.NUMBERVALUE(MID(C3183,4,2))</f>
        <v>10</v>
      </c>
      <c r="F3183">
        <f t="shared" ref="F3183" si="9286">_xlfn.NUMBERVALUE(RIGHT(C3183,4))</f>
        <v>2024</v>
      </c>
      <c r="G3183" t="s">
        <v>7</v>
      </c>
      <c r="H3183">
        <v>-2</v>
      </c>
      <c r="K3183" t="s">
        <v>9</v>
      </c>
      <c r="L3183" s="8">
        <f t="shared" si="9138"/>
        <v>-1</v>
      </c>
      <c r="M3183" t="s">
        <v>3526</v>
      </c>
    </row>
    <row r="3184" spans="1:13" x14ac:dyDescent="0.35">
      <c r="A3184">
        <f t="shared" si="8454"/>
        <v>3180</v>
      </c>
      <c r="B3184" s="9">
        <f t="shared" ref="B3184" si="9287">B3183+H3184+I3184+J3184</f>
        <v>34.960000000000008</v>
      </c>
      <c r="C3184" s="3" t="s">
        <v>3513</v>
      </c>
      <c r="D3184">
        <f t="shared" ref="D3184" si="9288">_xlfn.NUMBERVALUE(LEFT(C3184,2))</f>
        <v>14</v>
      </c>
      <c r="E3184">
        <f t="shared" ref="E3184" si="9289">_xlfn.NUMBERVALUE(MID(C3184,4,2))</f>
        <v>10</v>
      </c>
      <c r="F3184">
        <f t="shared" ref="F3184" si="9290">_xlfn.NUMBERVALUE(RIGHT(C3184,4))</f>
        <v>2024</v>
      </c>
      <c r="G3184" t="s">
        <v>7</v>
      </c>
      <c r="H3184">
        <v>-2</v>
      </c>
      <c r="K3184" t="s">
        <v>9</v>
      </c>
      <c r="L3184" s="8">
        <f t="shared" si="9138"/>
        <v>-1</v>
      </c>
      <c r="M3184" t="s">
        <v>3527</v>
      </c>
    </row>
    <row r="3185" spans="1:13" x14ac:dyDescent="0.35">
      <c r="A3185">
        <f t="shared" si="8454"/>
        <v>3181</v>
      </c>
      <c r="B3185" s="9">
        <f t="shared" ref="B3185" si="9291">B3184+H3185+I3185+J3185</f>
        <v>32.960000000000008</v>
      </c>
      <c r="C3185" s="3" t="s">
        <v>3513</v>
      </c>
      <c r="D3185">
        <f t="shared" ref="D3185" si="9292">_xlfn.NUMBERVALUE(LEFT(C3185,2))</f>
        <v>14</v>
      </c>
      <c r="E3185">
        <f t="shared" ref="E3185" si="9293">_xlfn.NUMBERVALUE(MID(C3185,4,2))</f>
        <v>10</v>
      </c>
      <c r="F3185">
        <f t="shared" ref="F3185" si="9294">_xlfn.NUMBERVALUE(RIGHT(C3185,4))</f>
        <v>2024</v>
      </c>
      <c r="G3185" t="s">
        <v>7</v>
      </c>
      <c r="H3185">
        <v>-2</v>
      </c>
      <c r="K3185" t="s">
        <v>9</v>
      </c>
      <c r="L3185" s="8">
        <f t="shared" si="9138"/>
        <v>-1</v>
      </c>
      <c r="M3185" t="s">
        <v>3528</v>
      </c>
    </row>
    <row r="3186" spans="1:13" x14ac:dyDescent="0.35">
      <c r="A3186">
        <f t="shared" si="8454"/>
        <v>3182</v>
      </c>
      <c r="B3186" s="9">
        <f t="shared" ref="B3186" si="9295">B3185+H3186+I3186+J3186</f>
        <v>34.960000000000008</v>
      </c>
      <c r="C3186" s="3" t="s">
        <v>3513</v>
      </c>
      <c r="D3186">
        <f t="shared" ref="D3186" si="9296">_xlfn.NUMBERVALUE(LEFT(C3186,2))</f>
        <v>14</v>
      </c>
      <c r="E3186">
        <f t="shared" ref="E3186" si="9297">_xlfn.NUMBERVALUE(MID(C3186,4,2))</f>
        <v>10</v>
      </c>
      <c r="F3186">
        <f t="shared" ref="F3186" si="9298">_xlfn.NUMBERVALUE(RIGHT(C3186,4))</f>
        <v>2024</v>
      </c>
      <c r="G3186" t="s">
        <v>7</v>
      </c>
      <c r="H3186">
        <v>-2</v>
      </c>
      <c r="I3186">
        <v>4</v>
      </c>
      <c r="K3186" t="s">
        <v>10</v>
      </c>
      <c r="L3186" s="8">
        <f t="shared" si="9138"/>
        <v>1</v>
      </c>
      <c r="M3186" t="s">
        <v>3529</v>
      </c>
    </row>
    <row r="3187" spans="1:13" x14ac:dyDescent="0.35">
      <c r="A3187">
        <f t="shared" si="8454"/>
        <v>3183</v>
      </c>
      <c r="B3187" s="9">
        <f t="shared" ref="B3187" si="9299">B3186+H3187+I3187+J3187</f>
        <v>32.960000000000008</v>
      </c>
      <c r="C3187" s="3" t="s">
        <v>3513</v>
      </c>
      <c r="D3187">
        <f t="shared" ref="D3187" si="9300">_xlfn.NUMBERVALUE(LEFT(C3187,2))</f>
        <v>14</v>
      </c>
      <c r="E3187">
        <f t="shared" ref="E3187" si="9301">_xlfn.NUMBERVALUE(MID(C3187,4,2))</f>
        <v>10</v>
      </c>
      <c r="F3187">
        <f t="shared" ref="F3187" si="9302">_xlfn.NUMBERVALUE(RIGHT(C3187,4))</f>
        <v>2024</v>
      </c>
      <c r="G3187" t="s">
        <v>7</v>
      </c>
      <c r="H3187">
        <v>-2</v>
      </c>
      <c r="K3187" t="s">
        <v>9</v>
      </c>
      <c r="L3187" s="8">
        <f t="shared" si="9138"/>
        <v>-1</v>
      </c>
      <c r="M3187" t="s">
        <v>3530</v>
      </c>
    </row>
    <row r="3188" spans="1:13" x14ac:dyDescent="0.35">
      <c r="A3188">
        <f t="shared" si="8454"/>
        <v>3184</v>
      </c>
      <c r="B3188" s="9">
        <f t="shared" ref="B3188" si="9303">B3187+H3188+I3188+J3188</f>
        <v>30.960000000000008</v>
      </c>
      <c r="C3188" s="3" t="s">
        <v>3531</v>
      </c>
      <c r="D3188">
        <f t="shared" ref="D3188:D3189" si="9304">_xlfn.NUMBERVALUE(LEFT(C3188,2))</f>
        <v>15</v>
      </c>
      <c r="E3188">
        <f t="shared" ref="E3188:E3189" si="9305">_xlfn.NUMBERVALUE(MID(C3188,4,2))</f>
        <v>10</v>
      </c>
      <c r="F3188">
        <f t="shared" ref="F3188:F3189" si="9306">_xlfn.NUMBERVALUE(RIGHT(C3188,4))</f>
        <v>2024</v>
      </c>
      <c r="G3188" t="s">
        <v>7</v>
      </c>
      <c r="H3188">
        <v>-2</v>
      </c>
      <c r="K3188" t="s">
        <v>9</v>
      </c>
      <c r="L3188" s="8">
        <f t="shared" si="9138"/>
        <v>-1</v>
      </c>
      <c r="M3188" t="s">
        <v>3532</v>
      </c>
    </row>
    <row r="3189" spans="1:13" x14ac:dyDescent="0.35">
      <c r="A3189">
        <f>A3188+1</f>
        <v>3185</v>
      </c>
      <c r="B3189" s="9">
        <f>B3188+H3189+I3189+J3189</f>
        <v>30.960000000000008</v>
      </c>
      <c r="C3189" s="3" t="s">
        <v>3531</v>
      </c>
      <c r="D3189">
        <f t="shared" si="9304"/>
        <v>15</v>
      </c>
      <c r="E3189">
        <f t="shared" si="9305"/>
        <v>10</v>
      </c>
      <c r="F3189">
        <f t="shared" si="9306"/>
        <v>2024</v>
      </c>
      <c r="G3189" t="s">
        <v>3039</v>
      </c>
      <c r="K3189" t="s">
        <v>9</v>
      </c>
      <c r="L3189" s="8">
        <f t="shared" si="9138"/>
        <v>0</v>
      </c>
      <c r="M3189" t="s">
        <v>3533</v>
      </c>
    </row>
    <row r="3190" spans="1:13" x14ac:dyDescent="0.35">
      <c r="A3190">
        <f t="shared" si="8454"/>
        <v>3186</v>
      </c>
      <c r="B3190" s="9">
        <f t="shared" ref="B3190" si="9307">B3189+H3190+I3190+J3190</f>
        <v>28.960000000000008</v>
      </c>
      <c r="C3190" s="3" t="s">
        <v>3531</v>
      </c>
      <c r="D3190">
        <f t="shared" ref="D3190" si="9308">_xlfn.NUMBERVALUE(LEFT(C3190,2))</f>
        <v>15</v>
      </c>
      <c r="E3190">
        <f t="shared" ref="E3190" si="9309">_xlfn.NUMBERVALUE(MID(C3190,4,2))</f>
        <v>10</v>
      </c>
      <c r="F3190">
        <f t="shared" ref="F3190" si="9310">_xlfn.NUMBERVALUE(RIGHT(C3190,4))</f>
        <v>2024</v>
      </c>
      <c r="G3190" t="s">
        <v>7</v>
      </c>
      <c r="H3190">
        <v>-2</v>
      </c>
      <c r="K3190" t="s">
        <v>9</v>
      </c>
      <c r="L3190" s="8">
        <f t="shared" si="9138"/>
        <v>-1</v>
      </c>
      <c r="M3190" t="s">
        <v>3534</v>
      </c>
    </row>
    <row r="3191" spans="1:13" x14ac:dyDescent="0.35">
      <c r="A3191">
        <f t="shared" si="8454"/>
        <v>3187</v>
      </c>
      <c r="B3191" s="9">
        <f t="shared" ref="B3191" si="9311">B3190+H3191+I3191+J3191</f>
        <v>36.960000000000008</v>
      </c>
      <c r="C3191" s="3" t="s">
        <v>3531</v>
      </c>
      <c r="D3191">
        <f t="shared" ref="D3191" si="9312">_xlfn.NUMBERVALUE(LEFT(C3191,2))</f>
        <v>15</v>
      </c>
      <c r="E3191">
        <f t="shared" ref="E3191" si="9313">_xlfn.NUMBERVALUE(MID(C3191,4,2))</f>
        <v>10</v>
      </c>
      <c r="F3191">
        <f t="shared" ref="F3191" si="9314">_xlfn.NUMBERVALUE(RIGHT(C3191,4))</f>
        <v>2024</v>
      </c>
      <c r="G3191" t="s">
        <v>7</v>
      </c>
      <c r="H3191">
        <v>-2</v>
      </c>
      <c r="I3191">
        <v>10</v>
      </c>
      <c r="K3191" t="s">
        <v>10</v>
      </c>
      <c r="L3191" s="8">
        <f t="shared" si="9138"/>
        <v>4</v>
      </c>
      <c r="M3191" t="s">
        <v>3535</v>
      </c>
    </row>
    <row r="3192" spans="1:13" x14ac:dyDescent="0.35">
      <c r="A3192">
        <f t="shared" si="8454"/>
        <v>3188</v>
      </c>
      <c r="B3192" s="9">
        <f t="shared" ref="B3192" si="9315">B3191+H3192+I3192+J3192</f>
        <v>34.960000000000008</v>
      </c>
      <c r="C3192" s="3" t="s">
        <v>3531</v>
      </c>
      <c r="D3192">
        <f t="shared" ref="D3192" si="9316">_xlfn.NUMBERVALUE(LEFT(C3192,2))</f>
        <v>15</v>
      </c>
      <c r="E3192">
        <f t="shared" ref="E3192" si="9317">_xlfn.NUMBERVALUE(MID(C3192,4,2))</f>
        <v>10</v>
      </c>
      <c r="F3192">
        <f t="shared" ref="F3192" si="9318">_xlfn.NUMBERVALUE(RIGHT(C3192,4))</f>
        <v>2024</v>
      </c>
      <c r="G3192" t="s">
        <v>7</v>
      </c>
      <c r="H3192">
        <v>-2</v>
      </c>
      <c r="K3192" t="s">
        <v>9</v>
      </c>
      <c r="L3192" s="8">
        <f t="shared" si="9138"/>
        <v>-1</v>
      </c>
      <c r="M3192" t="s">
        <v>3536</v>
      </c>
    </row>
    <row r="3193" spans="1:13" x14ac:dyDescent="0.35">
      <c r="A3193">
        <f t="shared" si="8454"/>
        <v>3189</v>
      </c>
      <c r="B3193" s="9">
        <f t="shared" ref="B3193" si="9319">B3192+H3193+I3193+J3193</f>
        <v>32.960000000000008</v>
      </c>
      <c r="C3193" s="3" t="s">
        <v>3531</v>
      </c>
      <c r="D3193">
        <f t="shared" ref="D3193" si="9320">_xlfn.NUMBERVALUE(LEFT(C3193,2))</f>
        <v>15</v>
      </c>
      <c r="E3193">
        <f t="shared" ref="E3193" si="9321">_xlfn.NUMBERVALUE(MID(C3193,4,2))</f>
        <v>10</v>
      </c>
      <c r="F3193">
        <f t="shared" ref="F3193" si="9322">_xlfn.NUMBERVALUE(RIGHT(C3193,4))</f>
        <v>2024</v>
      </c>
      <c r="G3193" t="s">
        <v>7</v>
      </c>
      <c r="H3193">
        <v>-2</v>
      </c>
      <c r="K3193" t="s">
        <v>9</v>
      </c>
      <c r="L3193" s="8">
        <f t="shared" si="9138"/>
        <v>-1</v>
      </c>
      <c r="M3193" t="s">
        <v>3537</v>
      </c>
    </row>
    <row r="3194" spans="1:13" x14ac:dyDescent="0.35">
      <c r="A3194">
        <f t="shared" si="8454"/>
        <v>3190</v>
      </c>
      <c r="B3194" s="9">
        <f t="shared" ref="B3194" si="9323">B3193+H3194+I3194+J3194</f>
        <v>34.960000000000008</v>
      </c>
      <c r="C3194" s="3" t="s">
        <v>3531</v>
      </c>
      <c r="D3194">
        <f t="shared" ref="D3194" si="9324">_xlfn.NUMBERVALUE(LEFT(C3194,2))</f>
        <v>15</v>
      </c>
      <c r="E3194">
        <f t="shared" ref="E3194" si="9325">_xlfn.NUMBERVALUE(MID(C3194,4,2))</f>
        <v>10</v>
      </c>
      <c r="F3194">
        <f t="shared" ref="F3194" si="9326">_xlfn.NUMBERVALUE(RIGHT(C3194,4))</f>
        <v>2024</v>
      </c>
      <c r="G3194" t="s">
        <v>7</v>
      </c>
      <c r="H3194">
        <v>-2</v>
      </c>
      <c r="I3194">
        <v>4</v>
      </c>
      <c r="K3194" t="s">
        <v>10</v>
      </c>
      <c r="L3194" s="8">
        <f t="shared" si="9138"/>
        <v>1</v>
      </c>
      <c r="M3194" t="s">
        <v>3538</v>
      </c>
    </row>
    <row r="3195" spans="1:13" x14ac:dyDescent="0.35">
      <c r="A3195">
        <f t="shared" si="8454"/>
        <v>3191</v>
      </c>
      <c r="B3195" s="9">
        <f t="shared" ref="B3195" si="9327">B3194+H3195+I3195+J3195</f>
        <v>32.960000000000008</v>
      </c>
      <c r="C3195" s="3" t="s">
        <v>3531</v>
      </c>
      <c r="D3195">
        <f t="shared" ref="D3195" si="9328">_xlfn.NUMBERVALUE(LEFT(C3195,2))</f>
        <v>15</v>
      </c>
      <c r="E3195">
        <f t="shared" ref="E3195" si="9329">_xlfn.NUMBERVALUE(MID(C3195,4,2))</f>
        <v>10</v>
      </c>
      <c r="F3195">
        <f t="shared" ref="F3195" si="9330">_xlfn.NUMBERVALUE(RIGHT(C3195,4))</f>
        <v>2024</v>
      </c>
      <c r="G3195" t="s">
        <v>7</v>
      </c>
      <c r="H3195">
        <v>-2</v>
      </c>
      <c r="K3195" t="s">
        <v>9</v>
      </c>
      <c r="L3195" s="8">
        <f t="shared" si="9138"/>
        <v>-1</v>
      </c>
      <c r="M3195" t="s">
        <v>3539</v>
      </c>
    </row>
    <row r="3196" spans="1:13" x14ac:dyDescent="0.35">
      <c r="A3196">
        <f t="shared" si="8454"/>
        <v>3192</v>
      </c>
      <c r="B3196" s="9">
        <f t="shared" ref="B3196" si="9331">B3195+H3196+I3196+J3196</f>
        <v>36.960000000000008</v>
      </c>
      <c r="C3196" s="3" t="s">
        <v>3531</v>
      </c>
      <c r="D3196">
        <f t="shared" ref="D3196" si="9332">_xlfn.NUMBERVALUE(LEFT(C3196,2))</f>
        <v>15</v>
      </c>
      <c r="E3196">
        <f t="shared" ref="E3196" si="9333">_xlfn.NUMBERVALUE(MID(C3196,4,2))</f>
        <v>10</v>
      </c>
      <c r="F3196">
        <f t="shared" ref="F3196" si="9334">_xlfn.NUMBERVALUE(RIGHT(C3196,4))</f>
        <v>2024</v>
      </c>
      <c r="G3196" t="s">
        <v>7</v>
      </c>
      <c r="H3196">
        <v>-2</v>
      </c>
      <c r="I3196">
        <v>6</v>
      </c>
      <c r="K3196" t="s">
        <v>10</v>
      </c>
      <c r="L3196" s="8">
        <f t="shared" si="9138"/>
        <v>2</v>
      </c>
      <c r="M3196" t="s">
        <v>3540</v>
      </c>
    </row>
    <row r="3197" spans="1:13" x14ac:dyDescent="0.35">
      <c r="A3197">
        <f t="shared" si="8454"/>
        <v>3193</v>
      </c>
      <c r="B3197" s="9">
        <f t="shared" ref="B3197" si="9335">B3196+H3197+I3197+J3197</f>
        <v>34.960000000000008</v>
      </c>
      <c r="C3197" s="3" t="s">
        <v>3531</v>
      </c>
      <c r="D3197">
        <f t="shared" ref="D3197" si="9336">_xlfn.NUMBERVALUE(LEFT(C3197,2))</f>
        <v>15</v>
      </c>
      <c r="E3197">
        <f t="shared" ref="E3197" si="9337">_xlfn.NUMBERVALUE(MID(C3197,4,2))</f>
        <v>10</v>
      </c>
      <c r="F3197">
        <f t="shared" ref="F3197" si="9338">_xlfn.NUMBERVALUE(RIGHT(C3197,4))</f>
        <v>2024</v>
      </c>
      <c r="G3197" t="s">
        <v>7</v>
      </c>
      <c r="H3197">
        <v>-2</v>
      </c>
      <c r="K3197" t="s">
        <v>9</v>
      </c>
      <c r="L3197" s="8">
        <f t="shared" si="9138"/>
        <v>-1</v>
      </c>
      <c r="M3197" t="s">
        <v>3541</v>
      </c>
    </row>
    <row r="3198" spans="1:13" x14ac:dyDescent="0.35">
      <c r="A3198">
        <f t="shared" si="8454"/>
        <v>3194</v>
      </c>
      <c r="B3198" s="9">
        <f t="shared" ref="B3198" si="9339">B3197+H3198+I3198+J3198</f>
        <v>32.960000000000008</v>
      </c>
      <c r="C3198" s="3" t="s">
        <v>3531</v>
      </c>
      <c r="D3198">
        <f t="shared" ref="D3198" si="9340">_xlfn.NUMBERVALUE(LEFT(C3198,2))</f>
        <v>15</v>
      </c>
      <c r="E3198">
        <f t="shared" ref="E3198" si="9341">_xlfn.NUMBERVALUE(MID(C3198,4,2))</f>
        <v>10</v>
      </c>
      <c r="F3198">
        <f t="shared" ref="F3198" si="9342">_xlfn.NUMBERVALUE(RIGHT(C3198,4))</f>
        <v>2024</v>
      </c>
      <c r="G3198" t="s">
        <v>7</v>
      </c>
      <c r="H3198">
        <v>-2</v>
      </c>
      <c r="K3198" t="s">
        <v>9</v>
      </c>
      <c r="L3198" s="8">
        <f t="shared" si="9138"/>
        <v>-1</v>
      </c>
      <c r="M3198" t="s">
        <v>3542</v>
      </c>
    </row>
    <row r="3199" spans="1:13" x14ac:dyDescent="0.35">
      <c r="A3199">
        <f t="shared" si="8454"/>
        <v>3195</v>
      </c>
      <c r="B3199" s="9">
        <f t="shared" ref="B3199" si="9343">B3198+H3199+I3199+J3199</f>
        <v>34.960000000000008</v>
      </c>
      <c r="C3199" s="3" t="s">
        <v>3531</v>
      </c>
      <c r="D3199">
        <f t="shared" ref="D3199" si="9344">_xlfn.NUMBERVALUE(LEFT(C3199,2))</f>
        <v>15</v>
      </c>
      <c r="E3199">
        <f t="shared" ref="E3199" si="9345">_xlfn.NUMBERVALUE(MID(C3199,4,2))</f>
        <v>10</v>
      </c>
      <c r="F3199">
        <f t="shared" ref="F3199" si="9346">_xlfn.NUMBERVALUE(RIGHT(C3199,4))</f>
        <v>2024</v>
      </c>
      <c r="G3199" t="s">
        <v>7</v>
      </c>
      <c r="H3199">
        <v>-2</v>
      </c>
      <c r="I3199">
        <v>4</v>
      </c>
      <c r="K3199" t="s">
        <v>10</v>
      </c>
      <c r="L3199" s="8">
        <f t="shared" si="9138"/>
        <v>1</v>
      </c>
      <c r="M3199" t="s">
        <v>3543</v>
      </c>
    </row>
    <row r="3200" spans="1:13" x14ac:dyDescent="0.35">
      <c r="A3200">
        <f t="shared" si="8454"/>
        <v>3196</v>
      </c>
      <c r="B3200" s="9">
        <f t="shared" ref="B3200" si="9347">B3199+H3200+I3200+J3200</f>
        <v>32.960000000000008</v>
      </c>
      <c r="C3200" s="3" t="s">
        <v>3531</v>
      </c>
      <c r="D3200">
        <f t="shared" ref="D3200" si="9348">_xlfn.NUMBERVALUE(LEFT(C3200,2))</f>
        <v>15</v>
      </c>
      <c r="E3200">
        <f t="shared" ref="E3200" si="9349">_xlfn.NUMBERVALUE(MID(C3200,4,2))</f>
        <v>10</v>
      </c>
      <c r="F3200">
        <f t="shared" ref="F3200" si="9350">_xlfn.NUMBERVALUE(RIGHT(C3200,4))</f>
        <v>2024</v>
      </c>
      <c r="G3200" t="s">
        <v>7</v>
      </c>
      <c r="H3200">
        <v>-2</v>
      </c>
      <c r="K3200" t="s">
        <v>9</v>
      </c>
      <c r="L3200" s="8">
        <f t="shared" si="9138"/>
        <v>-1</v>
      </c>
      <c r="M3200" t="s">
        <v>3544</v>
      </c>
    </row>
    <row r="3201" spans="1:13" x14ac:dyDescent="0.35">
      <c r="A3201">
        <f t="shared" si="8454"/>
        <v>3197</v>
      </c>
      <c r="B3201" s="9">
        <f t="shared" ref="B3201" si="9351">B3200+H3201+I3201+J3201</f>
        <v>30.960000000000008</v>
      </c>
      <c r="C3201" s="3" t="s">
        <v>3531</v>
      </c>
      <c r="D3201">
        <f t="shared" ref="D3201" si="9352">_xlfn.NUMBERVALUE(LEFT(C3201,2))</f>
        <v>15</v>
      </c>
      <c r="E3201">
        <f t="shared" ref="E3201" si="9353">_xlfn.NUMBERVALUE(MID(C3201,4,2))</f>
        <v>10</v>
      </c>
      <c r="F3201">
        <f t="shared" ref="F3201" si="9354">_xlfn.NUMBERVALUE(RIGHT(C3201,4))</f>
        <v>2024</v>
      </c>
      <c r="G3201" t="s">
        <v>7</v>
      </c>
      <c r="H3201">
        <v>-2</v>
      </c>
      <c r="K3201" t="s">
        <v>9</v>
      </c>
      <c r="L3201" s="8">
        <f t="shared" si="9138"/>
        <v>-1</v>
      </c>
      <c r="M3201" t="s">
        <v>3545</v>
      </c>
    </row>
    <row r="3202" spans="1:13" x14ac:dyDescent="0.35">
      <c r="A3202">
        <f t="shared" si="8454"/>
        <v>3198</v>
      </c>
      <c r="B3202" s="9">
        <f t="shared" ref="B3202" si="9355">B3201+H3202+I3202+J3202</f>
        <v>28.960000000000008</v>
      </c>
      <c r="C3202" s="3" t="s">
        <v>3531</v>
      </c>
      <c r="D3202">
        <f t="shared" ref="D3202" si="9356">_xlfn.NUMBERVALUE(LEFT(C3202,2))</f>
        <v>15</v>
      </c>
      <c r="E3202">
        <f t="shared" ref="E3202" si="9357">_xlfn.NUMBERVALUE(MID(C3202,4,2))</f>
        <v>10</v>
      </c>
      <c r="F3202">
        <f t="shared" ref="F3202" si="9358">_xlfn.NUMBERVALUE(RIGHT(C3202,4))</f>
        <v>2024</v>
      </c>
      <c r="G3202" t="s">
        <v>7</v>
      </c>
      <c r="H3202">
        <v>-2</v>
      </c>
      <c r="K3202" t="s">
        <v>9</v>
      </c>
      <c r="L3202" s="8">
        <f t="shared" si="9138"/>
        <v>-1</v>
      </c>
      <c r="M3202" t="s">
        <v>3546</v>
      </c>
    </row>
    <row r="3203" spans="1:13" x14ac:dyDescent="0.35">
      <c r="A3203">
        <f t="shared" ref="A3203:A3457" si="9359">A3202+1</f>
        <v>3199</v>
      </c>
      <c r="B3203" s="9">
        <f t="shared" ref="B3203" si="9360">B3202+H3203+I3203+J3203</f>
        <v>26.960000000000008</v>
      </c>
      <c r="C3203" s="3" t="s">
        <v>3531</v>
      </c>
      <c r="D3203">
        <f t="shared" ref="D3203" si="9361">_xlfn.NUMBERVALUE(LEFT(C3203,2))</f>
        <v>15</v>
      </c>
      <c r="E3203">
        <f t="shared" ref="E3203" si="9362">_xlfn.NUMBERVALUE(MID(C3203,4,2))</f>
        <v>10</v>
      </c>
      <c r="F3203">
        <f t="shared" ref="F3203" si="9363">_xlfn.NUMBERVALUE(RIGHT(C3203,4))</f>
        <v>2024</v>
      </c>
      <c r="G3203" t="s">
        <v>7</v>
      </c>
      <c r="H3203">
        <v>-2</v>
      </c>
      <c r="K3203" t="s">
        <v>9</v>
      </c>
      <c r="L3203" s="8">
        <f t="shared" si="9138"/>
        <v>-1</v>
      </c>
      <c r="M3203" t="s">
        <v>3547</v>
      </c>
    </row>
    <row r="3204" spans="1:13" x14ac:dyDescent="0.35">
      <c r="A3204">
        <f t="shared" si="9359"/>
        <v>3200</v>
      </c>
      <c r="B3204" s="9">
        <f t="shared" ref="B3204" si="9364">B3203+H3204+I3204+J3204</f>
        <v>24.960000000000008</v>
      </c>
      <c r="C3204" s="3" t="s">
        <v>3531</v>
      </c>
      <c r="D3204">
        <f t="shared" ref="D3204" si="9365">_xlfn.NUMBERVALUE(LEFT(C3204,2))</f>
        <v>15</v>
      </c>
      <c r="E3204">
        <f t="shared" ref="E3204" si="9366">_xlfn.NUMBERVALUE(MID(C3204,4,2))</f>
        <v>10</v>
      </c>
      <c r="F3204">
        <f t="shared" ref="F3204" si="9367">_xlfn.NUMBERVALUE(RIGHT(C3204,4))</f>
        <v>2024</v>
      </c>
      <c r="G3204" t="s">
        <v>7</v>
      </c>
      <c r="H3204">
        <v>-2</v>
      </c>
      <c r="K3204" t="s">
        <v>9</v>
      </c>
      <c r="L3204" s="8">
        <f t="shared" si="9138"/>
        <v>-1</v>
      </c>
      <c r="M3204" t="s">
        <v>3548</v>
      </c>
    </row>
    <row r="3205" spans="1:13" x14ac:dyDescent="0.35">
      <c r="A3205">
        <f t="shared" si="9359"/>
        <v>3201</v>
      </c>
      <c r="B3205" s="9">
        <f t="shared" ref="B3205" si="9368">B3204+H3205+I3205+J3205</f>
        <v>22.960000000000008</v>
      </c>
      <c r="C3205" s="3" t="s">
        <v>3531</v>
      </c>
      <c r="D3205">
        <f t="shared" ref="D3205" si="9369">_xlfn.NUMBERVALUE(LEFT(C3205,2))</f>
        <v>15</v>
      </c>
      <c r="E3205">
        <f t="shared" ref="E3205" si="9370">_xlfn.NUMBERVALUE(MID(C3205,4,2))</f>
        <v>10</v>
      </c>
      <c r="F3205">
        <f t="shared" ref="F3205" si="9371">_xlfn.NUMBERVALUE(RIGHT(C3205,4))</f>
        <v>2024</v>
      </c>
      <c r="G3205" t="s">
        <v>7</v>
      </c>
      <c r="H3205">
        <v>-2</v>
      </c>
      <c r="K3205" t="s">
        <v>9</v>
      </c>
      <c r="L3205" s="8">
        <f t="shared" si="9138"/>
        <v>-1</v>
      </c>
      <c r="M3205" t="s">
        <v>3549</v>
      </c>
    </row>
    <row r="3206" spans="1:13" x14ac:dyDescent="0.35">
      <c r="A3206">
        <f t="shared" si="9359"/>
        <v>3202</v>
      </c>
      <c r="B3206" s="9">
        <f t="shared" ref="B3206" si="9372">B3205+H3206+I3206+J3206</f>
        <v>20.960000000000008</v>
      </c>
      <c r="C3206" s="3" t="s">
        <v>3531</v>
      </c>
      <c r="D3206">
        <f t="shared" ref="D3206" si="9373">_xlfn.NUMBERVALUE(LEFT(C3206,2))</f>
        <v>15</v>
      </c>
      <c r="E3206">
        <f t="shared" ref="E3206" si="9374">_xlfn.NUMBERVALUE(MID(C3206,4,2))</f>
        <v>10</v>
      </c>
      <c r="F3206">
        <f t="shared" ref="F3206" si="9375">_xlfn.NUMBERVALUE(RIGHT(C3206,4))</f>
        <v>2024</v>
      </c>
      <c r="G3206" t="s">
        <v>7</v>
      </c>
      <c r="H3206">
        <v>-2</v>
      </c>
      <c r="K3206" t="s">
        <v>9</v>
      </c>
      <c r="L3206" s="8">
        <f t="shared" ref="L3206:L3285" si="9376">IF(H3206="",0,(SUM(I3206:J3206)/-H3206)-1)</f>
        <v>-1</v>
      </c>
      <c r="M3206" t="s">
        <v>3550</v>
      </c>
    </row>
    <row r="3207" spans="1:13" x14ac:dyDescent="0.35">
      <c r="A3207">
        <f t="shared" si="9359"/>
        <v>3203</v>
      </c>
      <c r="B3207" s="9">
        <f t="shared" ref="B3207" si="9377">B3206+H3207+I3207+J3207</f>
        <v>18.960000000000008</v>
      </c>
      <c r="C3207" s="3" t="s">
        <v>3531</v>
      </c>
      <c r="D3207">
        <f t="shared" ref="D3207" si="9378">_xlfn.NUMBERVALUE(LEFT(C3207,2))</f>
        <v>15</v>
      </c>
      <c r="E3207">
        <f t="shared" ref="E3207" si="9379">_xlfn.NUMBERVALUE(MID(C3207,4,2))</f>
        <v>10</v>
      </c>
      <c r="F3207">
        <f t="shared" ref="F3207" si="9380">_xlfn.NUMBERVALUE(RIGHT(C3207,4))</f>
        <v>2024</v>
      </c>
      <c r="G3207" t="s">
        <v>7</v>
      </c>
      <c r="H3207">
        <v>-2</v>
      </c>
      <c r="K3207" t="s">
        <v>9</v>
      </c>
      <c r="L3207" s="8">
        <f t="shared" si="9376"/>
        <v>-1</v>
      </c>
      <c r="M3207" t="s">
        <v>3551</v>
      </c>
    </row>
    <row r="3208" spans="1:13" x14ac:dyDescent="0.35">
      <c r="A3208">
        <f t="shared" si="9359"/>
        <v>3204</v>
      </c>
      <c r="B3208" s="9">
        <f t="shared" ref="B3208" si="9381">B3207+H3208+I3208+J3208</f>
        <v>22.960000000000008</v>
      </c>
      <c r="C3208" s="3" t="s">
        <v>3531</v>
      </c>
      <c r="D3208">
        <f t="shared" ref="D3208" si="9382">_xlfn.NUMBERVALUE(LEFT(C3208,2))</f>
        <v>15</v>
      </c>
      <c r="E3208">
        <f t="shared" ref="E3208" si="9383">_xlfn.NUMBERVALUE(MID(C3208,4,2))</f>
        <v>10</v>
      </c>
      <c r="F3208">
        <f t="shared" ref="F3208" si="9384">_xlfn.NUMBERVALUE(RIGHT(C3208,4))</f>
        <v>2024</v>
      </c>
      <c r="G3208" t="s">
        <v>7</v>
      </c>
      <c r="H3208">
        <v>-2</v>
      </c>
      <c r="I3208">
        <v>6</v>
      </c>
      <c r="K3208" t="s">
        <v>10</v>
      </c>
      <c r="L3208" s="8">
        <f t="shared" si="9376"/>
        <v>2</v>
      </c>
      <c r="M3208" t="s">
        <v>3552</v>
      </c>
    </row>
    <row r="3209" spans="1:13" x14ac:dyDescent="0.35">
      <c r="A3209">
        <f t="shared" si="9359"/>
        <v>3205</v>
      </c>
      <c r="B3209" s="9">
        <f t="shared" ref="B3209" si="9385">B3208+H3209+I3209+J3209</f>
        <v>20.960000000000008</v>
      </c>
      <c r="C3209" s="3" t="s">
        <v>3531</v>
      </c>
      <c r="D3209">
        <f t="shared" ref="D3209" si="9386">_xlfn.NUMBERVALUE(LEFT(C3209,2))</f>
        <v>15</v>
      </c>
      <c r="E3209">
        <f t="shared" ref="E3209" si="9387">_xlfn.NUMBERVALUE(MID(C3209,4,2))</f>
        <v>10</v>
      </c>
      <c r="F3209">
        <f t="shared" ref="F3209" si="9388">_xlfn.NUMBERVALUE(RIGHT(C3209,4))</f>
        <v>2024</v>
      </c>
      <c r="G3209" t="s">
        <v>7</v>
      </c>
      <c r="H3209">
        <v>-2</v>
      </c>
      <c r="K3209" t="s">
        <v>9</v>
      </c>
      <c r="L3209" s="8">
        <f t="shared" si="9376"/>
        <v>-1</v>
      </c>
      <c r="M3209" t="s">
        <v>3553</v>
      </c>
    </row>
    <row r="3210" spans="1:13" x14ac:dyDescent="0.35">
      <c r="A3210">
        <f t="shared" si="9359"/>
        <v>3206</v>
      </c>
      <c r="B3210" s="9">
        <f t="shared" ref="B3210" si="9389">B3209+H3210+I3210+J3210</f>
        <v>24.960000000000008</v>
      </c>
      <c r="C3210" s="3" t="s">
        <v>3557</v>
      </c>
      <c r="D3210">
        <f t="shared" ref="D3210" si="9390">_xlfn.NUMBERVALUE(LEFT(C3210,2))</f>
        <v>16</v>
      </c>
      <c r="E3210">
        <f t="shared" ref="E3210" si="9391">_xlfn.NUMBERVALUE(MID(C3210,4,2))</f>
        <v>10</v>
      </c>
      <c r="F3210">
        <f t="shared" ref="F3210" si="9392">_xlfn.NUMBERVALUE(RIGHT(C3210,4))</f>
        <v>2024</v>
      </c>
      <c r="G3210" t="s">
        <v>7</v>
      </c>
      <c r="H3210">
        <v>-2</v>
      </c>
      <c r="I3210">
        <v>6</v>
      </c>
      <c r="K3210" t="s">
        <v>10</v>
      </c>
      <c r="L3210" s="8">
        <f t="shared" si="9376"/>
        <v>2</v>
      </c>
      <c r="M3210" t="s">
        <v>3554</v>
      </c>
    </row>
    <row r="3211" spans="1:13" x14ac:dyDescent="0.35">
      <c r="A3211">
        <f t="shared" si="9359"/>
        <v>3207</v>
      </c>
      <c r="B3211" s="9">
        <f t="shared" ref="B3211:B3212" si="9393">B3210+H3211+I3211+J3211</f>
        <v>24.960000000000008</v>
      </c>
      <c r="C3211" s="3" t="s">
        <v>3557</v>
      </c>
      <c r="D3211">
        <f t="shared" ref="D3211:D3212" si="9394">_xlfn.NUMBERVALUE(LEFT(C3211,2))</f>
        <v>16</v>
      </c>
      <c r="E3211">
        <f t="shared" ref="E3211:E3212" si="9395">_xlfn.NUMBERVALUE(MID(C3211,4,2))</f>
        <v>10</v>
      </c>
      <c r="F3211">
        <f t="shared" ref="F3211:F3212" si="9396">_xlfn.NUMBERVALUE(RIGHT(C3211,4))</f>
        <v>2024</v>
      </c>
      <c r="G3211" t="s">
        <v>3039</v>
      </c>
      <c r="K3211" t="s">
        <v>9</v>
      </c>
      <c r="L3211" s="8">
        <f t="shared" si="9376"/>
        <v>0</v>
      </c>
      <c r="M3211" t="s">
        <v>3555</v>
      </c>
    </row>
    <row r="3212" spans="1:13" x14ac:dyDescent="0.35">
      <c r="A3212">
        <f t="shared" si="9359"/>
        <v>3208</v>
      </c>
      <c r="B3212" s="9">
        <f t="shared" si="9393"/>
        <v>22.960000000000008</v>
      </c>
      <c r="C3212" s="3" t="s">
        <v>3557</v>
      </c>
      <c r="D3212">
        <f t="shared" si="9394"/>
        <v>16</v>
      </c>
      <c r="E3212">
        <f t="shared" si="9395"/>
        <v>10</v>
      </c>
      <c r="F3212">
        <f t="shared" si="9396"/>
        <v>2024</v>
      </c>
      <c r="G3212" t="s">
        <v>7</v>
      </c>
      <c r="H3212">
        <v>-2</v>
      </c>
      <c r="K3212" t="s">
        <v>9</v>
      </c>
      <c r="L3212" s="8">
        <f t="shared" si="9376"/>
        <v>-1</v>
      </c>
      <c r="M3212" t="s">
        <v>3556</v>
      </c>
    </row>
    <row r="3213" spans="1:13" x14ac:dyDescent="0.35">
      <c r="A3213">
        <f t="shared" si="9359"/>
        <v>3209</v>
      </c>
      <c r="B3213" s="9">
        <f t="shared" ref="B3213" si="9397">B3212+H3213+I3213+J3213</f>
        <v>20.960000000000008</v>
      </c>
      <c r="C3213" s="3" t="s">
        <v>3557</v>
      </c>
      <c r="D3213">
        <f t="shared" ref="D3213" si="9398">_xlfn.NUMBERVALUE(LEFT(C3213,2))</f>
        <v>16</v>
      </c>
      <c r="E3213">
        <f t="shared" ref="E3213" si="9399">_xlfn.NUMBERVALUE(MID(C3213,4,2))</f>
        <v>10</v>
      </c>
      <c r="F3213">
        <f t="shared" ref="F3213" si="9400">_xlfn.NUMBERVALUE(RIGHT(C3213,4))</f>
        <v>2024</v>
      </c>
      <c r="G3213" t="s">
        <v>7</v>
      </c>
      <c r="H3213">
        <v>-2</v>
      </c>
      <c r="K3213" t="s">
        <v>9</v>
      </c>
      <c r="L3213" s="8">
        <f t="shared" si="9376"/>
        <v>-1</v>
      </c>
      <c r="M3213" t="s">
        <v>3558</v>
      </c>
    </row>
    <row r="3214" spans="1:13" x14ac:dyDescent="0.35">
      <c r="A3214">
        <f t="shared" si="9359"/>
        <v>3210</v>
      </c>
      <c r="B3214" s="9">
        <f t="shared" ref="B3214:B3215" si="9401">B3213+H3214+I3214+J3214</f>
        <v>24.960000000000008</v>
      </c>
      <c r="C3214" s="3" t="s">
        <v>3559</v>
      </c>
      <c r="D3214">
        <f t="shared" ref="D3214:D3215" si="9402">_xlfn.NUMBERVALUE(LEFT(C3214,2))</f>
        <v>18</v>
      </c>
      <c r="E3214">
        <f t="shared" ref="E3214:E3215" si="9403">_xlfn.NUMBERVALUE(MID(C3214,4,2))</f>
        <v>10</v>
      </c>
      <c r="F3214">
        <f t="shared" ref="F3214:F3215" si="9404">_xlfn.NUMBERVALUE(RIGHT(C3214,4))</f>
        <v>2024</v>
      </c>
      <c r="G3214" t="s">
        <v>7</v>
      </c>
      <c r="H3214">
        <v>-2</v>
      </c>
      <c r="I3214">
        <v>6</v>
      </c>
      <c r="K3214" t="s">
        <v>10</v>
      </c>
      <c r="L3214" s="8">
        <f t="shared" si="9376"/>
        <v>2</v>
      </c>
      <c r="M3214" t="s">
        <v>3560</v>
      </c>
    </row>
    <row r="3215" spans="1:13" x14ac:dyDescent="0.35">
      <c r="A3215">
        <f t="shared" si="9359"/>
        <v>3211</v>
      </c>
      <c r="B3215" s="9">
        <f t="shared" si="9401"/>
        <v>24.960000000000008</v>
      </c>
      <c r="C3215" s="3" t="s">
        <v>3559</v>
      </c>
      <c r="D3215">
        <f t="shared" si="9402"/>
        <v>18</v>
      </c>
      <c r="E3215">
        <f t="shared" si="9403"/>
        <v>10</v>
      </c>
      <c r="F3215">
        <f t="shared" si="9404"/>
        <v>2024</v>
      </c>
      <c r="G3215" t="s">
        <v>3039</v>
      </c>
      <c r="K3215" t="s">
        <v>9</v>
      </c>
      <c r="L3215" s="8">
        <f t="shared" si="9376"/>
        <v>0</v>
      </c>
      <c r="M3215" t="s">
        <v>3561</v>
      </c>
    </row>
    <row r="3216" spans="1:13" x14ac:dyDescent="0.35">
      <c r="A3216">
        <f t="shared" si="9359"/>
        <v>3212</v>
      </c>
      <c r="B3216" s="9">
        <f t="shared" ref="B3216" si="9405">B3215+H3216+I3216+J3216</f>
        <v>22.960000000000008</v>
      </c>
      <c r="C3216" s="3" t="s">
        <v>3559</v>
      </c>
      <c r="D3216">
        <f t="shared" ref="D3216" si="9406">_xlfn.NUMBERVALUE(LEFT(C3216,2))</f>
        <v>18</v>
      </c>
      <c r="E3216">
        <f t="shared" ref="E3216" si="9407">_xlfn.NUMBERVALUE(MID(C3216,4,2))</f>
        <v>10</v>
      </c>
      <c r="F3216">
        <f t="shared" ref="F3216" si="9408">_xlfn.NUMBERVALUE(RIGHT(C3216,4))</f>
        <v>2024</v>
      </c>
      <c r="G3216" t="s">
        <v>7</v>
      </c>
      <c r="H3216">
        <v>-2</v>
      </c>
      <c r="K3216" t="s">
        <v>9</v>
      </c>
      <c r="L3216" s="8">
        <f t="shared" si="9376"/>
        <v>-1</v>
      </c>
      <c r="M3216" t="s">
        <v>3562</v>
      </c>
    </row>
    <row r="3217" spans="1:13" x14ac:dyDescent="0.35">
      <c r="A3217">
        <f t="shared" si="9359"/>
        <v>3213</v>
      </c>
      <c r="B3217" s="9">
        <f t="shared" ref="B3217" si="9409">B3216+H3217+I3217+J3217</f>
        <v>20.960000000000008</v>
      </c>
      <c r="C3217" s="3" t="s">
        <v>3559</v>
      </c>
      <c r="D3217">
        <f t="shared" ref="D3217" si="9410">_xlfn.NUMBERVALUE(LEFT(C3217,2))</f>
        <v>18</v>
      </c>
      <c r="E3217">
        <f t="shared" ref="E3217" si="9411">_xlfn.NUMBERVALUE(MID(C3217,4,2))</f>
        <v>10</v>
      </c>
      <c r="F3217">
        <f t="shared" ref="F3217" si="9412">_xlfn.NUMBERVALUE(RIGHT(C3217,4))</f>
        <v>2024</v>
      </c>
      <c r="G3217" t="s">
        <v>7</v>
      </c>
      <c r="H3217">
        <v>-2</v>
      </c>
      <c r="K3217" t="s">
        <v>9</v>
      </c>
      <c r="L3217" s="8">
        <f t="shared" si="9376"/>
        <v>-1</v>
      </c>
      <c r="M3217" t="s">
        <v>3563</v>
      </c>
    </row>
    <row r="3218" spans="1:13" x14ac:dyDescent="0.35">
      <c r="A3218">
        <f t="shared" si="9359"/>
        <v>3214</v>
      </c>
      <c r="B3218" s="9">
        <f t="shared" ref="B3218" si="9413">B3217+H3218+I3218+J3218</f>
        <v>22.960000000000008</v>
      </c>
      <c r="C3218" s="3" t="s">
        <v>3559</v>
      </c>
      <c r="D3218">
        <f t="shared" ref="D3218" si="9414">_xlfn.NUMBERVALUE(LEFT(C3218,2))</f>
        <v>18</v>
      </c>
      <c r="E3218">
        <f t="shared" ref="E3218" si="9415">_xlfn.NUMBERVALUE(MID(C3218,4,2))</f>
        <v>10</v>
      </c>
      <c r="F3218">
        <f t="shared" ref="F3218" si="9416">_xlfn.NUMBERVALUE(RIGHT(C3218,4))</f>
        <v>2024</v>
      </c>
      <c r="G3218" t="s">
        <v>7</v>
      </c>
      <c r="H3218">
        <v>-2</v>
      </c>
      <c r="I3218">
        <v>4</v>
      </c>
      <c r="K3218" t="s">
        <v>10</v>
      </c>
      <c r="L3218" s="8">
        <f t="shared" si="9376"/>
        <v>1</v>
      </c>
      <c r="M3218" t="s">
        <v>3564</v>
      </c>
    </row>
    <row r="3219" spans="1:13" x14ac:dyDescent="0.35">
      <c r="A3219">
        <f t="shared" si="9359"/>
        <v>3215</v>
      </c>
      <c r="B3219" s="9">
        <f t="shared" ref="B3219" si="9417">B3218+H3219+I3219+J3219</f>
        <v>24.960000000000008</v>
      </c>
      <c r="C3219" s="3" t="s">
        <v>3559</v>
      </c>
      <c r="D3219">
        <f t="shared" ref="D3219" si="9418">_xlfn.NUMBERVALUE(LEFT(C3219,2))</f>
        <v>18</v>
      </c>
      <c r="E3219">
        <f t="shared" ref="E3219" si="9419">_xlfn.NUMBERVALUE(MID(C3219,4,2))</f>
        <v>10</v>
      </c>
      <c r="F3219">
        <f t="shared" ref="F3219" si="9420">_xlfn.NUMBERVALUE(RIGHT(C3219,4))</f>
        <v>2024</v>
      </c>
      <c r="G3219" t="s">
        <v>7</v>
      </c>
      <c r="H3219">
        <v>-2</v>
      </c>
      <c r="I3219">
        <v>4</v>
      </c>
      <c r="K3219" t="s">
        <v>10</v>
      </c>
      <c r="L3219" s="8">
        <f t="shared" si="9376"/>
        <v>1</v>
      </c>
      <c r="M3219" t="s">
        <v>3565</v>
      </c>
    </row>
    <row r="3220" spans="1:13" x14ac:dyDescent="0.35">
      <c r="A3220">
        <f t="shared" si="9359"/>
        <v>3216</v>
      </c>
      <c r="B3220" s="9">
        <f t="shared" ref="B3220" si="9421">B3219+H3220+I3220+J3220</f>
        <v>22.960000000000008</v>
      </c>
      <c r="C3220" s="3" t="s">
        <v>3559</v>
      </c>
      <c r="D3220">
        <f t="shared" ref="D3220" si="9422">_xlfn.NUMBERVALUE(LEFT(C3220,2))</f>
        <v>18</v>
      </c>
      <c r="E3220">
        <f t="shared" ref="E3220" si="9423">_xlfn.NUMBERVALUE(MID(C3220,4,2))</f>
        <v>10</v>
      </c>
      <c r="F3220">
        <f t="shared" ref="F3220" si="9424">_xlfn.NUMBERVALUE(RIGHT(C3220,4))</f>
        <v>2024</v>
      </c>
      <c r="G3220" t="s">
        <v>7</v>
      </c>
      <c r="H3220">
        <v>-2</v>
      </c>
      <c r="K3220" t="s">
        <v>9</v>
      </c>
      <c r="L3220" s="8">
        <f t="shared" si="9376"/>
        <v>-1</v>
      </c>
      <c r="M3220" t="s">
        <v>3566</v>
      </c>
    </row>
    <row r="3221" spans="1:13" x14ac:dyDescent="0.35">
      <c r="A3221">
        <f t="shared" si="9359"/>
        <v>3217</v>
      </c>
      <c r="B3221" s="9">
        <f t="shared" ref="B3221" si="9425">B3220+H3221+I3221+J3221</f>
        <v>26.960000000000008</v>
      </c>
      <c r="C3221" s="3" t="s">
        <v>3559</v>
      </c>
      <c r="D3221">
        <f t="shared" ref="D3221" si="9426">_xlfn.NUMBERVALUE(LEFT(C3221,2))</f>
        <v>18</v>
      </c>
      <c r="E3221">
        <f t="shared" ref="E3221" si="9427">_xlfn.NUMBERVALUE(MID(C3221,4,2))</f>
        <v>10</v>
      </c>
      <c r="F3221">
        <f t="shared" ref="F3221" si="9428">_xlfn.NUMBERVALUE(RIGHT(C3221,4))</f>
        <v>2024</v>
      </c>
      <c r="G3221" t="s">
        <v>7</v>
      </c>
      <c r="H3221">
        <v>-2</v>
      </c>
      <c r="I3221">
        <v>6</v>
      </c>
      <c r="K3221" t="s">
        <v>10</v>
      </c>
      <c r="L3221" s="8">
        <f t="shared" si="9376"/>
        <v>2</v>
      </c>
      <c r="M3221" t="s">
        <v>3567</v>
      </c>
    </row>
    <row r="3222" spans="1:13" x14ac:dyDescent="0.35">
      <c r="A3222">
        <f t="shared" si="9359"/>
        <v>3218</v>
      </c>
      <c r="B3222" s="9">
        <f t="shared" ref="B3222" si="9429">B3221+H3222+I3222+J3222</f>
        <v>30.960000000000008</v>
      </c>
      <c r="C3222" s="3" t="s">
        <v>3559</v>
      </c>
      <c r="D3222">
        <f t="shared" ref="D3222" si="9430">_xlfn.NUMBERVALUE(LEFT(C3222,2))</f>
        <v>18</v>
      </c>
      <c r="E3222">
        <f t="shared" ref="E3222" si="9431">_xlfn.NUMBERVALUE(MID(C3222,4,2))</f>
        <v>10</v>
      </c>
      <c r="F3222">
        <f t="shared" ref="F3222" si="9432">_xlfn.NUMBERVALUE(RIGHT(C3222,4))</f>
        <v>2024</v>
      </c>
      <c r="G3222" t="s">
        <v>7</v>
      </c>
      <c r="H3222">
        <v>-2</v>
      </c>
      <c r="I3222">
        <v>6</v>
      </c>
      <c r="K3222" t="s">
        <v>10</v>
      </c>
      <c r="L3222" s="8">
        <f t="shared" si="9376"/>
        <v>2</v>
      </c>
      <c r="M3222" t="s">
        <v>3568</v>
      </c>
    </row>
    <row r="3223" spans="1:13" x14ac:dyDescent="0.35">
      <c r="A3223">
        <f t="shared" si="9359"/>
        <v>3219</v>
      </c>
      <c r="B3223" s="9">
        <f t="shared" ref="B3223:B3224" si="9433">B3222+H3223+I3223+J3223</f>
        <v>36.960000000000008</v>
      </c>
      <c r="C3223" s="3" t="s">
        <v>3559</v>
      </c>
      <c r="D3223">
        <f t="shared" ref="D3223:D3224" si="9434">_xlfn.NUMBERVALUE(LEFT(C3223,2))</f>
        <v>18</v>
      </c>
      <c r="E3223">
        <f t="shared" ref="E3223:E3224" si="9435">_xlfn.NUMBERVALUE(MID(C3223,4,2))</f>
        <v>10</v>
      </c>
      <c r="F3223">
        <f t="shared" ref="F3223:F3224" si="9436">_xlfn.NUMBERVALUE(RIGHT(C3223,4))</f>
        <v>2024</v>
      </c>
      <c r="G3223" t="s">
        <v>7</v>
      </c>
      <c r="H3223">
        <v>-2</v>
      </c>
      <c r="I3223">
        <v>8</v>
      </c>
      <c r="K3223" t="s">
        <v>10</v>
      </c>
      <c r="L3223" s="8">
        <f t="shared" si="9376"/>
        <v>3</v>
      </c>
      <c r="M3223" t="s">
        <v>3569</v>
      </c>
    </row>
    <row r="3224" spans="1:13" x14ac:dyDescent="0.35">
      <c r="A3224">
        <f t="shared" si="9359"/>
        <v>3220</v>
      </c>
      <c r="B3224" s="9">
        <f t="shared" si="9433"/>
        <v>34.960000000000008</v>
      </c>
      <c r="C3224" s="3" t="s">
        <v>3559</v>
      </c>
      <c r="D3224">
        <f t="shared" si="9434"/>
        <v>18</v>
      </c>
      <c r="E3224">
        <f t="shared" si="9435"/>
        <v>10</v>
      </c>
      <c r="F3224">
        <f t="shared" si="9436"/>
        <v>2024</v>
      </c>
      <c r="G3224" t="s">
        <v>7</v>
      </c>
      <c r="H3224">
        <v>-2</v>
      </c>
      <c r="K3224" t="s">
        <v>9</v>
      </c>
      <c r="L3224" s="8">
        <f t="shared" si="9376"/>
        <v>-1</v>
      </c>
      <c r="M3224" t="s">
        <v>3570</v>
      </c>
    </row>
    <row r="3225" spans="1:13" x14ac:dyDescent="0.35">
      <c r="A3225">
        <f t="shared" si="9359"/>
        <v>3221</v>
      </c>
      <c r="B3225" s="9">
        <f t="shared" ref="B3225" si="9437">B3224+H3225+I3225+J3225</f>
        <v>32.960000000000008</v>
      </c>
      <c r="C3225" s="3" t="s">
        <v>3559</v>
      </c>
      <c r="D3225">
        <f t="shared" ref="D3225" si="9438">_xlfn.NUMBERVALUE(LEFT(C3225,2))</f>
        <v>18</v>
      </c>
      <c r="E3225">
        <f t="shared" ref="E3225" si="9439">_xlfn.NUMBERVALUE(MID(C3225,4,2))</f>
        <v>10</v>
      </c>
      <c r="F3225">
        <f t="shared" ref="F3225" si="9440">_xlfn.NUMBERVALUE(RIGHT(C3225,4))</f>
        <v>2024</v>
      </c>
      <c r="G3225" t="s">
        <v>7</v>
      </c>
      <c r="H3225">
        <v>-2</v>
      </c>
      <c r="K3225" t="s">
        <v>9</v>
      </c>
      <c r="L3225" s="8">
        <f t="shared" si="9376"/>
        <v>-1</v>
      </c>
      <c r="M3225" t="s">
        <v>3571</v>
      </c>
    </row>
    <row r="3226" spans="1:13" x14ac:dyDescent="0.35">
      <c r="A3226">
        <f t="shared" si="9359"/>
        <v>3222</v>
      </c>
      <c r="B3226" s="9">
        <f t="shared" ref="B3226" si="9441">B3225+H3226+I3226+J3226</f>
        <v>30.960000000000008</v>
      </c>
      <c r="C3226" s="3" t="s">
        <v>3559</v>
      </c>
      <c r="D3226">
        <f t="shared" ref="D3226" si="9442">_xlfn.NUMBERVALUE(LEFT(C3226,2))</f>
        <v>18</v>
      </c>
      <c r="E3226">
        <f t="shared" ref="E3226" si="9443">_xlfn.NUMBERVALUE(MID(C3226,4,2))</f>
        <v>10</v>
      </c>
      <c r="F3226">
        <f t="shared" ref="F3226" si="9444">_xlfn.NUMBERVALUE(RIGHT(C3226,4))</f>
        <v>2024</v>
      </c>
      <c r="G3226" t="s">
        <v>7</v>
      </c>
      <c r="H3226">
        <v>-2</v>
      </c>
      <c r="K3226" t="s">
        <v>9</v>
      </c>
      <c r="L3226" s="8">
        <f t="shared" si="9376"/>
        <v>-1</v>
      </c>
      <c r="M3226" t="s">
        <v>3572</v>
      </c>
    </row>
    <row r="3227" spans="1:13" x14ac:dyDescent="0.35">
      <c r="A3227">
        <f t="shared" si="9359"/>
        <v>3223</v>
      </c>
      <c r="B3227" s="9">
        <f t="shared" ref="B3227" si="9445">B3226+H3227+I3227+J3227</f>
        <v>36.960000000000008</v>
      </c>
      <c r="C3227" s="3" t="s">
        <v>3559</v>
      </c>
      <c r="D3227">
        <f t="shared" ref="D3227" si="9446">_xlfn.NUMBERVALUE(LEFT(C3227,2))</f>
        <v>18</v>
      </c>
      <c r="E3227">
        <f t="shared" ref="E3227" si="9447">_xlfn.NUMBERVALUE(MID(C3227,4,2))</f>
        <v>10</v>
      </c>
      <c r="F3227">
        <f t="shared" ref="F3227" si="9448">_xlfn.NUMBERVALUE(RIGHT(C3227,4))</f>
        <v>2024</v>
      </c>
      <c r="G3227" t="s">
        <v>7</v>
      </c>
      <c r="H3227">
        <v>-2</v>
      </c>
      <c r="I3227">
        <v>8</v>
      </c>
      <c r="K3227" t="s">
        <v>10</v>
      </c>
      <c r="L3227" s="8">
        <f t="shared" si="9376"/>
        <v>3</v>
      </c>
      <c r="M3227" t="s">
        <v>3573</v>
      </c>
    </row>
    <row r="3228" spans="1:13" x14ac:dyDescent="0.35">
      <c r="A3228">
        <f t="shared" si="9359"/>
        <v>3224</v>
      </c>
      <c r="B3228" s="9">
        <f t="shared" ref="B3228" si="9449">B3227+H3228+I3228+J3228</f>
        <v>34.960000000000008</v>
      </c>
      <c r="C3228" s="3" t="s">
        <v>3559</v>
      </c>
      <c r="D3228">
        <f t="shared" ref="D3228" si="9450">_xlfn.NUMBERVALUE(LEFT(C3228,2))</f>
        <v>18</v>
      </c>
      <c r="E3228">
        <f t="shared" ref="E3228" si="9451">_xlfn.NUMBERVALUE(MID(C3228,4,2))</f>
        <v>10</v>
      </c>
      <c r="F3228">
        <f t="shared" ref="F3228" si="9452">_xlfn.NUMBERVALUE(RIGHT(C3228,4))</f>
        <v>2024</v>
      </c>
      <c r="G3228" t="s">
        <v>7</v>
      </c>
      <c r="H3228">
        <v>-2</v>
      </c>
      <c r="K3228" t="s">
        <v>9</v>
      </c>
      <c r="L3228" s="8">
        <f t="shared" si="9376"/>
        <v>-1</v>
      </c>
      <c r="M3228" t="s">
        <v>3574</v>
      </c>
    </row>
    <row r="3229" spans="1:13" x14ac:dyDescent="0.35">
      <c r="A3229">
        <f t="shared" si="9359"/>
        <v>3225</v>
      </c>
      <c r="B3229" s="9">
        <f t="shared" ref="B3229" si="9453">B3228+H3229+I3229+J3229</f>
        <v>38.960000000000008</v>
      </c>
      <c r="C3229" s="3" t="s">
        <v>3559</v>
      </c>
      <c r="D3229">
        <f t="shared" ref="D3229" si="9454">_xlfn.NUMBERVALUE(LEFT(C3229,2))</f>
        <v>18</v>
      </c>
      <c r="E3229">
        <f t="shared" ref="E3229" si="9455">_xlfn.NUMBERVALUE(MID(C3229,4,2))</f>
        <v>10</v>
      </c>
      <c r="F3229">
        <f t="shared" ref="F3229" si="9456">_xlfn.NUMBERVALUE(RIGHT(C3229,4))</f>
        <v>2024</v>
      </c>
      <c r="G3229" t="s">
        <v>7</v>
      </c>
      <c r="H3229">
        <v>-2</v>
      </c>
      <c r="I3229">
        <v>6</v>
      </c>
      <c r="K3229" t="s">
        <v>10</v>
      </c>
      <c r="L3229" s="8">
        <f t="shared" si="9376"/>
        <v>2</v>
      </c>
      <c r="M3229" t="s">
        <v>3575</v>
      </c>
    </row>
    <row r="3230" spans="1:13" x14ac:dyDescent="0.35">
      <c r="A3230">
        <f t="shared" si="9359"/>
        <v>3226</v>
      </c>
      <c r="B3230" s="9">
        <f t="shared" ref="B3230" si="9457">B3229+H3230+I3230+J3230</f>
        <v>36.960000000000008</v>
      </c>
      <c r="C3230" s="3" t="s">
        <v>3559</v>
      </c>
      <c r="D3230">
        <f t="shared" ref="D3230" si="9458">_xlfn.NUMBERVALUE(LEFT(C3230,2))</f>
        <v>18</v>
      </c>
      <c r="E3230">
        <f t="shared" ref="E3230" si="9459">_xlfn.NUMBERVALUE(MID(C3230,4,2))</f>
        <v>10</v>
      </c>
      <c r="F3230">
        <f t="shared" ref="F3230" si="9460">_xlfn.NUMBERVALUE(RIGHT(C3230,4))</f>
        <v>2024</v>
      </c>
      <c r="G3230" t="s">
        <v>7</v>
      </c>
      <c r="H3230">
        <v>-2</v>
      </c>
      <c r="K3230" t="s">
        <v>9</v>
      </c>
      <c r="L3230" s="8">
        <f t="shared" si="9376"/>
        <v>-1</v>
      </c>
      <c r="M3230" t="s">
        <v>3576</v>
      </c>
    </row>
    <row r="3231" spans="1:13" x14ac:dyDescent="0.35">
      <c r="A3231">
        <f t="shared" si="9359"/>
        <v>3227</v>
      </c>
      <c r="B3231" s="9">
        <f t="shared" ref="B3231:B3232" si="9461">B3230+H3231+I3231+J3231</f>
        <v>34.960000000000008</v>
      </c>
      <c r="C3231" s="3" t="s">
        <v>3578</v>
      </c>
      <c r="D3231">
        <f t="shared" ref="D3231:D3232" si="9462">_xlfn.NUMBERVALUE(LEFT(C3231,2))</f>
        <v>19</v>
      </c>
      <c r="E3231">
        <f t="shared" ref="E3231:E3232" si="9463">_xlfn.NUMBERVALUE(MID(C3231,4,2))</f>
        <v>10</v>
      </c>
      <c r="F3231">
        <f t="shared" ref="F3231:F3232" si="9464">_xlfn.NUMBERVALUE(RIGHT(C3231,4))</f>
        <v>2024</v>
      </c>
      <c r="G3231" t="s">
        <v>7</v>
      </c>
      <c r="H3231">
        <v>-2</v>
      </c>
      <c r="K3231" t="s">
        <v>9</v>
      </c>
      <c r="L3231" s="8">
        <f t="shared" si="9376"/>
        <v>-1</v>
      </c>
      <c r="M3231" t="s">
        <v>3577</v>
      </c>
    </row>
    <row r="3232" spans="1:13" x14ac:dyDescent="0.35">
      <c r="A3232">
        <f t="shared" si="9359"/>
        <v>3228</v>
      </c>
      <c r="B3232" s="9">
        <f t="shared" si="9461"/>
        <v>34.960000000000008</v>
      </c>
      <c r="C3232" s="3" t="s">
        <v>3578</v>
      </c>
      <c r="D3232">
        <f t="shared" si="9462"/>
        <v>19</v>
      </c>
      <c r="E3232">
        <f t="shared" si="9463"/>
        <v>10</v>
      </c>
      <c r="F3232">
        <f t="shared" si="9464"/>
        <v>2024</v>
      </c>
      <c r="G3232" t="s">
        <v>3039</v>
      </c>
      <c r="K3232" t="s">
        <v>10</v>
      </c>
      <c r="L3232" s="8">
        <f t="shared" si="9376"/>
        <v>0</v>
      </c>
      <c r="M3232" t="s">
        <v>3579</v>
      </c>
    </row>
    <row r="3233" spans="1:13" x14ac:dyDescent="0.35">
      <c r="A3233">
        <f t="shared" si="9359"/>
        <v>3229</v>
      </c>
      <c r="B3233" s="9">
        <f t="shared" ref="B3233:B3234" si="9465">B3232+H3233+I3233+J3233</f>
        <v>32.960000000000008</v>
      </c>
      <c r="C3233" s="3" t="s">
        <v>3578</v>
      </c>
      <c r="D3233">
        <f t="shared" ref="D3233:D3234" si="9466">_xlfn.NUMBERVALUE(LEFT(C3233,2))</f>
        <v>19</v>
      </c>
      <c r="E3233">
        <f t="shared" ref="E3233:E3234" si="9467">_xlfn.NUMBERVALUE(MID(C3233,4,2))</f>
        <v>10</v>
      </c>
      <c r="F3233">
        <f t="shared" ref="F3233:F3234" si="9468">_xlfn.NUMBERVALUE(RIGHT(C3233,4))</f>
        <v>2024</v>
      </c>
      <c r="G3233" t="s">
        <v>7</v>
      </c>
      <c r="H3233">
        <v>-2</v>
      </c>
      <c r="K3233" t="s">
        <v>9</v>
      </c>
      <c r="L3233" s="8">
        <f t="shared" si="9376"/>
        <v>-1</v>
      </c>
      <c r="M3233" t="s">
        <v>3580</v>
      </c>
    </row>
    <row r="3234" spans="1:13" x14ac:dyDescent="0.35">
      <c r="A3234">
        <f t="shared" si="9359"/>
        <v>3230</v>
      </c>
      <c r="B3234" s="9">
        <f t="shared" si="9465"/>
        <v>32.960000000000008</v>
      </c>
      <c r="C3234" s="3" t="s">
        <v>3578</v>
      </c>
      <c r="D3234">
        <f t="shared" si="9466"/>
        <v>19</v>
      </c>
      <c r="E3234">
        <f t="shared" si="9467"/>
        <v>10</v>
      </c>
      <c r="F3234">
        <f t="shared" si="9468"/>
        <v>2024</v>
      </c>
      <c r="G3234" t="s">
        <v>2969</v>
      </c>
      <c r="K3234" t="s">
        <v>10</v>
      </c>
      <c r="L3234" s="8">
        <f t="shared" si="9376"/>
        <v>0</v>
      </c>
      <c r="M3234" t="s">
        <v>3581</v>
      </c>
    </row>
    <row r="3235" spans="1:13" x14ac:dyDescent="0.35">
      <c r="A3235">
        <f t="shared" si="9359"/>
        <v>3231</v>
      </c>
      <c r="B3235" s="9">
        <f t="shared" ref="B3235:B3236" si="9469">B3234+H3235+I3235+J3235</f>
        <v>32.960000000000008</v>
      </c>
      <c r="C3235" s="3" t="s">
        <v>3578</v>
      </c>
      <c r="D3235">
        <f t="shared" ref="D3235:D3236" si="9470">_xlfn.NUMBERVALUE(LEFT(C3235,2))</f>
        <v>19</v>
      </c>
      <c r="E3235">
        <f t="shared" ref="E3235:E3236" si="9471">_xlfn.NUMBERVALUE(MID(C3235,4,2))</f>
        <v>10</v>
      </c>
      <c r="F3235">
        <f t="shared" ref="F3235:F3236" si="9472">_xlfn.NUMBERVALUE(RIGHT(C3235,4))</f>
        <v>2024</v>
      </c>
      <c r="G3235" t="s">
        <v>2969</v>
      </c>
      <c r="K3235" t="s">
        <v>9</v>
      </c>
      <c r="L3235" s="8">
        <f t="shared" si="9376"/>
        <v>0</v>
      </c>
      <c r="M3235" t="s">
        <v>3582</v>
      </c>
    </row>
    <row r="3236" spans="1:13" x14ac:dyDescent="0.35">
      <c r="A3236">
        <f t="shared" si="9359"/>
        <v>3232</v>
      </c>
      <c r="B3236" s="9">
        <f t="shared" si="9469"/>
        <v>30.960000000000008</v>
      </c>
      <c r="C3236" s="3" t="s">
        <v>3578</v>
      </c>
      <c r="D3236">
        <f t="shared" si="9470"/>
        <v>19</v>
      </c>
      <c r="E3236">
        <f t="shared" si="9471"/>
        <v>10</v>
      </c>
      <c r="F3236">
        <f t="shared" si="9472"/>
        <v>2024</v>
      </c>
      <c r="G3236" t="s">
        <v>7</v>
      </c>
      <c r="H3236">
        <v>-2</v>
      </c>
      <c r="K3236" t="s">
        <v>9</v>
      </c>
      <c r="L3236" s="8">
        <f t="shared" si="9376"/>
        <v>-1</v>
      </c>
      <c r="M3236" t="s">
        <v>3583</v>
      </c>
    </row>
    <row r="3237" spans="1:13" x14ac:dyDescent="0.35">
      <c r="A3237">
        <f t="shared" si="9359"/>
        <v>3233</v>
      </c>
      <c r="B3237" s="9">
        <f t="shared" ref="B3237" si="9473">B3236+H3237+I3237+J3237</f>
        <v>32.960000000000008</v>
      </c>
      <c r="C3237" s="3" t="s">
        <v>3578</v>
      </c>
      <c r="D3237">
        <f t="shared" ref="D3237" si="9474">_xlfn.NUMBERVALUE(LEFT(C3237,2))</f>
        <v>19</v>
      </c>
      <c r="E3237">
        <f t="shared" ref="E3237" si="9475">_xlfn.NUMBERVALUE(MID(C3237,4,2))</f>
        <v>10</v>
      </c>
      <c r="F3237">
        <f t="shared" ref="F3237" si="9476">_xlfn.NUMBERVALUE(RIGHT(C3237,4))</f>
        <v>2024</v>
      </c>
      <c r="G3237" t="s">
        <v>7</v>
      </c>
      <c r="H3237">
        <v>-2</v>
      </c>
      <c r="I3237">
        <v>4</v>
      </c>
      <c r="K3237" t="s">
        <v>10</v>
      </c>
      <c r="L3237" s="8">
        <f t="shared" si="9376"/>
        <v>1</v>
      </c>
      <c r="M3237" t="s">
        <v>3584</v>
      </c>
    </row>
    <row r="3238" spans="1:13" x14ac:dyDescent="0.35">
      <c r="A3238">
        <f t="shared" si="9359"/>
        <v>3234</v>
      </c>
      <c r="B3238" s="9">
        <f t="shared" ref="B3238" si="9477">B3237+H3238+I3238+J3238</f>
        <v>30.960000000000008</v>
      </c>
      <c r="C3238" s="3" t="s">
        <v>3578</v>
      </c>
      <c r="D3238">
        <f t="shared" ref="D3238" si="9478">_xlfn.NUMBERVALUE(LEFT(C3238,2))</f>
        <v>19</v>
      </c>
      <c r="E3238">
        <f t="shared" ref="E3238" si="9479">_xlfn.NUMBERVALUE(MID(C3238,4,2))</f>
        <v>10</v>
      </c>
      <c r="F3238">
        <f t="shared" ref="F3238" si="9480">_xlfn.NUMBERVALUE(RIGHT(C3238,4))</f>
        <v>2024</v>
      </c>
      <c r="G3238" t="s">
        <v>7</v>
      </c>
      <c r="H3238">
        <v>-2</v>
      </c>
      <c r="K3238" t="s">
        <v>9</v>
      </c>
      <c r="L3238" s="8">
        <f t="shared" si="9376"/>
        <v>-1</v>
      </c>
      <c r="M3238" t="s">
        <v>3585</v>
      </c>
    </row>
    <row r="3239" spans="1:13" x14ac:dyDescent="0.35">
      <c r="A3239">
        <f t="shared" si="9359"/>
        <v>3235</v>
      </c>
      <c r="B3239" s="9">
        <f t="shared" ref="B3239" si="9481">B3238+H3239+I3239+J3239</f>
        <v>28.960000000000008</v>
      </c>
      <c r="C3239" s="3" t="s">
        <v>3578</v>
      </c>
      <c r="D3239">
        <f t="shared" ref="D3239" si="9482">_xlfn.NUMBERVALUE(LEFT(C3239,2))</f>
        <v>19</v>
      </c>
      <c r="E3239">
        <f t="shared" ref="E3239" si="9483">_xlfn.NUMBERVALUE(MID(C3239,4,2))</f>
        <v>10</v>
      </c>
      <c r="F3239">
        <f t="shared" ref="F3239" si="9484">_xlfn.NUMBERVALUE(RIGHT(C3239,4))</f>
        <v>2024</v>
      </c>
      <c r="G3239" t="s">
        <v>7</v>
      </c>
      <c r="H3239">
        <v>-2</v>
      </c>
      <c r="K3239" t="s">
        <v>9</v>
      </c>
      <c r="L3239" s="8">
        <f t="shared" si="9376"/>
        <v>-1</v>
      </c>
      <c r="M3239" t="s">
        <v>3586</v>
      </c>
    </row>
    <row r="3240" spans="1:13" x14ac:dyDescent="0.35">
      <c r="A3240">
        <f t="shared" si="9359"/>
        <v>3236</v>
      </c>
      <c r="B3240" s="9">
        <f t="shared" ref="B3240" si="9485">B3239+H3240+I3240+J3240</f>
        <v>26.960000000000008</v>
      </c>
      <c r="C3240" s="3" t="s">
        <v>3578</v>
      </c>
      <c r="D3240">
        <f t="shared" ref="D3240" si="9486">_xlfn.NUMBERVALUE(LEFT(C3240,2))</f>
        <v>19</v>
      </c>
      <c r="E3240">
        <f t="shared" ref="E3240" si="9487">_xlfn.NUMBERVALUE(MID(C3240,4,2))</f>
        <v>10</v>
      </c>
      <c r="F3240">
        <f t="shared" ref="F3240" si="9488">_xlfn.NUMBERVALUE(RIGHT(C3240,4))</f>
        <v>2024</v>
      </c>
      <c r="G3240" t="s">
        <v>7</v>
      </c>
      <c r="H3240">
        <v>-2</v>
      </c>
      <c r="K3240" t="s">
        <v>9</v>
      </c>
      <c r="L3240" s="8">
        <f t="shared" si="9376"/>
        <v>-1</v>
      </c>
      <c r="M3240" t="s">
        <v>3587</v>
      </c>
    </row>
    <row r="3241" spans="1:13" x14ac:dyDescent="0.35">
      <c r="A3241">
        <f t="shared" si="9359"/>
        <v>3237</v>
      </c>
      <c r="B3241" s="9">
        <f t="shared" ref="B3241" si="9489">B3240+H3241+I3241+J3241</f>
        <v>28.960000000000008</v>
      </c>
      <c r="C3241" s="3" t="s">
        <v>3578</v>
      </c>
      <c r="D3241">
        <f t="shared" ref="D3241" si="9490">_xlfn.NUMBERVALUE(LEFT(C3241,2))</f>
        <v>19</v>
      </c>
      <c r="E3241">
        <f t="shared" ref="E3241" si="9491">_xlfn.NUMBERVALUE(MID(C3241,4,2))</f>
        <v>10</v>
      </c>
      <c r="F3241">
        <f t="shared" ref="F3241" si="9492">_xlfn.NUMBERVALUE(RIGHT(C3241,4))</f>
        <v>2024</v>
      </c>
      <c r="G3241" t="s">
        <v>7</v>
      </c>
      <c r="H3241">
        <v>-2</v>
      </c>
      <c r="I3241">
        <v>4</v>
      </c>
      <c r="K3241" t="s">
        <v>10</v>
      </c>
      <c r="L3241" s="8">
        <f t="shared" si="9376"/>
        <v>1</v>
      </c>
      <c r="M3241" t="s">
        <v>3588</v>
      </c>
    </row>
    <row r="3242" spans="1:13" x14ac:dyDescent="0.35">
      <c r="A3242">
        <f t="shared" si="9359"/>
        <v>3238</v>
      </c>
      <c r="B3242" s="9">
        <f t="shared" ref="B3242" si="9493">B3241+H3242+I3242+J3242</f>
        <v>26.960000000000008</v>
      </c>
      <c r="C3242" s="3" t="s">
        <v>3578</v>
      </c>
      <c r="D3242">
        <f t="shared" ref="D3242" si="9494">_xlfn.NUMBERVALUE(LEFT(C3242,2))</f>
        <v>19</v>
      </c>
      <c r="E3242">
        <f t="shared" ref="E3242" si="9495">_xlfn.NUMBERVALUE(MID(C3242,4,2))</f>
        <v>10</v>
      </c>
      <c r="F3242">
        <f t="shared" ref="F3242" si="9496">_xlfn.NUMBERVALUE(RIGHT(C3242,4))</f>
        <v>2024</v>
      </c>
      <c r="G3242" t="s">
        <v>7</v>
      </c>
      <c r="H3242">
        <v>-2</v>
      </c>
      <c r="K3242" t="s">
        <v>9</v>
      </c>
      <c r="L3242" s="8">
        <f t="shared" si="9376"/>
        <v>-1</v>
      </c>
      <c r="M3242" t="s">
        <v>3589</v>
      </c>
    </row>
    <row r="3243" spans="1:13" x14ac:dyDescent="0.35">
      <c r="A3243">
        <f t="shared" si="9359"/>
        <v>3239</v>
      </c>
      <c r="B3243" s="9">
        <f t="shared" ref="B3243" si="9497">B3242+H3243+I3243+J3243</f>
        <v>30.960000000000008</v>
      </c>
      <c r="C3243" s="3" t="s">
        <v>3578</v>
      </c>
      <c r="D3243">
        <f t="shared" ref="D3243" si="9498">_xlfn.NUMBERVALUE(LEFT(C3243,2))</f>
        <v>19</v>
      </c>
      <c r="E3243">
        <f t="shared" ref="E3243" si="9499">_xlfn.NUMBERVALUE(MID(C3243,4,2))</f>
        <v>10</v>
      </c>
      <c r="F3243">
        <f t="shared" ref="F3243" si="9500">_xlfn.NUMBERVALUE(RIGHT(C3243,4))</f>
        <v>2024</v>
      </c>
      <c r="G3243" t="s">
        <v>7</v>
      </c>
      <c r="H3243">
        <v>-2</v>
      </c>
      <c r="I3243">
        <v>6</v>
      </c>
      <c r="K3243" t="s">
        <v>10</v>
      </c>
      <c r="L3243" s="8">
        <f t="shared" si="9376"/>
        <v>2</v>
      </c>
      <c r="M3243" t="s">
        <v>3590</v>
      </c>
    </row>
    <row r="3244" spans="1:13" x14ac:dyDescent="0.35">
      <c r="A3244">
        <f t="shared" si="9359"/>
        <v>3240</v>
      </c>
      <c r="B3244" s="9">
        <f t="shared" ref="B3244" si="9501">B3243+H3244+I3244+J3244</f>
        <v>36.960000000000008</v>
      </c>
      <c r="C3244" s="3" t="s">
        <v>3578</v>
      </c>
      <c r="D3244">
        <f t="shared" ref="D3244" si="9502">_xlfn.NUMBERVALUE(LEFT(C3244,2))</f>
        <v>19</v>
      </c>
      <c r="E3244">
        <f t="shared" ref="E3244" si="9503">_xlfn.NUMBERVALUE(MID(C3244,4,2))</f>
        <v>10</v>
      </c>
      <c r="F3244">
        <f t="shared" ref="F3244" si="9504">_xlfn.NUMBERVALUE(RIGHT(C3244,4))</f>
        <v>2024</v>
      </c>
      <c r="G3244" t="s">
        <v>7</v>
      </c>
      <c r="H3244">
        <v>-2</v>
      </c>
      <c r="I3244">
        <v>8</v>
      </c>
      <c r="K3244" t="s">
        <v>10</v>
      </c>
      <c r="L3244" s="8">
        <f t="shared" si="9376"/>
        <v>3</v>
      </c>
      <c r="M3244" t="s">
        <v>3591</v>
      </c>
    </row>
    <row r="3245" spans="1:13" x14ac:dyDescent="0.35">
      <c r="A3245">
        <f t="shared" si="9359"/>
        <v>3241</v>
      </c>
      <c r="B3245" s="9">
        <f t="shared" ref="B3245" si="9505">B3244+H3245+I3245+J3245</f>
        <v>34.960000000000008</v>
      </c>
      <c r="C3245" s="3" t="s">
        <v>3594</v>
      </c>
      <c r="D3245">
        <f t="shared" ref="D3245" si="9506">_xlfn.NUMBERVALUE(LEFT(C3245,2))</f>
        <v>20</v>
      </c>
      <c r="E3245">
        <f t="shared" ref="E3245" si="9507">_xlfn.NUMBERVALUE(MID(C3245,4,2))</f>
        <v>10</v>
      </c>
      <c r="F3245">
        <f t="shared" ref="F3245" si="9508">_xlfn.NUMBERVALUE(RIGHT(C3245,4))</f>
        <v>2024</v>
      </c>
      <c r="G3245" t="s">
        <v>7</v>
      </c>
      <c r="H3245">
        <v>-2</v>
      </c>
      <c r="K3245" t="s">
        <v>9</v>
      </c>
      <c r="L3245" s="8">
        <f t="shared" si="9376"/>
        <v>-1</v>
      </c>
      <c r="M3245" t="s">
        <v>3592</v>
      </c>
    </row>
    <row r="3246" spans="1:13" x14ac:dyDescent="0.35">
      <c r="A3246">
        <f t="shared" si="9359"/>
        <v>3242</v>
      </c>
      <c r="B3246" s="9">
        <f t="shared" ref="B3246:B3247" si="9509">B3245+H3246+I3246+J3246</f>
        <v>34.960000000000008</v>
      </c>
      <c r="C3246" s="3" t="s">
        <v>3594</v>
      </c>
      <c r="D3246">
        <f t="shared" ref="D3246:D3247" si="9510">_xlfn.NUMBERVALUE(LEFT(C3246,2))</f>
        <v>20</v>
      </c>
      <c r="E3246">
        <f t="shared" ref="E3246:E3247" si="9511">_xlfn.NUMBERVALUE(MID(C3246,4,2))</f>
        <v>10</v>
      </c>
      <c r="F3246">
        <f t="shared" ref="F3246:F3247" si="9512">_xlfn.NUMBERVALUE(RIGHT(C3246,4))</f>
        <v>2024</v>
      </c>
      <c r="G3246" t="s">
        <v>3039</v>
      </c>
      <c r="K3246" t="s">
        <v>9</v>
      </c>
      <c r="L3246" s="8">
        <f t="shared" si="9376"/>
        <v>0</v>
      </c>
      <c r="M3246" t="s">
        <v>3593</v>
      </c>
    </row>
    <row r="3247" spans="1:13" x14ac:dyDescent="0.35">
      <c r="A3247">
        <f t="shared" si="9359"/>
        <v>3243</v>
      </c>
      <c r="B3247" s="9">
        <f t="shared" si="9509"/>
        <v>48.960000000000008</v>
      </c>
      <c r="C3247" s="3" t="s">
        <v>3594</v>
      </c>
      <c r="D3247">
        <f t="shared" si="9510"/>
        <v>20</v>
      </c>
      <c r="E3247">
        <f t="shared" si="9511"/>
        <v>10</v>
      </c>
      <c r="F3247">
        <f t="shared" si="9512"/>
        <v>2024</v>
      </c>
      <c r="G3247" t="s">
        <v>7</v>
      </c>
      <c r="H3247">
        <v>-2</v>
      </c>
      <c r="I3247">
        <v>16</v>
      </c>
      <c r="K3247" t="s">
        <v>10</v>
      </c>
      <c r="L3247" s="8">
        <f t="shared" si="9376"/>
        <v>7</v>
      </c>
      <c r="M3247" t="s">
        <v>3595</v>
      </c>
    </row>
    <row r="3248" spans="1:13" x14ac:dyDescent="0.35">
      <c r="A3248">
        <f t="shared" si="9359"/>
        <v>3244</v>
      </c>
      <c r="B3248" s="9">
        <f t="shared" ref="B3248" si="9513">B3247+H3248+I3248+J3248</f>
        <v>46.960000000000008</v>
      </c>
      <c r="C3248" s="3" t="s">
        <v>3594</v>
      </c>
      <c r="D3248">
        <f t="shared" ref="D3248" si="9514">_xlfn.NUMBERVALUE(LEFT(C3248,2))</f>
        <v>20</v>
      </c>
      <c r="E3248">
        <f t="shared" ref="E3248" si="9515">_xlfn.NUMBERVALUE(MID(C3248,4,2))</f>
        <v>10</v>
      </c>
      <c r="F3248">
        <f t="shared" ref="F3248" si="9516">_xlfn.NUMBERVALUE(RIGHT(C3248,4))</f>
        <v>2024</v>
      </c>
      <c r="G3248" t="s">
        <v>7</v>
      </c>
      <c r="H3248">
        <v>-2</v>
      </c>
      <c r="K3248" t="s">
        <v>9</v>
      </c>
      <c r="L3248" s="8">
        <f t="shared" si="9376"/>
        <v>-1</v>
      </c>
      <c r="M3248" t="s">
        <v>3596</v>
      </c>
    </row>
    <row r="3249" spans="1:13" x14ac:dyDescent="0.35">
      <c r="A3249">
        <f t="shared" si="9359"/>
        <v>3245</v>
      </c>
      <c r="B3249" s="9">
        <f t="shared" ref="B3249" si="9517">B3248+H3249+I3249+J3249</f>
        <v>48.960000000000008</v>
      </c>
      <c r="C3249" s="3" t="s">
        <v>3594</v>
      </c>
      <c r="D3249">
        <f t="shared" ref="D3249" si="9518">_xlfn.NUMBERVALUE(LEFT(C3249,2))</f>
        <v>20</v>
      </c>
      <c r="E3249">
        <f t="shared" ref="E3249" si="9519">_xlfn.NUMBERVALUE(MID(C3249,4,2))</f>
        <v>10</v>
      </c>
      <c r="F3249">
        <f t="shared" ref="F3249" si="9520">_xlfn.NUMBERVALUE(RIGHT(C3249,4))</f>
        <v>2024</v>
      </c>
      <c r="G3249" t="s">
        <v>7</v>
      </c>
      <c r="H3249">
        <v>-2</v>
      </c>
      <c r="I3249">
        <v>4</v>
      </c>
      <c r="K3249" t="s">
        <v>10</v>
      </c>
      <c r="L3249" s="8">
        <f t="shared" si="9376"/>
        <v>1</v>
      </c>
      <c r="M3249" t="s">
        <v>3597</v>
      </c>
    </row>
    <row r="3250" spans="1:13" x14ac:dyDescent="0.35">
      <c r="A3250">
        <f t="shared" si="9359"/>
        <v>3246</v>
      </c>
      <c r="B3250" s="9">
        <f t="shared" ref="B3250" si="9521">B3249+H3250+I3250+J3250</f>
        <v>46.960000000000008</v>
      </c>
      <c r="C3250" s="3" t="s">
        <v>3594</v>
      </c>
      <c r="D3250">
        <f t="shared" ref="D3250" si="9522">_xlfn.NUMBERVALUE(LEFT(C3250,2))</f>
        <v>20</v>
      </c>
      <c r="E3250">
        <f t="shared" ref="E3250" si="9523">_xlfn.NUMBERVALUE(MID(C3250,4,2))</f>
        <v>10</v>
      </c>
      <c r="F3250">
        <f t="shared" ref="F3250" si="9524">_xlfn.NUMBERVALUE(RIGHT(C3250,4))</f>
        <v>2024</v>
      </c>
      <c r="G3250" t="s">
        <v>7</v>
      </c>
      <c r="H3250">
        <v>-2</v>
      </c>
      <c r="K3250" t="s">
        <v>9</v>
      </c>
      <c r="L3250" s="8">
        <f t="shared" si="9376"/>
        <v>-1</v>
      </c>
      <c r="M3250" t="s">
        <v>3598</v>
      </c>
    </row>
    <row r="3251" spans="1:13" x14ac:dyDescent="0.35">
      <c r="A3251">
        <f t="shared" si="9359"/>
        <v>3247</v>
      </c>
      <c r="B3251" s="9">
        <f t="shared" ref="B3251:B3252" si="9525">B3250+H3251+I3251+J3251</f>
        <v>44.960000000000008</v>
      </c>
      <c r="C3251" s="3" t="s">
        <v>3599</v>
      </c>
      <c r="D3251">
        <f t="shared" ref="D3251:D3252" si="9526">_xlfn.NUMBERVALUE(LEFT(C3251,2))</f>
        <v>21</v>
      </c>
      <c r="E3251">
        <f t="shared" ref="E3251:E3252" si="9527">_xlfn.NUMBERVALUE(MID(C3251,4,2))</f>
        <v>10</v>
      </c>
      <c r="F3251">
        <f t="shared" ref="F3251:F3252" si="9528">_xlfn.NUMBERVALUE(RIGHT(C3251,4))</f>
        <v>2024</v>
      </c>
      <c r="G3251" t="s">
        <v>7</v>
      </c>
      <c r="H3251">
        <v>-2</v>
      </c>
      <c r="K3251" t="s">
        <v>9</v>
      </c>
      <c r="L3251" s="8">
        <f t="shared" si="9376"/>
        <v>-1</v>
      </c>
      <c r="M3251" t="s">
        <v>3600</v>
      </c>
    </row>
    <row r="3252" spans="1:13" x14ac:dyDescent="0.35">
      <c r="A3252">
        <f t="shared" si="9359"/>
        <v>3248</v>
      </c>
      <c r="B3252" s="9">
        <f t="shared" si="9525"/>
        <v>44.960000000000008</v>
      </c>
      <c r="C3252" s="3" t="s">
        <v>3599</v>
      </c>
      <c r="D3252">
        <f t="shared" si="9526"/>
        <v>21</v>
      </c>
      <c r="E3252">
        <f t="shared" si="9527"/>
        <v>10</v>
      </c>
      <c r="F3252">
        <f t="shared" si="9528"/>
        <v>2024</v>
      </c>
      <c r="G3252" t="s">
        <v>3039</v>
      </c>
      <c r="K3252" t="s">
        <v>9</v>
      </c>
      <c r="L3252" s="8">
        <f t="shared" si="9376"/>
        <v>0</v>
      </c>
      <c r="M3252" t="s">
        <v>3601</v>
      </c>
    </row>
    <row r="3253" spans="1:13" x14ac:dyDescent="0.35">
      <c r="A3253">
        <f t="shared" si="9359"/>
        <v>3249</v>
      </c>
      <c r="B3253" s="9">
        <f t="shared" ref="B3253" si="9529">B3252+H3253+I3253+J3253</f>
        <v>42.960000000000008</v>
      </c>
      <c r="C3253" s="3" t="s">
        <v>3599</v>
      </c>
      <c r="D3253">
        <f t="shared" ref="D3253" si="9530">_xlfn.NUMBERVALUE(LEFT(C3253,2))</f>
        <v>21</v>
      </c>
      <c r="E3253">
        <f t="shared" ref="E3253" si="9531">_xlfn.NUMBERVALUE(MID(C3253,4,2))</f>
        <v>10</v>
      </c>
      <c r="F3253">
        <f t="shared" ref="F3253" si="9532">_xlfn.NUMBERVALUE(RIGHT(C3253,4))</f>
        <v>2024</v>
      </c>
      <c r="G3253" t="s">
        <v>7</v>
      </c>
      <c r="H3253">
        <v>-2</v>
      </c>
      <c r="K3253" t="s">
        <v>9</v>
      </c>
      <c r="L3253" s="8">
        <f t="shared" si="9376"/>
        <v>-1</v>
      </c>
      <c r="M3253" t="s">
        <v>3602</v>
      </c>
    </row>
    <row r="3254" spans="1:13" x14ac:dyDescent="0.35">
      <c r="A3254">
        <f t="shared" si="9359"/>
        <v>3250</v>
      </c>
      <c r="B3254" s="9">
        <f t="shared" ref="B3254" si="9533">B3253+H3254+I3254+J3254</f>
        <v>40.960000000000008</v>
      </c>
      <c r="C3254" s="3" t="s">
        <v>3599</v>
      </c>
      <c r="D3254">
        <f t="shared" ref="D3254" si="9534">_xlfn.NUMBERVALUE(LEFT(C3254,2))</f>
        <v>21</v>
      </c>
      <c r="E3254">
        <f t="shared" ref="E3254" si="9535">_xlfn.NUMBERVALUE(MID(C3254,4,2))</f>
        <v>10</v>
      </c>
      <c r="F3254">
        <f t="shared" ref="F3254" si="9536">_xlfn.NUMBERVALUE(RIGHT(C3254,4))</f>
        <v>2024</v>
      </c>
      <c r="G3254" t="s">
        <v>7</v>
      </c>
      <c r="H3254">
        <v>-2</v>
      </c>
      <c r="K3254" t="s">
        <v>9</v>
      </c>
      <c r="L3254" s="8">
        <f t="shared" si="9376"/>
        <v>-1</v>
      </c>
      <c r="M3254" t="s">
        <v>3603</v>
      </c>
    </row>
    <row r="3255" spans="1:13" x14ac:dyDescent="0.35">
      <c r="A3255">
        <f t="shared" si="9359"/>
        <v>3251</v>
      </c>
      <c r="B3255" s="9">
        <f t="shared" ref="B3255" si="9537">B3254+H3255+I3255+J3255</f>
        <v>44.960000000000008</v>
      </c>
      <c r="C3255" s="3" t="s">
        <v>3599</v>
      </c>
      <c r="D3255">
        <f t="shared" ref="D3255" si="9538">_xlfn.NUMBERVALUE(LEFT(C3255,2))</f>
        <v>21</v>
      </c>
      <c r="E3255">
        <f t="shared" ref="E3255" si="9539">_xlfn.NUMBERVALUE(MID(C3255,4,2))</f>
        <v>10</v>
      </c>
      <c r="F3255">
        <f t="shared" ref="F3255" si="9540">_xlfn.NUMBERVALUE(RIGHT(C3255,4))</f>
        <v>2024</v>
      </c>
      <c r="G3255" t="s">
        <v>7</v>
      </c>
      <c r="H3255">
        <v>-2</v>
      </c>
      <c r="I3255">
        <v>6</v>
      </c>
      <c r="K3255" t="s">
        <v>10</v>
      </c>
      <c r="L3255" s="8">
        <f t="shared" si="9376"/>
        <v>2</v>
      </c>
      <c r="M3255" t="s">
        <v>3604</v>
      </c>
    </row>
    <row r="3256" spans="1:13" x14ac:dyDescent="0.35">
      <c r="A3256">
        <f t="shared" si="9359"/>
        <v>3252</v>
      </c>
      <c r="B3256" s="9">
        <f t="shared" ref="B3256" si="9541">B3255+H3256+I3256+J3256</f>
        <v>42.960000000000008</v>
      </c>
      <c r="C3256" s="3" t="s">
        <v>3599</v>
      </c>
      <c r="D3256">
        <f t="shared" ref="D3256" si="9542">_xlfn.NUMBERVALUE(LEFT(C3256,2))</f>
        <v>21</v>
      </c>
      <c r="E3256">
        <f t="shared" ref="E3256" si="9543">_xlfn.NUMBERVALUE(MID(C3256,4,2))</f>
        <v>10</v>
      </c>
      <c r="F3256">
        <f t="shared" ref="F3256" si="9544">_xlfn.NUMBERVALUE(RIGHT(C3256,4))</f>
        <v>2024</v>
      </c>
      <c r="G3256" t="s">
        <v>7</v>
      </c>
      <c r="H3256">
        <v>-2</v>
      </c>
      <c r="K3256" t="s">
        <v>9</v>
      </c>
      <c r="L3256" s="8">
        <f t="shared" si="9376"/>
        <v>-1</v>
      </c>
      <c r="M3256" t="s">
        <v>3606</v>
      </c>
    </row>
    <row r="3257" spans="1:13" x14ac:dyDescent="0.35">
      <c r="A3257">
        <f t="shared" si="9359"/>
        <v>3253</v>
      </c>
      <c r="B3257" s="9">
        <f t="shared" ref="B3257" si="9545">B3256+H3257+I3257+J3257</f>
        <v>40.960000000000008</v>
      </c>
      <c r="C3257" s="3" t="s">
        <v>3599</v>
      </c>
      <c r="D3257">
        <f t="shared" ref="D3257" si="9546">_xlfn.NUMBERVALUE(LEFT(C3257,2))</f>
        <v>21</v>
      </c>
      <c r="E3257">
        <f t="shared" ref="E3257" si="9547">_xlfn.NUMBERVALUE(MID(C3257,4,2))</f>
        <v>10</v>
      </c>
      <c r="F3257">
        <f t="shared" ref="F3257" si="9548">_xlfn.NUMBERVALUE(RIGHT(C3257,4))</f>
        <v>2024</v>
      </c>
      <c r="G3257" t="s">
        <v>7</v>
      </c>
      <c r="H3257">
        <v>-2</v>
      </c>
      <c r="K3257" t="s">
        <v>9</v>
      </c>
      <c r="L3257" s="8">
        <f t="shared" si="9376"/>
        <v>-1</v>
      </c>
      <c r="M3257" t="s">
        <v>3607</v>
      </c>
    </row>
    <row r="3258" spans="1:13" x14ac:dyDescent="0.35">
      <c r="A3258">
        <f t="shared" si="9359"/>
        <v>3254</v>
      </c>
      <c r="B3258" s="9">
        <f t="shared" ref="B3258" si="9549">B3257+H3258+I3258+J3258</f>
        <v>44.960000000000008</v>
      </c>
      <c r="C3258" s="3" t="s">
        <v>3599</v>
      </c>
      <c r="D3258">
        <f t="shared" ref="D3258" si="9550">_xlfn.NUMBERVALUE(LEFT(C3258,2))</f>
        <v>21</v>
      </c>
      <c r="E3258">
        <f t="shared" ref="E3258" si="9551">_xlfn.NUMBERVALUE(MID(C3258,4,2))</f>
        <v>10</v>
      </c>
      <c r="F3258">
        <f t="shared" ref="F3258" si="9552">_xlfn.NUMBERVALUE(RIGHT(C3258,4))</f>
        <v>2024</v>
      </c>
      <c r="G3258" t="s">
        <v>7</v>
      </c>
      <c r="H3258">
        <v>-2</v>
      </c>
      <c r="I3258">
        <v>6</v>
      </c>
      <c r="K3258" t="s">
        <v>10</v>
      </c>
      <c r="L3258" s="8">
        <f t="shared" si="9376"/>
        <v>2</v>
      </c>
      <c r="M3258" t="s">
        <v>3608</v>
      </c>
    </row>
    <row r="3259" spans="1:13" x14ac:dyDescent="0.35">
      <c r="A3259">
        <f t="shared" si="9359"/>
        <v>3255</v>
      </c>
      <c r="B3259" s="9">
        <f t="shared" ref="B3259" si="9553">B3258+H3259+I3259+J3259</f>
        <v>46.960000000000008</v>
      </c>
      <c r="C3259" s="3" t="s">
        <v>3599</v>
      </c>
      <c r="D3259">
        <f t="shared" ref="D3259" si="9554">_xlfn.NUMBERVALUE(LEFT(C3259,2))</f>
        <v>21</v>
      </c>
      <c r="E3259">
        <f t="shared" ref="E3259" si="9555">_xlfn.NUMBERVALUE(MID(C3259,4,2))</f>
        <v>10</v>
      </c>
      <c r="F3259">
        <f t="shared" ref="F3259" si="9556">_xlfn.NUMBERVALUE(RIGHT(C3259,4))</f>
        <v>2024</v>
      </c>
      <c r="G3259" t="s">
        <v>7</v>
      </c>
      <c r="H3259">
        <v>-2</v>
      </c>
      <c r="I3259">
        <v>4</v>
      </c>
      <c r="K3259" t="s">
        <v>10</v>
      </c>
      <c r="L3259" s="8">
        <f t="shared" si="9376"/>
        <v>1</v>
      </c>
      <c r="M3259" t="s">
        <v>3609</v>
      </c>
    </row>
    <row r="3260" spans="1:13" x14ac:dyDescent="0.35">
      <c r="A3260">
        <f t="shared" si="9359"/>
        <v>3256</v>
      </c>
      <c r="B3260" s="9">
        <f t="shared" ref="B3260" si="9557">B3259+H3260+I3260+J3260</f>
        <v>48.960000000000008</v>
      </c>
      <c r="C3260" s="3" t="s">
        <v>3599</v>
      </c>
      <c r="D3260">
        <f t="shared" ref="D3260" si="9558">_xlfn.NUMBERVALUE(LEFT(C3260,2))</f>
        <v>21</v>
      </c>
      <c r="E3260">
        <f t="shared" ref="E3260" si="9559">_xlfn.NUMBERVALUE(MID(C3260,4,2))</f>
        <v>10</v>
      </c>
      <c r="F3260">
        <f t="shared" ref="F3260" si="9560">_xlfn.NUMBERVALUE(RIGHT(C3260,4))</f>
        <v>2024</v>
      </c>
      <c r="G3260" t="s">
        <v>7</v>
      </c>
      <c r="H3260">
        <v>-2</v>
      </c>
      <c r="I3260">
        <v>4</v>
      </c>
      <c r="K3260" t="s">
        <v>10</v>
      </c>
      <c r="L3260" s="8">
        <f t="shared" si="9376"/>
        <v>1</v>
      </c>
      <c r="M3260" t="s">
        <v>3610</v>
      </c>
    </row>
    <row r="3261" spans="1:13" x14ac:dyDescent="0.35">
      <c r="A3261">
        <f t="shared" si="9359"/>
        <v>3257</v>
      </c>
      <c r="B3261" s="9">
        <f t="shared" ref="B3261" si="9561">B3260+H3261+I3261+J3261</f>
        <v>46.960000000000008</v>
      </c>
      <c r="C3261" s="3" t="s">
        <v>3599</v>
      </c>
      <c r="D3261">
        <f t="shared" ref="D3261" si="9562">_xlfn.NUMBERVALUE(LEFT(C3261,2))</f>
        <v>21</v>
      </c>
      <c r="E3261">
        <f t="shared" ref="E3261" si="9563">_xlfn.NUMBERVALUE(MID(C3261,4,2))</f>
        <v>10</v>
      </c>
      <c r="F3261">
        <f t="shared" ref="F3261" si="9564">_xlfn.NUMBERVALUE(RIGHT(C3261,4))</f>
        <v>2024</v>
      </c>
      <c r="G3261" t="s">
        <v>7</v>
      </c>
      <c r="H3261">
        <v>-2</v>
      </c>
      <c r="K3261" t="s">
        <v>9</v>
      </c>
      <c r="L3261" s="8">
        <f t="shared" si="9376"/>
        <v>-1</v>
      </c>
      <c r="M3261" t="s">
        <v>3611</v>
      </c>
    </row>
    <row r="3262" spans="1:13" x14ac:dyDescent="0.35">
      <c r="A3262">
        <f t="shared" si="9359"/>
        <v>3258</v>
      </c>
      <c r="B3262" s="9">
        <f t="shared" ref="B3262" si="9565">B3261+H3262+I3262+J3262</f>
        <v>44.960000000000008</v>
      </c>
      <c r="C3262" s="3" t="s">
        <v>3599</v>
      </c>
      <c r="D3262">
        <f t="shared" ref="D3262" si="9566">_xlfn.NUMBERVALUE(LEFT(C3262,2))</f>
        <v>21</v>
      </c>
      <c r="E3262">
        <f t="shared" ref="E3262" si="9567">_xlfn.NUMBERVALUE(MID(C3262,4,2))</f>
        <v>10</v>
      </c>
      <c r="F3262">
        <f t="shared" ref="F3262" si="9568">_xlfn.NUMBERVALUE(RIGHT(C3262,4))</f>
        <v>2024</v>
      </c>
      <c r="G3262" t="s">
        <v>7</v>
      </c>
      <c r="H3262">
        <v>-2</v>
      </c>
      <c r="K3262" t="s">
        <v>9</v>
      </c>
      <c r="L3262" s="8">
        <f t="shared" si="9376"/>
        <v>-1</v>
      </c>
      <c r="M3262" t="s">
        <v>3612</v>
      </c>
    </row>
    <row r="3263" spans="1:13" x14ac:dyDescent="0.35">
      <c r="A3263">
        <f t="shared" si="9359"/>
        <v>3259</v>
      </c>
      <c r="B3263" s="9">
        <f t="shared" ref="B3263" si="9569">B3262+H3263+I3263+J3263</f>
        <v>48.960000000000008</v>
      </c>
      <c r="C3263" s="3" t="s">
        <v>3599</v>
      </c>
      <c r="D3263">
        <f t="shared" ref="D3263" si="9570">_xlfn.NUMBERVALUE(LEFT(C3263,2))</f>
        <v>21</v>
      </c>
      <c r="E3263">
        <f t="shared" ref="E3263" si="9571">_xlfn.NUMBERVALUE(MID(C3263,4,2))</f>
        <v>10</v>
      </c>
      <c r="F3263">
        <f t="shared" ref="F3263" si="9572">_xlfn.NUMBERVALUE(RIGHT(C3263,4))</f>
        <v>2024</v>
      </c>
      <c r="G3263" t="s">
        <v>7</v>
      </c>
      <c r="H3263">
        <v>-2</v>
      </c>
      <c r="I3263">
        <v>6</v>
      </c>
      <c r="K3263" t="s">
        <v>10</v>
      </c>
      <c r="L3263" s="8">
        <f t="shared" si="9376"/>
        <v>2</v>
      </c>
      <c r="M3263" t="s">
        <v>3613</v>
      </c>
    </row>
    <row r="3264" spans="1:13" x14ac:dyDescent="0.35">
      <c r="A3264">
        <f t="shared" si="9359"/>
        <v>3260</v>
      </c>
      <c r="B3264" s="9">
        <f t="shared" ref="B3264:B3265" si="9573">B3263+H3264+I3264+J3264</f>
        <v>50.960000000000008</v>
      </c>
      <c r="C3264" s="3" t="s">
        <v>3614</v>
      </c>
      <c r="D3264">
        <f t="shared" ref="D3264:D3265" si="9574">_xlfn.NUMBERVALUE(LEFT(C3264,2))</f>
        <v>22</v>
      </c>
      <c r="E3264">
        <f t="shared" ref="E3264:E3265" si="9575">_xlfn.NUMBERVALUE(MID(C3264,4,2))</f>
        <v>10</v>
      </c>
      <c r="F3264">
        <f t="shared" ref="F3264:F3265" si="9576">_xlfn.NUMBERVALUE(RIGHT(C3264,4))</f>
        <v>2024</v>
      </c>
      <c r="G3264" t="s">
        <v>7</v>
      </c>
      <c r="H3264">
        <v>-2</v>
      </c>
      <c r="I3264">
        <v>4</v>
      </c>
      <c r="K3264" t="s">
        <v>10</v>
      </c>
      <c r="L3264" s="8">
        <f t="shared" si="9376"/>
        <v>1</v>
      </c>
      <c r="M3264" t="s">
        <v>3615</v>
      </c>
    </row>
    <row r="3265" spans="1:13" x14ac:dyDescent="0.35">
      <c r="A3265">
        <f t="shared" si="9359"/>
        <v>3261</v>
      </c>
      <c r="B3265" s="9">
        <f t="shared" si="9573"/>
        <v>50.960000000000008</v>
      </c>
      <c r="C3265" s="3" t="s">
        <v>3614</v>
      </c>
      <c r="D3265">
        <f t="shared" si="9574"/>
        <v>22</v>
      </c>
      <c r="E3265">
        <f t="shared" si="9575"/>
        <v>10</v>
      </c>
      <c r="F3265">
        <f t="shared" si="9576"/>
        <v>2024</v>
      </c>
      <c r="G3265" t="s">
        <v>3039</v>
      </c>
      <c r="K3265" t="s">
        <v>10</v>
      </c>
      <c r="L3265" s="8">
        <f t="shared" si="9376"/>
        <v>0</v>
      </c>
      <c r="M3265" t="s">
        <v>3616</v>
      </c>
    </row>
    <row r="3266" spans="1:13" x14ac:dyDescent="0.35">
      <c r="A3266">
        <f t="shared" si="9359"/>
        <v>3262</v>
      </c>
      <c r="B3266" s="9">
        <f t="shared" ref="B3266" si="9577">B3265+H3266+I3266+J3266</f>
        <v>54.960000000000008</v>
      </c>
      <c r="C3266" s="3" t="s">
        <v>3614</v>
      </c>
      <c r="D3266">
        <f t="shared" ref="D3266" si="9578">_xlfn.NUMBERVALUE(LEFT(C3266,2))</f>
        <v>22</v>
      </c>
      <c r="E3266">
        <f t="shared" ref="E3266" si="9579">_xlfn.NUMBERVALUE(MID(C3266,4,2))</f>
        <v>10</v>
      </c>
      <c r="F3266">
        <f t="shared" ref="F3266" si="9580">_xlfn.NUMBERVALUE(RIGHT(C3266,4))</f>
        <v>2024</v>
      </c>
      <c r="G3266" t="s">
        <v>7</v>
      </c>
      <c r="H3266">
        <v>-2</v>
      </c>
      <c r="I3266">
        <v>6</v>
      </c>
      <c r="K3266" t="s">
        <v>10</v>
      </c>
      <c r="L3266" s="8">
        <f t="shared" si="9376"/>
        <v>2</v>
      </c>
      <c r="M3266" t="s">
        <v>3617</v>
      </c>
    </row>
    <row r="3267" spans="1:13" x14ac:dyDescent="0.35">
      <c r="A3267">
        <f t="shared" si="9359"/>
        <v>3263</v>
      </c>
      <c r="B3267" s="9">
        <f t="shared" ref="B3267:B3268" si="9581">B3266+H3267+I3267+J3267</f>
        <v>52.960000000000008</v>
      </c>
      <c r="C3267" s="3" t="s">
        <v>3618</v>
      </c>
      <c r="D3267">
        <f t="shared" ref="D3267:D3268" si="9582">_xlfn.NUMBERVALUE(LEFT(C3267,2))</f>
        <v>23</v>
      </c>
      <c r="E3267">
        <f t="shared" ref="E3267:E3268" si="9583">_xlfn.NUMBERVALUE(MID(C3267,4,2))</f>
        <v>10</v>
      </c>
      <c r="F3267">
        <f t="shared" ref="F3267:F3268" si="9584">_xlfn.NUMBERVALUE(RIGHT(C3267,4))</f>
        <v>2024</v>
      </c>
      <c r="G3267" t="s">
        <v>7</v>
      </c>
      <c r="H3267">
        <v>-2</v>
      </c>
      <c r="K3267" t="s">
        <v>9</v>
      </c>
      <c r="L3267" s="8">
        <f t="shared" si="9376"/>
        <v>-1</v>
      </c>
      <c r="M3267" t="s">
        <v>3619</v>
      </c>
    </row>
    <row r="3268" spans="1:13" x14ac:dyDescent="0.35">
      <c r="A3268">
        <f t="shared" si="9359"/>
        <v>3264</v>
      </c>
      <c r="B3268" s="9">
        <f t="shared" si="9581"/>
        <v>52.960000000000008</v>
      </c>
      <c r="C3268" s="3" t="s">
        <v>3618</v>
      </c>
      <c r="D3268">
        <f t="shared" si="9582"/>
        <v>23</v>
      </c>
      <c r="E3268">
        <f t="shared" si="9583"/>
        <v>10</v>
      </c>
      <c r="F3268">
        <f t="shared" si="9584"/>
        <v>2024</v>
      </c>
      <c r="G3268" t="s">
        <v>3039</v>
      </c>
      <c r="K3268" t="s">
        <v>9</v>
      </c>
      <c r="L3268" s="8">
        <f t="shared" si="9376"/>
        <v>0</v>
      </c>
      <c r="M3268" t="s">
        <v>3620</v>
      </c>
    </row>
    <row r="3269" spans="1:13" x14ac:dyDescent="0.35">
      <c r="A3269">
        <f t="shared" si="9359"/>
        <v>3265</v>
      </c>
      <c r="B3269" s="9">
        <f t="shared" ref="B3269" si="9585">B3268+H3269+I3269+J3269</f>
        <v>50.960000000000008</v>
      </c>
      <c r="C3269" s="3" t="s">
        <v>3618</v>
      </c>
      <c r="D3269">
        <f t="shared" ref="D3269" si="9586">_xlfn.NUMBERVALUE(LEFT(C3269,2))</f>
        <v>23</v>
      </c>
      <c r="E3269">
        <f t="shared" ref="E3269" si="9587">_xlfn.NUMBERVALUE(MID(C3269,4,2))</f>
        <v>10</v>
      </c>
      <c r="F3269">
        <f t="shared" ref="F3269" si="9588">_xlfn.NUMBERVALUE(RIGHT(C3269,4))</f>
        <v>2024</v>
      </c>
      <c r="G3269" t="s">
        <v>7</v>
      </c>
      <c r="H3269">
        <v>-2</v>
      </c>
      <c r="K3269" t="s">
        <v>9</v>
      </c>
      <c r="L3269" s="8">
        <f t="shared" si="9376"/>
        <v>-1</v>
      </c>
      <c r="M3269" t="s">
        <v>3621</v>
      </c>
    </row>
    <row r="3270" spans="1:13" x14ac:dyDescent="0.35">
      <c r="A3270">
        <f t="shared" si="9359"/>
        <v>3266</v>
      </c>
      <c r="B3270" s="9">
        <f t="shared" ref="B3270:B3271" si="9589">B3269+H3270+I3270+J3270</f>
        <v>51.080000000000013</v>
      </c>
      <c r="C3270" s="3" t="s">
        <v>3618</v>
      </c>
      <c r="D3270">
        <f t="shared" ref="D3270:D3271" si="9590">_xlfn.NUMBERVALUE(LEFT(C3270,2))</f>
        <v>23</v>
      </c>
      <c r="E3270">
        <f t="shared" ref="E3270:E3271" si="9591">_xlfn.NUMBERVALUE(MID(C3270,4,2))</f>
        <v>10</v>
      </c>
      <c r="F3270">
        <f t="shared" ref="F3270:F3271" si="9592">_xlfn.NUMBERVALUE(RIGHT(C3270,4))</f>
        <v>2024</v>
      </c>
      <c r="G3270" t="s">
        <v>44</v>
      </c>
      <c r="H3270">
        <v>-4.4000000000000004</v>
      </c>
      <c r="I3270">
        <v>3.52</v>
      </c>
      <c r="J3270">
        <v>1</v>
      </c>
      <c r="K3270" t="s">
        <v>10</v>
      </c>
      <c r="L3270" s="8">
        <f t="shared" si="9376"/>
        <v>2.7272727272727115E-2</v>
      </c>
      <c r="M3270" t="s">
        <v>3622</v>
      </c>
    </row>
    <row r="3271" spans="1:13" x14ac:dyDescent="0.35">
      <c r="A3271">
        <f t="shared" si="9359"/>
        <v>3267</v>
      </c>
      <c r="B3271" s="9">
        <f t="shared" si="9589"/>
        <v>49.080000000000013</v>
      </c>
      <c r="C3271" s="3" t="s">
        <v>3618</v>
      </c>
      <c r="D3271">
        <f t="shared" si="9590"/>
        <v>23</v>
      </c>
      <c r="E3271">
        <f t="shared" si="9591"/>
        <v>10</v>
      </c>
      <c r="F3271">
        <f t="shared" si="9592"/>
        <v>2024</v>
      </c>
      <c r="G3271" t="s">
        <v>7</v>
      </c>
      <c r="H3271">
        <v>-2</v>
      </c>
      <c r="K3271" t="s">
        <v>9</v>
      </c>
      <c r="L3271" s="8">
        <f t="shared" si="9376"/>
        <v>-1</v>
      </c>
      <c r="M3271" t="s">
        <v>3623</v>
      </c>
    </row>
    <row r="3272" spans="1:13" x14ac:dyDescent="0.35">
      <c r="A3272">
        <f t="shared" si="9359"/>
        <v>3268</v>
      </c>
      <c r="B3272" s="9">
        <f t="shared" ref="B3272" si="9593">B3271+H3272+I3272+J3272</f>
        <v>47.080000000000013</v>
      </c>
      <c r="C3272" s="3" t="s">
        <v>3618</v>
      </c>
      <c r="D3272">
        <f t="shared" ref="D3272" si="9594">_xlfn.NUMBERVALUE(LEFT(C3272,2))</f>
        <v>23</v>
      </c>
      <c r="E3272">
        <f t="shared" ref="E3272" si="9595">_xlfn.NUMBERVALUE(MID(C3272,4,2))</f>
        <v>10</v>
      </c>
      <c r="F3272">
        <f t="shared" ref="F3272" si="9596">_xlfn.NUMBERVALUE(RIGHT(C3272,4))</f>
        <v>2024</v>
      </c>
      <c r="G3272" t="s">
        <v>7</v>
      </c>
      <c r="H3272">
        <v>-2</v>
      </c>
      <c r="K3272" t="s">
        <v>9</v>
      </c>
      <c r="L3272" s="8">
        <f t="shared" si="9376"/>
        <v>-1</v>
      </c>
      <c r="M3272" t="s">
        <v>3624</v>
      </c>
    </row>
    <row r="3273" spans="1:13" x14ac:dyDescent="0.35">
      <c r="A3273">
        <f t="shared" si="9359"/>
        <v>3269</v>
      </c>
      <c r="B3273" s="9">
        <f t="shared" ref="B3273" si="9597">B3272+H3273+I3273+J3273</f>
        <v>45.080000000000013</v>
      </c>
      <c r="C3273" s="3" t="s">
        <v>3618</v>
      </c>
      <c r="D3273">
        <f t="shared" ref="D3273" si="9598">_xlfn.NUMBERVALUE(LEFT(C3273,2))</f>
        <v>23</v>
      </c>
      <c r="E3273">
        <f t="shared" ref="E3273" si="9599">_xlfn.NUMBERVALUE(MID(C3273,4,2))</f>
        <v>10</v>
      </c>
      <c r="F3273">
        <f t="shared" ref="F3273" si="9600">_xlfn.NUMBERVALUE(RIGHT(C3273,4))</f>
        <v>2024</v>
      </c>
      <c r="G3273" t="s">
        <v>7</v>
      </c>
      <c r="H3273">
        <v>-2</v>
      </c>
      <c r="K3273" t="s">
        <v>9</v>
      </c>
      <c r="L3273" s="8">
        <f t="shared" si="9376"/>
        <v>-1</v>
      </c>
      <c r="M3273" t="s">
        <v>3625</v>
      </c>
    </row>
    <row r="3274" spans="1:13" x14ac:dyDescent="0.35">
      <c r="A3274">
        <f t="shared" si="9359"/>
        <v>3270</v>
      </c>
      <c r="B3274" s="9">
        <f t="shared" ref="B3274:B3275" si="9601">B3273+H3274+I3274+J3274</f>
        <v>43.080000000000013</v>
      </c>
      <c r="C3274" s="3" t="s">
        <v>3626</v>
      </c>
      <c r="D3274">
        <f t="shared" ref="D3274:D3275" si="9602">_xlfn.NUMBERVALUE(LEFT(C3274,2))</f>
        <v>24</v>
      </c>
      <c r="E3274">
        <f t="shared" ref="E3274:E3275" si="9603">_xlfn.NUMBERVALUE(MID(C3274,4,2))</f>
        <v>10</v>
      </c>
      <c r="F3274">
        <f t="shared" ref="F3274:F3275" si="9604">_xlfn.NUMBERVALUE(RIGHT(C3274,4))</f>
        <v>2024</v>
      </c>
      <c r="G3274" t="s">
        <v>7</v>
      </c>
      <c r="H3274">
        <v>-2</v>
      </c>
      <c r="K3274" t="s">
        <v>9</v>
      </c>
      <c r="L3274" s="8">
        <f t="shared" si="9376"/>
        <v>-1</v>
      </c>
      <c r="M3274" t="s">
        <v>3627</v>
      </c>
    </row>
    <row r="3275" spans="1:13" x14ac:dyDescent="0.35">
      <c r="A3275">
        <f t="shared" si="9359"/>
        <v>3271</v>
      </c>
      <c r="B3275" s="9">
        <f t="shared" si="9601"/>
        <v>43.080000000000013</v>
      </c>
      <c r="C3275" s="3" t="s">
        <v>3626</v>
      </c>
      <c r="D3275">
        <f t="shared" si="9602"/>
        <v>24</v>
      </c>
      <c r="E3275">
        <f t="shared" si="9603"/>
        <v>10</v>
      </c>
      <c r="F3275">
        <f t="shared" si="9604"/>
        <v>2024</v>
      </c>
      <c r="G3275" t="s">
        <v>3039</v>
      </c>
      <c r="K3275" t="s">
        <v>10</v>
      </c>
      <c r="L3275" s="8">
        <f t="shared" si="9376"/>
        <v>0</v>
      </c>
      <c r="M3275" t="s">
        <v>3628</v>
      </c>
    </row>
    <row r="3276" spans="1:13" x14ac:dyDescent="0.35">
      <c r="A3276">
        <f t="shared" si="9359"/>
        <v>3272</v>
      </c>
      <c r="B3276" s="9">
        <f t="shared" ref="B3276" si="9605">B3275+H3276+I3276+J3276</f>
        <v>41.080000000000013</v>
      </c>
      <c r="C3276" s="3" t="s">
        <v>3626</v>
      </c>
      <c r="D3276">
        <f t="shared" ref="D3276" si="9606">_xlfn.NUMBERVALUE(LEFT(C3276,2))</f>
        <v>24</v>
      </c>
      <c r="E3276">
        <f t="shared" ref="E3276" si="9607">_xlfn.NUMBERVALUE(MID(C3276,4,2))</f>
        <v>10</v>
      </c>
      <c r="F3276">
        <f t="shared" ref="F3276" si="9608">_xlfn.NUMBERVALUE(RIGHT(C3276,4))</f>
        <v>2024</v>
      </c>
      <c r="G3276" t="s">
        <v>7</v>
      </c>
      <c r="H3276">
        <v>-2</v>
      </c>
      <c r="K3276" t="s">
        <v>9</v>
      </c>
      <c r="L3276" s="8">
        <f t="shared" si="9376"/>
        <v>-1</v>
      </c>
      <c r="M3276" t="s">
        <v>3629</v>
      </c>
    </row>
    <row r="3277" spans="1:13" x14ac:dyDescent="0.35">
      <c r="A3277">
        <f t="shared" si="9359"/>
        <v>3273</v>
      </c>
      <c r="B3277" s="9">
        <f t="shared" ref="B3277" si="9609">B3276+H3277+I3277+J3277</f>
        <v>39.080000000000013</v>
      </c>
      <c r="C3277" s="3" t="s">
        <v>3626</v>
      </c>
      <c r="D3277">
        <f t="shared" ref="D3277" si="9610">_xlfn.NUMBERVALUE(LEFT(C3277,2))</f>
        <v>24</v>
      </c>
      <c r="E3277">
        <f t="shared" ref="E3277" si="9611">_xlfn.NUMBERVALUE(MID(C3277,4,2))</f>
        <v>10</v>
      </c>
      <c r="F3277">
        <f t="shared" ref="F3277" si="9612">_xlfn.NUMBERVALUE(RIGHT(C3277,4))</f>
        <v>2024</v>
      </c>
      <c r="G3277" t="s">
        <v>7</v>
      </c>
      <c r="H3277">
        <v>-2</v>
      </c>
      <c r="K3277" t="s">
        <v>9</v>
      </c>
      <c r="L3277" s="8">
        <f t="shared" si="9376"/>
        <v>-1</v>
      </c>
      <c r="M3277" t="s">
        <v>3630</v>
      </c>
    </row>
    <row r="3278" spans="1:13" x14ac:dyDescent="0.35">
      <c r="A3278">
        <f t="shared" si="9359"/>
        <v>3274</v>
      </c>
      <c r="B3278" s="9">
        <f t="shared" ref="B3278" si="9613">B3277+H3278+I3278+J3278</f>
        <v>37.080000000000013</v>
      </c>
      <c r="C3278" s="3" t="s">
        <v>3626</v>
      </c>
      <c r="D3278">
        <f t="shared" ref="D3278" si="9614">_xlfn.NUMBERVALUE(LEFT(C3278,2))</f>
        <v>24</v>
      </c>
      <c r="E3278">
        <f t="shared" ref="E3278" si="9615">_xlfn.NUMBERVALUE(MID(C3278,4,2))</f>
        <v>10</v>
      </c>
      <c r="F3278">
        <f t="shared" ref="F3278" si="9616">_xlfn.NUMBERVALUE(RIGHT(C3278,4))</f>
        <v>2024</v>
      </c>
      <c r="G3278" t="s">
        <v>7</v>
      </c>
      <c r="H3278">
        <v>-2</v>
      </c>
      <c r="K3278" t="s">
        <v>9</v>
      </c>
      <c r="L3278" s="8">
        <f t="shared" si="9376"/>
        <v>-1</v>
      </c>
      <c r="M3278" t="s">
        <v>3631</v>
      </c>
    </row>
    <row r="3279" spans="1:13" x14ac:dyDescent="0.35">
      <c r="A3279">
        <f t="shared" si="9359"/>
        <v>3275</v>
      </c>
      <c r="B3279" s="9">
        <f t="shared" ref="B3279" si="9617">B3278+H3279+I3279+J3279</f>
        <v>35.080000000000013</v>
      </c>
      <c r="C3279" s="3" t="s">
        <v>3626</v>
      </c>
      <c r="D3279">
        <f t="shared" ref="D3279" si="9618">_xlfn.NUMBERVALUE(LEFT(C3279,2))</f>
        <v>24</v>
      </c>
      <c r="E3279">
        <f t="shared" ref="E3279" si="9619">_xlfn.NUMBERVALUE(MID(C3279,4,2))</f>
        <v>10</v>
      </c>
      <c r="F3279">
        <f t="shared" ref="F3279" si="9620">_xlfn.NUMBERVALUE(RIGHT(C3279,4))</f>
        <v>2024</v>
      </c>
      <c r="G3279" t="s">
        <v>7</v>
      </c>
      <c r="H3279">
        <v>-2</v>
      </c>
      <c r="K3279" t="s">
        <v>9</v>
      </c>
      <c r="L3279" s="8">
        <f t="shared" si="9376"/>
        <v>-1</v>
      </c>
      <c r="M3279" t="s">
        <v>3632</v>
      </c>
    </row>
    <row r="3280" spans="1:13" x14ac:dyDescent="0.35">
      <c r="A3280">
        <f t="shared" si="9359"/>
        <v>3276</v>
      </c>
      <c r="B3280" s="9">
        <f t="shared" ref="B3280:B3281" si="9621">B3279+H3280+I3280+J3280</f>
        <v>37.080000000000013</v>
      </c>
      <c r="C3280" s="3" t="s">
        <v>3626</v>
      </c>
      <c r="D3280">
        <f t="shared" ref="D3280:D3281" si="9622">_xlfn.NUMBERVALUE(LEFT(C3280,2))</f>
        <v>24</v>
      </c>
      <c r="E3280">
        <f t="shared" ref="E3280:E3281" si="9623">_xlfn.NUMBERVALUE(MID(C3280,4,2))</f>
        <v>10</v>
      </c>
      <c r="F3280">
        <f t="shared" ref="F3280:F3281" si="9624">_xlfn.NUMBERVALUE(RIGHT(C3280,4))</f>
        <v>2024</v>
      </c>
      <c r="G3280" t="s">
        <v>7</v>
      </c>
      <c r="H3280">
        <v>-2</v>
      </c>
      <c r="I3280">
        <v>4</v>
      </c>
      <c r="K3280" t="s">
        <v>10</v>
      </c>
      <c r="L3280" s="8">
        <f t="shared" si="9376"/>
        <v>1</v>
      </c>
      <c r="M3280" t="s">
        <v>3633</v>
      </c>
    </row>
    <row r="3281" spans="1:13" x14ac:dyDescent="0.35">
      <c r="A3281">
        <f t="shared" si="9359"/>
        <v>3277</v>
      </c>
      <c r="B3281" s="9">
        <f t="shared" si="9621"/>
        <v>37.080000000000013</v>
      </c>
      <c r="C3281" s="3" t="s">
        <v>3626</v>
      </c>
      <c r="D3281">
        <f t="shared" si="9622"/>
        <v>24</v>
      </c>
      <c r="E3281">
        <f t="shared" si="9623"/>
        <v>10</v>
      </c>
      <c r="F3281">
        <f t="shared" si="9624"/>
        <v>2024</v>
      </c>
      <c r="G3281" t="s">
        <v>2969</v>
      </c>
      <c r="K3281" t="s">
        <v>9</v>
      </c>
      <c r="L3281" s="8">
        <f t="shared" si="9376"/>
        <v>0</v>
      </c>
      <c r="M3281" t="s">
        <v>3634</v>
      </c>
    </row>
    <row r="3282" spans="1:13" x14ac:dyDescent="0.35">
      <c r="A3282">
        <f t="shared" si="9359"/>
        <v>3278</v>
      </c>
      <c r="B3282" s="9">
        <f t="shared" ref="B3282" si="9625">B3281+H3282+I3282+J3282</f>
        <v>35.080000000000013</v>
      </c>
      <c r="C3282" s="3" t="s">
        <v>3626</v>
      </c>
      <c r="D3282">
        <f t="shared" ref="D3282" si="9626">_xlfn.NUMBERVALUE(LEFT(C3282,2))</f>
        <v>24</v>
      </c>
      <c r="E3282">
        <f t="shared" ref="E3282" si="9627">_xlfn.NUMBERVALUE(MID(C3282,4,2))</f>
        <v>10</v>
      </c>
      <c r="F3282">
        <f t="shared" ref="F3282" si="9628">_xlfn.NUMBERVALUE(RIGHT(C3282,4))</f>
        <v>2024</v>
      </c>
      <c r="G3282" t="s">
        <v>7</v>
      </c>
      <c r="H3282">
        <v>-2</v>
      </c>
      <c r="K3282" t="s">
        <v>9</v>
      </c>
      <c r="L3282" s="8">
        <f t="shared" si="9376"/>
        <v>-1</v>
      </c>
      <c r="M3282" t="s">
        <v>3635</v>
      </c>
    </row>
    <row r="3283" spans="1:13" x14ac:dyDescent="0.35">
      <c r="A3283">
        <f t="shared" si="9359"/>
        <v>3279</v>
      </c>
      <c r="B3283" s="9">
        <f t="shared" ref="B3283" si="9629">B3282+H3283+I3283+J3283</f>
        <v>33.080000000000013</v>
      </c>
      <c r="C3283" s="3" t="s">
        <v>3626</v>
      </c>
      <c r="D3283">
        <f t="shared" ref="D3283" si="9630">_xlfn.NUMBERVALUE(LEFT(C3283,2))</f>
        <v>24</v>
      </c>
      <c r="E3283">
        <f t="shared" ref="E3283" si="9631">_xlfn.NUMBERVALUE(MID(C3283,4,2))</f>
        <v>10</v>
      </c>
      <c r="F3283">
        <f t="shared" ref="F3283" si="9632">_xlfn.NUMBERVALUE(RIGHT(C3283,4))</f>
        <v>2024</v>
      </c>
      <c r="G3283" t="s">
        <v>7</v>
      </c>
      <c r="H3283">
        <v>-2</v>
      </c>
      <c r="K3283" t="s">
        <v>9</v>
      </c>
      <c r="L3283" s="8">
        <f t="shared" si="9376"/>
        <v>-1</v>
      </c>
      <c r="M3283" t="s">
        <v>3636</v>
      </c>
    </row>
    <row r="3284" spans="1:13" x14ac:dyDescent="0.35">
      <c r="A3284">
        <f t="shared" si="9359"/>
        <v>3280</v>
      </c>
      <c r="B3284" s="9">
        <f t="shared" ref="B3284" si="9633">B3283+H3284+I3284+J3284</f>
        <v>31.080000000000013</v>
      </c>
      <c r="C3284" s="3" t="s">
        <v>3626</v>
      </c>
      <c r="D3284">
        <f t="shared" ref="D3284" si="9634">_xlfn.NUMBERVALUE(LEFT(C3284,2))</f>
        <v>24</v>
      </c>
      <c r="E3284">
        <f t="shared" ref="E3284" si="9635">_xlfn.NUMBERVALUE(MID(C3284,4,2))</f>
        <v>10</v>
      </c>
      <c r="F3284">
        <f t="shared" ref="F3284" si="9636">_xlfn.NUMBERVALUE(RIGHT(C3284,4))</f>
        <v>2024</v>
      </c>
      <c r="G3284" t="s">
        <v>7</v>
      </c>
      <c r="H3284">
        <v>-2</v>
      </c>
      <c r="K3284" t="s">
        <v>9</v>
      </c>
      <c r="L3284" s="8">
        <f t="shared" si="9376"/>
        <v>-1</v>
      </c>
      <c r="M3284" t="s">
        <v>3637</v>
      </c>
    </row>
    <row r="3285" spans="1:13" x14ac:dyDescent="0.35">
      <c r="A3285">
        <f t="shared" si="9359"/>
        <v>3281</v>
      </c>
      <c r="B3285" s="9">
        <f t="shared" ref="B3285" si="9637">B3284+H3285+I3285+J3285</f>
        <v>29.080000000000013</v>
      </c>
      <c r="C3285" s="3" t="s">
        <v>3626</v>
      </c>
      <c r="D3285">
        <f t="shared" ref="D3285" si="9638">_xlfn.NUMBERVALUE(LEFT(C3285,2))</f>
        <v>24</v>
      </c>
      <c r="E3285">
        <f t="shared" ref="E3285" si="9639">_xlfn.NUMBERVALUE(MID(C3285,4,2))</f>
        <v>10</v>
      </c>
      <c r="F3285">
        <f t="shared" ref="F3285" si="9640">_xlfn.NUMBERVALUE(RIGHT(C3285,4))</f>
        <v>2024</v>
      </c>
      <c r="G3285" t="s">
        <v>7</v>
      </c>
      <c r="H3285">
        <v>-2</v>
      </c>
      <c r="K3285" t="s">
        <v>9</v>
      </c>
      <c r="L3285" s="8">
        <f t="shared" si="9376"/>
        <v>-1</v>
      </c>
      <c r="M3285" t="s">
        <v>3638</v>
      </c>
    </row>
    <row r="3286" spans="1:13" x14ac:dyDescent="0.35">
      <c r="A3286">
        <f t="shared" si="9359"/>
        <v>3282</v>
      </c>
      <c r="B3286" s="9">
        <f t="shared" ref="B3286" si="9641">B3285+H3286+I3286+J3286</f>
        <v>27.080000000000013</v>
      </c>
      <c r="C3286" s="3" t="s">
        <v>3626</v>
      </c>
      <c r="D3286">
        <f t="shared" ref="D3286" si="9642">_xlfn.NUMBERVALUE(LEFT(C3286,2))</f>
        <v>24</v>
      </c>
      <c r="E3286">
        <f t="shared" ref="E3286" si="9643">_xlfn.NUMBERVALUE(MID(C3286,4,2))</f>
        <v>10</v>
      </c>
      <c r="F3286">
        <f t="shared" ref="F3286" si="9644">_xlfn.NUMBERVALUE(RIGHT(C3286,4))</f>
        <v>2024</v>
      </c>
      <c r="G3286" t="s">
        <v>7</v>
      </c>
      <c r="H3286">
        <v>-2</v>
      </c>
      <c r="K3286" t="s">
        <v>9</v>
      </c>
      <c r="L3286" s="8">
        <f t="shared" ref="L3286:L3299" si="9645">IF(H3286="",0,(SUM(I3286:J3286)/-H3286)-1)</f>
        <v>-1</v>
      </c>
      <c r="M3286" t="s">
        <v>3639</v>
      </c>
    </row>
    <row r="3287" spans="1:13" x14ac:dyDescent="0.35">
      <c r="A3287">
        <f t="shared" si="9359"/>
        <v>3283</v>
      </c>
      <c r="B3287" s="9">
        <f t="shared" ref="B3287" si="9646">B3286+H3287+I3287+J3287</f>
        <v>29.080000000000013</v>
      </c>
      <c r="C3287" s="3" t="s">
        <v>3626</v>
      </c>
      <c r="D3287">
        <f t="shared" ref="D3287" si="9647">_xlfn.NUMBERVALUE(LEFT(C3287,2))</f>
        <v>24</v>
      </c>
      <c r="E3287">
        <f t="shared" ref="E3287" si="9648">_xlfn.NUMBERVALUE(MID(C3287,4,2))</f>
        <v>10</v>
      </c>
      <c r="F3287">
        <f t="shared" ref="F3287" si="9649">_xlfn.NUMBERVALUE(RIGHT(C3287,4))</f>
        <v>2024</v>
      </c>
      <c r="G3287" t="s">
        <v>7</v>
      </c>
      <c r="H3287">
        <v>-2</v>
      </c>
      <c r="I3287">
        <v>4</v>
      </c>
      <c r="K3287" t="s">
        <v>10</v>
      </c>
      <c r="L3287" s="8">
        <f t="shared" si="9645"/>
        <v>1</v>
      </c>
      <c r="M3287" t="s">
        <v>3640</v>
      </c>
    </row>
    <row r="3288" spans="1:13" x14ac:dyDescent="0.35">
      <c r="A3288">
        <f t="shared" si="9359"/>
        <v>3284</v>
      </c>
      <c r="B3288" s="9">
        <f t="shared" ref="B3288:B3289" si="9650">B3287+H3288+I3288+J3288</f>
        <v>27.080000000000013</v>
      </c>
      <c r="C3288" s="3" t="s">
        <v>3644</v>
      </c>
      <c r="D3288">
        <f t="shared" ref="D3288:D3289" si="9651">_xlfn.NUMBERVALUE(LEFT(C3288,2))</f>
        <v>25</v>
      </c>
      <c r="E3288">
        <f t="shared" ref="E3288:E3289" si="9652">_xlfn.NUMBERVALUE(MID(C3288,4,2))</f>
        <v>10</v>
      </c>
      <c r="F3288">
        <f t="shared" ref="F3288:F3289" si="9653">_xlfn.NUMBERVALUE(RIGHT(C3288,4))</f>
        <v>2024</v>
      </c>
      <c r="G3288" t="s">
        <v>7</v>
      </c>
      <c r="H3288">
        <v>-2</v>
      </c>
      <c r="K3288" t="s">
        <v>9</v>
      </c>
      <c r="L3288" s="8">
        <f t="shared" si="9645"/>
        <v>-1</v>
      </c>
      <c r="M3288" t="s">
        <v>3641</v>
      </c>
    </row>
    <row r="3289" spans="1:13" x14ac:dyDescent="0.35">
      <c r="A3289">
        <f t="shared" si="9359"/>
        <v>3285</v>
      </c>
      <c r="B3289" s="9">
        <f t="shared" si="9650"/>
        <v>27.080000000000013</v>
      </c>
      <c r="C3289" s="3" t="s">
        <v>3644</v>
      </c>
      <c r="D3289">
        <f t="shared" si="9651"/>
        <v>25</v>
      </c>
      <c r="E3289">
        <f t="shared" si="9652"/>
        <v>10</v>
      </c>
      <c r="F3289">
        <f t="shared" si="9653"/>
        <v>2024</v>
      </c>
      <c r="G3289" t="s">
        <v>3039</v>
      </c>
      <c r="K3289" t="s">
        <v>9</v>
      </c>
      <c r="L3289" s="8">
        <f t="shared" si="9645"/>
        <v>0</v>
      </c>
      <c r="M3289" t="s">
        <v>3642</v>
      </c>
    </row>
    <row r="3290" spans="1:13" x14ac:dyDescent="0.35">
      <c r="A3290">
        <f t="shared" si="9359"/>
        <v>3286</v>
      </c>
      <c r="B3290" s="9">
        <f t="shared" ref="B3290" si="9654">B3289+H3290+I3290+J3290</f>
        <v>29.080000000000013</v>
      </c>
      <c r="C3290" s="3" t="s">
        <v>3644</v>
      </c>
      <c r="D3290">
        <f t="shared" ref="D3290" si="9655">_xlfn.NUMBERVALUE(LEFT(C3290,2))</f>
        <v>25</v>
      </c>
      <c r="E3290">
        <f t="shared" ref="E3290" si="9656">_xlfn.NUMBERVALUE(MID(C3290,4,2))</f>
        <v>10</v>
      </c>
      <c r="F3290">
        <f t="shared" ref="F3290" si="9657">_xlfn.NUMBERVALUE(RIGHT(C3290,4))</f>
        <v>2024</v>
      </c>
      <c r="G3290" t="s">
        <v>7</v>
      </c>
      <c r="H3290">
        <v>-2</v>
      </c>
      <c r="I3290">
        <v>4</v>
      </c>
      <c r="K3290" t="s">
        <v>10</v>
      </c>
      <c r="L3290" s="8">
        <f t="shared" si="9645"/>
        <v>1</v>
      </c>
      <c r="M3290" t="s">
        <v>3643</v>
      </c>
    </row>
    <row r="3291" spans="1:13" x14ac:dyDescent="0.35">
      <c r="A3291">
        <f t="shared" si="9359"/>
        <v>3287</v>
      </c>
      <c r="B3291" s="9">
        <f t="shared" ref="B3291" si="9658">B3290+H3291+I3291+J3291</f>
        <v>33.080000000000013</v>
      </c>
      <c r="C3291" s="3" t="s">
        <v>3644</v>
      </c>
      <c r="D3291">
        <f t="shared" ref="D3291" si="9659">_xlfn.NUMBERVALUE(LEFT(C3291,2))</f>
        <v>25</v>
      </c>
      <c r="E3291">
        <f t="shared" ref="E3291" si="9660">_xlfn.NUMBERVALUE(MID(C3291,4,2))</f>
        <v>10</v>
      </c>
      <c r="F3291">
        <f t="shared" ref="F3291" si="9661">_xlfn.NUMBERVALUE(RIGHT(C3291,4))</f>
        <v>2024</v>
      </c>
      <c r="G3291" t="s">
        <v>7</v>
      </c>
      <c r="H3291">
        <v>-2</v>
      </c>
      <c r="I3291">
        <v>6</v>
      </c>
      <c r="K3291" t="s">
        <v>10</v>
      </c>
      <c r="L3291" s="8">
        <f t="shared" si="9645"/>
        <v>2</v>
      </c>
      <c r="M3291" t="s">
        <v>3645</v>
      </c>
    </row>
    <row r="3292" spans="1:13" x14ac:dyDescent="0.35">
      <c r="A3292">
        <f t="shared" si="9359"/>
        <v>3288</v>
      </c>
      <c r="B3292" s="9">
        <f t="shared" ref="B3292" si="9662">B3291+H3292+I3292+J3292</f>
        <v>31.080000000000013</v>
      </c>
      <c r="C3292" s="3" t="s">
        <v>3644</v>
      </c>
      <c r="D3292">
        <f t="shared" ref="D3292" si="9663">_xlfn.NUMBERVALUE(LEFT(C3292,2))</f>
        <v>25</v>
      </c>
      <c r="E3292">
        <f t="shared" ref="E3292" si="9664">_xlfn.NUMBERVALUE(MID(C3292,4,2))</f>
        <v>10</v>
      </c>
      <c r="F3292">
        <f t="shared" ref="F3292" si="9665">_xlfn.NUMBERVALUE(RIGHT(C3292,4))</f>
        <v>2024</v>
      </c>
      <c r="G3292" t="s">
        <v>7</v>
      </c>
      <c r="H3292">
        <v>-2</v>
      </c>
      <c r="K3292" t="s">
        <v>9</v>
      </c>
      <c r="L3292" s="8">
        <f t="shared" si="9645"/>
        <v>-1</v>
      </c>
      <c r="M3292" t="s">
        <v>3646</v>
      </c>
    </row>
    <row r="3293" spans="1:13" x14ac:dyDescent="0.35">
      <c r="A3293">
        <f t="shared" si="9359"/>
        <v>3289</v>
      </c>
      <c r="B3293" s="9">
        <f t="shared" ref="B3293" si="9666">B3292+H3293+I3293+J3293</f>
        <v>29.080000000000013</v>
      </c>
      <c r="C3293" s="3" t="s">
        <v>3644</v>
      </c>
      <c r="D3293">
        <f t="shared" ref="D3293" si="9667">_xlfn.NUMBERVALUE(LEFT(C3293,2))</f>
        <v>25</v>
      </c>
      <c r="E3293">
        <f t="shared" ref="E3293" si="9668">_xlfn.NUMBERVALUE(MID(C3293,4,2))</f>
        <v>10</v>
      </c>
      <c r="F3293">
        <f t="shared" ref="F3293" si="9669">_xlfn.NUMBERVALUE(RIGHT(C3293,4))</f>
        <v>2024</v>
      </c>
      <c r="G3293" t="s">
        <v>7</v>
      </c>
      <c r="H3293">
        <v>-2</v>
      </c>
      <c r="K3293" t="s">
        <v>9</v>
      </c>
      <c r="L3293" s="8">
        <f t="shared" si="9645"/>
        <v>-1</v>
      </c>
      <c r="M3293" t="s">
        <v>3647</v>
      </c>
    </row>
    <row r="3294" spans="1:13" x14ac:dyDescent="0.35">
      <c r="A3294">
        <f t="shared" si="9359"/>
        <v>3290</v>
      </c>
      <c r="B3294" s="9">
        <f t="shared" ref="B3294" si="9670">B3293+H3294+I3294+J3294</f>
        <v>27.080000000000013</v>
      </c>
      <c r="C3294" s="3" t="s">
        <v>3644</v>
      </c>
      <c r="D3294">
        <f t="shared" ref="D3294" si="9671">_xlfn.NUMBERVALUE(LEFT(C3294,2))</f>
        <v>25</v>
      </c>
      <c r="E3294">
        <f t="shared" ref="E3294" si="9672">_xlfn.NUMBERVALUE(MID(C3294,4,2))</f>
        <v>10</v>
      </c>
      <c r="F3294">
        <f t="shared" ref="F3294" si="9673">_xlfn.NUMBERVALUE(RIGHT(C3294,4))</f>
        <v>2024</v>
      </c>
      <c r="G3294" t="s">
        <v>7</v>
      </c>
      <c r="H3294">
        <v>-2</v>
      </c>
      <c r="K3294" t="s">
        <v>9</v>
      </c>
      <c r="L3294" s="8">
        <f t="shared" si="9645"/>
        <v>-1</v>
      </c>
      <c r="M3294" t="s">
        <v>3648</v>
      </c>
    </row>
    <row r="3295" spans="1:13" x14ac:dyDescent="0.35">
      <c r="A3295">
        <f t="shared" si="9359"/>
        <v>3291</v>
      </c>
      <c r="B3295" s="9">
        <f t="shared" ref="B3295" si="9674">B3294+H3295+I3295+J3295</f>
        <v>29.080000000000013</v>
      </c>
      <c r="C3295" s="3" t="s">
        <v>3644</v>
      </c>
      <c r="D3295">
        <f t="shared" ref="D3295" si="9675">_xlfn.NUMBERVALUE(LEFT(C3295,2))</f>
        <v>25</v>
      </c>
      <c r="E3295">
        <f t="shared" ref="E3295" si="9676">_xlfn.NUMBERVALUE(MID(C3295,4,2))</f>
        <v>10</v>
      </c>
      <c r="F3295">
        <f t="shared" ref="F3295" si="9677">_xlfn.NUMBERVALUE(RIGHT(C3295,4))</f>
        <v>2024</v>
      </c>
      <c r="G3295" t="s">
        <v>7</v>
      </c>
      <c r="H3295">
        <v>-2</v>
      </c>
      <c r="I3295">
        <v>4</v>
      </c>
      <c r="K3295" t="s">
        <v>10</v>
      </c>
      <c r="L3295" s="8">
        <f t="shared" si="9645"/>
        <v>1</v>
      </c>
      <c r="M3295" t="s">
        <v>3649</v>
      </c>
    </row>
    <row r="3296" spans="1:13" x14ac:dyDescent="0.35">
      <c r="A3296">
        <f t="shared" si="9359"/>
        <v>3292</v>
      </c>
      <c r="B3296" s="9">
        <f t="shared" ref="B3296" si="9678">B3295+H3296+I3296+J3296</f>
        <v>27.080000000000013</v>
      </c>
      <c r="C3296" s="3" t="s">
        <v>3644</v>
      </c>
      <c r="D3296">
        <f t="shared" ref="D3296" si="9679">_xlfn.NUMBERVALUE(LEFT(C3296,2))</f>
        <v>25</v>
      </c>
      <c r="E3296">
        <f t="shared" ref="E3296" si="9680">_xlfn.NUMBERVALUE(MID(C3296,4,2))</f>
        <v>10</v>
      </c>
      <c r="F3296">
        <f t="shared" ref="F3296" si="9681">_xlfn.NUMBERVALUE(RIGHT(C3296,4))</f>
        <v>2024</v>
      </c>
      <c r="G3296" t="s">
        <v>7</v>
      </c>
      <c r="H3296">
        <v>-2</v>
      </c>
      <c r="K3296" t="s">
        <v>9</v>
      </c>
      <c r="L3296" s="8">
        <f t="shared" si="9645"/>
        <v>-1</v>
      </c>
      <c r="M3296" t="s">
        <v>3650</v>
      </c>
    </row>
    <row r="3297" spans="1:13" x14ac:dyDescent="0.35">
      <c r="A3297">
        <f t="shared" si="9359"/>
        <v>3293</v>
      </c>
      <c r="B3297" s="9">
        <f t="shared" ref="B3297" si="9682">B3296+H3297+I3297+J3297</f>
        <v>29.080000000000013</v>
      </c>
      <c r="C3297" s="3" t="s">
        <v>3644</v>
      </c>
      <c r="D3297">
        <f t="shared" ref="D3297" si="9683">_xlfn.NUMBERVALUE(LEFT(C3297,2))</f>
        <v>25</v>
      </c>
      <c r="E3297">
        <f t="shared" ref="E3297" si="9684">_xlfn.NUMBERVALUE(MID(C3297,4,2))</f>
        <v>10</v>
      </c>
      <c r="F3297">
        <f t="shared" ref="F3297" si="9685">_xlfn.NUMBERVALUE(RIGHT(C3297,4))</f>
        <v>2024</v>
      </c>
      <c r="G3297" t="s">
        <v>7</v>
      </c>
      <c r="H3297">
        <v>-2</v>
      </c>
      <c r="I3297">
        <v>4</v>
      </c>
      <c r="K3297" t="s">
        <v>10</v>
      </c>
      <c r="L3297" s="8">
        <f t="shared" si="9645"/>
        <v>1</v>
      </c>
      <c r="M3297" t="s">
        <v>3651</v>
      </c>
    </row>
    <row r="3298" spans="1:13" x14ac:dyDescent="0.35">
      <c r="A3298">
        <f t="shared" si="9359"/>
        <v>3294</v>
      </c>
      <c r="B3298" s="9">
        <f t="shared" ref="B3298" si="9686">B3297+H3298+I3298+J3298</f>
        <v>27.080000000000013</v>
      </c>
      <c r="C3298" s="3" t="s">
        <v>3644</v>
      </c>
      <c r="D3298">
        <f t="shared" ref="D3298" si="9687">_xlfn.NUMBERVALUE(LEFT(C3298,2))</f>
        <v>25</v>
      </c>
      <c r="E3298">
        <f t="shared" ref="E3298" si="9688">_xlfn.NUMBERVALUE(MID(C3298,4,2))</f>
        <v>10</v>
      </c>
      <c r="F3298">
        <f t="shared" ref="F3298" si="9689">_xlfn.NUMBERVALUE(RIGHT(C3298,4))</f>
        <v>2024</v>
      </c>
      <c r="G3298" t="s">
        <v>7</v>
      </c>
      <c r="H3298">
        <v>-2</v>
      </c>
      <c r="K3298" t="s">
        <v>9</v>
      </c>
      <c r="L3298" s="8">
        <f t="shared" si="9645"/>
        <v>-1</v>
      </c>
      <c r="M3298" t="s">
        <v>3652</v>
      </c>
    </row>
    <row r="3299" spans="1:13" x14ac:dyDescent="0.35">
      <c r="A3299">
        <f t="shared" si="9359"/>
        <v>3295</v>
      </c>
      <c r="B3299" s="9">
        <f t="shared" ref="B3299" si="9690">B3298+H3299+I3299+J3299</f>
        <v>25.080000000000013</v>
      </c>
      <c r="C3299" s="3" t="s">
        <v>3644</v>
      </c>
      <c r="D3299">
        <f t="shared" ref="D3299" si="9691">_xlfn.NUMBERVALUE(LEFT(C3299,2))</f>
        <v>25</v>
      </c>
      <c r="E3299">
        <f t="shared" ref="E3299" si="9692">_xlfn.NUMBERVALUE(MID(C3299,4,2))</f>
        <v>10</v>
      </c>
      <c r="F3299">
        <f t="shared" ref="F3299" si="9693">_xlfn.NUMBERVALUE(RIGHT(C3299,4))</f>
        <v>2024</v>
      </c>
      <c r="G3299" t="s">
        <v>7</v>
      </c>
      <c r="H3299">
        <v>-2</v>
      </c>
      <c r="K3299" t="s">
        <v>9</v>
      </c>
      <c r="L3299" s="8">
        <f t="shared" si="9645"/>
        <v>-1</v>
      </c>
      <c r="M3299" t="s">
        <v>3653</v>
      </c>
    </row>
    <row r="3300" spans="1:13" x14ac:dyDescent="0.35">
      <c r="A3300">
        <f t="shared" si="9359"/>
        <v>3296</v>
      </c>
      <c r="B3300" s="9">
        <f t="shared" ref="B3300" si="9694">B3299+H3300+I3300+J3300</f>
        <v>23.080000000000013</v>
      </c>
      <c r="C3300" s="3" t="s">
        <v>3644</v>
      </c>
      <c r="D3300">
        <f t="shared" ref="D3300" si="9695">_xlfn.NUMBERVALUE(LEFT(C3300,2))</f>
        <v>25</v>
      </c>
      <c r="E3300">
        <f t="shared" ref="E3300" si="9696">_xlfn.NUMBERVALUE(MID(C3300,4,2))</f>
        <v>10</v>
      </c>
      <c r="F3300">
        <f t="shared" ref="F3300" si="9697">_xlfn.NUMBERVALUE(RIGHT(C3300,4))</f>
        <v>2024</v>
      </c>
      <c r="G3300" t="s">
        <v>7</v>
      </c>
      <c r="H3300">
        <v>-2</v>
      </c>
      <c r="K3300" t="s">
        <v>9</v>
      </c>
      <c r="L3300" s="8">
        <f t="shared" ref="L3300:L3321" si="9698">IF(H3300="",0,(SUM(I3300:J3300)/-H3300)-1)</f>
        <v>-1</v>
      </c>
      <c r="M3300" t="s">
        <v>3654</v>
      </c>
    </row>
    <row r="3301" spans="1:13" x14ac:dyDescent="0.35">
      <c r="A3301">
        <f t="shared" si="9359"/>
        <v>3297</v>
      </c>
      <c r="B3301" s="9">
        <f t="shared" ref="B3301" si="9699">B3300+H3301+I3301+J3301</f>
        <v>21.080000000000013</v>
      </c>
      <c r="C3301" s="3" t="s">
        <v>3644</v>
      </c>
      <c r="D3301">
        <f t="shared" ref="D3301" si="9700">_xlfn.NUMBERVALUE(LEFT(C3301,2))</f>
        <v>25</v>
      </c>
      <c r="E3301">
        <f t="shared" ref="E3301" si="9701">_xlfn.NUMBERVALUE(MID(C3301,4,2))</f>
        <v>10</v>
      </c>
      <c r="F3301">
        <f t="shared" ref="F3301" si="9702">_xlfn.NUMBERVALUE(RIGHT(C3301,4))</f>
        <v>2024</v>
      </c>
      <c r="G3301" t="s">
        <v>7</v>
      </c>
      <c r="H3301">
        <v>-2</v>
      </c>
      <c r="K3301" t="s">
        <v>9</v>
      </c>
      <c r="L3301" s="8">
        <f t="shared" si="9698"/>
        <v>-1</v>
      </c>
      <c r="M3301" t="s">
        <v>3655</v>
      </c>
    </row>
    <row r="3302" spans="1:13" x14ac:dyDescent="0.35">
      <c r="A3302">
        <f t="shared" si="9359"/>
        <v>3298</v>
      </c>
      <c r="B3302" s="9">
        <f t="shared" ref="B3302" si="9703">B3301+H3302+I3302+J3302</f>
        <v>19.080000000000013</v>
      </c>
      <c r="C3302" s="3" t="s">
        <v>3644</v>
      </c>
      <c r="D3302">
        <f t="shared" ref="D3302" si="9704">_xlfn.NUMBERVALUE(LEFT(C3302,2))</f>
        <v>25</v>
      </c>
      <c r="E3302">
        <f t="shared" ref="E3302" si="9705">_xlfn.NUMBERVALUE(MID(C3302,4,2))</f>
        <v>10</v>
      </c>
      <c r="F3302">
        <f t="shared" ref="F3302" si="9706">_xlfn.NUMBERVALUE(RIGHT(C3302,4))</f>
        <v>2024</v>
      </c>
      <c r="G3302" t="s">
        <v>7</v>
      </c>
      <c r="H3302">
        <v>-2</v>
      </c>
      <c r="K3302" t="s">
        <v>9</v>
      </c>
      <c r="L3302" s="8">
        <f t="shared" si="9698"/>
        <v>-1</v>
      </c>
      <c r="M3302" t="s">
        <v>3656</v>
      </c>
    </row>
    <row r="3303" spans="1:13" x14ac:dyDescent="0.35">
      <c r="A3303">
        <f t="shared" si="9359"/>
        <v>3299</v>
      </c>
      <c r="B3303" s="9">
        <f t="shared" ref="B3303" si="9707">B3302+H3303+I3303+J3303</f>
        <v>17.080000000000013</v>
      </c>
      <c r="C3303" s="3" t="s">
        <v>3644</v>
      </c>
      <c r="D3303">
        <f t="shared" ref="D3303" si="9708">_xlfn.NUMBERVALUE(LEFT(C3303,2))</f>
        <v>25</v>
      </c>
      <c r="E3303">
        <f t="shared" ref="E3303" si="9709">_xlfn.NUMBERVALUE(MID(C3303,4,2))</f>
        <v>10</v>
      </c>
      <c r="F3303">
        <f t="shared" ref="F3303" si="9710">_xlfn.NUMBERVALUE(RIGHT(C3303,4))</f>
        <v>2024</v>
      </c>
      <c r="G3303" t="s">
        <v>7</v>
      </c>
      <c r="H3303">
        <v>-2</v>
      </c>
      <c r="K3303" t="s">
        <v>9</v>
      </c>
      <c r="L3303" s="8">
        <f t="shared" si="9698"/>
        <v>-1</v>
      </c>
      <c r="M3303" t="s">
        <v>3657</v>
      </c>
    </row>
    <row r="3304" spans="1:13" x14ac:dyDescent="0.35">
      <c r="A3304">
        <f t="shared" si="9359"/>
        <v>3300</v>
      </c>
      <c r="B3304" s="9">
        <f t="shared" ref="B3304" si="9711">B3303+H3304+I3304+J3304</f>
        <v>15.080000000000013</v>
      </c>
      <c r="C3304" s="3" t="s">
        <v>3644</v>
      </c>
      <c r="D3304">
        <f t="shared" ref="D3304" si="9712">_xlfn.NUMBERVALUE(LEFT(C3304,2))</f>
        <v>25</v>
      </c>
      <c r="E3304">
        <f t="shared" ref="E3304" si="9713">_xlfn.NUMBERVALUE(MID(C3304,4,2))</f>
        <v>10</v>
      </c>
      <c r="F3304">
        <f t="shared" ref="F3304" si="9714">_xlfn.NUMBERVALUE(RIGHT(C3304,4))</f>
        <v>2024</v>
      </c>
      <c r="G3304" t="s">
        <v>7</v>
      </c>
      <c r="H3304">
        <v>-2</v>
      </c>
      <c r="K3304" t="s">
        <v>9</v>
      </c>
      <c r="L3304" s="8">
        <f t="shared" si="9698"/>
        <v>-1</v>
      </c>
      <c r="M3304" t="s">
        <v>3658</v>
      </c>
    </row>
    <row r="3305" spans="1:13" x14ac:dyDescent="0.35">
      <c r="A3305">
        <f t="shared" si="9359"/>
        <v>3301</v>
      </c>
      <c r="B3305" s="9">
        <f t="shared" ref="B3305" si="9715">B3304+H3305+I3305+J3305</f>
        <v>10.080000000000013</v>
      </c>
      <c r="C3305" s="3" t="s">
        <v>3644</v>
      </c>
      <c r="D3305">
        <f t="shared" ref="D3305" si="9716">_xlfn.NUMBERVALUE(LEFT(C3305,2))</f>
        <v>25</v>
      </c>
      <c r="E3305">
        <f t="shared" ref="E3305" si="9717">_xlfn.NUMBERVALUE(MID(C3305,4,2))</f>
        <v>10</v>
      </c>
      <c r="F3305">
        <f t="shared" ref="F3305" si="9718">_xlfn.NUMBERVALUE(RIGHT(C3305,4))</f>
        <v>2024</v>
      </c>
      <c r="G3305" t="s">
        <v>7</v>
      </c>
      <c r="H3305">
        <v>-5</v>
      </c>
      <c r="K3305" t="s">
        <v>9</v>
      </c>
      <c r="L3305" s="8">
        <f t="shared" si="9698"/>
        <v>-1</v>
      </c>
      <c r="M3305" t="s">
        <v>3659</v>
      </c>
    </row>
    <row r="3306" spans="1:13" x14ac:dyDescent="0.35">
      <c r="A3306">
        <f t="shared" si="9359"/>
        <v>3302</v>
      </c>
      <c r="B3306" s="9">
        <f t="shared" ref="B3306" si="9719">B3305+H3306+I3306+J3306</f>
        <v>8.0000000000012506E-2</v>
      </c>
      <c r="C3306" s="3" t="s">
        <v>3644</v>
      </c>
      <c r="D3306">
        <f t="shared" ref="D3306" si="9720">_xlfn.NUMBERVALUE(LEFT(C3306,2))</f>
        <v>25</v>
      </c>
      <c r="E3306">
        <f t="shared" ref="E3306" si="9721">_xlfn.NUMBERVALUE(MID(C3306,4,2))</f>
        <v>10</v>
      </c>
      <c r="F3306">
        <f t="shared" ref="F3306" si="9722">_xlfn.NUMBERVALUE(RIGHT(C3306,4))</f>
        <v>2024</v>
      </c>
      <c r="G3306" t="s">
        <v>7</v>
      </c>
      <c r="H3306">
        <v>-10</v>
      </c>
      <c r="K3306" t="s">
        <v>9</v>
      </c>
      <c r="L3306" s="8">
        <f t="shared" si="9698"/>
        <v>-1</v>
      </c>
      <c r="M3306" t="s">
        <v>3660</v>
      </c>
    </row>
    <row r="3307" spans="1:13" x14ac:dyDescent="0.35">
      <c r="A3307">
        <f t="shared" si="9359"/>
        <v>3303</v>
      </c>
      <c r="B3307" s="9">
        <f t="shared" ref="B3307:B3308" si="9723">B3306+H3307+I3307+J3307</f>
        <v>57.750000000000014</v>
      </c>
      <c r="C3307" s="3" t="s">
        <v>3644</v>
      </c>
      <c r="D3307">
        <f t="shared" ref="D3307:D3308" si="9724">_xlfn.NUMBERVALUE(LEFT(C3307,2))</f>
        <v>25</v>
      </c>
      <c r="E3307">
        <f t="shared" ref="E3307:E3308" si="9725">_xlfn.NUMBERVALUE(MID(C3307,4,2))</f>
        <v>10</v>
      </c>
      <c r="F3307">
        <f t="shared" ref="F3307:F3308" si="9726">_xlfn.NUMBERVALUE(RIGHT(C3307,4))</f>
        <v>2024</v>
      </c>
      <c r="G3307" t="s">
        <v>3362</v>
      </c>
      <c r="I3307">
        <v>57.67</v>
      </c>
    </row>
    <row r="3308" spans="1:13" x14ac:dyDescent="0.35">
      <c r="A3308">
        <f t="shared" si="9359"/>
        <v>3304</v>
      </c>
      <c r="B3308" s="9">
        <f t="shared" si="9723"/>
        <v>59.750000000000014</v>
      </c>
      <c r="C3308" s="3" t="s">
        <v>3661</v>
      </c>
      <c r="D3308">
        <f t="shared" si="9724"/>
        <v>26</v>
      </c>
      <c r="E3308">
        <f t="shared" si="9725"/>
        <v>10</v>
      </c>
      <c r="F3308">
        <f t="shared" si="9726"/>
        <v>2024</v>
      </c>
      <c r="G3308" t="s">
        <v>7</v>
      </c>
      <c r="H3308">
        <v>-2</v>
      </c>
      <c r="I3308">
        <v>4</v>
      </c>
      <c r="K3308" t="s">
        <v>10</v>
      </c>
      <c r="L3308" s="8">
        <f t="shared" si="9698"/>
        <v>1</v>
      </c>
      <c r="M3308" t="s">
        <v>3662</v>
      </c>
    </row>
    <row r="3309" spans="1:13" x14ac:dyDescent="0.35">
      <c r="A3309">
        <f t="shared" si="9359"/>
        <v>3305</v>
      </c>
      <c r="B3309" s="9">
        <f t="shared" ref="B3309:B3310" si="9727">B3308+H3309+I3309+J3309</f>
        <v>59.750000000000014</v>
      </c>
      <c r="C3309" s="3" t="s">
        <v>3661</v>
      </c>
      <c r="D3309">
        <f t="shared" ref="D3309:D3310" si="9728">_xlfn.NUMBERVALUE(LEFT(C3309,2))</f>
        <v>26</v>
      </c>
      <c r="E3309">
        <f t="shared" ref="E3309:E3310" si="9729">_xlfn.NUMBERVALUE(MID(C3309,4,2))</f>
        <v>10</v>
      </c>
      <c r="F3309">
        <f t="shared" ref="F3309:F3310" si="9730">_xlfn.NUMBERVALUE(RIGHT(C3309,4))</f>
        <v>2024</v>
      </c>
      <c r="G3309" t="s">
        <v>3039</v>
      </c>
      <c r="K3309" t="s">
        <v>9</v>
      </c>
      <c r="L3309" s="8">
        <f t="shared" si="9698"/>
        <v>0</v>
      </c>
      <c r="M3309" t="s">
        <v>3663</v>
      </c>
    </row>
    <row r="3310" spans="1:13" x14ac:dyDescent="0.35">
      <c r="A3310">
        <f t="shared" si="9359"/>
        <v>3306</v>
      </c>
      <c r="B3310" s="9">
        <f t="shared" si="9727"/>
        <v>57.750000000000014</v>
      </c>
      <c r="C3310" s="3" t="s">
        <v>3661</v>
      </c>
      <c r="D3310">
        <f t="shared" si="9728"/>
        <v>26</v>
      </c>
      <c r="E3310">
        <f t="shared" si="9729"/>
        <v>10</v>
      </c>
      <c r="F3310">
        <f t="shared" si="9730"/>
        <v>2024</v>
      </c>
      <c r="G3310" t="s">
        <v>7</v>
      </c>
      <c r="H3310">
        <v>-2</v>
      </c>
      <c r="K3310" t="s">
        <v>9</v>
      </c>
      <c r="L3310" s="8">
        <f t="shared" si="9698"/>
        <v>-1</v>
      </c>
      <c r="M3310" t="s">
        <v>3664</v>
      </c>
    </row>
    <row r="3311" spans="1:13" x14ac:dyDescent="0.35">
      <c r="A3311">
        <f t="shared" si="9359"/>
        <v>3307</v>
      </c>
      <c r="B3311" s="9">
        <f t="shared" ref="B3311" si="9731">B3310+H3311+I3311+J3311</f>
        <v>71.750000000000014</v>
      </c>
      <c r="C3311" s="3" t="s">
        <v>3661</v>
      </c>
      <c r="D3311">
        <f t="shared" ref="D3311" si="9732">_xlfn.NUMBERVALUE(LEFT(C3311,2))</f>
        <v>26</v>
      </c>
      <c r="E3311">
        <f t="shared" ref="E3311" si="9733">_xlfn.NUMBERVALUE(MID(C3311,4,2))</f>
        <v>10</v>
      </c>
      <c r="F3311">
        <f t="shared" ref="F3311" si="9734">_xlfn.NUMBERVALUE(RIGHT(C3311,4))</f>
        <v>2024</v>
      </c>
      <c r="G3311" t="s">
        <v>7</v>
      </c>
      <c r="H3311">
        <v>-2</v>
      </c>
      <c r="I3311">
        <v>16</v>
      </c>
      <c r="K3311" t="s">
        <v>10</v>
      </c>
      <c r="L3311" s="8">
        <f t="shared" si="9698"/>
        <v>7</v>
      </c>
      <c r="M3311" t="s">
        <v>3665</v>
      </c>
    </row>
    <row r="3312" spans="1:13" x14ac:dyDescent="0.35">
      <c r="A3312">
        <f t="shared" si="9359"/>
        <v>3308</v>
      </c>
      <c r="B3312" s="9">
        <f t="shared" ref="B3312" si="9735">B3311+H3312+I3312+J3312</f>
        <v>73.750000000000014</v>
      </c>
      <c r="C3312" s="3" t="s">
        <v>3661</v>
      </c>
      <c r="D3312">
        <f t="shared" ref="D3312" si="9736">_xlfn.NUMBERVALUE(LEFT(C3312,2))</f>
        <v>26</v>
      </c>
      <c r="E3312">
        <f t="shared" ref="E3312" si="9737">_xlfn.NUMBERVALUE(MID(C3312,4,2))</f>
        <v>10</v>
      </c>
      <c r="F3312">
        <f t="shared" ref="F3312" si="9738">_xlfn.NUMBERVALUE(RIGHT(C3312,4))</f>
        <v>2024</v>
      </c>
      <c r="G3312" t="s">
        <v>7</v>
      </c>
      <c r="H3312">
        <v>-2</v>
      </c>
      <c r="I3312">
        <v>4</v>
      </c>
      <c r="K3312" t="s">
        <v>10</v>
      </c>
      <c r="L3312" s="8">
        <f t="shared" si="9698"/>
        <v>1</v>
      </c>
      <c r="M3312" t="s">
        <v>3665</v>
      </c>
    </row>
    <row r="3313" spans="1:13" x14ac:dyDescent="0.35">
      <c r="A3313">
        <f t="shared" si="9359"/>
        <v>3309</v>
      </c>
      <c r="B3313" s="9">
        <f t="shared" ref="B3313" si="9739">B3312+H3313+I3313+J3313</f>
        <v>71.750000000000014</v>
      </c>
      <c r="C3313" s="3" t="s">
        <v>3661</v>
      </c>
      <c r="D3313">
        <f t="shared" ref="D3313" si="9740">_xlfn.NUMBERVALUE(LEFT(C3313,2))</f>
        <v>26</v>
      </c>
      <c r="E3313">
        <f t="shared" ref="E3313" si="9741">_xlfn.NUMBERVALUE(MID(C3313,4,2))</f>
        <v>10</v>
      </c>
      <c r="F3313">
        <f t="shared" ref="F3313" si="9742">_xlfn.NUMBERVALUE(RIGHT(C3313,4))</f>
        <v>2024</v>
      </c>
      <c r="G3313" t="s">
        <v>7</v>
      </c>
      <c r="H3313">
        <v>-2</v>
      </c>
      <c r="K3313" t="s">
        <v>9</v>
      </c>
      <c r="L3313" s="8">
        <f t="shared" si="9698"/>
        <v>-1</v>
      </c>
      <c r="M3313" t="s">
        <v>3666</v>
      </c>
    </row>
    <row r="3314" spans="1:13" x14ac:dyDescent="0.35">
      <c r="A3314">
        <f t="shared" si="9359"/>
        <v>3310</v>
      </c>
      <c r="B3314" s="9">
        <f t="shared" ref="B3314" si="9743">B3313+H3314+I3314+J3314</f>
        <v>69.750000000000014</v>
      </c>
      <c r="C3314" s="3" t="s">
        <v>3661</v>
      </c>
      <c r="D3314">
        <f t="shared" ref="D3314" si="9744">_xlfn.NUMBERVALUE(LEFT(C3314,2))</f>
        <v>26</v>
      </c>
      <c r="E3314">
        <f t="shared" ref="E3314" si="9745">_xlfn.NUMBERVALUE(MID(C3314,4,2))</f>
        <v>10</v>
      </c>
      <c r="F3314">
        <f t="shared" ref="F3314" si="9746">_xlfn.NUMBERVALUE(RIGHT(C3314,4))</f>
        <v>2024</v>
      </c>
      <c r="G3314" t="s">
        <v>7</v>
      </c>
      <c r="H3314">
        <v>-2</v>
      </c>
      <c r="K3314" t="s">
        <v>9</v>
      </c>
      <c r="L3314" s="8">
        <f t="shared" si="9698"/>
        <v>-1</v>
      </c>
      <c r="M3314" t="s">
        <v>3667</v>
      </c>
    </row>
    <row r="3315" spans="1:13" x14ac:dyDescent="0.35">
      <c r="A3315">
        <f t="shared" si="9359"/>
        <v>3311</v>
      </c>
      <c r="B3315" s="9">
        <f t="shared" ref="B3315" si="9747">B3314+H3315+I3315+J3315</f>
        <v>71.750000000000014</v>
      </c>
      <c r="C3315" s="3" t="s">
        <v>3661</v>
      </c>
      <c r="D3315">
        <f t="shared" ref="D3315" si="9748">_xlfn.NUMBERVALUE(LEFT(C3315,2))</f>
        <v>26</v>
      </c>
      <c r="E3315">
        <f t="shared" ref="E3315" si="9749">_xlfn.NUMBERVALUE(MID(C3315,4,2))</f>
        <v>10</v>
      </c>
      <c r="F3315">
        <f t="shared" ref="F3315" si="9750">_xlfn.NUMBERVALUE(RIGHT(C3315,4))</f>
        <v>2024</v>
      </c>
      <c r="G3315" t="s">
        <v>7</v>
      </c>
      <c r="H3315">
        <v>-2</v>
      </c>
      <c r="I3315">
        <v>4</v>
      </c>
      <c r="K3315" t="s">
        <v>10</v>
      </c>
      <c r="L3315" s="8">
        <f t="shared" si="9698"/>
        <v>1</v>
      </c>
      <c r="M3315" t="s">
        <v>3668</v>
      </c>
    </row>
    <row r="3316" spans="1:13" x14ac:dyDescent="0.35">
      <c r="A3316">
        <f t="shared" si="9359"/>
        <v>3312</v>
      </c>
      <c r="B3316" s="9">
        <f t="shared" ref="B3316" si="9751">B3315+H3316+I3316+J3316</f>
        <v>85.750000000000014</v>
      </c>
      <c r="C3316" s="3" t="s">
        <v>3669</v>
      </c>
      <c r="D3316">
        <f t="shared" ref="D3316" si="9752">_xlfn.NUMBERVALUE(LEFT(C3316,2))</f>
        <v>27</v>
      </c>
      <c r="E3316">
        <f t="shared" ref="E3316" si="9753">_xlfn.NUMBERVALUE(MID(C3316,4,2))</f>
        <v>10</v>
      </c>
      <c r="F3316">
        <f t="shared" ref="F3316" si="9754">_xlfn.NUMBERVALUE(RIGHT(C3316,4))</f>
        <v>2024</v>
      </c>
      <c r="G3316" t="s">
        <v>7</v>
      </c>
      <c r="H3316">
        <v>-2</v>
      </c>
      <c r="I3316">
        <v>16</v>
      </c>
      <c r="K3316" t="s">
        <v>10</v>
      </c>
      <c r="L3316" s="8">
        <f t="shared" si="9698"/>
        <v>7</v>
      </c>
      <c r="M3316" t="s">
        <v>3670</v>
      </c>
    </row>
    <row r="3317" spans="1:13" x14ac:dyDescent="0.35">
      <c r="A3317">
        <f t="shared" si="9359"/>
        <v>3313</v>
      </c>
      <c r="B3317" s="9">
        <f t="shared" ref="B3317:B3319" si="9755">B3316+H3317+I3317+J3317</f>
        <v>85.750000000000014</v>
      </c>
      <c r="C3317" s="3" t="s">
        <v>3669</v>
      </c>
      <c r="D3317">
        <f t="shared" ref="D3317:D3319" si="9756">_xlfn.NUMBERVALUE(LEFT(C3317,2))</f>
        <v>27</v>
      </c>
      <c r="E3317">
        <f t="shared" ref="E3317:E3319" si="9757">_xlfn.NUMBERVALUE(MID(C3317,4,2))</f>
        <v>10</v>
      </c>
      <c r="F3317">
        <f t="shared" ref="F3317:F3319" si="9758">_xlfn.NUMBERVALUE(RIGHT(C3317,4))</f>
        <v>2024</v>
      </c>
      <c r="G3317" t="s">
        <v>3039</v>
      </c>
      <c r="K3317" t="s">
        <v>10</v>
      </c>
      <c r="L3317" s="8">
        <f t="shared" si="9698"/>
        <v>0</v>
      </c>
      <c r="M3317" t="s">
        <v>3671</v>
      </c>
    </row>
    <row r="3318" spans="1:13" x14ac:dyDescent="0.35">
      <c r="A3318">
        <f t="shared" si="9359"/>
        <v>3314</v>
      </c>
      <c r="B3318" s="9">
        <f t="shared" si="9755"/>
        <v>85.750000000000014</v>
      </c>
      <c r="C3318" s="3" t="s">
        <v>3669</v>
      </c>
      <c r="D3318">
        <f t="shared" si="9756"/>
        <v>27</v>
      </c>
      <c r="E3318">
        <f t="shared" si="9757"/>
        <v>10</v>
      </c>
      <c r="F3318">
        <f t="shared" si="9758"/>
        <v>2024</v>
      </c>
      <c r="G3318" t="s">
        <v>2969</v>
      </c>
      <c r="K3318" t="s">
        <v>9</v>
      </c>
      <c r="L3318" s="8">
        <f t="shared" si="9698"/>
        <v>0</v>
      </c>
      <c r="M3318" t="s">
        <v>3672</v>
      </c>
    </row>
    <row r="3319" spans="1:13" x14ac:dyDescent="0.35">
      <c r="A3319">
        <f t="shared" si="9359"/>
        <v>3315</v>
      </c>
      <c r="B3319" s="9">
        <f t="shared" si="9755"/>
        <v>83.750000000000014</v>
      </c>
      <c r="C3319" s="3" t="s">
        <v>3673</v>
      </c>
      <c r="D3319">
        <f t="shared" si="9756"/>
        <v>28</v>
      </c>
      <c r="E3319">
        <f t="shared" si="9757"/>
        <v>10</v>
      </c>
      <c r="F3319">
        <f t="shared" si="9758"/>
        <v>2024</v>
      </c>
      <c r="G3319" t="s">
        <v>7</v>
      </c>
      <c r="H3319">
        <v>-2</v>
      </c>
      <c r="K3319" t="s">
        <v>9</v>
      </c>
      <c r="L3319" s="8">
        <f t="shared" si="9698"/>
        <v>-1</v>
      </c>
      <c r="M3319" t="s">
        <v>3674</v>
      </c>
    </row>
    <row r="3320" spans="1:13" x14ac:dyDescent="0.35">
      <c r="A3320">
        <f t="shared" si="9359"/>
        <v>3316</v>
      </c>
      <c r="B3320" s="9">
        <f t="shared" ref="B3320" si="9759">B3319+H3320+I3320+J3320</f>
        <v>81.750000000000014</v>
      </c>
      <c r="C3320" s="3" t="s">
        <v>3673</v>
      </c>
      <c r="D3320">
        <f t="shared" ref="D3320" si="9760">_xlfn.NUMBERVALUE(LEFT(C3320,2))</f>
        <v>28</v>
      </c>
      <c r="E3320">
        <f t="shared" ref="E3320" si="9761">_xlfn.NUMBERVALUE(MID(C3320,4,2))</f>
        <v>10</v>
      </c>
      <c r="F3320">
        <f t="shared" ref="F3320" si="9762">_xlfn.NUMBERVALUE(RIGHT(C3320,4))</f>
        <v>2024</v>
      </c>
      <c r="G3320" t="s">
        <v>7</v>
      </c>
      <c r="H3320">
        <v>-2</v>
      </c>
      <c r="K3320" t="s">
        <v>9</v>
      </c>
      <c r="L3320" s="8">
        <f t="shared" si="9698"/>
        <v>-1</v>
      </c>
      <c r="M3320" t="s">
        <v>3675</v>
      </c>
    </row>
    <row r="3321" spans="1:13" x14ac:dyDescent="0.35">
      <c r="A3321">
        <f t="shared" si="9359"/>
        <v>3317</v>
      </c>
      <c r="B3321" s="9">
        <f t="shared" ref="B3321" si="9763">B3320+H3321+I3321+J3321</f>
        <v>79.750000000000014</v>
      </c>
      <c r="C3321" s="3" t="s">
        <v>3673</v>
      </c>
      <c r="D3321">
        <f t="shared" ref="D3321" si="9764">_xlfn.NUMBERVALUE(LEFT(C3321,2))</f>
        <v>28</v>
      </c>
      <c r="E3321">
        <f t="shared" ref="E3321" si="9765">_xlfn.NUMBERVALUE(MID(C3321,4,2))</f>
        <v>10</v>
      </c>
      <c r="F3321">
        <f t="shared" ref="F3321" si="9766">_xlfn.NUMBERVALUE(RIGHT(C3321,4))</f>
        <v>2024</v>
      </c>
      <c r="G3321" t="s">
        <v>7</v>
      </c>
      <c r="H3321">
        <v>-2</v>
      </c>
      <c r="K3321" t="s">
        <v>9</v>
      </c>
      <c r="L3321" s="8">
        <f t="shared" si="9698"/>
        <v>-1</v>
      </c>
      <c r="M3321" t="s">
        <v>3676</v>
      </c>
    </row>
    <row r="3322" spans="1:13" x14ac:dyDescent="0.35">
      <c r="A3322">
        <f t="shared" si="9359"/>
        <v>3318</v>
      </c>
      <c r="B3322" s="9">
        <f t="shared" ref="B3322" si="9767">B3321+H3322+I3322+J3322</f>
        <v>77.750000000000014</v>
      </c>
      <c r="C3322" s="3" t="s">
        <v>3673</v>
      </c>
      <c r="D3322">
        <f t="shared" ref="D3322" si="9768">_xlfn.NUMBERVALUE(LEFT(C3322,2))</f>
        <v>28</v>
      </c>
      <c r="E3322">
        <f t="shared" ref="E3322" si="9769">_xlfn.NUMBERVALUE(MID(C3322,4,2))</f>
        <v>10</v>
      </c>
      <c r="F3322">
        <f t="shared" ref="F3322" si="9770">_xlfn.NUMBERVALUE(RIGHT(C3322,4))</f>
        <v>2024</v>
      </c>
      <c r="G3322" t="s">
        <v>7</v>
      </c>
      <c r="H3322">
        <v>-2</v>
      </c>
      <c r="K3322" t="s">
        <v>9</v>
      </c>
      <c r="L3322" s="8">
        <f t="shared" ref="L3322:L3336" si="9771">IF(H3322="",0,(SUM(I3322:J3322)/-H3322)-1)</f>
        <v>-1</v>
      </c>
      <c r="M3322" t="s">
        <v>3677</v>
      </c>
    </row>
    <row r="3323" spans="1:13" x14ac:dyDescent="0.35">
      <c r="A3323">
        <f t="shared" si="9359"/>
        <v>3319</v>
      </c>
      <c r="B3323" s="9">
        <f t="shared" ref="B3323" si="9772">B3322+H3323+I3323+J3323</f>
        <v>75.750000000000014</v>
      </c>
      <c r="C3323" s="3" t="s">
        <v>3673</v>
      </c>
      <c r="D3323">
        <f t="shared" ref="D3323" si="9773">_xlfn.NUMBERVALUE(LEFT(C3323,2))</f>
        <v>28</v>
      </c>
      <c r="E3323">
        <f t="shared" ref="E3323" si="9774">_xlfn.NUMBERVALUE(MID(C3323,4,2))</f>
        <v>10</v>
      </c>
      <c r="F3323">
        <f t="shared" ref="F3323" si="9775">_xlfn.NUMBERVALUE(RIGHT(C3323,4))</f>
        <v>2024</v>
      </c>
      <c r="G3323" t="s">
        <v>7</v>
      </c>
      <c r="H3323">
        <v>-2</v>
      </c>
      <c r="K3323" t="s">
        <v>9</v>
      </c>
      <c r="L3323" s="8">
        <f t="shared" si="9771"/>
        <v>-1</v>
      </c>
      <c r="M3323" t="s">
        <v>3678</v>
      </c>
    </row>
    <row r="3324" spans="1:13" x14ac:dyDescent="0.35">
      <c r="A3324">
        <f t="shared" si="9359"/>
        <v>3320</v>
      </c>
      <c r="B3324" s="9">
        <f t="shared" ref="B3324" si="9776">B3323+H3324+I3324+J3324</f>
        <v>77.750000000000014</v>
      </c>
      <c r="C3324" s="3" t="s">
        <v>3673</v>
      </c>
      <c r="D3324">
        <f t="shared" ref="D3324" si="9777">_xlfn.NUMBERVALUE(LEFT(C3324,2))</f>
        <v>28</v>
      </c>
      <c r="E3324">
        <f t="shared" ref="E3324" si="9778">_xlfn.NUMBERVALUE(MID(C3324,4,2))</f>
        <v>10</v>
      </c>
      <c r="F3324">
        <f t="shared" ref="F3324" si="9779">_xlfn.NUMBERVALUE(RIGHT(C3324,4))</f>
        <v>2024</v>
      </c>
      <c r="G3324" t="s">
        <v>7</v>
      </c>
      <c r="H3324">
        <v>-2</v>
      </c>
      <c r="I3324">
        <v>4</v>
      </c>
      <c r="K3324" t="s">
        <v>10</v>
      </c>
      <c r="L3324" s="8">
        <f t="shared" si="9771"/>
        <v>1</v>
      </c>
      <c r="M3324" t="s">
        <v>3679</v>
      </c>
    </row>
    <row r="3325" spans="1:13" x14ac:dyDescent="0.35">
      <c r="A3325">
        <f t="shared" si="9359"/>
        <v>3321</v>
      </c>
      <c r="B3325" s="9">
        <f t="shared" ref="B3325" si="9780">B3324+H3325+I3325+J3325</f>
        <v>79.750000000000014</v>
      </c>
      <c r="C3325" s="3" t="s">
        <v>3680</v>
      </c>
      <c r="D3325">
        <f t="shared" ref="D3325" si="9781">_xlfn.NUMBERVALUE(LEFT(C3325,2))</f>
        <v>29</v>
      </c>
      <c r="E3325">
        <f t="shared" ref="E3325" si="9782">_xlfn.NUMBERVALUE(MID(C3325,4,2))</f>
        <v>10</v>
      </c>
      <c r="F3325">
        <f t="shared" ref="F3325" si="9783">_xlfn.NUMBERVALUE(RIGHT(C3325,4))</f>
        <v>2024</v>
      </c>
      <c r="G3325" t="s">
        <v>7</v>
      </c>
      <c r="H3325">
        <v>-2</v>
      </c>
      <c r="I3325">
        <v>4</v>
      </c>
      <c r="K3325" t="s">
        <v>10</v>
      </c>
      <c r="L3325" s="8">
        <f t="shared" si="9771"/>
        <v>1</v>
      </c>
      <c r="M3325" t="s">
        <v>3681</v>
      </c>
    </row>
    <row r="3326" spans="1:13" x14ac:dyDescent="0.35">
      <c r="A3326">
        <f t="shared" si="9359"/>
        <v>3322</v>
      </c>
      <c r="B3326" s="9">
        <f t="shared" ref="B3326" si="9784">B3325+H3326+I3326+J3326</f>
        <v>79.750000000000014</v>
      </c>
      <c r="C3326" s="3" t="s">
        <v>3680</v>
      </c>
      <c r="D3326">
        <f t="shared" ref="D3326" si="9785">_xlfn.NUMBERVALUE(LEFT(C3326,2))</f>
        <v>29</v>
      </c>
      <c r="E3326">
        <f t="shared" ref="E3326" si="9786">_xlfn.NUMBERVALUE(MID(C3326,4,2))</f>
        <v>10</v>
      </c>
      <c r="F3326">
        <f t="shared" ref="F3326" si="9787">_xlfn.NUMBERVALUE(RIGHT(C3326,4))</f>
        <v>2024</v>
      </c>
      <c r="G3326" t="s">
        <v>3039</v>
      </c>
      <c r="K3326" t="s">
        <v>9</v>
      </c>
      <c r="L3326" s="8">
        <f t="shared" si="9771"/>
        <v>0</v>
      </c>
      <c r="M3326" t="s">
        <v>3682</v>
      </c>
    </row>
    <row r="3327" spans="1:13" x14ac:dyDescent="0.35">
      <c r="A3327">
        <f t="shared" si="9359"/>
        <v>3323</v>
      </c>
      <c r="B3327" s="9">
        <f t="shared" ref="B3327:B3328" si="9788">B3326+H3327+I3327+J3327</f>
        <v>79.750000000000014</v>
      </c>
      <c r="C3327" s="3" t="s">
        <v>3680</v>
      </c>
      <c r="D3327">
        <f t="shared" ref="D3327:D3328" si="9789">_xlfn.NUMBERVALUE(LEFT(C3327,2))</f>
        <v>29</v>
      </c>
      <c r="E3327">
        <f t="shared" ref="E3327:E3328" si="9790">_xlfn.NUMBERVALUE(MID(C3327,4,2))</f>
        <v>10</v>
      </c>
      <c r="F3327">
        <f t="shared" ref="F3327:F3328" si="9791">_xlfn.NUMBERVALUE(RIGHT(C3327,4))</f>
        <v>2024</v>
      </c>
      <c r="G3327" t="s">
        <v>3039</v>
      </c>
      <c r="K3327" t="s">
        <v>10</v>
      </c>
      <c r="L3327" s="8">
        <f t="shared" si="9771"/>
        <v>0</v>
      </c>
      <c r="M3327" t="s">
        <v>3683</v>
      </c>
    </row>
    <row r="3328" spans="1:13" x14ac:dyDescent="0.35">
      <c r="A3328">
        <f t="shared" si="9359"/>
        <v>3324</v>
      </c>
      <c r="B3328" s="9">
        <f t="shared" si="9788"/>
        <v>83.750000000000014</v>
      </c>
      <c r="C3328" s="3" t="s">
        <v>3680</v>
      </c>
      <c r="D3328">
        <f t="shared" si="9789"/>
        <v>29</v>
      </c>
      <c r="E3328">
        <f t="shared" si="9790"/>
        <v>10</v>
      </c>
      <c r="F3328">
        <f t="shared" si="9791"/>
        <v>2024</v>
      </c>
      <c r="G3328" t="s">
        <v>7</v>
      </c>
      <c r="H3328">
        <v>-2</v>
      </c>
      <c r="I3328">
        <v>6</v>
      </c>
      <c r="K3328" t="s">
        <v>10</v>
      </c>
      <c r="L3328" s="8">
        <f t="shared" si="9771"/>
        <v>2</v>
      </c>
      <c r="M3328" t="s">
        <v>3684</v>
      </c>
    </row>
    <row r="3329" spans="1:13" x14ac:dyDescent="0.35">
      <c r="A3329">
        <f t="shared" si="9359"/>
        <v>3325</v>
      </c>
      <c r="B3329" s="9">
        <f t="shared" ref="B3329" si="9792">B3328+H3329+I3329+J3329</f>
        <v>81.750000000000014</v>
      </c>
      <c r="C3329" s="3" t="s">
        <v>3680</v>
      </c>
      <c r="D3329">
        <f t="shared" ref="D3329" si="9793">_xlfn.NUMBERVALUE(LEFT(C3329,2))</f>
        <v>29</v>
      </c>
      <c r="E3329">
        <f t="shared" ref="E3329" si="9794">_xlfn.NUMBERVALUE(MID(C3329,4,2))</f>
        <v>10</v>
      </c>
      <c r="F3329">
        <f t="shared" ref="F3329" si="9795">_xlfn.NUMBERVALUE(RIGHT(C3329,4))</f>
        <v>2024</v>
      </c>
      <c r="G3329" t="s">
        <v>7</v>
      </c>
      <c r="H3329">
        <v>-2</v>
      </c>
      <c r="K3329" t="s">
        <v>9</v>
      </c>
      <c r="L3329" s="8">
        <f t="shared" si="9771"/>
        <v>-1</v>
      </c>
      <c r="M3329" t="s">
        <v>3685</v>
      </c>
    </row>
    <row r="3330" spans="1:13" x14ac:dyDescent="0.35">
      <c r="A3330">
        <f t="shared" si="9359"/>
        <v>3326</v>
      </c>
      <c r="B3330" s="9">
        <f t="shared" ref="B3330" si="9796">B3329+H3330+I3330+J3330</f>
        <v>83.750000000000014</v>
      </c>
      <c r="C3330" s="3" t="s">
        <v>3680</v>
      </c>
      <c r="D3330">
        <f t="shared" ref="D3330" si="9797">_xlfn.NUMBERVALUE(LEFT(C3330,2))</f>
        <v>29</v>
      </c>
      <c r="E3330">
        <f t="shared" ref="E3330" si="9798">_xlfn.NUMBERVALUE(MID(C3330,4,2))</f>
        <v>10</v>
      </c>
      <c r="F3330">
        <f t="shared" ref="F3330" si="9799">_xlfn.NUMBERVALUE(RIGHT(C3330,4))</f>
        <v>2024</v>
      </c>
      <c r="G3330" t="s">
        <v>7</v>
      </c>
      <c r="H3330">
        <v>-2</v>
      </c>
      <c r="I3330">
        <v>4</v>
      </c>
      <c r="K3330" t="s">
        <v>10</v>
      </c>
      <c r="L3330" s="8">
        <f t="shared" si="9771"/>
        <v>1</v>
      </c>
      <c r="M3330" t="s">
        <v>3686</v>
      </c>
    </row>
    <row r="3331" spans="1:13" x14ac:dyDescent="0.35">
      <c r="A3331">
        <f t="shared" si="9359"/>
        <v>3327</v>
      </c>
      <c r="B3331" s="9">
        <f t="shared" ref="B3331" si="9800">B3330+H3331+I3331+J3331</f>
        <v>81.750000000000014</v>
      </c>
      <c r="C3331" s="3" t="s">
        <v>3680</v>
      </c>
      <c r="D3331">
        <f t="shared" ref="D3331" si="9801">_xlfn.NUMBERVALUE(LEFT(C3331,2))</f>
        <v>29</v>
      </c>
      <c r="E3331">
        <f t="shared" ref="E3331" si="9802">_xlfn.NUMBERVALUE(MID(C3331,4,2))</f>
        <v>10</v>
      </c>
      <c r="F3331">
        <f t="shared" ref="F3331" si="9803">_xlfn.NUMBERVALUE(RIGHT(C3331,4))</f>
        <v>2024</v>
      </c>
      <c r="G3331" t="s">
        <v>7</v>
      </c>
      <c r="H3331">
        <v>-2</v>
      </c>
      <c r="K3331" t="s">
        <v>9</v>
      </c>
      <c r="L3331" s="8">
        <f t="shared" si="9771"/>
        <v>-1</v>
      </c>
      <c r="M3331" t="s">
        <v>3687</v>
      </c>
    </row>
    <row r="3332" spans="1:13" x14ac:dyDescent="0.35">
      <c r="A3332">
        <f t="shared" si="9359"/>
        <v>3328</v>
      </c>
      <c r="B3332" s="9">
        <f t="shared" ref="B3332" si="9804">B3331+H3332+I3332+J3332</f>
        <v>79.750000000000014</v>
      </c>
      <c r="C3332" s="3" t="s">
        <v>3688</v>
      </c>
      <c r="D3332">
        <f t="shared" ref="D3332" si="9805">_xlfn.NUMBERVALUE(LEFT(C3332,2))</f>
        <v>30</v>
      </c>
      <c r="E3332">
        <f t="shared" ref="E3332" si="9806">_xlfn.NUMBERVALUE(MID(C3332,4,2))</f>
        <v>10</v>
      </c>
      <c r="F3332">
        <f t="shared" ref="F3332" si="9807">_xlfn.NUMBERVALUE(RIGHT(C3332,4))</f>
        <v>2024</v>
      </c>
      <c r="G3332" t="s">
        <v>7</v>
      </c>
      <c r="H3332">
        <v>-2</v>
      </c>
      <c r="K3332" t="s">
        <v>9</v>
      </c>
      <c r="L3332" s="8">
        <f t="shared" si="9771"/>
        <v>-1</v>
      </c>
      <c r="M3332" t="s">
        <v>3689</v>
      </c>
    </row>
    <row r="3333" spans="1:13" x14ac:dyDescent="0.35">
      <c r="A3333">
        <f t="shared" si="9359"/>
        <v>3329</v>
      </c>
      <c r="B3333" s="9">
        <f t="shared" ref="B3333" si="9808">B3332+H3333+I3333+J3333</f>
        <v>81.750000000000014</v>
      </c>
      <c r="C3333" s="3" t="s">
        <v>3688</v>
      </c>
      <c r="D3333">
        <f t="shared" ref="D3333" si="9809">_xlfn.NUMBERVALUE(LEFT(C3333,2))</f>
        <v>30</v>
      </c>
      <c r="E3333">
        <f t="shared" ref="E3333" si="9810">_xlfn.NUMBERVALUE(MID(C3333,4,2))</f>
        <v>10</v>
      </c>
      <c r="F3333">
        <f t="shared" ref="F3333" si="9811">_xlfn.NUMBERVALUE(RIGHT(C3333,4))</f>
        <v>2024</v>
      </c>
      <c r="G3333" t="s">
        <v>7</v>
      </c>
      <c r="H3333">
        <v>-2</v>
      </c>
      <c r="I3333">
        <v>4</v>
      </c>
      <c r="K3333" t="s">
        <v>10</v>
      </c>
      <c r="L3333" s="8">
        <f t="shared" si="9771"/>
        <v>1</v>
      </c>
      <c r="M3333" t="s">
        <v>3690</v>
      </c>
    </row>
    <row r="3334" spans="1:13" x14ac:dyDescent="0.35">
      <c r="A3334">
        <f t="shared" si="9359"/>
        <v>3330</v>
      </c>
      <c r="B3334" s="9">
        <f t="shared" ref="B3334" si="9812">B3333+H3334+I3334+J3334</f>
        <v>79.750000000000014</v>
      </c>
      <c r="C3334" s="3" t="s">
        <v>3688</v>
      </c>
      <c r="D3334">
        <f t="shared" ref="D3334" si="9813">_xlfn.NUMBERVALUE(LEFT(C3334,2))</f>
        <v>30</v>
      </c>
      <c r="E3334">
        <f t="shared" ref="E3334" si="9814">_xlfn.NUMBERVALUE(MID(C3334,4,2))</f>
        <v>10</v>
      </c>
      <c r="F3334">
        <f t="shared" ref="F3334" si="9815">_xlfn.NUMBERVALUE(RIGHT(C3334,4))</f>
        <v>2024</v>
      </c>
      <c r="G3334" t="s">
        <v>7</v>
      </c>
      <c r="H3334">
        <v>-2</v>
      </c>
      <c r="K3334" t="s">
        <v>9</v>
      </c>
      <c r="L3334" s="8">
        <f t="shared" si="9771"/>
        <v>-1</v>
      </c>
      <c r="M3334" t="s">
        <v>3691</v>
      </c>
    </row>
    <row r="3335" spans="1:13" x14ac:dyDescent="0.35">
      <c r="A3335">
        <f t="shared" si="9359"/>
        <v>3331</v>
      </c>
      <c r="B3335" s="9">
        <f t="shared" ref="B3335" si="9816">B3334+H3335+I3335+J3335</f>
        <v>77.750000000000014</v>
      </c>
      <c r="C3335" s="3" t="s">
        <v>3688</v>
      </c>
      <c r="D3335">
        <f t="shared" ref="D3335" si="9817">_xlfn.NUMBERVALUE(LEFT(C3335,2))</f>
        <v>30</v>
      </c>
      <c r="E3335">
        <f t="shared" ref="E3335" si="9818">_xlfn.NUMBERVALUE(MID(C3335,4,2))</f>
        <v>10</v>
      </c>
      <c r="F3335">
        <f t="shared" ref="F3335" si="9819">_xlfn.NUMBERVALUE(RIGHT(C3335,4))</f>
        <v>2024</v>
      </c>
      <c r="G3335" t="s">
        <v>7</v>
      </c>
      <c r="H3335">
        <v>-2</v>
      </c>
      <c r="K3335" t="s">
        <v>9</v>
      </c>
      <c r="L3335" s="8">
        <f t="shared" si="9771"/>
        <v>-1</v>
      </c>
      <c r="M3335" t="s">
        <v>3692</v>
      </c>
    </row>
    <row r="3336" spans="1:13" x14ac:dyDescent="0.35">
      <c r="A3336">
        <f t="shared" si="9359"/>
        <v>3332</v>
      </c>
      <c r="B3336" s="9">
        <f t="shared" ref="B3336:B3337" si="9820">B3335+H3336+I3336+J3336</f>
        <v>75.750000000000014</v>
      </c>
      <c r="C3336" s="3" t="s">
        <v>3688</v>
      </c>
      <c r="D3336">
        <f t="shared" ref="D3336:D3337" si="9821">_xlfn.NUMBERVALUE(LEFT(C3336,2))</f>
        <v>30</v>
      </c>
      <c r="E3336">
        <f t="shared" ref="E3336:E3337" si="9822">_xlfn.NUMBERVALUE(MID(C3336,4,2))</f>
        <v>10</v>
      </c>
      <c r="F3336">
        <f t="shared" ref="F3336:F3337" si="9823">_xlfn.NUMBERVALUE(RIGHT(C3336,4))</f>
        <v>2024</v>
      </c>
      <c r="G3336" t="s">
        <v>7</v>
      </c>
      <c r="H3336">
        <v>-2</v>
      </c>
      <c r="K3336" t="s">
        <v>9</v>
      </c>
      <c r="L3336" s="8">
        <f t="shared" si="9771"/>
        <v>-1</v>
      </c>
      <c r="M3336" t="s">
        <v>3693</v>
      </c>
    </row>
    <row r="3337" spans="1:13" x14ac:dyDescent="0.35">
      <c r="A3337">
        <f t="shared" si="9359"/>
        <v>3333</v>
      </c>
      <c r="B3337" s="9">
        <f t="shared" si="9820"/>
        <v>75.750000000000014</v>
      </c>
      <c r="C3337" s="3" t="s">
        <v>3688</v>
      </c>
      <c r="D3337">
        <f t="shared" si="9821"/>
        <v>30</v>
      </c>
      <c r="E3337">
        <f t="shared" si="9822"/>
        <v>10</v>
      </c>
      <c r="F3337">
        <f t="shared" si="9823"/>
        <v>2024</v>
      </c>
      <c r="G3337" t="s">
        <v>3039</v>
      </c>
      <c r="K3337" t="s">
        <v>9</v>
      </c>
      <c r="L3337" s="8">
        <f t="shared" ref="L3337:L3343" si="9824">IF(H3337="",0,(SUM(I3337:J3337)/-H3337)-1)</f>
        <v>0</v>
      </c>
      <c r="M3337" t="s">
        <v>3694</v>
      </c>
    </row>
    <row r="3338" spans="1:13" x14ac:dyDescent="0.35">
      <c r="A3338">
        <f t="shared" si="9359"/>
        <v>3334</v>
      </c>
      <c r="B3338" s="9">
        <f t="shared" ref="B3338" si="9825">B3337+H3338+I3338+J3338</f>
        <v>73.750000000000014</v>
      </c>
      <c r="C3338" s="3" t="s">
        <v>3695</v>
      </c>
      <c r="D3338">
        <f t="shared" ref="D3338" si="9826">_xlfn.NUMBERVALUE(LEFT(C3338,2))</f>
        <v>31</v>
      </c>
      <c r="E3338">
        <f t="shared" ref="E3338" si="9827">_xlfn.NUMBERVALUE(MID(C3338,4,2))</f>
        <v>10</v>
      </c>
      <c r="F3338">
        <f t="shared" ref="F3338" si="9828">_xlfn.NUMBERVALUE(RIGHT(C3338,4))</f>
        <v>2024</v>
      </c>
      <c r="G3338" t="s">
        <v>7</v>
      </c>
      <c r="H3338">
        <v>-2</v>
      </c>
      <c r="K3338" t="s">
        <v>9</v>
      </c>
      <c r="L3338" s="8">
        <f t="shared" si="9824"/>
        <v>-1</v>
      </c>
      <c r="M3338" t="s">
        <v>3696</v>
      </c>
    </row>
    <row r="3339" spans="1:13" x14ac:dyDescent="0.35">
      <c r="A3339">
        <f t="shared" si="9359"/>
        <v>3335</v>
      </c>
      <c r="B3339" s="9">
        <f t="shared" ref="B3339" si="9829">B3338+H3339+I3339+J3339</f>
        <v>77.750000000000014</v>
      </c>
      <c r="C3339" s="3" t="s">
        <v>3695</v>
      </c>
      <c r="D3339">
        <f t="shared" ref="D3339" si="9830">_xlfn.NUMBERVALUE(LEFT(C3339,2))</f>
        <v>31</v>
      </c>
      <c r="E3339">
        <f t="shared" ref="E3339" si="9831">_xlfn.NUMBERVALUE(MID(C3339,4,2))</f>
        <v>10</v>
      </c>
      <c r="F3339">
        <f t="shared" ref="F3339" si="9832">_xlfn.NUMBERVALUE(RIGHT(C3339,4))</f>
        <v>2024</v>
      </c>
      <c r="G3339" t="s">
        <v>7</v>
      </c>
      <c r="H3339">
        <v>-2</v>
      </c>
      <c r="I3339">
        <v>6</v>
      </c>
      <c r="K3339" t="s">
        <v>10</v>
      </c>
      <c r="L3339" s="8">
        <f t="shared" si="9824"/>
        <v>2</v>
      </c>
      <c r="M3339" t="s">
        <v>3697</v>
      </c>
    </row>
    <row r="3340" spans="1:13" x14ac:dyDescent="0.35">
      <c r="A3340">
        <f t="shared" si="9359"/>
        <v>3336</v>
      </c>
      <c r="B3340" s="9">
        <f t="shared" ref="B3340" si="9833">B3339+H3340+I3340+J3340</f>
        <v>81.750000000000014</v>
      </c>
      <c r="C3340" s="3" t="s">
        <v>3695</v>
      </c>
      <c r="D3340">
        <f t="shared" ref="D3340" si="9834">_xlfn.NUMBERVALUE(LEFT(C3340,2))</f>
        <v>31</v>
      </c>
      <c r="E3340">
        <f t="shared" ref="E3340" si="9835">_xlfn.NUMBERVALUE(MID(C3340,4,2))</f>
        <v>10</v>
      </c>
      <c r="F3340">
        <f t="shared" ref="F3340" si="9836">_xlfn.NUMBERVALUE(RIGHT(C3340,4))</f>
        <v>2024</v>
      </c>
      <c r="G3340" t="s">
        <v>7</v>
      </c>
      <c r="H3340">
        <v>-2</v>
      </c>
      <c r="I3340">
        <v>6</v>
      </c>
      <c r="K3340" t="s">
        <v>10</v>
      </c>
      <c r="L3340" s="8">
        <f t="shared" si="9824"/>
        <v>2</v>
      </c>
      <c r="M3340" t="s">
        <v>3698</v>
      </c>
    </row>
    <row r="3341" spans="1:13" x14ac:dyDescent="0.35">
      <c r="A3341">
        <f t="shared" si="9359"/>
        <v>3337</v>
      </c>
      <c r="B3341" s="9">
        <f t="shared" ref="B3341:B3342" si="9837">B3340+H3341+I3341+J3341</f>
        <v>81.750000000000014</v>
      </c>
      <c r="C3341" s="3" t="s">
        <v>3695</v>
      </c>
      <c r="D3341">
        <f t="shared" ref="D3341:D3342" si="9838">_xlfn.NUMBERVALUE(LEFT(C3341,2))</f>
        <v>31</v>
      </c>
      <c r="E3341">
        <f t="shared" ref="E3341:E3342" si="9839">_xlfn.NUMBERVALUE(MID(C3341,4,2))</f>
        <v>10</v>
      </c>
      <c r="F3341">
        <f t="shared" ref="F3341:F3342" si="9840">_xlfn.NUMBERVALUE(RIGHT(C3341,4))</f>
        <v>2024</v>
      </c>
      <c r="G3341" t="s">
        <v>3039</v>
      </c>
      <c r="K3341" t="s">
        <v>9</v>
      </c>
      <c r="L3341" s="8">
        <f t="shared" si="9824"/>
        <v>0</v>
      </c>
      <c r="M3341" t="s">
        <v>3699</v>
      </c>
    </row>
    <row r="3342" spans="1:13" x14ac:dyDescent="0.35">
      <c r="A3342">
        <f t="shared" si="9359"/>
        <v>3338</v>
      </c>
      <c r="B3342" s="9">
        <f t="shared" si="9837"/>
        <v>79.750000000000014</v>
      </c>
      <c r="C3342" s="3" t="s">
        <v>3700</v>
      </c>
      <c r="D3342">
        <f t="shared" si="9838"/>
        <v>1</v>
      </c>
      <c r="E3342">
        <f t="shared" si="9839"/>
        <v>11</v>
      </c>
      <c r="F3342">
        <f t="shared" si="9840"/>
        <v>2024</v>
      </c>
      <c r="G3342" t="s">
        <v>7</v>
      </c>
      <c r="H3342">
        <v>-2</v>
      </c>
      <c r="K3342" t="s">
        <v>9</v>
      </c>
      <c r="L3342" s="8">
        <f t="shared" si="9824"/>
        <v>-1</v>
      </c>
      <c r="M3342" t="s">
        <v>3701</v>
      </c>
    </row>
    <row r="3343" spans="1:13" x14ac:dyDescent="0.35">
      <c r="A3343">
        <f t="shared" si="9359"/>
        <v>3339</v>
      </c>
      <c r="B3343" s="9">
        <f t="shared" ref="B3343:B3344" si="9841">B3342+H3343+I3343+J3343</f>
        <v>79.750000000000014</v>
      </c>
      <c r="C3343" s="3" t="s">
        <v>3700</v>
      </c>
      <c r="D3343">
        <f t="shared" ref="D3343:D3344" si="9842">_xlfn.NUMBERVALUE(LEFT(C3343,2))</f>
        <v>1</v>
      </c>
      <c r="E3343">
        <f t="shared" ref="E3343:E3344" si="9843">_xlfn.NUMBERVALUE(MID(C3343,4,2))</f>
        <v>11</v>
      </c>
      <c r="F3343">
        <f t="shared" ref="F3343:F3344" si="9844">_xlfn.NUMBERVALUE(RIGHT(C3343,4))</f>
        <v>2024</v>
      </c>
      <c r="G3343" t="s">
        <v>3039</v>
      </c>
      <c r="K3343" t="s">
        <v>9</v>
      </c>
      <c r="L3343" s="8">
        <f t="shared" si="9824"/>
        <v>0</v>
      </c>
      <c r="M3343" t="s">
        <v>3702</v>
      </c>
    </row>
    <row r="3344" spans="1:13" x14ac:dyDescent="0.35">
      <c r="A3344">
        <f t="shared" si="9359"/>
        <v>3340</v>
      </c>
      <c r="B3344" s="9">
        <f t="shared" si="9841"/>
        <v>83.750000000000014</v>
      </c>
      <c r="C3344" s="3" t="s">
        <v>3700</v>
      </c>
      <c r="D3344">
        <f t="shared" si="9842"/>
        <v>1</v>
      </c>
      <c r="E3344">
        <f t="shared" si="9843"/>
        <v>11</v>
      </c>
      <c r="F3344">
        <f t="shared" si="9844"/>
        <v>2024</v>
      </c>
      <c r="G3344" t="s">
        <v>7</v>
      </c>
      <c r="H3344">
        <v>-2</v>
      </c>
      <c r="I3344">
        <v>6</v>
      </c>
      <c r="K3344" t="s">
        <v>10</v>
      </c>
      <c r="L3344" s="8">
        <f t="shared" ref="L3344:L3475" si="9845">IF(H3344="",0,(SUM(I3344:J3344)/-H3344)-1)</f>
        <v>2</v>
      </c>
      <c r="M3344" t="s">
        <v>3703</v>
      </c>
    </row>
    <row r="3345" spans="1:13" x14ac:dyDescent="0.35">
      <c r="A3345">
        <f t="shared" si="9359"/>
        <v>3341</v>
      </c>
      <c r="B3345" s="9">
        <f t="shared" ref="B3345" si="9846">B3344+H3345+I3345+J3345</f>
        <v>81.750000000000014</v>
      </c>
      <c r="C3345" s="3" t="s">
        <v>3700</v>
      </c>
      <c r="D3345">
        <f t="shared" ref="D3345" si="9847">_xlfn.NUMBERVALUE(LEFT(C3345,2))</f>
        <v>1</v>
      </c>
      <c r="E3345">
        <f t="shared" ref="E3345" si="9848">_xlfn.NUMBERVALUE(MID(C3345,4,2))</f>
        <v>11</v>
      </c>
      <c r="F3345">
        <f t="shared" ref="F3345" si="9849">_xlfn.NUMBERVALUE(RIGHT(C3345,4))</f>
        <v>2024</v>
      </c>
      <c r="G3345" t="s">
        <v>7</v>
      </c>
      <c r="H3345">
        <v>-2</v>
      </c>
      <c r="K3345" t="s">
        <v>9</v>
      </c>
      <c r="L3345" s="8">
        <f t="shared" si="9845"/>
        <v>-1</v>
      </c>
      <c r="M3345" t="s">
        <v>3704</v>
      </c>
    </row>
    <row r="3346" spans="1:13" x14ac:dyDescent="0.35">
      <c r="A3346">
        <f t="shared" si="9359"/>
        <v>3342</v>
      </c>
      <c r="B3346" s="9">
        <f t="shared" ref="B3346" si="9850">B3345+H3346+I3346+J3346</f>
        <v>83.750000000000014</v>
      </c>
      <c r="C3346" s="3" t="s">
        <v>3700</v>
      </c>
      <c r="D3346">
        <f t="shared" ref="D3346" si="9851">_xlfn.NUMBERVALUE(LEFT(C3346,2))</f>
        <v>1</v>
      </c>
      <c r="E3346">
        <f t="shared" ref="E3346" si="9852">_xlfn.NUMBERVALUE(MID(C3346,4,2))</f>
        <v>11</v>
      </c>
      <c r="F3346">
        <f t="shared" ref="F3346" si="9853">_xlfn.NUMBERVALUE(RIGHT(C3346,4))</f>
        <v>2024</v>
      </c>
      <c r="G3346" t="s">
        <v>7</v>
      </c>
      <c r="H3346">
        <v>-2</v>
      </c>
      <c r="I3346">
        <v>4</v>
      </c>
      <c r="K3346" t="s">
        <v>10</v>
      </c>
      <c r="L3346" s="8">
        <f t="shared" si="9845"/>
        <v>1</v>
      </c>
      <c r="M3346" t="s">
        <v>3705</v>
      </c>
    </row>
    <row r="3347" spans="1:13" x14ac:dyDescent="0.35">
      <c r="A3347">
        <f t="shared" si="9359"/>
        <v>3343</v>
      </c>
      <c r="B3347" s="9">
        <f t="shared" ref="B3347" si="9854">B3346+H3347+I3347+J3347</f>
        <v>85.750000000000014</v>
      </c>
      <c r="C3347" s="3" t="s">
        <v>3700</v>
      </c>
      <c r="D3347">
        <f t="shared" ref="D3347" si="9855">_xlfn.NUMBERVALUE(LEFT(C3347,2))</f>
        <v>1</v>
      </c>
      <c r="E3347">
        <f t="shared" ref="E3347" si="9856">_xlfn.NUMBERVALUE(MID(C3347,4,2))</f>
        <v>11</v>
      </c>
      <c r="F3347">
        <f t="shared" ref="F3347" si="9857">_xlfn.NUMBERVALUE(RIGHT(C3347,4))</f>
        <v>2024</v>
      </c>
      <c r="G3347" t="s">
        <v>7</v>
      </c>
      <c r="H3347">
        <v>-2</v>
      </c>
      <c r="I3347">
        <v>4</v>
      </c>
      <c r="K3347" t="s">
        <v>10</v>
      </c>
      <c r="L3347" s="8">
        <f t="shared" si="9845"/>
        <v>1</v>
      </c>
      <c r="M3347" t="s">
        <v>3706</v>
      </c>
    </row>
    <row r="3348" spans="1:13" x14ac:dyDescent="0.35">
      <c r="A3348">
        <f t="shared" si="9359"/>
        <v>3344</v>
      </c>
      <c r="B3348" s="9">
        <f t="shared" ref="B3348" si="9858">B3347+H3348+I3348+J3348</f>
        <v>89.750000000000014</v>
      </c>
      <c r="C3348" s="3" t="s">
        <v>3700</v>
      </c>
      <c r="D3348">
        <f t="shared" ref="D3348" si="9859">_xlfn.NUMBERVALUE(LEFT(C3348,2))</f>
        <v>1</v>
      </c>
      <c r="E3348">
        <f t="shared" ref="E3348" si="9860">_xlfn.NUMBERVALUE(MID(C3348,4,2))</f>
        <v>11</v>
      </c>
      <c r="F3348">
        <f t="shared" ref="F3348" si="9861">_xlfn.NUMBERVALUE(RIGHT(C3348,4))</f>
        <v>2024</v>
      </c>
      <c r="G3348" t="s">
        <v>7</v>
      </c>
      <c r="H3348">
        <v>-2</v>
      </c>
      <c r="I3348">
        <v>6</v>
      </c>
      <c r="K3348" t="s">
        <v>10</v>
      </c>
      <c r="L3348" s="8">
        <f t="shared" si="9845"/>
        <v>2</v>
      </c>
      <c r="M3348" t="s">
        <v>3707</v>
      </c>
    </row>
    <row r="3349" spans="1:13" x14ac:dyDescent="0.35">
      <c r="A3349">
        <f t="shared" si="9359"/>
        <v>3345</v>
      </c>
      <c r="B3349" s="9">
        <f t="shared" ref="B3349" si="9862">B3348+H3349+I3349+J3349</f>
        <v>87.750000000000014</v>
      </c>
      <c r="C3349" s="3" t="s">
        <v>3700</v>
      </c>
      <c r="D3349">
        <f t="shared" ref="D3349" si="9863">_xlfn.NUMBERVALUE(LEFT(C3349,2))</f>
        <v>1</v>
      </c>
      <c r="E3349">
        <f t="shared" ref="E3349" si="9864">_xlfn.NUMBERVALUE(MID(C3349,4,2))</f>
        <v>11</v>
      </c>
      <c r="F3349">
        <f t="shared" ref="F3349" si="9865">_xlfn.NUMBERVALUE(RIGHT(C3349,4))</f>
        <v>2024</v>
      </c>
      <c r="G3349" t="s">
        <v>7</v>
      </c>
      <c r="H3349">
        <v>-2</v>
      </c>
      <c r="K3349" t="s">
        <v>9</v>
      </c>
      <c r="L3349" s="8">
        <f t="shared" si="9845"/>
        <v>-1</v>
      </c>
      <c r="M3349" t="s">
        <v>3708</v>
      </c>
    </row>
    <row r="3350" spans="1:13" x14ac:dyDescent="0.35">
      <c r="A3350">
        <f t="shared" si="9359"/>
        <v>3346</v>
      </c>
      <c r="B3350" s="9">
        <f t="shared" ref="B3350" si="9866">B3349+H3350+I3350+J3350</f>
        <v>85.750000000000014</v>
      </c>
      <c r="C3350" s="3" t="s">
        <v>3700</v>
      </c>
      <c r="D3350">
        <f t="shared" ref="D3350" si="9867">_xlfn.NUMBERVALUE(LEFT(C3350,2))</f>
        <v>1</v>
      </c>
      <c r="E3350">
        <f t="shared" ref="E3350" si="9868">_xlfn.NUMBERVALUE(MID(C3350,4,2))</f>
        <v>11</v>
      </c>
      <c r="F3350">
        <f t="shared" ref="F3350" si="9869">_xlfn.NUMBERVALUE(RIGHT(C3350,4))</f>
        <v>2024</v>
      </c>
      <c r="G3350" t="s">
        <v>7</v>
      </c>
      <c r="H3350">
        <v>-2</v>
      </c>
      <c r="K3350" t="s">
        <v>9</v>
      </c>
      <c r="L3350" s="8">
        <f t="shared" si="9845"/>
        <v>-1</v>
      </c>
      <c r="M3350" t="s">
        <v>3709</v>
      </c>
    </row>
    <row r="3351" spans="1:13" x14ac:dyDescent="0.35">
      <c r="A3351">
        <f t="shared" si="9359"/>
        <v>3347</v>
      </c>
      <c r="B3351" s="9">
        <f t="shared" ref="B3351" si="9870">B3350+H3351+I3351+J3351</f>
        <v>83.750000000000014</v>
      </c>
      <c r="C3351" s="3" t="s">
        <v>3700</v>
      </c>
      <c r="D3351">
        <f t="shared" ref="D3351" si="9871">_xlfn.NUMBERVALUE(LEFT(C3351,2))</f>
        <v>1</v>
      </c>
      <c r="E3351">
        <f t="shared" ref="E3351" si="9872">_xlfn.NUMBERVALUE(MID(C3351,4,2))</f>
        <v>11</v>
      </c>
      <c r="F3351">
        <f t="shared" ref="F3351" si="9873">_xlfn.NUMBERVALUE(RIGHT(C3351,4))</f>
        <v>2024</v>
      </c>
      <c r="G3351" t="s">
        <v>7</v>
      </c>
      <c r="H3351">
        <v>-2</v>
      </c>
      <c r="K3351" t="s">
        <v>9</v>
      </c>
      <c r="L3351" s="8">
        <f t="shared" si="9845"/>
        <v>-1</v>
      </c>
      <c r="M3351" t="s">
        <v>3710</v>
      </c>
    </row>
    <row r="3352" spans="1:13" x14ac:dyDescent="0.35">
      <c r="A3352">
        <f t="shared" si="9359"/>
        <v>3348</v>
      </c>
      <c r="B3352" s="9">
        <f t="shared" ref="B3352" si="9874">B3351+H3352+I3352+J3352</f>
        <v>81.750000000000014</v>
      </c>
      <c r="C3352" s="3" t="s">
        <v>3700</v>
      </c>
      <c r="D3352">
        <f t="shared" ref="D3352" si="9875">_xlfn.NUMBERVALUE(LEFT(C3352,2))</f>
        <v>1</v>
      </c>
      <c r="E3352">
        <f t="shared" ref="E3352" si="9876">_xlfn.NUMBERVALUE(MID(C3352,4,2))</f>
        <v>11</v>
      </c>
      <c r="F3352">
        <f t="shared" ref="F3352" si="9877">_xlfn.NUMBERVALUE(RIGHT(C3352,4))</f>
        <v>2024</v>
      </c>
      <c r="G3352" t="s">
        <v>7</v>
      </c>
      <c r="H3352">
        <v>-2</v>
      </c>
      <c r="K3352" t="s">
        <v>9</v>
      </c>
      <c r="L3352" s="8">
        <f t="shared" si="9845"/>
        <v>-1</v>
      </c>
      <c r="M3352" t="s">
        <v>3711</v>
      </c>
    </row>
    <row r="3353" spans="1:13" x14ac:dyDescent="0.35">
      <c r="A3353">
        <f t="shared" si="9359"/>
        <v>3349</v>
      </c>
      <c r="B3353" s="9">
        <f t="shared" ref="B3353" si="9878">B3352+H3353+I3353+J3353</f>
        <v>79.750000000000014</v>
      </c>
      <c r="C3353" s="3" t="s">
        <v>3700</v>
      </c>
      <c r="D3353">
        <f t="shared" ref="D3353" si="9879">_xlfn.NUMBERVALUE(LEFT(C3353,2))</f>
        <v>1</v>
      </c>
      <c r="E3353">
        <f t="shared" ref="E3353" si="9880">_xlfn.NUMBERVALUE(MID(C3353,4,2))</f>
        <v>11</v>
      </c>
      <c r="F3353">
        <f t="shared" ref="F3353" si="9881">_xlfn.NUMBERVALUE(RIGHT(C3353,4))</f>
        <v>2024</v>
      </c>
      <c r="G3353" t="s">
        <v>7</v>
      </c>
      <c r="H3353">
        <v>-2</v>
      </c>
      <c r="K3353" t="s">
        <v>9</v>
      </c>
      <c r="L3353" s="8">
        <f t="shared" si="9845"/>
        <v>-1</v>
      </c>
      <c r="M3353" t="s">
        <v>3712</v>
      </c>
    </row>
    <row r="3354" spans="1:13" x14ac:dyDescent="0.35">
      <c r="A3354">
        <f t="shared" si="9359"/>
        <v>3350</v>
      </c>
      <c r="B3354" s="9">
        <f t="shared" ref="B3354" si="9882">B3353+H3354+I3354+J3354</f>
        <v>77.750000000000014</v>
      </c>
      <c r="C3354" s="3" t="s">
        <v>3700</v>
      </c>
      <c r="D3354">
        <f t="shared" ref="D3354" si="9883">_xlfn.NUMBERVALUE(LEFT(C3354,2))</f>
        <v>1</v>
      </c>
      <c r="E3354">
        <f t="shared" ref="E3354" si="9884">_xlfn.NUMBERVALUE(MID(C3354,4,2))</f>
        <v>11</v>
      </c>
      <c r="F3354">
        <f t="shared" ref="F3354" si="9885">_xlfn.NUMBERVALUE(RIGHT(C3354,4))</f>
        <v>2024</v>
      </c>
      <c r="G3354" t="s">
        <v>7</v>
      </c>
      <c r="H3354">
        <v>-2</v>
      </c>
      <c r="K3354" t="s">
        <v>9</v>
      </c>
      <c r="L3354" s="8">
        <f t="shared" si="9845"/>
        <v>-1</v>
      </c>
      <c r="M3354" t="s">
        <v>3713</v>
      </c>
    </row>
    <row r="3355" spans="1:13" x14ac:dyDescent="0.35">
      <c r="A3355">
        <f t="shared" si="9359"/>
        <v>3351</v>
      </c>
      <c r="B3355" s="9">
        <f t="shared" ref="B3355" si="9886">B3354+H3355+I3355+J3355</f>
        <v>79.750000000000014</v>
      </c>
      <c r="C3355" s="3" t="s">
        <v>3700</v>
      </c>
      <c r="D3355">
        <f t="shared" ref="D3355" si="9887">_xlfn.NUMBERVALUE(LEFT(C3355,2))</f>
        <v>1</v>
      </c>
      <c r="E3355">
        <f t="shared" ref="E3355" si="9888">_xlfn.NUMBERVALUE(MID(C3355,4,2))</f>
        <v>11</v>
      </c>
      <c r="F3355">
        <f t="shared" ref="F3355" si="9889">_xlfn.NUMBERVALUE(RIGHT(C3355,4))</f>
        <v>2024</v>
      </c>
      <c r="G3355" t="s">
        <v>7</v>
      </c>
      <c r="H3355">
        <v>-2</v>
      </c>
      <c r="I3355">
        <v>4</v>
      </c>
      <c r="K3355" t="s">
        <v>10</v>
      </c>
      <c r="L3355" s="8">
        <f t="shared" si="9845"/>
        <v>1</v>
      </c>
      <c r="M3355" t="s">
        <v>3714</v>
      </c>
    </row>
    <row r="3356" spans="1:13" x14ac:dyDescent="0.35">
      <c r="A3356">
        <f t="shared" si="9359"/>
        <v>3352</v>
      </c>
      <c r="B3356" s="9">
        <f t="shared" ref="B3356" si="9890">B3355+H3356+I3356+J3356</f>
        <v>77.750000000000014</v>
      </c>
      <c r="C3356" s="3" t="s">
        <v>3700</v>
      </c>
      <c r="D3356">
        <f t="shared" ref="D3356" si="9891">_xlfn.NUMBERVALUE(LEFT(C3356,2))</f>
        <v>1</v>
      </c>
      <c r="E3356">
        <f t="shared" ref="E3356" si="9892">_xlfn.NUMBERVALUE(MID(C3356,4,2))</f>
        <v>11</v>
      </c>
      <c r="F3356">
        <f t="shared" ref="F3356" si="9893">_xlfn.NUMBERVALUE(RIGHT(C3356,4))</f>
        <v>2024</v>
      </c>
      <c r="G3356" t="s">
        <v>7</v>
      </c>
      <c r="H3356">
        <v>-2</v>
      </c>
      <c r="K3356" t="s">
        <v>9</v>
      </c>
      <c r="L3356" s="8">
        <f t="shared" si="9845"/>
        <v>-1</v>
      </c>
      <c r="M3356" t="s">
        <v>3715</v>
      </c>
    </row>
    <row r="3357" spans="1:13" x14ac:dyDescent="0.35">
      <c r="A3357">
        <f t="shared" si="9359"/>
        <v>3353</v>
      </c>
      <c r="B3357" s="9">
        <f t="shared" ref="B3357" si="9894">B3356+H3357+I3357+J3357</f>
        <v>75.750000000000014</v>
      </c>
      <c r="C3357" s="3" t="s">
        <v>3700</v>
      </c>
      <c r="D3357">
        <f t="shared" ref="D3357" si="9895">_xlfn.NUMBERVALUE(LEFT(C3357,2))</f>
        <v>1</v>
      </c>
      <c r="E3357">
        <f t="shared" ref="E3357" si="9896">_xlfn.NUMBERVALUE(MID(C3357,4,2))</f>
        <v>11</v>
      </c>
      <c r="F3357">
        <f t="shared" ref="F3357" si="9897">_xlfn.NUMBERVALUE(RIGHT(C3357,4))</f>
        <v>2024</v>
      </c>
      <c r="G3357" t="s">
        <v>7</v>
      </c>
      <c r="H3357">
        <v>-2</v>
      </c>
      <c r="K3357" t="s">
        <v>9</v>
      </c>
      <c r="L3357" s="8">
        <f t="shared" si="9845"/>
        <v>-1</v>
      </c>
      <c r="M3357" t="s">
        <v>3716</v>
      </c>
    </row>
    <row r="3358" spans="1:13" x14ac:dyDescent="0.35">
      <c r="A3358">
        <f t="shared" si="9359"/>
        <v>3354</v>
      </c>
      <c r="B3358" s="9">
        <f t="shared" ref="B3358" si="9898">B3357+H3358+I3358+J3358</f>
        <v>73.750000000000014</v>
      </c>
      <c r="C3358" s="3" t="s">
        <v>3700</v>
      </c>
      <c r="D3358">
        <f t="shared" ref="D3358" si="9899">_xlfn.NUMBERVALUE(LEFT(C3358,2))</f>
        <v>1</v>
      </c>
      <c r="E3358">
        <f t="shared" ref="E3358" si="9900">_xlfn.NUMBERVALUE(MID(C3358,4,2))</f>
        <v>11</v>
      </c>
      <c r="F3358">
        <f t="shared" ref="F3358" si="9901">_xlfn.NUMBERVALUE(RIGHT(C3358,4))</f>
        <v>2024</v>
      </c>
      <c r="G3358" t="s">
        <v>7</v>
      </c>
      <c r="H3358">
        <v>-2</v>
      </c>
      <c r="K3358" t="s">
        <v>9</v>
      </c>
      <c r="L3358" s="8">
        <f t="shared" si="9845"/>
        <v>-1</v>
      </c>
      <c r="M3358" t="s">
        <v>3717</v>
      </c>
    </row>
    <row r="3359" spans="1:13" x14ac:dyDescent="0.35">
      <c r="A3359">
        <f t="shared" si="9359"/>
        <v>3355</v>
      </c>
      <c r="B3359" s="9">
        <f t="shared" ref="B3359" si="9902">B3358+H3359+I3359+J3359</f>
        <v>75.750000000000014</v>
      </c>
      <c r="C3359" s="3" t="s">
        <v>3700</v>
      </c>
      <c r="D3359">
        <f t="shared" ref="D3359" si="9903">_xlfn.NUMBERVALUE(LEFT(C3359,2))</f>
        <v>1</v>
      </c>
      <c r="E3359">
        <f t="shared" ref="E3359" si="9904">_xlfn.NUMBERVALUE(MID(C3359,4,2))</f>
        <v>11</v>
      </c>
      <c r="F3359">
        <f t="shared" ref="F3359" si="9905">_xlfn.NUMBERVALUE(RIGHT(C3359,4))</f>
        <v>2024</v>
      </c>
      <c r="G3359" t="s">
        <v>7</v>
      </c>
      <c r="H3359">
        <v>-2</v>
      </c>
      <c r="I3359">
        <v>4</v>
      </c>
      <c r="K3359" t="s">
        <v>10</v>
      </c>
      <c r="L3359" s="8">
        <f t="shared" si="9845"/>
        <v>1</v>
      </c>
      <c r="M3359" t="s">
        <v>3718</v>
      </c>
    </row>
    <row r="3360" spans="1:13" x14ac:dyDescent="0.35">
      <c r="A3360">
        <f t="shared" si="9359"/>
        <v>3356</v>
      </c>
      <c r="B3360" s="9">
        <f t="shared" ref="B3360" si="9906">B3359+H3360+I3360+J3360</f>
        <v>73.750000000000014</v>
      </c>
      <c r="C3360" s="3" t="s">
        <v>3700</v>
      </c>
      <c r="D3360">
        <f t="shared" ref="D3360" si="9907">_xlfn.NUMBERVALUE(LEFT(C3360,2))</f>
        <v>1</v>
      </c>
      <c r="E3360">
        <f t="shared" ref="E3360" si="9908">_xlfn.NUMBERVALUE(MID(C3360,4,2))</f>
        <v>11</v>
      </c>
      <c r="F3360">
        <f t="shared" ref="F3360" si="9909">_xlfn.NUMBERVALUE(RIGHT(C3360,4))</f>
        <v>2024</v>
      </c>
      <c r="G3360" t="s">
        <v>7</v>
      </c>
      <c r="H3360">
        <v>-2</v>
      </c>
      <c r="K3360" t="s">
        <v>9</v>
      </c>
      <c r="L3360" s="8">
        <f t="shared" si="9845"/>
        <v>-1</v>
      </c>
      <c r="M3360" t="s">
        <v>3719</v>
      </c>
    </row>
    <row r="3361" spans="1:13" x14ac:dyDescent="0.35">
      <c r="A3361">
        <f t="shared" si="9359"/>
        <v>3357</v>
      </c>
      <c r="B3361" s="9">
        <f t="shared" ref="B3361" si="9910">B3360+H3361+I3361+J3361</f>
        <v>77.750000000000014</v>
      </c>
      <c r="C3361" s="3" t="s">
        <v>3700</v>
      </c>
      <c r="D3361">
        <f t="shared" ref="D3361" si="9911">_xlfn.NUMBERVALUE(LEFT(C3361,2))</f>
        <v>1</v>
      </c>
      <c r="E3361">
        <f t="shared" ref="E3361" si="9912">_xlfn.NUMBERVALUE(MID(C3361,4,2))</f>
        <v>11</v>
      </c>
      <c r="F3361">
        <f t="shared" ref="F3361" si="9913">_xlfn.NUMBERVALUE(RIGHT(C3361,4))</f>
        <v>2024</v>
      </c>
      <c r="G3361" t="s">
        <v>7</v>
      </c>
      <c r="H3361">
        <v>-2</v>
      </c>
      <c r="I3361">
        <v>6</v>
      </c>
      <c r="K3361" t="s">
        <v>10</v>
      </c>
      <c r="L3361" s="8">
        <f t="shared" si="9845"/>
        <v>2</v>
      </c>
      <c r="M3361" t="s">
        <v>3720</v>
      </c>
    </row>
    <row r="3362" spans="1:13" x14ac:dyDescent="0.35">
      <c r="A3362">
        <f t="shared" si="9359"/>
        <v>3358</v>
      </c>
      <c r="B3362" s="9">
        <f t="shared" ref="B3362" si="9914">B3361+H3362+I3362+J3362</f>
        <v>75.750000000000014</v>
      </c>
      <c r="C3362" s="3" t="s">
        <v>3700</v>
      </c>
      <c r="D3362">
        <f t="shared" ref="D3362" si="9915">_xlfn.NUMBERVALUE(LEFT(C3362,2))</f>
        <v>1</v>
      </c>
      <c r="E3362">
        <f t="shared" ref="E3362" si="9916">_xlfn.NUMBERVALUE(MID(C3362,4,2))</f>
        <v>11</v>
      </c>
      <c r="F3362">
        <f t="shared" ref="F3362" si="9917">_xlfn.NUMBERVALUE(RIGHT(C3362,4))</f>
        <v>2024</v>
      </c>
      <c r="G3362" t="s">
        <v>7</v>
      </c>
      <c r="H3362">
        <v>-2</v>
      </c>
      <c r="K3362" t="s">
        <v>9</v>
      </c>
      <c r="L3362" s="8">
        <f t="shared" si="9845"/>
        <v>-1</v>
      </c>
      <c r="M3362" t="s">
        <v>3721</v>
      </c>
    </row>
    <row r="3363" spans="1:13" x14ac:dyDescent="0.35">
      <c r="A3363">
        <f t="shared" si="9359"/>
        <v>3359</v>
      </c>
      <c r="B3363" s="9">
        <f t="shared" ref="B3363" si="9918">B3362+H3363+I3363+J3363</f>
        <v>73.750000000000014</v>
      </c>
      <c r="C3363" s="3" t="s">
        <v>3700</v>
      </c>
      <c r="D3363">
        <f t="shared" ref="D3363" si="9919">_xlfn.NUMBERVALUE(LEFT(C3363,2))</f>
        <v>1</v>
      </c>
      <c r="E3363">
        <f t="shared" ref="E3363" si="9920">_xlfn.NUMBERVALUE(MID(C3363,4,2))</f>
        <v>11</v>
      </c>
      <c r="F3363">
        <f t="shared" ref="F3363" si="9921">_xlfn.NUMBERVALUE(RIGHT(C3363,4))</f>
        <v>2024</v>
      </c>
      <c r="G3363" t="s">
        <v>7</v>
      </c>
      <c r="H3363">
        <v>-2</v>
      </c>
      <c r="K3363" t="s">
        <v>9</v>
      </c>
      <c r="L3363" s="8">
        <f t="shared" si="9845"/>
        <v>-1</v>
      </c>
      <c r="M3363" t="s">
        <v>3722</v>
      </c>
    </row>
    <row r="3364" spans="1:13" x14ac:dyDescent="0.35">
      <c r="A3364">
        <f t="shared" si="9359"/>
        <v>3360</v>
      </c>
      <c r="B3364" s="9">
        <f t="shared" ref="B3364" si="9922">B3363+H3364+I3364+J3364</f>
        <v>79.750000000000014</v>
      </c>
      <c r="C3364" s="3" t="s">
        <v>3700</v>
      </c>
      <c r="D3364">
        <f t="shared" ref="D3364" si="9923">_xlfn.NUMBERVALUE(LEFT(C3364,2))</f>
        <v>1</v>
      </c>
      <c r="E3364">
        <f t="shared" ref="E3364" si="9924">_xlfn.NUMBERVALUE(MID(C3364,4,2))</f>
        <v>11</v>
      </c>
      <c r="F3364">
        <f t="shared" ref="F3364" si="9925">_xlfn.NUMBERVALUE(RIGHT(C3364,4))</f>
        <v>2024</v>
      </c>
      <c r="G3364" t="s">
        <v>7</v>
      </c>
      <c r="H3364">
        <v>-2</v>
      </c>
      <c r="I3364">
        <v>8</v>
      </c>
      <c r="K3364" t="s">
        <v>10</v>
      </c>
      <c r="L3364" s="8">
        <f t="shared" si="9845"/>
        <v>3</v>
      </c>
      <c r="M3364" t="s">
        <v>3723</v>
      </c>
    </row>
    <row r="3365" spans="1:13" x14ac:dyDescent="0.35">
      <c r="A3365">
        <f t="shared" si="9359"/>
        <v>3361</v>
      </c>
      <c r="B3365" s="9">
        <f t="shared" ref="B3365" si="9926">B3364+H3365+I3365+J3365</f>
        <v>77.750000000000014</v>
      </c>
      <c r="C3365" s="3" t="s">
        <v>3700</v>
      </c>
      <c r="D3365">
        <f t="shared" ref="D3365" si="9927">_xlfn.NUMBERVALUE(LEFT(C3365,2))</f>
        <v>1</v>
      </c>
      <c r="E3365">
        <f t="shared" ref="E3365" si="9928">_xlfn.NUMBERVALUE(MID(C3365,4,2))</f>
        <v>11</v>
      </c>
      <c r="F3365">
        <f t="shared" ref="F3365" si="9929">_xlfn.NUMBERVALUE(RIGHT(C3365,4))</f>
        <v>2024</v>
      </c>
      <c r="G3365" t="s">
        <v>7</v>
      </c>
      <c r="H3365">
        <v>-2</v>
      </c>
      <c r="K3365" t="s">
        <v>9</v>
      </c>
      <c r="L3365" s="8">
        <f t="shared" si="9845"/>
        <v>-1</v>
      </c>
      <c r="M3365" t="s">
        <v>3724</v>
      </c>
    </row>
    <row r="3366" spans="1:13" x14ac:dyDescent="0.35">
      <c r="A3366">
        <f t="shared" si="9359"/>
        <v>3362</v>
      </c>
      <c r="B3366" s="9">
        <f t="shared" ref="B3366" si="9930">B3365+H3366+I3366+J3366</f>
        <v>75.750000000000014</v>
      </c>
      <c r="C3366" s="3" t="s">
        <v>3700</v>
      </c>
      <c r="D3366">
        <f t="shared" ref="D3366" si="9931">_xlfn.NUMBERVALUE(LEFT(C3366,2))</f>
        <v>1</v>
      </c>
      <c r="E3366">
        <f t="shared" ref="E3366" si="9932">_xlfn.NUMBERVALUE(MID(C3366,4,2))</f>
        <v>11</v>
      </c>
      <c r="F3366">
        <f t="shared" ref="F3366" si="9933">_xlfn.NUMBERVALUE(RIGHT(C3366,4))</f>
        <v>2024</v>
      </c>
      <c r="G3366" t="s">
        <v>7</v>
      </c>
      <c r="H3366">
        <v>-2</v>
      </c>
      <c r="K3366" t="s">
        <v>9</v>
      </c>
      <c r="L3366" s="8">
        <f t="shared" si="9845"/>
        <v>-1</v>
      </c>
      <c r="M3366" t="s">
        <v>3725</v>
      </c>
    </row>
    <row r="3367" spans="1:13" x14ac:dyDescent="0.35">
      <c r="A3367">
        <f t="shared" si="9359"/>
        <v>3363</v>
      </c>
      <c r="B3367" s="9">
        <f t="shared" ref="B3367" si="9934">B3366+H3367+I3367+J3367</f>
        <v>73.750000000000014</v>
      </c>
      <c r="C3367" s="3" t="s">
        <v>3700</v>
      </c>
      <c r="D3367">
        <f t="shared" ref="D3367" si="9935">_xlfn.NUMBERVALUE(LEFT(C3367,2))</f>
        <v>1</v>
      </c>
      <c r="E3367">
        <f t="shared" ref="E3367" si="9936">_xlfn.NUMBERVALUE(MID(C3367,4,2))</f>
        <v>11</v>
      </c>
      <c r="F3367">
        <f t="shared" ref="F3367" si="9937">_xlfn.NUMBERVALUE(RIGHT(C3367,4))</f>
        <v>2024</v>
      </c>
      <c r="G3367" t="s">
        <v>7</v>
      </c>
      <c r="H3367">
        <v>-2</v>
      </c>
      <c r="K3367" t="s">
        <v>9</v>
      </c>
      <c r="L3367" s="8">
        <f t="shared" si="9845"/>
        <v>-1</v>
      </c>
      <c r="M3367" t="s">
        <v>3726</v>
      </c>
    </row>
    <row r="3368" spans="1:13" x14ac:dyDescent="0.35">
      <c r="A3368">
        <f t="shared" si="9359"/>
        <v>3364</v>
      </c>
      <c r="B3368" s="9">
        <f t="shared" ref="B3368" si="9938">B3367+H3368+I3368+J3368</f>
        <v>71.750000000000014</v>
      </c>
      <c r="C3368" s="3" t="s">
        <v>3700</v>
      </c>
      <c r="D3368">
        <f t="shared" ref="D3368" si="9939">_xlfn.NUMBERVALUE(LEFT(C3368,2))</f>
        <v>1</v>
      </c>
      <c r="E3368">
        <f t="shared" ref="E3368" si="9940">_xlfn.NUMBERVALUE(MID(C3368,4,2))</f>
        <v>11</v>
      </c>
      <c r="F3368">
        <f t="shared" ref="F3368" si="9941">_xlfn.NUMBERVALUE(RIGHT(C3368,4))</f>
        <v>2024</v>
      </c>
      <c r="G3368" t="s">
        <v>7</v>
      </c>
      <c r="H3368">
        <v>-2</v>
      </c>
      <c r="K3368" t="s">
        <v>9</v>
      </c>
      <c r="L3368" s="8">
        <f t="shared" si="9845"/>
        <v>-1</v>
      </c>
      <c r="M3368" t="s">
        <v>3727</v>
      </c>
    </row>
    <row r="3369" spans="1:13" x14ac:dyDescent="0.35">
      <c r="A3369">
        <f t="shared" si="9359"/>
        <v>3365</v>
      </c>
      <c r="B3369" s="9">
        <f t="shared" ref="B3369" si="9942">B3368+H3369+I3369+J3369</f>
        <v>69.750000000000014</v>
      </c>
      <c r="C3369" s="3" t="s">
        <v>3700</v>
      </c>
      <c r="D3369">
        <f t="shared" ref="D3369" si="9943">_xlfn.NUMBERVALUE(LEFT(C3369,2))</f>
        <v>1</v>
      </c>
      <c r="E3369">
        <f t="shared" ref="E3369" si="9944">_xlfn.NUMBERVALUE(MID(C3369,4,2))</f>
        <v>11</v>
      </c>
      <c r="F3369">
        <f t="shared" ref="F3369" si="9945">_xlfn.NUMBERVALUE(RIGHT(C3369,4))</f>
        <v>2024</v>
      </c>
      <c r="G3369" t="s">
        <v>7</v>
      </c>
      <c r="H3369">
        <v>-2</v>
      </c>
      <c r="K3369" t="s">
        <v>9</v>
      </c>
      <c r="L3369" s="8">
        <f t="shared" si="9845"/>
        <v>-1</v>
      </c>
      <c r="M3369" t="s">
        <v>3728</v>
      </c>
    </row>
    <row r="3370" spans="1:13" x14ac:dyDescent="0.35">
      <c r="A3370">
        <f t="shared" si="9359"/>
        <v>3366</v>
      </c>
      <c r="B3370" s="9">
        <f t="shared" ref="B3370" si="9946">B3369+H3370+I3370+J3370</f>
        <v>73.750000000000014</v>
      </c>
      <c r="C3370" s="3" t="s">
        <v>3700</v>
      </c>
      <c r="D3370">
        <f t="shared" ref="D3370" si="9947">_xlfn.NUMBERVALUE(LEFT(C3370,2))</f>
        <v>1</v>
      </c>
      <c r="E3370">
        <f t="shared" ref="E3370" si="9948">_xlfn.NUMBERVALUE(MID(C3370,4,2))</f>
        <v>11</v>
      </c>
      <c r="F3370">
        <f t="shared" ref="F3370" si="9949">_xlfn.NUMBERVALUE(RIGHT(C3370,4))</f>
        <v>2024</v>
      </c>
      <c r="G3370" t="s">
        <v>7</v>
      </c>
      <c r="H3370">
        <v>-2</v>
      </c>
      <c r="I3370">
        <v>6</v>
      </c>
      <c r="K3370" t="s">
        <v>10</v>
      </c>
      <c r="L3370" s="8">
        <f t="shared" si="9845"/>
        <v>2</v>
      </c>
      <c r="M3370" t="s">
        <v>3729</v>
      </c>
    </row>
    <row r="3371" spans="1:13" x14ac:dyDescent="0.35">
      <c r="A3371">
        <f t="shared" si="9359"/>
        <v>3367</v>
      </c>
      <c r="B3371" s="9">
        <f t="shared" ref="B3371" si="9950">B3370+H3371+I3371+J3371</f>
        <v>77.750000000000014</v>
      </c>
      <c r="C3371" s="3" t="s">
        <v>3700</v>
      </c>
      <c r="D3371">
        <f t="shared" ref="D3371" si="9951">_xlfn.NUMBERVALUE(LEFT(C3371,2))</f>
        <v>1</v>
      </c>
      <c r="E3371">
        <f t="shared" ref="E3371" si="9952">_xlfn.NUMBERVALUE(MID(C3371,4,2))</f>
        <v>11</v>
      </c>
      <c r="F3371">
        <f t="shared" ref="F3371" si="9953">_xlfn.NUMBERVALUE(RIGHT(C3371,4))</f>
        <v>2024</v>
      </c>
      <c r="G3371" t="s">
        <v>7</v>
      </c>
      <c r="H3371">
        <v>-2</v>
      </c>
      <c r="I3371">
        <v>6</v>
      </c>
      <c r="K3371" t="s">
        <v>10</v>
      </c>
      <c r="L3371" s="8">
        <f t="shared" si="9845"/>
        <v>2</v>
      </c>
      <c r="M3371" t="s">
        <v>3730</v>
      </c>
    </row>
    <row r="3372" spans="1:13" x14ac:dyDescent="0.35">
      <c r="A3372">
        <f t="shared" si="9359"/>
        <v>3368</v>
      </c>
      <c r="B3372" s="9">
        <f t="shared" ref="B3372" si="9954">B3371+H3372+I3372+J3372</f>
        <v>81.750000000000014</v>
      </c>
      <c r="C3372" s="3" t="s">
        <v>3700</v>
      </c>
      <c r="D3372">
        <f t="shared" ref="D3372" si="9955">_xlfn.NUMBERVALUE(LEFT(C3372,2))</f>
        <v>1</v>
      </c>
      <c r="E3372">
        <f t="shared" ref="E3372" si="9956">_xlfn.NUMBERVALUE(MID(C3372,4,2))</f>
        <v>11</v>
      </c>
      <c r="F3372">
        <f t="shared" ref="F3372" si="9957">_xlfn.NUMBERVALUE(RIGHT(C3372,4))</f>
        <v>2024</v>
      </c>
      <c r="G3372" t="s">
        <v>7</v>
      </c>
      <c r="H3372">
        <v>-2</v>
      </c>
      <c r="I3372">
        <v>6</v>
      </c>
      <c r="K3372" t="s">
        <v>10</v>
      </c>
      <c r="L3372" s="8">
        <f t="shared" si="9845"/>
        <v>2</v>
      </c>
      <c r="M3372" t="s">
        <v>3731</v>
      </c>
    </row>
    <row r="3373" spans="1:13" x14ac:dyDescent="0.35">
      <c r="A3373">
        <f t="shared" si="9359"/>
        <v>3369</v>
      </c>
      <c r="B3373" s="9">
        <f t="shared" ref="B3373" si="9958">B3372+H3373+I3373+J3373</f>
        <v>79.750000000000014</v>
      </c>
      <c r="C3373" s="3" t="s">
        <v>3700</v>
      </c>
      <c r="D3373">
        <f t="shared" ref="D3373" si="9959">_xlfn.NUMBERVALUE(LEFT(C3373,2))</f>
        <v>1</v>
      </c>
      <c r="E3373">
        <f t="shared" ref="E3373" si="9960">_xlfn.NUMBERVALUE(MID(C3373,4,2))</f>
        <v>11</v>
      </c>
      <c r="F3373">
        <f t="shared" ref="F3373" si="9961">_xlfn.NUMBERVALUE(RIGHT(C3373,4))</f>
        <v>2024</v>
      </c>
      <c r="G3373" t="s">
        <v>7</v>
      </c>
      <c r="H3373">
        <v>-2</v>
      </c>
      <c r="K3373" t="s">
        <v>9</v>
      </c>
      <c r="L3373" s="8">
        <f t="shared" si="9845"/>
        <v>-1</v>
      </c>
      <c r="M3373" t="s">
        <v>3732</v>
      </c>
    </row>
    <row r="3374" spans="1:13" x14ac:dyDescent="0.35">
      <c r="A3374">
        <f t="shared" si="9359"/>
        <v>3370</v>
      </c>
      <c r="B3374" s="9">
        <f t="shared" ref="B3374" si="9962">B3373+H3374+I3374+J3374</f>
        <v>77.750000000000014</v>
      </c>
      <c r="C3374" s="3" t="s">
        <v>3700</v>
      </c>
      <c r="D3374">
        <f t="shared" ref="D3374" si="9963">_xlfn.NUMBERVALUE(LEFT(C3374,2))</f>
        <v>1</v>
      </c>
      <c r="E3374">
        <f t="shared" ref="E3374" si="9964">_xlfn.NUMBERVALUE(MID(C3374,4,2))</f>
        <v>11</v>
      </c>
      <c r="F3374">
        <f t="shared" ref="F3374" si="9965">_xlfn.NUMBERVALUE(RIGHT(C3374,4))</f>
        <v>2024</v>
      </c>
      <c r="G3374" t="s">
        <v>7</v>
      </c>
      <c r="H3374">
        <v>-2</v>
      </c>
      <c r="K3374" t="s">
        <v>9</v>
      </c>
      <c r="L3374" s="8">
        <f t="shared" si="9845"/>
        <v>-1</v>
      </c>
      <c r="M3374" t="s">
        <v>3733</v>
      </c>
    </row>
    <row r="3375" spans="1:13" x14ac:dyDescent="0.35">
      <c r="A3375">
        <f t="shared" si="9359"/>
        <v>3371</v>
      </c>
      <c r="B3375" s="9">
        <f t="shared" ref="B3375" si="9966">B3374+H3375+I3375+J3375</f>
        <v>75.750000000000014</v>
      </c>
      <c r="C3375" s="3" t="s">
        <v>3700</v>
      </c>
      <c r="D3375">
        <f t="shared" ref="D3375" si="9967">_xlfn.NUMBERVALUE(LEFT(C3375,2))</f>
        <v>1</v>
      </c>
      <c r="E3375">
        <f t="shared" ref="E3375" si="9968">_xlfn.NUMBERVALUE(MID(C3375,4,2))</f>
        <v>11</v>
      </c>
      <c r="F3375">
        <f t="shared" ref="F3375" si="9969">_xlfn.NUMBERVALUE(RIGHT(C3375,4))</f>
        <v>2024</v>
      </c>
      <c r="G3375" t="s">
        <v>7</v>
      </c>
      <c r="H3375">
        <v>-2</v>
      </c>
      <c r="K3375" t="s">
        <v>9</v>
      </c>
      <c r="L3375" s="8">
        <f t="shared" si="9845"/>
        <v>-1</v>
      </c>
      <c r="M3375" t="s">
        <v>3734</v>
      </c>
    </row>
    <row r="3376" spans="1:13" x14ac:dyDescent="0.35">
      <c r="A3376">
        <f t="shared" si="9359"/>
        <v>3372</v>
      </c>
      <c r="B3376" s="9">
        <f t="shared" ref="B3376" si="9970">B3375+H3376+I3376+J3376</f>
        <v>77.750000000000014</v>
      </c>
      <c r="C3376" s="3" t="s">
        <v>3700</v>
      </c>
      <c r="D3376">
        <f t="shared" ref="D3376" si="9971">_xlfn.NUMBERVALUE(LEFT(C3376,2))</f>
        <v>1</v>
      </c>
      <c r="E3376">
        <f t="shared" ref="E3376" si="9972">_xlfn.NUMBERVALUE(MID(C3376,4,2))</f>
        <v>11</v>
      </c>
      <c r="F3376">
        <f t="shared" ref="F3376" si="9973">_xlfn.NUMBERVALUE(RIGHT(C3376,4))</f>
        <v>2024</v>
      </c>
      <c r="G3376" t="s">
        <v>7</v>
      </c>
      <c r="H3376">
        <v>-2</v>
      </c>
      <c r="I3376">
        <v>4</v>
      </c>
      <c r="K3376" t="s">
        <v>10</v>
      </c>
      <c r="L3376" s="8">
        <f t="shared" si="9845"/>
        <v>1</v>
      </c>
      <c r="M3376" t="s">
        <v>3735</v>
      </c>
    </row>
    <row r="3377" spans="1:13" x14ac:dyDescent="0.35">
      <c r="A3377">
        <f t="shared" si="9359"/>
        <v>3373</v>
      </c>
      <c r="B3377" s="9">
        <f t="shared" ref="B3377" si="9974">B3376+H3377+I3377+J3377</f>
        <v>75.750000000000014</v>
      </c>
      <c r="C3377" s="3" t="s">
        <v>3700</v>
      </c>
      <c r="D3377">
        <f t="shared" ref="D3377" si="9975">_xlfn.NUMBERVALUE(LEFT(C3377,2))</f>
        <v>1</v>
      </c>
      <c r="E3377">
        <f t="shared" ref="E3377" si="9976">_xlfn.NUMBERVALUE(MID(C3377,4,2))</f>
        <v>11</v>
      </c>
      <c r="F3377">
        <f t="shared" ref="F3377" si="9977">_xlfn.NUMBERVALUE(RIGHT(C3377,4))</f>
        <v>2024</v>
      </c>
      <c r="G3377" t="s">
        <v>7</v>
      </c>
      <c r="H3377">
        <v>-2</v>
      </c>
      <c r="K3377" t="s">
        <v>9</v>
      </c>
      <c r="L3377" s="8">
        <f t="shared" si="9845"/>
        <v>-1</v>
      </c>
      <c r="M3377" t="s">
        <v>3736</v>
      </c>
    </row>
    <row r="3378" spans="1:13" x14ac:dyDescent="0.35">
      <c r="A3378">
        <f t="shared" si="9359"/>
        <v>3374</v>
      </c>
      <c r="B3378" s="9">
        <f t="shared" ref="B3378" si="9978">B3377+H3378+I3378+J3378</f>
        <v>79.750000000000014</v>
      </c>
      <c r="C3378" s="3" t="s">
        <v>3700</v>
      </c>
      <c r="D3378">
        <f t="shared" ref="D3378" si="9979">_xlfn.NUMBERVALUE(LEFT(C3378,2))</f>
        <v>1</v>
      </c>
      <c r="E3378">
        <f t="shared" ref="E3378" si="9980">_xlfn.NUMBERVALUE(MID(C3378,4,2))</f>
        <v>11</v>
      </c>
      <c r="F3378">
        <f t="shared" ref="F3378" si="9981">_xlfn.NUMBERVALUE(RIGHT(C3378,4))</f>
        <v>2024</v>
      </c>
      <c r="G3378" t="s">
        <v>7</v>
      </c>
      <c r="H3378">
        <v>-2</v>
      </c>
      <c r="I3378">
        <v>6</v>
      </c>
      <c r="K3378" t="s">
        <v>10</v>
      </c>
      <c r="L3378" s="8">
        <f t="shared" si="9845"/>
        <v>2</v>
      </c>
      <c r="M3378" t="s">
        <v>3737</v>
      </c>
    </row>
    <row r="3379" spans="1:13" x14ac:dyDescent="0.35">
      <c r="A3379">
        <f t="shared" si="9359"/>
        <v>3375</v>
      </c>
      <c r="B3379" s="9">
        <f t="shared" ref="B3379" si="9982">B3378+H3379+I3379+J3379</f>
        <v>77.750000000000014</v>
      </c>
      <c r="C3379" s="3" t="s">
        <v>3738</v>
      </c>
      <c r="D3379">
        <f t="shared" ref="D3379" si="9983">_xlfn.NUMBERVALUE(LEFT(C3379,2))</f>
        <v>2</v>
      </c>
      <c r="E3379">
        <f t="shared" ref="E3379" si="9984">_xlfn.NUMBERVALUE(MID(C3379,4,2))</f>
        <v>11</v>
      </c>
      <c r="F3379">
        <f t="shared" ref="F3379" si="9985">_xlfn.NUMBERVALUE(RIGHT(C3379,4))</f>
        <v>2024</v>
      </c>
      <c r="G3379" t="s">
        <v>7</v>
      </c>
      <c r="H3379">
        <v>-2</v>
      </c>
      <c r="K3379" t="s">
        <v>9</v>
      </c>
      <c r="L3379" s="8">
        <f t="shared" si="9845"/>
        <v>-1</v>
      </c>
      <c r="M3379" t="s">
        <v>3739</v>
      </c>
    </row>
    <row r="3380" spans="1:13" x14ac:dyDescent="0.35">
      <c r="A3380">
        <f t="shared" si="9359"/>
        <v>3376</v>
      </c>
      <c r="B3380" s="9">
        <f t="shared" ref="B3380" si="9986">B3379+H3380+I3380+J3380</f>
        <v>81.750000000000014</v>
      </c>
      <c r="C3380" s="3" t="s">
        <v>3738</v>
      </c>
      <c r="D3380">
        <f t="shared" ref="D3380" si="9987">_xlfn.NUMBERVALUE(LEFT(C3380,2))</f>
        <v>2</v>
      </c>
      <c r="E3380">
        <f t="shared" ref="E3380" si="9988">_xlfn.NUMBERVALUE(MID(C3380,4,2))</f>
        <v>11</v>
      </c>
      <c r="F3380">
        <f t="shared" ref="F3380" si="9989">_xlfn.NUMBERVALUE(RIGHT(C3380,4))</f>
        <v>2024</v>
      </c>
      <c r="G3380" t="s">
        <v>7</v>
      </c>
      <c r="H3380">
        <v>-2</v>
      </c>
      <c r="I3380">
        <v>6</v>
      </c>
      <c r="K3380" t="s">
        <v>10</v>
      </c>
      <c r="L3380" s="8">
        <f t="shared" si="9845"/>
        <v>2</v>
      </c>
      <c r="M3380" t="s">
        <v>3740</v>
      </c>
    </row>
    <row r="3381" spans="1:13" x14ac:dyDescent="0.35">
      <c r="A3381">
        <f t="shared" si="9359"/>
        <v>3377</v>
      </c>
      <c r="B3381" s="9">
        <f t="shared" ref="B3381" si="9990">B3380+H3381+I3381+J3381</f>
        <v>81.750000000000014</v>
      </c>
      <c r="C3381" s="3" t="s">
        <v>3738</v>
      </c>
      <c r="D3381">
        <f t="shared" ref="D3381" si="9991">_xlfn.NUMBERVALUE(LEFT(C3381,2))</f>
        <v>2</v>
      </c>
      <c r="E3381">
        <f t="shared" ref="E3381" si="9992">_xlfn.NUMBERVALUE(MID(C3381,4,2))</f>
        <v>11</v>
      </c>
      <c r="F3381">
        <f t="shared" ref="F3381" si="9993">_xlfn.NUMBERVALUE(RIGHT(C3381,4))</f>
        <v>2024</v>
      </c>
      <c r="G3381" t="s">
        <v>2969</v>
      </c>
      <c r="K3381" t="s">
        <v>9</v>
      </c>
      <c r="L3381" s="8">
        <f t="shared" si="9845"/>
        <v>0</v>
      </c>
      <c r="M3381" t="s">
        <v>3741</v>
      </c>
    </row>
    <row r="3382" spans="1:13" x14ac:dyDescent="0.35">
      <c r="A3382">
        <f t="shared" si="9359"/>
        <v>3378</v>
      </c>
      <c r="B3382" s="9">
        <f t="shared" ref="B3382:B3384" si="9994">B3381+H3382+I3382+J3382</f>
        <v>81.750000000000014</v>
      </c>
      <c r="C3382" s="3" t="s">
        <v>3738</v>
      </c>
      <c r="D3382">
        <f t="shared" ref="D3382:D3384" si="9995">_xlfn.NUMBERVALUE(LEFT(C3382,2))</f>
        <v>2</v>
      </c>
      <c r="E3382">
        <f t="shared" ref="E3382:E3384" si="9996">_xlfn.NUMBERVALUE(MID(C3382,4,2))</f>
        <v>11</v>
      </c>
      <c r="F3382">
        <f t="shared" ref="F3382:F3384" si="9997">_xlfn.NUMBERVALUE(RIGHT(C3382,4))</f>
        <v>2024</v>
      </c>
      <c r="G3382" t="s">
        <v>3039</v>
      </c>
      <c r="K3382" t="s">
        <v>10</v>
      </c>
      <c r="L3382" s="8">
        <f t="shared" si="9845"/>
        <v>0</v>
      </c>
      <c r="M3382" t="s">
        <v>3742</v>
      </c>
    </row>
    <row r="3383" spans="1:13" x14ac:dyDescent="0.35">
      <c r="A3383">
        <f t="shared" si="9359"/>
        <v>3379</v>
      </c>
      <c r="B3383" s="9">
        <f t="shared" si="9994"/>
        <v>81.750000000000014</v>
      </c>
      <c r="C3383" s="3" t="s">
        <v>3738</v>
      </c>
      <c r="D3383">
        <f t="shared" si="9995"/>
        <v>2</v>
      </c>
      <c r="E3383">
        <f t="shared" si="9996"/>
        <v>11</v>
      </c>
      <c r="F3383">
        <f t="shared" si="9997"/>
        <v>2024</v>
      </c>
      <c r="G3383" t="s">
        <v>2969</v>
      </c>
      <c r="K3383" t="s">
        <v>10</v>
      </c>
      <c r="L3383" s="8">
        <f t="shared" si="9845"/>
        <v>0</v>
      </c>
      <c r="M3383" t="s">
        <v>3743</v>
      </c>
    </row>
    <row r="3384" spans="1:13" x14ac:dyDescent="0.35">
      <c r="A3384">
        <f t="shared" si="9359"/>
        <v>3380</v>
      </c>
      <c r="B3384" s="9">
        <f t="shared" si="9994"/>
        <v>83.750000000000014</v>
      </c>
      <c r="C3384" s="3" t="s">
        <v>3738</v>
      </c>
      <c r="D3384">
        <f t="shared" si="9995"/>
        <v>2</v>
      </c>
      <c r="E3384">
        <f t="shared" si="9996"/>
        <v>11</v>
      </c>
      <c r="F3384">
        <f t="shared" si="9997"/>
        <v>2024</v>
      </c>
      <c r="G3384" t="s">
        <v>7</v>
      </c>
      <c r="H3384">
        <v>-2</v>
      </c>
      <c r="I3384">
        <v>4</v>
      </c>
      <c r="K3384" t="s">
        <v>10</v>
      </c>
      <c r="L3384" s="8">
        <f t="shared" si="9845"/>
        <v>1</v>
      </c>
      <c r="M3384" t="s">
        <v>3744</v>
      </c>
    </row>
    <row r="3385" spans="1:13" x14ac:dyDescent="0.35">
      <c r="A3385">
        <f t="shared" si="9359"/>
        <v>3381</v>
      </c>
      <c r="B3385" s="9">
        <f t="shared" ref="B3385" si="9998">B3384+H3385+I3385+J3385</f>
        <v>81.750000000000014</v>
      </c>
      <c r="C3385" s="3" t="s">
        <v>3738</v>
      </c>
      <c r="D3385">
        <f t="shared" ref="D3385" si="9999">_xlfn.NUMBERVALUE(LEFT(C3385,2))</f>
        <v>2</v>
      </c>
      <c r="E3385">
        <f t="shared" ref="E3385" si="10000">_xlfn.NUMBERVALUE(MID(C3385,4,2))</f>
        <v>11</v>
      </c>
      <c r="F3385">
        <f t="shared" ref="F3385" si="10001">_xlfn.NUMBERVALUE(RIGHT(C3385,4))</f>
        <v>2024</v>
      </c>
      <c r="G3385" t="s">
        <v>7</v>
      </c>
      <c r="H3385">
        <v>-2</v>
      </c>
      <c r="K3385" t="s">
        <v>9</v>
      </c>
      <c r="L3385" s="8">
        <f t="shared" si="9845"/>
        <v>-1</v>
      </c>
      <c r="M3385" t="s">
        <v>3745</v>
      </c>
    </row>
    <row r="3386" spans="1:13" x14ac:dyDescent="0.35">
      <c r="A3386">
        <f t="shared" si="9359"/>
        <v>3382</v>
      </c>
      <c r="B3386" s="9">
        <f t="shared" ref="B3386" si="10002">B3385+H3386+I3386+J3386</f>
        <v>79.750000000000014</v>
      </c>
      <c r="C3386" s="3" t="s">
        <v>3738</v>
      </c>
      <c r="D3386">
        <f t="shared" ref="D3386" si="10003">_xlfn.NUMBERVALUE(LEFT(C3386,2))</f>
        <v>2</v>
      </c>
      <c r="E3386">
        <f t="shared" ref="E3386" si="10004">_xlfn.NUMBERVALUE(MID(C3386,4,2))</f>
        <v>11</v>
      </c>
      <c r="F3386">
        <f t="shared" ref="F3386" si="10005">_xlfn.NUMBERVALUE(RIGHT(C3386,4))</f>
        <v>2024</v>
      </c>
      <c r="G3386" t="s">
        <v>7</v>
      </c>
      <c r="H3386">
        <v>-2</v>
      </c>
      <c r="K3386" t="s">
        <v>9</v>
      </c>
      <c r="L3386" s="8">
        <f t="shared" si="9845"/>
        <v>-1</v>
      </c>
      <c r="M3386" t="s">
        <v>3746</v>
      </c>
    </row>
    <row r="3387" spans="1:13" x14ac:dyDescent="0.35">
      <c r="A3387">
        <f t="shared" si="9359"/>
        <v>3383</v>
      </c>
      <c r="B3387" s="9">
        <f t="shared" ref="B3387" si="10006">B3386+H3387+I3387+J3387</f>
        <v>77.750000000000014</v>
      </c>
      <c r="C3387" s="3" t="s">
        <v>3738</v>
      </c>
      <c r="D3387">
        <f t="shared" ref="D3387" si="10007">_xlfn.NUMBERVALUE(LEFT(C3387,2))</f>
        <v>2</v>
      </c>
      <c r="E3387">
        <f t="shared" ref="E3387" si="10008">_xlfn.NUMBERVALUE(MID(C3387,4,2))</f>
        <v>11</v>
      </c>
      <c r="F3387">
        <f t="shared" ref="F3387" si="10009">_xlfn.NUMBERVALUE(RIGHT(C3387,4))</f>
        <v>2024</v>
      </c>
      <c r="G3387" t="s">
        <v>7</v>
      </c>
      <c r="H3387">
        <v>-2</v>
      </c>
      <c r="K3387" t="s">
        <v>9</v>
      </c>
      <c r="L3387" s="8">
        <f t="shared" si="9845"/>
        <v>-1</v>
      </c>
      <c r="M3387" t="s">
        <v>3747</v>
      </c>
    </row>
    <row r="3388" spans="1:13" x14ac:dyDescent="0.35">
      <c r="A3388">
        <f t="shared" si="9359"/>
        <v>3384</v>
      </c>
      <c r="B3388" s="9">
        <f t="shared" ref="B3388" si="10010">B3387+H3388+I3388+J3388</f>
        <v>75.750000000000014</v>
      </c>
      <c r="C3388" s="3" t="s">
        <v>3738</v>
      </c>
      <c r="D3388">
        <f t="shared" ref="D3388" si="10011">_xlfn.NUMBERVALUE(LEFT(C3388,2))</f>
        <v>2</v>
      </c>
      <c r="E3388">
        <f t="shared" ref="E3388" si="10012">_xlfn.NUMBERVALUE(MID(C3388,4,2))</f>
        <v>11</v>
      </c>
      <c r="F3388">
        <f t="shared" ref="F3388" si="10013">_xlfn.NUMBERVALUE(RIGHT(C3388,4))</f>
        <v>2024</v>
      </c>
      <c r="G3388" t="s">
        <v>7</v>
      </c>
      <c r="H3388">
        <v>-2</v>
      </c>
      <c r="K3388" t="s">
        <v>9</v>
      </c>
      <c r="L3388" s="8">
        <f t="shared" si="9845"/>
        <v>-1</v>
      </c>
      <c r="M3388" t="s">
        <v>3748</v>
      </c>
    </row>
    <row r="3389" spans="1:13" x14ac:dyDescent="0.35">
      <c r="A3389">
        <f t="shared" si="9359"/>
        <v>3385</v>
      </c>
      <c r="B3389" s="9">
        <f t="shared" ref="B3389" si="10014">B3388+H3389+I3389+J3389</f>
        <v>73.750000000000014</v>
      </c>
      <c r="C3389" s="3" t="s">
        <v>3749</v>
      </c>
      <c r="D3389">
        <f t="shared" ref="D3389" si="10015">_xlfn.NUMBERVALUE(LEFT(C3389,2))</f>
        <v>3</v>
      </c>
      <c r="E3389">
        <f t="shared" ref="E3389" si="10016">_xlfn.NUMBERVALUE(MID(C3389,4,2))</f>
        <v>11</v>
      </c>
      <c r="F3389">
        <f t="shared" ref="F3389" si="10017">_xlfn.NUMBERVALUE(RIGHT(C3389,4))</f>
        <v>2024</v>
      </c>
      <c r="G3389" t="s">
        <v>7</v>
      </c>
      <c r="H3389">
        <v>-2</v>
      </c>
      <c r="K3389" t="s">
        <v>9</v>
      </c>
      <c r="L3389" s="8">
        <f t="shared" si="9845"/>
        <v>-1</v>
      </c>
      <c r="M3389" t="s">
        <v>3750</v>
      </c>
    </row>
    <row r="3390" spans="1:13" x14ac:dyDescent="0.35">
      <c r="A3390">
        <f t="shared" si="9359"/>
        <v>3386</v>
      </c>
      <c r="B3390" s="9">
        <f t="shared" ref="B3390" si="10018">B3389+H3390+I3390+J3390</f>
        <v>71.750000000000014</v>
      </c>
      <c r="C3390" s="3" t="s">
        <v>3749</v>
      </c>
      <c r="D3390">
        <f t="shared" ref="D3390" si="10019">_xlfn.NUMBERVALUE(LEFT(C3390,2))</f>
        <v>3</v>
      </c>
      <c r="E3390">
        <f t="shared" ref="E3390" si="10020">_xlfn.NUMBERVALUE(MID(C3390,4,2))</f>
        <v>11</v>
      </c>
      <c r="F3390">
        <f t="shared" ref="F3390" si="10021">_xlfn.NUMBERVALUE(RIGHT(C3390,4))</f>
        <v>2024</v>
      </c>
      <c r="G3390" t="s">
        <v>7</v>
      </c>
      <c r="H3390">
        <v>-2</v>
      </c>
      <c r="K3390" t="s">
        <v>9</v>
      </c>
      <c r="L3390" s="8">
        <f t="shared" si="9845"/>
        <v>-1</v>
      </c>
      <c r="M3390" t="s">
        <v>3751</v>
      </c>
    </row>
    <row r="3391" spans="1:13" x14ac:dyDescent="0.35">
      <c r="A3391">
        <f t="shared" si="9359"/>
        <v>3387</v>
      </c>
      <c r="B3391" s="9">
        <f t="shared" ref="B3391" si="10022">B3390+H3391+I3391+J3391</f>
        <v>69.750000000000014</v>
      </c>
      <c r="C3391" s="3" t="s">
        <v>3749</v>
      </c>
      <c r="D3391">
        <f t="shared" ref="D3391" si="10023">_xlfn.NUMBERVALUE(LEFT(C3391,2))</f>
        <v>3</v>
      </c>
      <c r="E3391">
        <f t="shared" ref="E3391" si="10024">_xlfn.NUMBERVALUE(MID(C3391,4,2))</f>
        <v>11</v>
      </c>
      <c r="F3391">
        <f t="shared" ref="F3391" si="10025">_xlfn.NUMBERVALUE(RIGHT(C3391,4))</f>
        <v>2024</v>
      </c>
      <c r="G3391" t="s">
        <v>7</v>
      </c>
      <c r="H3391">
        <v>-2</v>
      </c>
      <c r="K3391" t="s">
        <v>9</v>
      </c>
      <c r="L3391" s="8">
        <f t="shared" si="9845"/>
        <v>-1</v>
      </c>
      <c r="M3391" t="s">
        <v>3752</v>
      </c>
    </row>
    <row r="3392" spans="1:13" x14ac:dyDescent="0.35">
      <c r="A3392">
        <f t="shared" si="9359"/>
        <v>3388</v>
      </c>
      <c r="B3392" s="9">
        <f t="shared" ref="B3392" si="10026">B3391+H3392+I3392+J3392</f>
        <v>73.750000000000014</v>
      </c>
      <c r="C3392" s="3" t="s">
        <v>3749</v>
      </c>
      <c r="D3392">
        <f t="shared" ref="D3392" si="10027">_xlfn.NUMBERVALUE(LEFT(C3392,2))</f>
        <v>3</v>
      </c>
      <c r="E3392">
        <f t="shared" ref="E3392" si="10028">_xlfn.NUMBERVALUE(MID(C3392,4,2))</f>
        <v>11</v>
      </c>
      <c r="F3392">
        <f t="shared" ref="F3392" si="10029">_xlfn.NUMBERVALUE(RIGHT(C3392,4))</f>
        <v>2024</v>
      </c>
      <c r="G3392" t="s">
        <v>7</v>
      </c>
      <c r="H3392">
        <v>-2</v>
      </c>
      <c r="I3392">
        <v>6</v>
      </c>
      <c r="K3392" t="s">
        <v>10</v>
      </c>
      <c r="L3392" s="8">
        <f t="shared" si="9845"/>
        <v>2</v>
      </c>
      <c r="M3392" t="s">
        <v>3753</v>
      </c>
    </row>
    <row r="3393" spans="1:13" x14ac:dyDescent="0.35">
      <c r="A3393">
        <f t="shared" si="9359"/>
        <v>3389</v>
      </c>
      <c r="B3393" s="9">
        <f t="shared" ref="B3393" si="10030">B3392+H3393+I3393+J3393</f>
        <v>71.750000000000014</v>
      </c>
      <c r="C3393" s="3" t="s">
        <v>3749</v>
      </c>
      <c r="D3393">
        <f t="shared" ref="D3393:D3394" si="10031">_xlfn.NUMBERVALUE(LEFT(C3393,2))</f>
        <v>3</v>
      </c>
      <c r="E3393">
        <f t="shared" ref="E3393:E3394" si="10032">_xlfn.NUMBERVALUE(MID(C3393,4,2))</f>
        <v>11</v>
      </c>
      <c r="F3393">
        <f t="shared" ref="F3393:F3394" si="10033">_xlfn.NUMBERVALUE(RIGHT(C3393,4))</f>
        <v>2024</v>
      </c>
      <c r="G3393" t="s">
        <v>7</v>
      </c>
      <c r="H3393">
        <v>-2</v>
      </c>
      <c r="K3393" t="s">
        <v>9</v>
      </c>
      <c r="L3393" s="8">
        <f t="shared" si="9845"/>
        <v>-1</v>
      </c>
      <c r="M3393" t="s">
        <v>3754</v>
      </c>
    </row>
    <row r="3394" spans="1:13" x14ac:dyDescent="0.35">
      <c r="A3394">
        <f t="shared" si="9359"/>
        <v>3390</v>
      </c>
      <c r="B3394" s="9">
        <f t="shared" ref="B3394:B3395" si="10034">B3393+H3394+I3394+J3394</f>
        <v>71.750000000000014</v>
      </c>
      <c r="C3394" s="3" t="s">
        <v>3749</v>
      </c>
      <c r="D3394">
        <f t="shared" si="10031"/>
        <v>3</v>
      </c>
      <c r="E3394">
        <f t="shared" si="10032"/>
        <v>11</v>
      </c>
      <c r="F3394">
        <f t="shared" si="10033"/>
        <v>2024</v>
      </c>
      <c r="G3394" t="s">
        <v>3039</v>
      </c>
      <c r="K3394" t="s">
        <v>10</v>
      </c>
      <c r="L3394" s="8">
        <f t="shared" si="9845"/>
        <v>0</v>
      </c>
      <c r="M3394" t="s">
        <v>3755</v>
      </c>
    </row>
    <row r="3395" spans="1:13" x14ac:dyDescent="0.35">
      <c r="A3395">
        <f t="shared" si="9359"/>
        <v>3391</v>
      </c>
      <c r="B3395" s="9">
        <f t="shared" si="10034"/>
        <v>75.750000000000014</v>
      </c>
      <c r="C3395" s="3" t="s">
        <v>3749</v>
      </c>
      <c r="D3395">
        <f t="shared" ref="D3395" si="10035">_xlfn.NUMBERVALUE(LEFT(C3395,2))</f>
        <v>3</v>
      </c>
      <c r="E3395">
        <f t="shared" ref="E3395" si="10036">_xlfn.NUMBERVALUE(MID(C3395,4,2))</f>
        <v>11</v>
      </c>
      <c r="F3395">
        <f t="shared" ref="F3395" si="10037">_xlfn.NUMBERVALUE(RIGHT(C3395,4))</f>
        <v>2024</v>
      </c>
      <c r="G3395" t="s">
        <v>7</v>
      </c>
      <c r="H3395">
        <v>-2</v>
      </c>
      <c r="I3395">
        <v>6</v>
      </c>
      <c r="K3395" t="s">
        <v>10</v>
      </c>
      <c r="L3395" s="8">
        <f t="shared" si="9845"/>
        <v>2</v>
      </c>
      <c r="M3395" t="s">
        <v>3756</v>
      </c>
    </row>
    <row r="3396" spans="1:13" x14ac:dyDescent="0.35">
      <c r="A3396">
        <f t="shared" si="9359"/>
        <v>3392</v>
      </c>
      <c r="B3396" s="9">
        <f t="shared" ref="B3396" si="10038">B3395+H3396+I3396+J3396</f>
        <v>79.750000000000014</v>
      </c>
      <c r="C3396" s="3" t="s">
        <v>3749</v>
      </c>
      <c r="D3396">
        <f t="shared" ref="D3396" si="10039">_xlfn.NUMBERVALUE(LEFT(C3396,2))</f>
        <v>3</v>
      </c>
      <c r="E3396">
        <f t="shared" ref="E3396" si="10040">_xlfn.NUMBERVALUE(MID(C3396,4,2))</f>
        <v>11</v>
      </c>
      <c r="F3396">
        <f t="shared" ref="F3396" si="10041">_xlfn.NUMBERVALUE(RIGHT(C3396,4))</f>
        <v>2024</v>
      </c>
      <c r="G3396" t="s">
        <v>7</v>
      </c>
      <c r="H3396">
        <v>-2</v>
      </c>
      <c r="I3396">
        <v>6</v>
      </c>
      <c r="K3396" t="s">
        <v>10</v>
      </c>
      <c r="L3396" s="8">
        <f t="shared" si="9845"/>
        <v>2</v>
      </c>
      <c r="M3396" t="s">
        <v>3757</v>
      </c>
    </row>
    <row r="3397" spans="1:13" x14ac:dyDescent="0.35">
      <c r="A3397">
        <f t="shared" si="9359"/>
        <v>3393</v>
      </c>
      <c r="B3397" s="9">
        <f t="shared" ref="B3397" si="10042">B3396+H3397+I3397+J3397</f>
        <v>77.750000000000014</v>
      </c>
      <c r="C3397" s="3" t="s">
        <v>3749</v>
      </c>
      <c r="D3397">
        <f t="shared" ref="D3397" si="10043">_xlfn.NUMBERVALUE(LEFT(C3397,2))</f>
        <v>3</v>
      </c>
      <c r="E3397">
        <f t="shared" ref="E3397" si="10044">_xlfn.NUMBERVALUE(MID(C3397,4,2))</f>
        <v>11</v>
      </c>
      <c r="F3397">
        <f t="shared" ref="F3397" si="10045">_xlfn.NUMBERVALUE(RIGHT(C3397,4))</f>
        <v>2024</v>
      </c>
      <c r="G3397" t="s">
        <v>7</v>
      </c>
      <c r="H3397">
        <v>-2</v>
      </c>
      <c r="K3397" t="s">
        <v>9</v>
      </c>
      <c r="L3397" s="8">
        <f t="shared" si="9845"/>
        <v>-1</v>
      </c>
      <c r="M3397" t="s">
        <v>3758</v>
      </c>
    </row>
    <row r="3398" spans="1:13" x14ac:dyDescent="0.35">
      <c r="A3398">
        <f t="shared" si="9359"/>
        <v>3394</v>
      </c>
      <c r="B3398" s="9">
        <f t="shared" ref="B3398" si="10046">B3397+H3398+I3398+J3398</f>
        <v>81.750000000000014</v>
      </c>
      <c r="C3398" s="3" t="s">
        <v>3749</v>
      </c>
      <c r="D3398">
        <f t="shared" ref="D3398" si="10047">_xlfn.NUMBERVALUE(LEFT(C3398,2))</f>
        <v>3</v>
      </c>
      <c r="E3398">
        <f t="shared" ref="E3398" si="10048">_xlfn.NUMBERVALUE(MID(C3398,4,2))</f>
        <v>11</v>
      </c>
      <c r="F3398">
        <f t="shared" ref="F3398" si="10049">_xlfn.NUMBERVALUE(RIGHT(C3398,4))</f>
        <v>2024</v>
      </c>
      <c r="G3398" t="s">
        <v>7</v>
      </c>
      <c r="H3398">
        <v>-2</v>
      </c>
      <c r="I3398">
        <v>6</v>
      </c>
      <c r="K3398" t="s">
        <v>10</v>
      </c>
      <c r="L3398" s="8">
        <f t="shared" si="9845"/>
        <v>2</v>
      </c>
      <c r="M3398" t="s">
        <v>3759</v>
      </c>
    </row>
    <row r="3399" spans="1:13" x14ac:dyDescent="0.35">
      <c r="A3399">
        <f t="shared" si="9359"/>
        <v>3395</v>
      </c>
      <c r="B3399" s="9">
        <f t="shared" ref="B3399" si="10050">B3398+H3399+I3399+J3399</f>
        <v>79.750000000000014</v>
      </c>
      <c r="C3399" s="3" t="s">
        <v>3749</v>
      </c>
      <c r="D3399">
        <f t="shared" ref="D3399" si="10051">_xlfn.NUMBERVALUE(LEFT(C3399,2))</f>
        <v>3</v>
      </c>
      <c r="E3399">
        <f t="shared" ref="E3399" si="10052">_xlfn.NUMBERVALUE(MID(C3399,4,2))</f>
        <v>11</v>
      </c>
      <c r="F3399">
        <f t="shared" ref="F3399" si="10053">_xlfn.NUMBERVALUE(RIGHT(C3399,4))</f>
        <v>2024</v>
      </c>
      <c r="G3399" t="s">
        <v>7</v>
      </c>
      <c r="H3399">
        <v>-2</v>
      </c>
      <c r="K3399" t="s">
        <v>9</v>
      </c>
      <c r="L3399" s="8">
        <f t="shared" si="9845"/>
        <v>-1</v>
      </c>
      <c r="M3399" t="s">
        <v>3760</v>
      </c>
    </row>
    <row r="3400" spans="1:13" x14ac:dyDescent="0.35">
      <c r="A3400">
        <f t="shared" si="9359"/>
        <v>3396</v>
      </c>
      <c r="B3400" s="9">
        <f t="shared" ref="B3400:B3401" si="10054">B3399+H3400+I3400+J3400</f>
        <v>68.750000000000014</v>
      </c>
      <c r="C3400" s="3" t="s">
        <v>3749</v>
      </c>
      <c r="D3400">
        <f t="shared" ref="D3400:D3401" si="10055">_xlfn.NUMBERVALUE(LEFT(C3400,2))</f>
        <v>3</v>
      </c>
      <c r="E3400">
        <f t="shared" ref="E3400:E3401" si="10056">_xlfn.NUMBERVALUE(MID(C3400,4,2))</f>
        <v>11</v>
      </c>
      <c r="F3400">
        <f t="shared" ref="F3400:F3401" si="10057">_xlfn.NUMBERVALUE(RIGHT(C3400,4))</f>
        <v>2024</v>
      </c>
      <c r="G3400" t="s">
        <v>154</v>
      </c>
      <c r="H3400">
        <v>-11</v>
      </c>
      <c r="K3400" t="s">
        <v>9</v>
      </c>
      <c r="L3400" s="8">
        <f t="shared" si="9845"/>
        <v>-1</v>
      </c>
      <c r="M3400" t="s">
        <v>3761</v>
      </c>
    </row>
    <row r="3401" spans="1:13" x14ac:dyDescent="0.35">
      <c r="A3401">
        <f t="shared" si="9359"/>
        <v>3397</v>
      </c>
      <c r="B3401" s="9">
        <f t="shared" si="10054"/>
        <v>66.750000000000014</v>
      </c>
      <c r="C3401" s="3" t="s">
        <v>3762</v>
      </c>
      <c r="D3401">
        <f t="shared" si="10055"/>
        <v>4</v>
      </c>
      <c r="E3401">
        <f t="shared" si="10056"/>
        <v>11</v>
      </c>
      <c r="F3401">
        <f t="shared" si="10057"/>
        <v>2024</v>
      </c>
      <c r="G3401" t="s">
        <v>7</v>
      </c>
      <c r="H3401">
        <v>-2</v>
      </c>
      <c r="K3401" t="s">
        <v>9</v>
      </c>
      <c r="L3401" s="8">
        <f t="shared" si="9845"/>
        <v>-1</v>
      </c>
      <c r="M3401" t="s">
        <v>3763</v>
      </c>
    </row>
    <row r="3402" spans="1:13" x14ac:dyDescent="0.35">
      <c r="A3402">
        <f t="shared" si="9359"/>
        <v>3398</v>
      </c>
      <c r="B3402" s="9">
        <f t="shared" ref="B3402" si="10058">B3401+H3402+I3402+J3402</f>
        <v>68.750000000000014</v>
      </c>
      <c r="C3402" s="3" t="s">
        <v>3764</v>
      </c>
      <c r="D3402">
        <f t="shared" ref="D3402" si="10059">_xlfn.NUMBERVALUE(LEFT(C3402,2))</f>
        <v>5</v>
      </c>
      <c r="E3402">
        <f t="shared" ref="E3402" si="10060">_xlfn.NUMBERVALUE(MID(C3402,4,2))</f>
        <v>11</v>
      </c>
      <c r="F3402">
        <f t="shared" ref="F3402" si="10061">_xlfn.NUMBERVALUE(RIGHT(C3402,4))</f>
        <v>2024</v>
      </c>
      <c r="G3402" t="s">
        <v>7</v>
      </c>
      <c r="H3402">
        <v>-2</v>
      </c>
      <c r="I3402">
        <v>4</v>
      </c>
      <c r="K3402" t="s">
        <v>10</v>
      </c>
      <c r="L3402" s="8">
        <f t="shared" si="9845"/>
        <v>1</v>
      </c>
      <c r="M3402" t="s">
        <v>3765</v>
      </c>
    </row>
    <row r="3403" spans="1:13" x14ac:dyDescent="0.35">
      <c r="A3403">
        <f t="shared" si="9359"/>
        <v>3399</v>
      </c>
      <c r="B3403" s="9">
        <f t="shared" ref="B3403" si="10062">B3402+H3403+I3403+J3403</f>
        <v>68.750000000000014</v>
      </c>
      <c r="C3403" s="3" t="s">
        <v>3764</v>
      </c>
      <c r="D3403">
        <f t="shared" ref="D3403" si="10063">_xlfn.NUMBERVALUE(LEFT(C3403,2))</f>
        <v>5</v>
      </c>
      <c r="E3403">
        <f t="shared" ref="E3403" si="10064">_xlfn.NUMBERVALUE(MID(C3403,4,2))</f>
        <v>11</v>
      </c>
      <c r="F3403">
        <f t="shared" ref="F3403" si="10065">_xlfn.NUMBERVALUE(RIGHT(C3403,4))</f>
        <v>2024</v>
      </c>
      <c r="G3403" t="s">
        <v>3039</v>
      </c>
      <c r="K3403" t="s">
        <v>9</v>
      </c>
      <c r="L3403" s="8">
        <f t="shared" si="9845"/>
        <v>0</v>
      </c>
      <c r="M3403" t="s">
        <v>3766</v>
      </c>
    </row>
    <row r="3404" spans="1:13" x14ac:dyDescent="0.35">
      <c r="A3404">
        <f t="shared" si="9359"/>
        <v>3400</v>
      </c>
      <c r="B3404" s="9">
        <f t="shared" ref="B3404:B3405" si="10066">B3403+H3404+I3404+J3404</f>
        <v>68.750000000000014</v>
      </c>
      <c r="C3404" s="3" t="s">
        <v>3764</v>
      </c>
      <c r="D3404">
        <f t="shared" ref="D3404:D3405" si="10067">_xlfn.NUMBERVALUE(LEFT(C3404,2))</f>
        <v>5</v>
      </c>
      <c r="E3404">
        <f t="shared" ref="E3404:E3405" si="10068">_xlfn.NUMBERVALUE(MID(C3404,4,2))</f>
        <v>11</v>
      </c>
      <c r="F3404">
        <f t="shared" ref="F3404:F3405" si="10069">_xlfn.NUMBERVALUE(RIGHT(C3404,4))</f>
        <v>2024</v>
      </c>
      <c r="G3404" t="s">
        <v>3039</v>
      </c>
      <c r="K3404" t="s">
        <v>9</v>
      </c>
      <c r="L3404" s="8">
        <f t="shared" si="9845"/>
        <v>0</v>
      </c>
      <c r="M3404" t="s">
        <v>3767</v>
      </c>
    </row>
    <row r="3405" spans="1:13" x14ac:dyDescent="0.35">
      <c r="A3405">
        <f t="shared" si="9359"/>
        <v>3401</v>
      </c>
      <c r="B3405" s="9">
        <f t="shared" si="10066"/>
        <v>66.750000000000014</v>
      </c>
      <c r="C3405" s="3" t="s">
        <v>3764</v>
      </c>
      <c r="D3405">
        <f t="shared" si="10067"/>
        <v>5</v>
      </c>
      <c r="E3405">
        <f t="shared" si="10068"/>
        <v>11</v>
      </c>
      <c r="F3405">
        <f t="shared" si="10069"/>
        <v>2024</v>
      </c>
      <c r="G3405" t="s">
        <v>7</v>
      </c>
      <c r="H3405">
        <v>-2</v>
      </c>
      <c r="K3405" t="s">
        <v>9</v>
      </c>
      <c r="L3405" s="8">
        <f t="shared" si="9845"/>
        <v>-1</v>
      </c>
      <c r="M3405" t="s">
        <v>3768</v>
      </c>
    </row>
    <row r="3406" spans="1:13" x14ac:dyDescent="0.35">
      <c r="A3406">
        <f t="shared" si="9359"/>
        <v>3402</v>
      </c>
      <c r="B3406" s="9">
        <f t="shared" ref="B3406" si="10070">B3405+H3406+I3406+J3406</f>
        <v>64.750000000000014</v>
      </c>
      <c r="C3406" s="3" t="s">
        <v>3764</v>
      </c>
      <c r="D3406">
        <f t="shared" ref="D3406" si="10071">_xlfn.NUMBERVALUE(LEFT(C3406,2))</f>
        <v>5</v>
      </c>
      <c r="E3406">
        <f t="shared" ref="E3406" si="10072">_xlfn.NUMBERVALUE(MID(C3406,4,2))</f>
        <v>11</v>
      </c>
      <c r="F3406">
        <f t="shared" ref="F3406" si="10073">_xlfn.NUMBERVALUE(RIGHT(C3406,4))</f>
        <v>2024</v>
      </c>
      <c r="G3406" t="s">
        <v>7</v>
      </c>
      <c r="H3406">
        <v>-2</v>
      </c>
      <c r="K3406" t="s">
        <v>9</v>
      </c>
      <c r="L3406" s="8">
        <f t="shared" si="9845"/>
        <v>-1</v>
      </c>
      <c r="M3406" t="s">
        <v>3769</v>
      </c>
    </row>
    <row r="3407" spans="1:13" x14ac:dyDescent="0.35">
      <c r="A3407">
        <f t="shared" si="9359"/>
        <v>3403</v>
      </c>
      <c r="B3407" s="9">
        <f t="shared" ref="B3407" si="10074">B3406+H3407+I3407+J3407</f>
        <v>62.750000000000014</v>
      </c>
      <c r="C3407" s="3" t="s">
        <v>3764</v>
      </c>
      <c r="D3407">
        <f t="shared" ref="D3407" si="10075">_xlfn.NUMBERVALUE(LEFT(C3407,2))</f>
        <v>5</v>
      </c>
      <c r="E3407">
        <f t="shared" ref="E3407" si="10076">_xlfn.NUMBERVALUE(MID(C3407,4,2))</f>
        <v>11</v>
      </c>
      <c r="F3407">
        <f t="shared" ref="F3407" si="10077">_xlfn.NUMBERVALUE(RIGHT(C3407,4))</f>
        <v>2024</v>
      </c>
      <c r="G3407" t="s">
        <v>7</v>
      </c>
      <c r="H3407">
        <v>-2</v>
      </c>
      <c r="K3407" t="s">
        <v>9</v>
      </c>
      <c r="L3407" s="8">
        <f t="shared" si="9845"/>
        <v>-1</v>
      </c>
      <c r="M3407" t="s">
        <v>3770</v>
      </c>
    </row>
    <row r="3408" spans="1:13" x14ac:dyDescent="0.35">
      <c r="A3408">
        <f t="shared" si="9359"/>
        <v>3404</v>
      </c>
      <c r="B3408" s="9">
        <f t="shared" ref="B3408" si="10078">B3407+H3408+I3408+J3408</f>
        <v>60.750000000000014</v>
      </c>
      <c r="C3408" s="3" t="s">
        <v>3764</v>
      </c>
      <c r="D3408">
        <f t="shared" ref="D3408" si="10079">_xlfn.NUMBERVALUE(LEFT(C3408,2))</f>
        <v>5</v>
      </c>
      <c r="E3408">
        <f t="shared" ref="E3408" si="10080">_xlfn.NUMBERVALUE(MID(C3408,4,2))</f>
        <v>11</v>
      </c>
      <c r="F3408">
        <f t="shared" ref="F3408" si="10081">_xlfn.NUMBERVALUE(RIGHT(C3408,4))</f>
        <v>2024</v>
      </c>
      <c r="G3408" t="s">
        <v>7</v>
      </c>
      <c r="H3408">
        <v>-2</v>
      </c>
      <c r="K3408" t="s">
        <v>9</v>
      </c>
      <c r="L3408" s="8">
        <f t="shared" si="9845"/>
        <v>-1</v>
      </c>
      <c r="M3408" t="s">
        <v>3771</v>
      </c>
    </row>
    <row r="3409" spans="1:13" x14ac:dyDescent="0.35">
      <c r="A3409">
        <f t="shared" si="9359"/>
        <v>3405</v>
      </c>
      <c r="B3409" s="9">
        <f t="shared" ref="B3409:B3410" si="10082">B3408+H3409+I3409+J3409</f>
        <v>62.750000000000014</v>
      </c>
      <c r="C3409" s="3" t="s">
        <v>3772</v>
      </c>
      <c r="D3409">
        <f t="shared" ref="D3409:D3410" si="10083">_xlfn.NUMBERVALUE(LEFT(C3409,2))</f>
        <v>6</v>
      </c>
      <c r="E3409">
        <f t="shared" ref="E3409:E3410" si="10084">_xlfn.NUMBERVALUE(MID(C3409,4,2))</f>
        <v>11</v>
      </c>
      <c r="F3409">
        <f t="shared" ref="F3409:F3410" si="10085">_xlfn.NUMBERVALUE(RIGHT(C3409,4))</f>
        <v>2024</v>
      </c>
      <c r="G3409" t="s">
        <v>7</v>
      </c>
      <c r="H3409">
        <v>-2</v>
      </c>
      <c r="I3409">
        <v>4</v>
      </c>
      <c r="K3409" t="s">
        <v>10</v>
      </c>
      <c r="L3409" s="8">
        <f t="shared" si="9845"/>
        <v>1</v>
      </c>
      <c r="M3409" t="s">
        <v>3773</v>
      </c>
    </row>
    <row r="3410" spans="1:13" x14ac:dyDescent="0.35">
      <c r="A3410">
        <f t="shared" si="9359"/>
        <v>3406</v>
      </c>
      <c r="B3410" s="9">
        <f t="shared" si="10082"/>
        <v>62.750000000000014</v>
      </c>
      <c r="C3410" s="3" t="s">
        <v>3772</v>
      </c>
      <c r="D3410">
        <f t="shared" si="10083"/>
        <v>6</v>
      </c>
      <c r="E3410">
        <f t="shared" si="10084"/>
        <v>11</v>
      </c>
      <c r="F3410">
        <f t="shared" si="10085"/>
        <v>2024</v>
      </c>
      <c r="G3410" t="s">
        <v>3039</v>
      </c>
      <c r="K3410" t="s">
        <v>9</v>
      </c>
      <c r="L3410" s="8">
        <f t="shared" si="9845"/>
        <v>0</v>
      </c>
      <c r="M3410" t="s">
        <v>3774</v>
      </c>
    </row>
    <row r="3411" spans="1:13" x14ac:dyDescent="0.35">
      <c r="A3411">
        <f t="shared" si="9359"/>
        <v>3407</v>
      </c>
      <c r="B3411" s="9">
        <f t="shared" ref="B3411" si="10086">B3410+H3411+I3411+J3411</f>
        <v>64.750000000000014</v>
      </c>
      <c r="C3411" s="3" t="s">
        <v>3772</v>
      </c>
      <c r="D3411">
        <f t="shared" ref="D3411" si="10087">_xlfn.NUMBERVALUE(LEFT(C3411,2))</f>
        <v>6</v>
      </c>
      <c r="E3411">
        <f t="shared" ref="E3411" si="10088">_xlfn.NUMBERVALUE(MID(C3411,4,2))</f>
        <v>11</v>
      </c>
      <c r="F3411">
        <f t="shared" ref="F3411" si="10089">_xlfn.NUMBERVALUE(RIGHT(C3411,4))</f>
        <v>2024</v>
      </c>
      <c r="G3411" t="s">
        <v>7</v>
      </c>
      <c r="H3411">
        <v>-2</v>
      </c>
      <c r="I3411">
        <v>4</v>
      </c>
      <c r="K3411" t="s">
        <v>10</v>
      </c>
      <c r="L3411" s="8">
        <f t="shared" si="9845"/>
        <v>1</v>
      </c>
      <c r="M3411" t="s">
        <v>3775</v>
      </c>
    </row>
    <row r="3412" spans="1:13" x14ac:dyDescent="0.35">
      <c r="A3412">
        <f t="shared" si="9359"/>
        <v>3408</v>
      </c>
      <c r="B3412" s="9">
        <f t="shared" ref="B3412" si="10090">B3411+H3412+I3412+J3412</f>
        <v>62.750000000000014</v>
      </c>
      <c r="C3412" s="3" t="s">
        <v>3772</v>
      </c>
      <c r="D3412">
        <f t="shared" ref="D3412" si="10091">_xlfn.NUMBERVALUE(LEFT(C3412,2))</f>
        <v>6</v>
      </c>
      <c r="E3412">
        <f t="shared" ref="E3412" si="10092">_xlfn.NUMBERVALUE(MID(C3412,4,2))</f>
        <v>11</v>
      </c>
      <c r="F3412">
        <f t="shared" ref="F3412" si="10093">_xlfn.NUMBERVALUE(RIGHT(C3412,4))</f>
        <v>2024</v>
      </c>
      <c r="G3412" t="s">
        <v>7</v>
      </c>
      <c r="H3412">
        <v>-2</v>
      </c>
      <c r="K3412" t="s">
        <v>9</v>
      </c>
      <c r="L3412" s="8">
        <f t="shared" si="9845"/>
        <v>-1</v>
      </c>
      <c r="M3412" t="s">
        <v>3776</v>
      </c>
    </row>
    <row r="3413" spans="1:13" x14ac:dyDescent="0.35">
      <c r="A3413">
        <f t="shared" si="9359"/>
        <v>3409</v>
      </c>
      <c r="B3413" s="9">
        <f t="shared" ref="B3413" si="10094">B3412+H3413+I3413+J3413</f>
        <v>60.750000000000014</v>
      </c>
      <c r="C3413" s="3" t="s">
        <v>3772</v>
      </c>
      <c r="D3413">
        <f t="shared" ref="D3413" si="10095">_xlfn.NUMBERVALUE(LEFT(C3413,2))</f>
        <v>6</v>
      </c>
      <c r="E3413">
        <f t="shared" ref="E3413" si="10096">_xlfn.NUMBERVALUE(MID(C3413,4,2))</f>
        <v>11</v>
      </c>
      <c r="F3413">
        <f t="shared" ref="F3413" si="10097">_xlfn.NUMBERVALUE(RIGHT(C3413,4))</f>
        <v>2024</v>
      </c>
      <c r="G3413" t="s">
        <v>7</v>
      </c>
      <c r="H3413">
        <v>-2</v>
      </c>
      <c r="K3413" t="s">
        <v>9</v>
      </c>
      <c r="L3413" s="8">
        <f t="shared" si="9845"/>
        <v>-1</v>
      </c>
      <c r="M3413" t="s">
        <v>3777</v>
      </c>
    </row>
    <row r="3414" spans="1:13" x14ac:dyDescent="0.35">
      <c r="A3414">
        <f t="shared" si="9359"/>
        <v>3410</v>
      </c>
      <c r="B3414" s="9">
        <f t="shared" ref="B3414" si="10098">B3413+H3414+I3414+J3414</f>
        <v>58.750000000000014</v>
      </c>
      <c r="C3414" s="3" t="s">
        <v>3772</v>
      </c>
      <c r="D3414">
        <f t="shared" ref="D3414" si="10099">_xlfn.NUMBERVALUE(LEFT(C3414,2))</f>
        <v>6</v>
      </c>
      <c r="E3414">
        <f t="shared" ref="E3414" si="10100">_xlfn.NUMBERVALUE(MID(C3414,4,2))</f>
        <v>11</v>
      </c>
      <c r="F3414">
        <f t="shared" ref="F3414" si="10101">_xlfn.NUMBERVALUE(RIGHT(C3414,4))</f>
        <v>2024</v>
      </c>
      <c r="G3414" t="s">
        <v>7</v>
      </c>
      <c r="H3414">
        <v>-2</v>
      </c>
      <c r="K3414" t="s">
        <v>9</v>
      </c>
      <c r="L3414" s="8">
        <f t="shared" si="9845"/>
        <v>-1</v>
      </c>
      <c r="M3414" t="s">
        <v>3778</v>
      </c>
    </row>
    <row r="3415" spans="1:13" x14ac:dyDescent="0.35">
      <c r="A3415">
        <f t="shared" si="9359"/>
        <v>3411</v>
      </c>
      <c r="B3415" s="9">
        <f t="shared" ref="B3415" si="10102">B3414+H3415+I3415+J3415</f>
        <v>56.750000000000014</v>
      </c>
      <c r="C3415" s="3" t="s">
        <v>3772</v>
      </c>
      <c r="D3415">
        <f t="shared" ref="D3415" si="10103">_xlfn.NUMBERVALUE(LEFT(C3415,2))</f>
        <v>6</v>
      </c>
      <c r="E3415">
        <f t="shared" ref="E3415" si="10104">_xlfn.NUMBERVALUE(MID(C3415,4,2))</f>
        <v>11</v>
      </c>
      <c r="F3415">
        <f t="shared" ref="F3415" si="10105">_xlfn.NUMBERVALUE(RIGHT(C3415,4))</f>
        <v>2024</v>
      </c>
      <c r="G3415" t="s">
        <v>7</v>
      </c>
      <c r="H3415">
        <v>-2</v>
      </c>
      <c r="K3415" t="s">
        <v>9</v>
      </c>
      <c r="L3415" s="8">
        <f t="shared" si="9845"/>
        <v>-1</v>
      </c>
      <c r="M3415" t="s">
        <v>3779</v>
      </c>
    </row>
    <row r="3416" spans="1:13" x14ac:dyDescent="0.35">
      <c r="A3416">
        <f t="shared" si="9359"/>
        <v>3412</v>
      </c>
      <c r="B3416" s="9">
        <f t="shared" ref="B3416" si="10106">B3415+H3416+I3416+J3416</f>
        <v>58.750000000000014</v>
      </c>
      <c r="C3416" s="3" t="s">
        <v>3780</v>
      </c>
      <c r="D3416">
        <f t="shared" ref="D3416" si="10107">_xlfn.NUMBERVALUE(LEFT(C3416,2))</f>
        <v>7</v>
      </c>
      <c r="E3416">
        <f t="shared" ref="E3416" si="10108">_xlfn.NUMBERVALUE(MID(C3416,4,2))</f>
        <v>11</v>
      </c>
      <c r="F3416">
        <f t="shared" ref="F3416" si="10109">_xlfn.NUMBERVALUE(RIGHT(C3416,4))</f>
        <v>2024</v>
      </c>
      <c r="G3416" t="s">
        <v>7</v>
      </c>
      <c r="H3416">
        <v>-2</v>
      </c>
      <c r="I3416">
        <v>4</v>
      </c>
      <c r="K3416" t="s">
        <v>10</v>
      </c>
      <c r="L3416" s="8">
        <f t="shared" si="9845"/>
        <v>1</v>
      </c>
      <c r="M3416" t="s">
        <v>3781</v>
      </c>
    </row>
    <row r="3417" spans="1:13" x14ac:dyDescent="0.35">
      <c r="A3417">
        <f t="shared" si="9359"/>
        <v>3413</v>
      </c>
      <c r="B3417" s="9">
        <f t="shared" ref="B3417" si="10110">B3416+H3417+I3417+J3417</f>
        <v>62.750000000000014</v>
      </c>
      <c r="C3417" s="3" t="s">
        <v>3780</v>
      </c>
      <c r="D3417">
        <f t="shared" ref="D3417" si="10111">_xlfn.NUMBERVALUE(LEFT(C3417,2))</f>
        <v>7</v>
      </c>
      <c r="E3417">
        <f t="shared" ref="E3417" si="10112">_xlfn.NUMBERVALUE(MID(C3417,4,2))</f>
        <v>11</v>
      </c>
      <c r="F3417">
        <f t="shared" ref="F3417" si="10113">_xlfn.NUMBERVALUE(RIGHT(C3417,4))</f>
        <v>2024</v>
      </c>
      <c r="G3417" t="s">
        <v>7</v>
      </c>
      <c r="H3417">
        <v>-2</v>
      </c>
      <c r="I3417">
        <v>6</v>
      </c>
      <c r="K3417" t="s">
        <v>10</v>
      </c>
      <c r="L3417" s="8">
        <f t="shared" si="9845"/>
        <v>2</v>
      </c>
      <c r="M3417" t="s">
        <v>3782</v>
      </c>
    </row>
    <row r="3418" spans="1:13" x14ac:dyDescent="0.35">
      <c r="A3418">
        <f t="shared" si="9359"/>
        <v>3414</v>
      </c>
      <c r="B3418" s="9">
        <f t="shared" ref="B3418" si="10114">B3417+H3418+I3418+J3418</f>
        <v>60.750000000000014</v>
      </c>
      <c r="C3418" s="3" t="s">
        <v>3780</v>
      </c>
      <c r="D3418">
        <f t="shared" ref="D3418" si="10115">_xlfn.NUMBERVALUE(LEFT(C3418,2))</f>
        <v>7</v>
      </c>
      <c r="E3418">
        <f t="shared" ref="E3418" si="10116">_xlfn.NUMBERVALUE(MID(C3418,4,2))</f>
        <v>11</v>
      </c>
      <c r="F3418">
        <f t="shared" ref="F3418" si="10117">_xlfn.NUMBERVALUE(RIGHT(C3418,4))</f>
        <v>2024</v>
      </c>
      <c r="G3418" t="s">
        <v>7</v>
      </c>
      <c r="H3418">
        <v>-2</v>
      </c>
      <c r="K3418" t="s">
        <v>9</v>
      </c>
      <c r="L3418" s="8">
        <f t="shared" si="9845"/>
        <v>-1</v>
      </c>
      <c r="M3418" t="s">
        <v>3783</v>
      </c>
    </row>
    <row r="3419" spans="1:13" x14ac:dyDescent="0.35">
      <c r="A3419">
        <f t="shared" si="9359"/>
        <v>3415</v>
      </c>
      <c r="B3419" s="9">
        <f t="shared" ref="B3419" si="10118">B3418+H3419+I3419+J3419</f>
        <v>58.750000000000014</v>
      </c>
      <c r="C3419" s="3" t="s">
        <v>3780</v>
      </c>
      <c r="D3419">
        <f t="shared" ref="D3419" si="10119">_xlfn.NUMBERVALUE(LEFT(C3419,2))</f>
        <v>7</v>
      </c>
      <c r="E3419">
        <f t="shared" ref="E3419" si="10120">_xlfn.NUMBERVALUE(MID(C3419,4,2))</f>
        <v>11</v>
      </c>
      <c r="F3419">
        <f t="shared" ref="F3419" si="10121">_xlfn.NUMBERVALUE(RIGHT(C3419,4))</f>
        <v>2024</v>
      </c>
      <c r="G3419" t="s">
        <v>7</v>
      </c>
      <c r="H3419">
        <v>-2</v>
      </c>
      <c r="K3419" t="s">
        <v>9</v>
      </c>
      <c r="L3419" s="8">
        <f t="shared" si="9845"/>
        <v>-1</v>
      </c>
      <c r="M3419" t="s">
        <v>3784</v>
      </c>
    </row>
    <row r="3420" spans="1:13" x14ac:dyDescent="0.35">
      <c r="A3420">
        <f t="shared" si="9359"/>
        <v>3416</v>
      </c>
      <c r="B3420" s="9">
        <f t="shared" ref="B3420" si="10122">B3419+H3420+I3420+J3420</f>
        <v>60.750000000000014</v>
      </c>
      <c r="C3420" s="3" t="s">
        <v>3785</v>
      </c>
      <c r="D3420">
        <f t="shared" ref="D3420" si="10123">_xlfn.NUMBERVALUE(LEFT(C3420,2))</f>
        <v>8</v>
      </c>
      <c r="E3420">
        <f t="shared" ref="E3420" si="10124">_xlfn.NUMBERVALUE(MID(C3420,4,2))</f>
        <v>11</v>
      </c>
      <c r="F3420">
        <f t="shared" ref="F3420" si="10125">_xlfn.NUMBERVALUE(RIGHT(C3420,4))</f>
        <v>2024</v>
      </c>
      <c r="G3420" t="s">
        <v>7</v>
      </c>
      <c r="H3420">
        <v>-2</v>
      </c>
      <c r="I3420">
        <v>4</v>
      </c>
      <c r="K3420" t="s">
        <v>10</v>
      </c>
      <c r="L3420" s="8">
        <f t="shared" si="9845"/>
        <v>1</v>
      </c>
      <c r="M3420" t="s">
        <v>3786</v>
      </c>
    </row>
    <row r="3421" spans="1:13" x14ac:dyDescent="0.35">
      <c r="A3421">
        <f t="shared" si="9359"/>
        <v>3417</v>
      </c>
      <c r="B3421" s="9">
        <f t="shared" ref="B3421" si="10126">B3420+H3421+I3421+J3421</f>
        <v>64.750000000000014</v>
      </c>
      <c r="C3421" s="3" t="s">
        <v>3785</v>
      </c>
      <c r="D3421">
        <f t="shared" ref="D3421" si="10127">_xlfn.NUMBERVALUE(LEFT(C3421,2))</f>
        <v>8</v>
      </c>
      <c r="E3421">
        <f t="shared" ref="E3421" si="10128">_xlfn.NUMBERVALUE(MID(C3421,4,2))</f>
        <v>11</v>
      </c>
      <c r="F3421">
        <f t="shared" ref="F3421" si="10129">_xlfn.NUMBERVALUE(RIGHT(C3421,4))</f>
        <v>2024</v>
      </c>
      <c r="G3421" t="s">
        <v>7</v>
      </c>
      <c r="H3421">
        <v>-2</v>
      </c>
      <c r="I3421">
        <v>6</v>
      </c>
      <c r="K3421" t="s">
        <v>10</v>
      </c>
      <c r="L3421" s="8">
        <f t="shared" si="9845"/>
        <v>2</v>
      </c>
      <c r="M3421" t="s">
        <v>3787</v>
      </c>
    </row>
    <row r="3422" spans="1:13" x14ac:dyDescent="0.35">
      <c r="A3422">
        <f t="shared" si="9359"/>
        <v>3418</v>
      </c>
      <c r="B3422" s="9">
        <f t="shared" ref="B3422" si="10130">B3421+H3422+I3422+J3422</f>
        <v>62.750000000000014</v>
      </c>
      <c r="C3422" s="3" t="s">
        <v>3785</v>
      </c>
      <c r="D3422">
        <f t="shared" ref="D3422" si="10131">_xlfn.NUMBERVALUE(LEFT(C3422,2))</f>
        <v>8</v>
      </c>
      <c r="E3422">
        <f t="shared" ref="E3422" si="10132">_xlfn.NUMBERVALUE(MID(C3422,4,2))</f>
        <v>11</v>
      </c>
      <c r="F3422">
        <f t="shared" ref="F3422" si="10133">_xlfn.NUMBERVALUE(RIGHT(C3422,4))</f>
        <v>2024</v>
      </c>
      <c r="G3422" t="s">
        <v>7</v>
      </c>
      <c r="H3422">
        <v>-2</v>
      </c>
      <c r="K3422" t="s">
        <v>9</v>
      </c>
      <c r="L3422" s="8">
        <f t="shared" si="9845"/>
        <v>-1</v>
      </c>
      <c r="M3422" t="s">
        <v>3788</v>
      </c>
    </row>
    <row r="3423" spans="1:13" x14ac:dyDescent="0.35">
      <c r="A3423">
        <f t="shared" si="9359"/>
        <v>3419</v>
      </c>
      <c r="B3423" s="9">
        <f t="shared" ref="B3423" si="10134">B3422+H3423+I3423+J3423</f>
        <v>66.750000000000014</v>
      </c>
      <c r="C3423" s="3" t="s">
        <v>3785</v>
      </c>
      <c r="D3423">
        <f t="shared" ref="D3423" si="10135">_xlfn.NUMBERVALUE(LEFT(C3423,2))</f>
        <v>8</v>
      </c>
      <c r="E3423">
        <f t="shared" ref="E3423" si="10136">_xlfn.NUMBERVALUE(MID(C3423,4,2))</f>
        <v>11</v>
      </c>
      <c r="F3423">
        <f t="shared" ref="F3423" si="10137">_xlfn.NUMBERVALUE(RIGHT(C3423,4))</f>
        <v>2024</v>
      </c>
      <c r="G3423" t="s">
        <v>7</v>
      </c>
      <c r="H3423">
        <v>-2</v>
      </c>
      <c r="I3423">
        <v>6</v>
      </c>
      <c r="K3423" t="s">
        <v>10</v>
      </c>
      <c r="L3423" s="8">
        <f t="shared" si="9845"/>
        <v>2</v>
      </c>
      <c r="M3423" t="s">
        <v>3789</v>
      </c>
    </row>
    <row r="3424" spans="1:13" x14ac:dyDescent="0.35">
      <c r="A3424">
        <f t="shared" si="9359"/>
        <v>3420</v>
      </c>
      <c r="B3424" s="9">
        <f t="shared" ref="B3424" si="10138">B3423+H3424+I3424+J3424</f>
        <v>64.750000000000014</v>
      </c>
      <c r="C3424" s="3" t="s">
        <v>3785</v>
      </c>
      <c r="D3424">
        <f t="shared" ref="D3424" si="10139">_xlfn.NUMBERVALUE(LEFT(C3424,2))</f>
        <v>8</v>
      </c>
      <c r="E3424">
        <f t="shared" ref="E3424" si="10140">_xlfn.NUMBERVALUE(MID(C3424,4,2))</f>
        <v>11</v>
      </c>
      <c r="F3424">
        <f t="shared" ref="F3424" si="10141">_xlfn.NUMBERVALUE(RIGHT(C3424,4))</f>
        <v>2024</v>
      </c>
      <c r="G3424" t="s">
        <v>7</v>
      </c>
      <c r="H3424">
        <v>-2</v>
      </c>
      <c r="K3424" t="s">
        <v>9</v>
      </c>
      <c r="L3424" s="8">
        <f t="shared" si="9845"/>
        <v>-1</v>
      </c>
      <c r="M3424" t="s">
        <v>3790</v>
      </c>
    </row>
    <row r="3425" spans="1:13" x14ac:dyDescent="0.35">
      <c r="A3425">
        <f t="shared" si="9359"/>
        <v>3421</v>
      </c>
      <c r="B3425" s="9">
        <f t="shared" ref="B3425" si="10142">B3424+H3425+I3425+J3425</f>
        <v>64.750000000000014</v>
      </c>
      <c r="C3425" s="3" t="s">
        <v>3785</v>
      </c>
      <c r="D3425">
        <f t="shared" ref="D3425" si="10143">_xlfn.NUMBERVALUE(LEFT(C3425,2))</f>
        <v>8</v>
      </c>
      <c r="E3425">
        <f t="shared" ref="E3425" si="10144">_xlfn.NUMBERVALUE(MID(C3425,4,2))</f>
        <v>11</v>
      </c>
      <c r="F3425">
        <f t="shared" ref="F3425" si="10145">_xlfn.NUMBERVALUE(RIGHT(C3425,4))</f>
        <v>2024</v>
      </c>
      <c r="G3425" t="s">
        <v>3039</v>
      </c>
      <c r="K3425" t="s">
        <v>10</v>
      </c>
      <c r="L3425" s="8">
        <f t="shared" si="9845"/>
        <v>0</v>
      </c>
      <c r="M3425" t="s">
        <v>3791</v>
      </c>
    </row>
    <row r="3426" spans="1:13" x14ac:dyDescent="0.35">
      <c r="A3426">
        <f t="shared" si="9359"/>
        <v>3422</v>
      </c>
      <c r="B3426" s="9">
        <f t="shared" ref="B3426" si="10146">B3425+H3426+I3426+J3426</f>
        <v>64.750000000000014</v>
      </c>
      <c r="C3426" s="3" t="s">
        <v>3785</v>
      </c>
      <c r="D3426">
        <f t="shared" ref="D3426" si="10147">_xlfn.NUMBERVALUE(LEFT(C3426,2))</f>
        <v>8</v>
      </c>
      <c r="E3426">
        <f t="shared" ref="E3426" si="10148">_xlfn.NUMBERVALUE(MID(C3426,4,2))</f>
        <v>11</v>
      </c>
      <c r="F3426">
        <f t="shared" ref="F3426" si="10149">_xlfn.NUMBERVALUE(RIGHT(C3426,4))</f>
        <v>2024</v>
      </c>
      <c r="G3426" t="s">
        <v>3039</v>
      </c>
      <c r="K3426" t="s">
        <v>9</v>
      </c>
      <c r="L3426" s="8">
        <f t="shared" si="9845"/>
        <v>0</v>
      </c>
      <c r="M3426" t="s">
        <v>3792</v>
      </c>
    </row>
    <row r="3427" spans="1:13" x14ac:dyDescent="0.35">
      <c r="A3427">
        <f t="shared" si="9359"/>
        <v>3423</v>
      </c>
      <c r="B3427" s="9">
        <f t="shared" ref="B3427" si="10150">B3426+H3427+I3427+J3427</f>
        <v>64.750000000000014</v>
      </c>
      <c r="C3427" s="3" t="s">
        <v>3785</v>
      </c>
      <c r="D3427">
        <f t="shared" ref="D3427" si="10151">_xlfn.NUMBERVALUE(LEFT(C3427,2))</f>
        <v>8</v>
      </c>
      <c r="E3427">
        <f t="shared" ref="E3427" si="10152">_xlfn.NUMBERVALUE(MID(C3427,4,2))</f>
        <v>11</v>
      </c>
      <c r="F3427">
        <f t="shared" ref="F3427" si="10153">_xlfn.NUMBERVALUE(RIGHT(C3427,4))</f>
        <v>2024</v>
      </c>
      <c r="G3427" t="s">
        <v>2969</v>
      </c>
      <c r="K3427" t="s">
        <v>10</v>
      </c>
      <c r="L3427" s="8">
        <f t="shared" si="9845"/>
        <v>0</v>
      </c>
      <c r="M3427" t="s">
        <v>3793</v>
      </c>
    </row>
    <row r="3428" spans="1:13" x14ac:dyDescent="0.35">
      <c r="A3428">
        <f t="shared" si="9359"/>
        <v>3424</v>
      </c>
      <c r="B3428" s="9">
        <f t="shared" ref="B3428:B3429" si="10154">B3427+H3428+I3428+J3428</f>
        <v>64.750000000000014</v>
      </c>
      <c r="C3428" s="3" t="s">
        <v>3785</v>
      </c>
      <c r="D3428">
        <f t="shared" ref="D3428:D3429" si="10155">_xlfn.NUMBERVALUE(LEFT(C3428,2))</f>
        <v>8</v>
      </c>
      <c r="E3428">
        <f t="shared" ref="E3428:E3429" si="10156">_xlfn.NUMBERVALUE(MID(C3428,4,2))</f>
        <v>11</v>
      </c>
      <c r="F3428">
        <f t="shared" ref="F3428:F3429" si="10157">_xlfn.NUMBERVALUE(RIGHT(C3428,4))</f>
        <v>2024</v>
      </c>
      <c r="G3428" t="s">
        <v>2969</v>
      </c>
      <c r="K3428" t="s">
        <v>9</v>
      </c>
      <c r="L3428" s="8">
        <f t="shared" si="9845"/>
        <v>0</v>
      </c>
      <c r="M3428" t="s">
        <v>3794</v>
      </c>
    </row>
    <row r="3429" spans="1:13" x14ac:dyDescent="0.35">
      <c r="A3429">
        <f t="shared" si="9359"/>
        <v>3425</v>
      </c>
      <c r="B3429" s="9">
        <f t="shared" si="10154"/>
        <v>62.750000000000014</v>
      </c>
      <c r="C3429" s="3" t="s">
        <v>3785</v>
      </c>
      <c r="D3429">
        <f t="shared" si="10155"/>
        <v>8</v>
      </c>
      <c r="E3429">
        <f t="shared" si="10156"/>
        <v>11</v>
      </c>
      <c r="F3429">
        <f t="shared" si="10157"/>
        <v>2024</v>
      </c>
      <c r="G3429" t="s">
        <v>7</v>
      </c>
      <c r="H3429">
        <v>-2</v>
      </c>
      <c r="K3429" t="s">
        <v>9</v>
      </c>
      <c r="L3429" s="8">
        <f t="shared" si="9845"/>
        <v>-1</v>
      </c>
      <c r="M3429" t="s">
        <v>3795</v>
      </c>
    </row>
    <row r="3430" spans="1:13" x14ac:dyDescent="0.35">
      <c r="A3430">
        <f t="shared" si="9359"/>
        <v>3426</v>
      </c>
      <c r="B3430" s="9">
        <f t="shared" ref="B3430" si="10158">B3429+H3430+I3430+J3430</f>
        <v>60.750000000000014</v>
      </c>
      <c r="C3430" s="3" t="s">
        <v>3785</v>
      </c>
      <c r="D3430">
        <f t="shared" ref="D3430" si="10159">_xlfn.NUMBERVALUE(LEFT(C3430,2))</f>
        <v>8</v>
      </c>
      <c r="E3430">
        <f t="shared" ref="E3430" si="10160">_xlfn.NUMBERVALUE(MID(C3430,4,2))</f>
        <v>11</v>
      </c>
      <c r="F3430">
        <f t="shared" ref="F3430" si="10161">_xlfn.NUMBERVALUE(RIGHT(C3430,4))</f>
        <v>2024</v>
      </c>
      <c r="G3430" t="s">
        <v>7</v>
      </c>
      <c r="H3430">
        <v>-2</v>
      </c>
      <c r="K3430" t="s">
        <v>9</v>
      </c>
      <c r="L3430" s="8">
        <f t="shared" si="9845"/>
        <v>-1</v>
      </c>
      <c r="M3430" t="s">
        <v>3796</v>
      </c>
    </row>
    <row r="3431" spans="1:13" x14ac:dyDescent="0.35">
      <c r="A3431">
        <f t="shared" si="9359"/>
        <v>3427</v>
      </c>
      <c r="B3431" s="9">
        <f t="shared" ref="B3431:B3433" si="10162">B3430+H3431+I3431+J3431</f>
        <v>58.750000000000014</v>
      </c>
      <c r="C3431" s="3" t="s">
        <v>3785</v>
      </c>
      <c r="D3431">
        <f t="shared" ref="D3431:D3433" si="10163">_xlfn.NUMBERVALUE(LEFT(C3431,2))</f>
        <v>8</v>
      </c>
      <c r="E3431">
        <f t="shared" ref="E3431:E3433" si="10164">_xlfn.NUMBERVALUE(MID(C3431,4,2))</f>
        <v>11</v>
      </c>
      <c r="F3431">
        <f t="shared" ref="F3431:F3433" si="10165">_xlfn.NUMBERVALUE(RIGHT(C3431,4))</f>
        <v>2024</v>
      </c>
      <c r="G3431" t="s">
        <v>7</v>
      </c>
      <c r="H3431">
        <v>-2</v>
      </c>
      <c r="K3431" t="s">
        <v>9</v>
      </c>
      <c r="L3431" s="8">
        <f t="shared" si="9845"/>
        <v>-1</v>
      </c>
      <c r="M3431" t="s">
        <v>3797</v>
      </c>
    </row>
    <row r="3432" spans="1:13" x14ac:dyDescent="0.35">
      <c r="A3432">
        <f t="shared" si="9359"/>
        <v>3428</v>
      </c>
      <c r="B3432" s="9">
        <f t="shared" si="10162"/>
        <v>58.750000000000014</v>
      </c>
      <c r="C3432" s="3" t="s">
        <v>3785</v>
      </c>
      <c r="D3432">
        <f t="shared" si="10163"/>
        <v>8</v>
      </c>
      <c r="E3432">
        <f t="shared" si="10164"/>
        <v>11</v>
      </c>
      <c r="F3432">
        <f t="shared" si="10165"/>
        <v>2024</v>
      </c>
      <c r="G3432" t="s">
        <v>3040</v>
      </c>
      <c r="K3432" t="s">
        <v>10</v>
      </c>
      <c r="L3432" s="8">
        <f t="shared" si="9845"/>
        <v>0</v>
      </c>
      <c r="M3432" t="s">
        <v>3799</v>
      </c>
    </row>
    <row r="3433" spans="1:13" x14ac:dyDescent="0.35">
      <c r="A3433">
        <f t="shared" si="9359"/>
        <v>3429</v>
      </c>
      <c r="B3433" s="9">
        <f t="shared" si="10162"/>
        <v>58.750000000000014</v>
      </c>
      <c r="C3433" s="3" t="s">
        <v>3785</v>
      </c>
      <c r="D3433">
        <f t="shared" si="10163"/>
        <v>8</v>
      </c>
      <c r="E3433">
        <f t="shared" si="10164"/>
        <v>11</v>
      </c>
      <c r="F3433">
        <f t="shared" si="10165"/>
        <v>2024</v>
      </c>
      <c r="G3433" t="s">
        <v>2969</v>
      </c>
      <c r="K3433" t="s">
        <v>9</v>
      </c>
      <c r="L3433" s="8">
        <f t="shared" si="9845"/>
        <v>0</v>
      </c>
      <c r="M3433" t="s">
        <v>3798</v>
      </c>
    </row>
    <row r="3434" spans="1:13" x14ac:dyDescent="0.35">
      <c r="A3434">
        <f t="shared" si="9359"/>
        <v>3430</v>
      </c>
      <c r="B3434" s="9">
        <f t="shared" ref="B3434" si="10166">B3433+H3434+I3434+J3434</f>
        <v>60.750000000000014</v>
      </c>
      <c r="C3434" s="3" t="s">
        <v>3805</v>
      </c>
      <c r="D3434">
        <f t="shared" ref="D3434" si="10167">_xlfn.NUMBERVALUE(LEFT(C3434,2))</f>
        <v>9</v>
      </c>
      <c r="E3434">
        <f t="shared" ref="E3434" si="10168">_xlfn.NUMBERVALUE(MID(C3434,4,2))</f>
        <v>11</v>
      </c>
      <c r="F3434">
        <f t="shared" ref="F3434" si="10169">_xlfn.NUMBERVALUE(RIGHT(C3434,4))</f>
        <v>2024</v>
      </c>
      <c r="G3434" t="s">
        <v>7</v>
      </c>
      <c r="H3434">
        <v>-2</v>
      </c>
      <c r="I3434">
        <v>4</v>
      </c>
      <c r="K3434" t="s">
        <v>10</v>
      </c>
      <c r="L3434" s="8">
        <f t="shared" si="9845"/>
        <v>1</v>
      </c>
      <c r="M3434" t="s">
        <v>3800</v>
      </c>
    </row>
    <row r="3435" spans="1:13" x14ac:dyDescent="0.35">
      <c r="A3435">
        <f t="shared" si="9359"/>
        <v>3431</v>
      </c>
      <c r="B3435" s="9">
        <f t="shared" ref="B3435" si="10170">B3434+H3435+I3435+J3435</f>
        <v>62.750000000000014</v>
      </c>
      <c r="C3435" s="3" t="s">
        <v>3805</v>
      </c>
      <c r="D3435">
        <f t="shared" ref="D3435" si="10171">_xlfn.NUMBERVALUE(LEFT(C3435,2))</f>
        <v>9</v>
      </c>
      <c r="E3435">
        <f t="shared" ref="E3435" si="10172">_xlfn.NUMBERVALUE(MID(C3435,4,2))</f>
        <v>11</v>
      </c>
      <c r="F3435">
        <f t="shared" ref="F3435" si="10173">_xlfn.NUMBERVALUE(RIGHT(C3435,4))</f>
        <v>2024</v>
      </c>
      <c r="G3435" t="s">
        <v>7</v>
      </c>
      <c r="H3435">
        <v>-2</v>
      </c>
      <c r="I3435">
        <v>4</v>
      </c>
      <c r="K3435" t="s">
        <v>10</v>
      </c>
      <c r="L3435" s="8">
        <f t="shared" si="9845"/>
        <v>1</v>
      </c>
      <c r="M3435" t="s">
        <v>3801</v>
      </c>
    </row>
    <row r="3436" spans="1:13" x14ac:dyDescent="0.35">
      <c r="A3436">
        <f t="shared" si="9359"/>
        <v>3432</v>
      </c>
      <c r="B3436" s="9">
        <f t="shared" ref="B3436" si="10174">B3435+H3436+I3436+J3436</f>
        <v>62.750000000000014</v>
      </c>
      <c r="C3436" s="3" t="s">
        <v>3805</v>
      </c>
      <c r="D3436">
        <f t="shared" ref="D3436" si="10175">_xlfn.NUMBERVALUE(LEFT(C3436,2))</f>
        <v>9</v>
      </c>
      <c r="E3436">
        <f t="shared" ref="E3436" si="10176">_xlfn.NUMBERVALUE(MID(C3436,4,2))</f>
        <v>11</v>
      </c>
      <c r="F3436">
        <f t="shared" ref="F3436" si="10177">_xlfn.NUMBERVALUE(RIGHT(C3436,4))</f>
        <v>2024</v>
      </c>
      <c r="G3436" t="s">
        <v>3039</v>
      </c>
      <c r="K3436" t="s">
        <v>10</v>
      </c>
      <c r="L3436" s="8">
        <f t="shared" si="9845"/>
        <v>0</v>
      </c>
      <c r="M3436" t="s">
        <v>3802</v>
      </c>
    </row>
    <row r="3437" spans="1:13" x14ac:dyDescent="0.35">
      <c r="A3437">
        <f t="shared" si="9359"/>
        <v>3433</v>
      </c>
      <c r="B3437" s="9">
        <f t="shared" ref="B3437:B3438" si="10178">B3436+H3437+I3437+J3437</f>
        <v>62.750000000000014</v>
      </c>
      <c r="C3437" s="3" t="s">
        <v>3805</v>
      </c>
      <c r="D3437">
        <f t="shared" ref="D3437:D3438" si="10179">_xlfn.NUMBERVALUE(LEFT(C3437,2))</f>
        <v>9</v>
      </c>
      <c r="E3437">
        <f t="shared" ref="E3437:E3438" si="10180">_xlfn.NUMBERVALUE(MID(C3437,4,2))</f>
        <v>11</v>
      </c>
      <c r="F3437">
        <f t="shared" ref="F3437:F3438" si="10181">_xlfn.NUMBERVALUE(RIGHT(C3437,4))</f>
        <v>2024</v>
      </c>
      <c r="G3437" t="s">
        <v>2969</v>
      </c>
      <c r="K3437" t="s">
        <v>9</v>
      </c>
      <c r="L3437" s="8">
        <f t="shared" si="9845"/>
        <v>0</v>
      </c>
      <c r="M3437" t="s">
        <v>3803</v>
      </c>
    </row>
    <row r="3438" spans="1:13" x14ac:dyDescent="0.35">
      <c r="A3438">
        <f t="shared" si="9359"/>
        <v>3434</v>
      </c>
      <c r="B3438" s="9">
        <f t="shared" si="10178"/>
        <v>64.750000000000014</v>
      </c>
      <c r="C3438" s="3" t="s">
        <v>3805</v>
      </c>
      <c r="D3438">
        <f t="shared" si="10179"/>
        <v>9</v>
      </c>
      <c r="E3438">
        <f t="shared" si="10180"/>
        <v>11</v>
      </c>
      <c r="F3438">
        <f t="shared" si="10181"/>
        <v>2024</v>
      </c>
      <c r="G3438" t="s">
        <v>7</v>
      </c>
      <c r="H3438">
        <v>-2</v>
      </c>
      <c r="I3438">
        <v>4</v>
      </c>
      <c r="K3438" t="s">
        <v>10</v>
      </c>
      <c r="L3438" s="8">
        <f t="shared" si="9845"/>
        <v>1</v>
      </c>
      <c r="M3438" t="s">
        <v>3804</v>
      </c>
    </row>
    <row r="3439" spans="1:13" x14ac:dyDescent="0.35">
      <c r="A3439">
        <f t="shared" si="9359"/>
        <v>3435</v>
      </c>
      <c r="B3439" s="9">
        <f t="shared" ref="B3439" si="10182">B3438+H3439+I3439+J3439</f>
        <v>62.750000000000014</v>
      </c>
      <c r="C3439" s="3" t="s">
        <v>3805</v>
      </c>
      <c r="D3439">
        <f t="shared" ref="D3439" si="10183">_xlfn.NUMBERVALUE(LEFT(C3439,2))</f>
        <v>9</v>
      </c>
      <c r="E3439">
        <f t="shared" ref="E3439" si="10184">_xlfn.NUMBERVALUE(MID(C3439,4,2))</f>
        <v>11</v>
      </c>
      <c r="F3439">
        <f t="shared" ref="F3439" si="10185">_xlfn.NUMBERVALUE(RIGHT(C3439,4))</f>
        <v>2024</v>
      </c>
      <c r="G3439" t="s">
        <v>7</v>
      </c>
      <c r="H3439">
        <v>-2</v>
      </c>
      <c r="K3439" t="s">
        <v>9</v>
      </c>
      <c r="L3439" s="8">
        <f t="shared" si="9845"/>
        <v>-1</v>
      </c>
      <c r="M3439" t="s">
        <v>3806</v>
      </c>
    </row>
    <row r="3440" spans="1:13" x14ac:dyDescent="0.35">
      <c r="A3440">
        <f t="shared" si="9359"/>
        <v>3436</v>
      </c>
      <c r="B3440" s="9">
        <f t="shared" ref="B3440" si="10186">B3439+H3440+I3440+J3440</f>
        <v>60.750000000000014</v>
      </c>
      <c r="C3440" s="3" t="s">
        <v>3805</v>
      </c>
      <c r="D3440">
        <f t="shared" ref="D3440" si="10187">_xlfn.NUMBERVALUE(LEFT(C3440,2))</f>
        <v>9</v>
      </c>
      <c r="E3440">
        <f t="shared" ref="E3440" si="10188">_xlfn.NUMBERVALUE(MID(C3440,4,2))</f>
        <v>11</v>
      </c>
      <c r="F3440">
        <f t="shared" ref="F3440" si="10189">_xlfn.NUMBERVALUE(RIGHT(C3440,4))</f>
        <v>2024</v>
      </c>
      <c r="G3440" t="s">
        <v>7</v>
      </c>
      <c r="H3440">
        <v>-2</v>
      </c>
      <c r="K3440" t="s">
        <v>9</v>
      </c>
      <c r="L3440" s="8">
        <f t="shared" si="9845"/>
        <v>-1</v>
      </c>
      <c r="M3440" t="s">
        <v>3807</v>
      </c>
    </row>
    <row r="3441" spans="1:13" x14ac:dyDescent="0.35">
      <c r="A3441">
        <f t="shared" si="9359"/>
        <v>3437</v>
      </c>
      <c r="B3441" s="9">
        <f t="shared" ref="B3441" si="10190">B3440+H3441+I3441+J3441</f>
        <v>58.750000000000014</v>
      </c>
      <c r="C3441" s="3" t="s">
        <v>3808</v>
      </c>
      <c r="D3441">
        <f t="shared" ref="D3441" si="10191">_xlfn.NUMBERVALUE(LEFT(C3441,2))</f>
        <v>10</v>
      </c>
      <c r="E3441">
        <f t="shared" ref="E3441" si="10192">_xlfn.NUMBERVALUE(MID(C3441,4,2))</f>
        <v>11</v>
      </c>
      <c r="F3441">
        <f t="shared" ref="F3441" si="10193">_xlfn.NUMBERVALUE(RIGHT(C3441,4))</f>
        <v>2024</v>
      </c>
      <c r="G3441" t="s">
        <v>7</v>
      </c>
      <c r="H3441">
        <v>-2</v>
      </c>
      <c r="K3441" t="s">
        <v>9</v>
      </c>
      <c r="L3441" s="8">
        <f t="shared" si="9845"/>
        <v>-1</v>
      </c>
      <c r="M3441" t="s">
        <v>3809</v>
      </c>
    </row>
    <row r="3442" spans="1:13" x14ac:dyDescent="0.35">
      <c r="A3442">
        <f t="shared" si="9359"/>
        <v>3438</v>
      </c>
      <c r="B3442" s="9">
        <f t="shared" ref="B3442" si="10194">B3441+H3442+I3442+J3442</f>
        <v>62.750000000000014</v>
      </c>
      <c r="C3442" s="3" t="s">
        <v>3808</v>
      </c>
      <c r="D3442">
        <f t="shared" ref="D3442" si="10195">_xlfn.NUMBERVALUE(LEFT(C3442,2))</f>
        <v>10</v>
      </c>
      <c r="E3442">
        <f t="shared" ref="E3442" si="10196">_xlfn.NUMBERVALUE(MID(C3442,4,2))</f>
        <v>11</v>
      </c>
      <c r="F3442">
        <f t="shared" ref="F3442" si="10197">_xlfn.NUMBERVALUE(RIGHT(C3442,4))</f>
        <v>2024</v>
      </c>
      <c r="G3442" t="s">
        <v>7</v>
      </c>
      <c r="H3442">
        <v>-2</v>
      </c>
      <c r="I3442">
        <v>6</v>
      </c>
      <c r="K3442" t="s">
        <v>10</v>
      </c>
      <c r="L3442" s="8">
        <f t="shared" si="9845"/>
        <v>2</v>
      </c>
      <c r="M3442" t="s">
        <v>3810</v>
      </c>
    </row>
    <row r="3443" spans="1:13" x14ac:dyDescent="0.35">
      <c r="A3443">
        <f t="shared" si="9359"/>
        <v>3439</v>
      </c>
      <c r="B3443" s="9">
        <f t="shared" ref="B3443" si="10198">B3442+H3443+I3443+J3443</f>
        <v>60.750000000000014</v>
      </c>
      <c r="C3443" s="3" t="s">
        <v>3808</v>
      </c>
      <c r="D3443">
        <f t="shared" ref="D3443" si="10199">_xlfn.NUMBERVALUE(LEFT(C3443,2))</f>
        <v>10</v>
      </c>
      <c r="E3443">
        <f t="shared" ref="E3443" si="10200">_xlfn.NUMBERVALUE(MID(C3443,4,2))</f>
        <v>11</v>
      </c>
      <c r="F3443">
        <f t="shared" ref="F3443" si="10201">_xlfn.NUMBERVALUE(RIGHT(C3443,4))</f>
        <v>2024</v>
      </c>
      <c r="G3443" t="s">
        <v>7</v>
      </c>
      <c r="H3443">
        <v>-2</v>
      </c>
      <c r="K3443" t="s">
        <v>9</v>
      </c>
      <c r="L3443" s="8">
        <f t="shared" si="9845"/>
        <v>-1</v>
      </c>
      <c r="M3443" t="s">
        <v>3811</v>
      </c>
    </row>
    <row r="3444" spans="1:13" x14ac:dyDescent="0.35">
      <c r="A3444">
        <f t="shared" si="9359"/>
        <v>3440</v>
      </c>
      <c r="B3444" s="9">
        <f t="shared" ref="B3444" si="10202">B3443+H3444+I3444+J3444</f>
        <v>58.750000000000014</v>
      </c>
      <c r="C3444" s="3" t="s">
        <v>3808</v>
      </c>
      <c r="D3444">
        <f t="shared" ref="D3444" si="10203">_xlfn.NUMBERVALUE(LEFT(C3444,2))</f>
        <v>10</v>
      </c>
      <c r="E3444">
        <f t="shared" ref="E3444" si="10204">_xlfn.NUMBERVALUE(MID(C3444,4,2))</f>
        <v>11</v>
      </c>
      <c r="F3444">
        <f t="shared" ref="F3444" si="10205">_xlfn.NUMBERVALUE(RIGHT(C3444,4))</f>
        <v>2024</v>
      </c>
      <c r="G3444" t="s">
        <v>7</v>
      </c>
      <c r="H3444">
        <v>-2</v>
      </c>
      <c r="K3444" t="s">
        <v>9</v>
      </c>
      <c r="L3444" s="8">
        <f t="shared" si="9845"/>
        <v>-1</v>
      </c>
      <c r="M3444" t="s">
        <v>3812</v>
      </c>
    </row>
    <row r="3445" spans="1:13" x14ac:dyDescent="0.35">
      <c r="A3445">
        <f t="shared" si="9359"/>
        <v>3441</v>
      </c>
      <c r="B3445" s="9">
        <f t="shared" ref="B3445" si="10206">B3444+H3445+I3445+J3445</f>
        <v>62.750000000000014</v>
      </c>
      <c r="C3445" s="3" t="s">
        <v>3808</v>
      </c>
      <c r="D3445">
        <f t="shared" ref="D3445" si="10207">_xlfn.NUMBERVALUE(LEFT(C3445,2))</f>
        <v>10</v>
      </c>
      <c r="E3445">
        <f t="shared" ref="E3445" si="10208">_xlfn.NUMBERVALUE(MID(C3445,4,2))</f>
        <v>11</v>
      </c>
      <c r="F3445">
        <f t="shared" ref="F3445" si="10209">_xlfn.NUMBERVALUE(RIGHT(C3445,4))</f>
        <v>2024</v>
      </c>
      <c r="G3445" t="s">
        <v>7</v>
      </c>
      <c r="H3445">
        <v>-2</v>
      </c>
      <c r="I3445">
        <v>6</v>
      </c>
      <c r="K3445" t="s">
        <v>10</v>
      </c>
      <c r="L3445" s="8">
        <f t="shared" si="9845"/>
        <v>2</v>
      </c>
      <c r="M3445" t="s">
        <v>3813</v>
      </c>
    </row>
    <row r="3446" spans="1:13" x14ac:dyDescent="0.35">
      <c r="A3446">
        <f t="shared" si="9359"/>
        <v>3442</v>
      </c>
      <c r="B3446" s="9">
        <f t="shared" ref="B3446" si="10210">B3445+H3446+I3446+J3446</f>
        <v>62.750000000000014</v>
      </c>
      <c r="C3446" s="3" t="s">
        <v>3808</v>
      </c>
      <c r="D3446">
        <f t="shared" ref="D3446" si="10211">_xlfn.NUMBERVALUE(LEFT(C3446,2))</f>
        <v>10</v>
      </c>
      <c r="E3446">
        <f t="shared" ref="E3446" si="10212">_xlfn.NUMBERVALUE(MID(C3446,4,2))</f>
        <v>11</v>
      </c>
      <c r="F3446">
        <f t="shared" ref="F3446" si="10213">_xlfn.NUMBERVALUE(RIGHT(C3446,4))</f>
        <v>2024</v>
      </c>
      <c r="G3446" t="s">
        <v>3039</v>
      </c>
      <c r="K3446" t="s">
        <v>9</v>
      </c>
      <c r="L3446" s="8">
        <f t="shared" si="9845"/>
        <v>0</v>
      </c>
      <c r="M3446" t="s">
        <v>3814</v>
      </c>
    </row>
    <row r="3447" spans="1:13" x14ac:dyDescent="0.35">
      <c r="A3447">
        <f t="shared" si="9359"/>
        <v>3443</v>
      </c>
      <c r="B3447" s="9">
        <f t="shared" ref="B3447:B3448" si="10214">B3446+H3447+I3447+J3447</f>
        <v>51.750000000000014</v>
      </c>
      <c r="C3447" s="3" t="s">
        <v>3808</v>
      </c>
      <c r="D3447">
        <f t="shared" ref="D3447:D3448" si="10215">_xlfn.NUMBERVALUE(LEFT(C3447,2))</f>
        <v>10</v>
      </c>
      <c r="E3447">
        <f t="shared" ref="E3447:E3448" si="10216">_xlfn.NUMBERVALUE(MID(C3447,4,2))</f>
        <v>11</v>
      </c>
      <c r="F3447">
        <f t="shared" ref="F3447:F3448" si="10217">_xlfn.NUMBERVALUE(RIGHT(C3447,4))</f>
        <v>2024</v>
      </c>
      <c r="G3447" t="s">
        <v>154</v>
      </c>
      <c r="H3447">
        <v>-11</v>
      </c>
      <c r="K3447" t="s">
        <v>9</v>
      </c>
      <c r="L3447" s="8">
        <f t="shared" si="9845"/>
        <v>-1</v>
      </c>
      <c r="M3447" t="s">
        <v>3816</v>
      </c>
    </row>
    <row r="3448" spans="1:13" x14ac:dyDescent="0.35">
      <c r="A3448">
        <f t="shared" si="9359"/>
        <v>3444</v>
      </c>
      <c r="B3448" s="9">
        <f t="shared" si="10214"/>
        <v>51.750000000000014</v>
      </c>
      <c r="C3448" s="3" t="s">
        <v>3808</v>
      </c>
      <c r="D3448">
        <f t="shared" si="10215"/>
        <v>10</v>
      </c>
      <c r="E3448">
        <f t="shared" si="10216"/>
        <v>11</v>
      </c>
      <c r="F3448">
        <f t="shared" si="10217"/>
        <v>2024</v>
      </c>
      <c r="G3448" t="s">
        <v>3815</v>
      </c>
      <c r="K3448" t="s">
        <v>9</v>
      </c>
      <c r="L3448" s="8">
        <f t="shared" si="9845"/>
        <v>0</v>
      </c>
      <c r="M3448" t="s">
        <v>3817</v>
      </c>
    </row>
    <row r="3449" spans="1:13" x14ac:dyDescent="0.35">
      <c r="A3449">
        <f t="shared" si="9359"/>
        <v>3445</v>
      </c>
      <c r="B3449" s="9">
        <f t="shared" ref="B3449:B3450" si="10218">B3448+H3449+I3449+J3449</f>
        <v>51.750000000000014</v>
      </c>
      <c r="C3449" s="3" t="s">
        <v>3808</v>
      </c>
      <c r="D3449">
        <f t="shared" ref="D3449:D3450" si="10219">_xlfn.NUMBERVALUE(LEFT(C3449,2))</f>
        <v>10</v>
      </c>
      <c r="E3449">
        <f t="shared" ref="E3449:E3450" si="10220">_xlfn.NUMBERVALUE(MID(C3449,4,2))</f>
        <v>11</v>
      </c>
      <c r="F3449">
        <f t="shared" ref="F3449:F3450" si="10221">_xlfn.NUMBERVALUE(RIGHT(C3449,4))</f>
        <v>2024</v>
      </c>
      <c r="G3449" t="s">
        <v>3040</v>
      </c>
      <c r="K3449" t="s">
        <v>9</v>
      </c>
      <c r="L3449" s="8">
        <f t="shared" si="9845"/>
        <v>0</v>
      </c>
      <c r="M3449" t="s">
        <v>3819</v>
      </c>
    </row>
    <row r="3450" spans="1:13" x14ac:dyDescent="0.35">
      <c r="A3450">
        <f t="shared" si="9359"/>
        <v>3446</v>
      </c>
      <c r="B3450" s="9">
        <f t="shared" si="10218"/>
        <v>65.750000000000014</v>
      </c>
      <c r="C3450" s="3" t="s">
        <v>3808</v>
      </c>
      <c r="D3450">
        <f t="shared" si="10219"/>
        <v>10</v>
      </c>
      <c r="E3450">
        <f t="shared" si="10220"/>
        <v>11</v>
      </c>
      <c r="F3450">
        <f t="shared" si="10221"/>
        <v>2024</v>
      </c>
      <c r="G3450" t="s">
        <v>7</v>
      </c>
      <c r="H3450">
        <v>-2</v>
      </c>
      <c r="I3450">
        <v>16</v>
      </c>
      <c r="K3450" t="s">
        <v>10</v>
      </c>
      <c r="L3450" s="8">
        <f t="shared" si="9845"/>
        <v>7</v>
      </c>
      <c r="M3450" t="s">
        <v>3818</v>
      </c>
    </row>
    <row r="3451" spans="1:13" x14ac:dyDescent="0.35">
      <c r="A3451">
        <f t="shared" si="9359"/>
        <v>3447</v>
      </c>
      <c r="B3451" s="9">
        <f t="shared" ref="B3451" si="10222">B3450+H3451+I3451+J3451</f>
        <v>67.750000000000014</v>
      </c>
      <c r="C3451" s="3" t="s">
        <v>3808</v>
      </c>
      <c r="D3451">
        <f t="shared" ref="D3451" si="10223">_xlfn.NUMBERVALUE(LEFT(C3451,2))</f>
        <v>10</v>
      </c>
      <c r="E3451">
        <f t="shared" ref="E3451" si="10224">_xlfn.NUMBERVALUE(MID(C3451,4,2))</f>
        <v>11</v>
      </c>
      <c r="F3451">
        <f t="shared" ref="F3451" si="10225">_xlfn.NUMBERVALUE(RIGHT(C3451,4))</f>
        <v>2024</v>
      </c>
      <c r="G3451" t="s">
        <v>7</v>
      </c>
      <c r="H3451">
        <v>-2</v>
      </c>
      <c r="I3451">
        <v>4</v>
      </c>
      <c r="K3451" t="s">
        <v>10</v>
      </c>
      <c r="L3451" s="8">
        <f t="shared" si="9845"/>
        <v>1</v>
      </c>
      <c r="M3451" s="10" t="s">
        <v>3820</v>
      </c>
    </row>
    <row r="3452" spans="1:13" x14ac:dyDescent="0.35">
      <c r="A3452">
        <f t="shared" si="9359"/>
        <v>3448</v>
      </c>
      <c r="B3452" s="9">
        <f t="shared" ref="B3452" si="10226">B3451+H3452+I3452+J3452</f>
        <v>71.750000000000014</v>
      </c>
      <c r="C3452" s="3" t="s">
        <v>3821</v>
      </c>
      <c r="D3452">
        <f t="shared" ref="D3452" si="10227">_xlfn.NUMBERVALUE(LEFT(C3452,2))</f>
        <v>11</v>
      </c>
      <c r="E3452">
        <f t="shared" ref="E3452" si="10228">_xlfn.NUMBERVALUE(MID(C3452,4,2))</f>
        <v>11</v>
      </c>
      <c r="F3452">
        <f t="shared" ref="F3452" si="10229">_xlfn.NUMBERVALUE(RIGHT(C3452,4))</f>
        <v>2024</v>
      </c>
      <c r="G3452" t="s">
        <v>7</v>
      </c>
      <c r="H3452">
        <v>-2</v>
      </c>
      <c r="I3452">
        <v>6</v>
      </c>
      <c r="K3452" t="s">
        <v>10</v>
      </c>
      <c r="L3452" s="8">
        <f t="shared" si="9845"/>
        <v>2</v>
      </c>
      <c r="M3452" t="s">
        <v>3822</v>
      </c>
    </row>
    <row r="3453" spans="1:13" x14ac:dyDescent="0.35">
      <c r="A3453">
        <f t="shared" si="9359"/>
        <v>3449</v>
      </c>
      <c r="B3453" s="9">
        <f t="shared" ref="B3453" si="10230">B3452+H3453+I3453+J3453</f>
        <v>77.750000000000014</v>
      </c>
      <c r="C3453" s="3" t="s">
        <v>3821</v>
      </c>
      <c r="D3453">
        <f t="shared" ref="D3453" si="10231">_xlfn.NUMBERVALUE(LEFT(C3453,2))</f>
        <v>11</v>
      </c>
      <c r="E3453">
        <f t="shared" ref="E3453" si="10232">_xlfn.NUMBERVALUE(MID(C3453,4,2))</f>
        <v>11</v>
      </c>
      <c r="F3453">
        <f t="shared" ref="F3453" si="10233">_xlfn.NUMBERVALUE(RIGHT(C3453,4))</f>
        <v>2024</v>
      </c>
      <c r="G3453" t="s">
        <v>7</v>
      </c>
      <c r="H3453">
        <v>-2</v>
      </c>
      <c r="I3453">
        <v>8</v>
      </c>
      <c r="K3453" t="s">
        <v>10</v>
      </c>
      <c r="L3453" s="8">
        <f t="shared" si="9845"/>
        <v>3</v>
      </c>
      <c r="M3453" t="s">
        <v>3823</v>
      </c>
    </row>
    <row r="3454" spans="1:13" x14ac:dyDescent="0.35">
      <c r="A3454">
        <f t="shared" si="9359"/>
        <v>3450</v>
      </c>
      <c r="B3454" s="9">
        <f t="shared" ref="B3454" si="10234">B3453+H3454+I3454+J3454</f>
        <v>75.750000000000014</v>
      </c>
      <c r="C3454" s="3" t="s">
        <v>3821</v>
      </c>
      <c r="D3454">
        <f t="shared" ref="D3454" si="10235">_xlfn.NUMBERVALUE(LEFT(C3454,2))</f>
        <v>11</v>
      </c>
      <c r="E3454">
        <f t="shared" ref="E3454" si="10236">_xlfn.NUMBERVALUE(MID(C3454,4,2))</f>
        <v>11</v>
      </c>
      <c r="F3454">
        <f t="shared" ref="F3454" si="10237">_xlfn.NUMBERVALUE(RIGHT(C3454,4))</f>
        <v>2024</v>
      </c>
      <c r="G3454" t="s">
        <v>7</v>
      </c>
      <c r="H3454">
        <v>-2</v>
      </c>
      <c r="K3454" t="s">
        <v>9</v>
      </c>
      <c r="L3454" s="8">
        <f t="shared" si="9845"/>
        <v>-1</v>
      </c>
      <c r="M3454" s="8" t="s">
        <v>3824</v>
      </c>
    </row>
    <row r="3455" spans="1:13" x14ac:dyDescent="0.35">
      <c r="A3455">
        <f t="shared" si="9359"/>
        <v>3451</v>
      </c>
      <c r="B3455" s="9">
        <f t="shared" ref="B3455" si="10238">B3454+H3455+I3455+J3455</f>
        <v>73.750000000000014</v>
      </c>
      <c r="C3455" s="3" t="s">
        <v>3821</v>
      </c>
      <c r="D3455">
        <f t="shared" ref="D3455" si="10239">_xlfn.NUMBERVALUE(LEFT(C3455,2))</f>
        <v>11</v>
      </c>
      <c r="E3455">
        <f t="shared" ref="E3455" si="10240">_xlfn.NUMBERVALUE(MID(C3455,4,2))</f>
        <v>11</v>
      </c>
      <c r="F3455">
        <f t="shared" ref="F3455" si="10241">_xlfn.NUMBERVALUE(RIGHT(C3455,4))</f>
        <v>2024</v>
      </c>
      <c r="G3455" t="s">
        <v>7</v>
      </c>
      <c r="H3455">
        <v>-2</v>
      </c>
      <c r="K3455" t="s">
        <v>9</v>
      </c>
      <c r="L3455" s="8">
        <f t="shared" si="9845"/>
        <v>-1</v>
      </c>
      <c r="M3455" t="s">
        <v>3825</v>
      </c>
    </row>
    <row r="3456" spans="1:13" x14ac:dyDescent="0.35">
      <c r="A3456">
        <f t="shared" si="9359"/>
        <v>3452</v>
      </c>
      <c r="B3456" s="9">
        <f t="shared" ref="B3456" si="10242">B3455+H3456+I3456+J3456</f>
        <v>71.750000000000014</v>
      </c>
      <c r="C3456" s="3" t="s">
        <v>3821</v>
      </c>
      <c r="D3456">
        <f t="shared" ref="D3456" si="10243">_xlfn.NUMBERVALUE(LEFT(C3456,2))</f>
        <v>11</v>
      </c>
      <c r="E3456">
        <f t="shared" ref="E3456" si="10244">_xlfn.NUMBERVALUE(MID(C3456,4,2))</f>
        <v>11</v>
      </c>
      <c r="F3456">
        <f t="shared" ref="F3456" si="10245">_xlfn.NUMBERVALUE(RIGHT(C3456,4))</f>
        <v>2024</v>
      </c>
      <c r="G3456" t="s">
        <v>7</v>
      </c>
      <c r="H3456">
        <v>-2</v>
      </c>
      <c r="K3456" t="s">
        <v>9</v>
      </c>
      <c r="L3456" s="8">
        <f t="shared" si="9845"/>
        <v>-1</v>
      </c>
      <c r="M3456" t="s">
        <v>3826</v>
      </c>
    </row>
    <row r="3457" spans="1:13" x14ac:dyDescent="0.35">
      <c r="A3457">
        <f t="shared" si="9359"/>
        <v>3453</v>
      </c>
      <c r="B3457" s="9">
        <f t="shared" ref="B3457:B3458" si="10246">B3456+H3457+I3457+J3457</f>
        <v>71.750000000000014</v>
      </c>
      <c r="C3457" s="3" t="s">
        <v>3821</v>
      </c>
      <c r="D3457">
        <f t="shared" ref="D3457:D3458" si="10247">_xlfn.NUMBERVALUE(LEFT(C3457,2))</f>
        <v>11</v>
      </c>
      <c r="E3457">
        <f t="shared" ref="E3457:E3458" si="10248">_xlfn.NUMBERVALUE(MID(C3457,4,2))</f>
        <v>11</v>
      </c>
      <c r="F3457">
        <f t="shared" ref="F3457:F3458" si="10249">_xlfn.NUMBERVALUE(RIGHT(C3457,4))</f>
        <v>2024</v>
      </c>
      <c r="G3457" t="s">
        <v>3039</v>
      </c>
      <c r="K3457" t="s">
        <v>9</v>
      </c>
      <c r="L3457" s="8">
        <f t="shared" si="9845"/>
        <v>0</v>
      </c>
      <c r="M3457" t="s">
        <v>3827</v>
      </c>
    </row>
    <row r="3458" spans="1:13" x14ac:dyDescent="0.35">
      <c r="A3458">
        <f t="shared" ref="A3458:A3563" si="10250">A3457+1</f>
        <v>3454</v>
      </c>
      <c r="B3458" s="9">
        <f t="shared" si="10246"/>
        <v>69.750000000000014</v>
      </c>
      <c r="C3458" s="3" t="s">
        <v>3821</v>
      </c>
      <c r="D3458">
        <f t="shared" si="10247"/>
        <v>11</v>
      </c>
      <c r="E3458">
        <f t="shared" si="10248"/>
        <v>11</v>
      </c>
      <c r="F3458">
        <f t="shared" si="10249"/>
        <v>2024</v>
      </c>
      <c r="G3458" t="s">
        <v>7</v>
      </c>
      <c r="H3458">
        <v>-2</v>
      </c>
      <c r="K3458" t="s">
        <v>9</v>
      </c>
      <c r="L3458" s="8">
        <f t="shared" si="9845"/>
        <v>-1</v>
      </c>
      <c r="M3458" t="s">
        <v>3828</v>
      </c>
    </row>
    <row r="3459" spans="1:13" x14ac:dyDescent="0.35">
      <c r="A3459">
        <f t="shared" si="10250"/>
        <v>3455</v>
      </c>
      <c r="B3459" s="9">
        <f t="shared" ref="B3459" si="10251">B3458+H3459+I3459+J3459</f>
        <v>71.750000000000014</v>
      </c>
      <c r="C3459" s="3" t="s">
        <v>3821</v>
      </c>
      <c r="D3459">
        <f t="shared" ref="D3459" si="10252">_xlfn.NUMBERVALUE(LEFT(C3459,2))</f>
        <v>11</v>
      </c>
      <c r="E3459">
        <f t="shared" ref="E3459" si="10253">_xlfn.NUMBERVALUE(MID(C3459,4,2))</f>
        <v>11</v>
      </c>
      <c r="F3459">
        <f t="shared" ref="F3459" si="10254">_xlfn.NUMBERVALUE(RIGHT(C3459,4))</f>
        <v>2024</v>
      </c>
      <c r="G3459" t="s">
        <v>7</v>
      </c>
      <c r="H3459">
        <v>-2</v>
      </c>
      <c r="I3459">
        <v>4</v>
      </c>
      <c r="K3459" t="s">
        <v>10</v>
      </c>
      <c r="L3459" s="8">
        <f t="shared" si="9845"/>
        <v>1</v>
      </c>
      <c r="M3459" t="s">
        <v>3829</v>
      </c>
    </row>
    <row r="3460" spans="1:13" x14ac:dyDescent="0.35">
      <c r="A3460">
        <f t="shared" si="10250"/>
        <v>3456</v>
      </c>
      <c r="B3460" s="9">
        <f t="shared" ref="B3460" si="10255">B3459+H3460+I3460+J3460</f>
        <v>69.750000000000014</v>
      </c>
      <c r="C3460" s="3" t="s">
        <v>3821</v>
      </c>
      <c r="D3460">
        <f t="shared" ref="D3460" si="10256">_xlfn.NUMBERVALUE(LEFT(C3460,2))</f>
        <v>11</v>
      </c>
      <c r="E3460">
        <f t="shared" ref="E3460" si="10257">_xlfn.NUMBERVALUE(MID(C3460,4,2))</f>
        <v>11</v>
      </c>
      <c r="F3460">
        <f t="shared" ref="F3460" si="10258">_xlfn.NUMBERVALUE(RIGHT(C3460,4))</f>
        <v>2024</v>
      </c>
      <c r="G3460" t="s">
        <v>7</v>
      </c>
      <c r="H3460">
        <v>-2</v>
      </c>
      <c r="K3460" t="s">
        <v>9</v>
      </c>
      <c r="L3460" s="8">
        <f t="shared" si="9845"/>
        <v>-1</v>
      </c>
      <c r="M3460" t="s">
        <v>3830</v>
      </c>
    </row>
    <row r="3461" spans="1:13" x14ac:dyDescent="0.35">
      <c r="A3461">
        <f t="shared" si="10250"/>
        <v>3457</v>
      </c>
      <c r="B3461" s="9">
        <f t="shared" ref="B3461" si="10259">B3460+H3461+I3461+J3461</f>
        <v>73.750000000000014</v>
      </c>
      <c r="C3461" s="3" t="s">
        <v>3821</v>
      </c>
      <c r="D3461">
        <f t="shared" ref="D3461" si="10260">_xlfn.NUMBERVALUE(LEFT(C3461,2))</f>
        <v>11</v>
      </c>
      <c r="E3461">
        <f t="shared" ref="E3461" si="10261">_xlfn.NUMBERVALUE(MID(C3461,4,2))</f>
        <v>11</v>
      </c>
      <c r="F3461">
        <f t="shared" ref="F3461" si="10262">_xlfn.NUMBERVALUE(RIGHT(C3461,4))</f>
        <v>2024</v>
      </c>
      <c r="G3461" t="s">
        <v>7</v>
      </c>
      <c r="H3461">
        <v>-2</v>
      </c>
      <c r="I3461">
        <v>6</v>
      </c>
      <c r="K3461" t="s">
        <v>10</v>
      </c>
      <c r="L3461" s="8">
        <f t="shared" si="9845"/>
        <v>2</v>
      </c>
      <c r="M3461" t="s">
        <v>3831</v>
      </c>
    </row>
    <row r="3462" spans="1:13" x14ac:dyDescent="0.35">
      <c r="A3462">
        <f t="shared" si="10250"/>
        <v>3458</v>
      </c>
      <c r="B3462" s="9">
        <f t="shared" ref="B3462" si="10263">B3461+H3462+I3462+J3462</f>
        <v>71.750000000000014</v>
      </c>
      <c r="C3462" s="3" t="s">
        <v>3821</v>
      </c>
      <c r="D3462">
        <f t="shared" ref="D3462" si="10264">_xlfn.NUMBERVALUE(LEFT(C3462,2))</f>
        <v>11</v>
      </c>
      <c r="E3462">
        <f t="shared" ref="E3462" si="10265">_xlfn.NUMBERVALUE(MID(C3462,4,2))</f>
        <v>11</v>
      </c>
      <c r="F3462">
        <f t="shared" ref="F3462" si="10266">_xlfn.NUMBERVALUE(RIGHT(C3462,4))</f>
        <v>2024</v>
      </c>
      <c r="G3462" t="s">
        <v>7</v>
      </c>
      <c r="H3462">
        <v>-2</v>
      </c>
      <c r="K3462" t="s">
        <v>9</v>
      </c>
      <c r="L3462" s="8">
        <f t="shared" si="9845"/>
        <v>-1</v>
      </c>
      <c r="M3462" t="s">
        <v>3832</v>
      </c>
    </row>
    <row r="3463" spans="1:13" x14ac:dyDescent="0.35">
      <c r="A3463">
        <f t="shared" si="10250"/>
        <v>3459</v>
      </c>
      <c r="B3463" s="9">
        <f t="shared" ref="B3463" si="10267">B3462+H3463+I3463+J3463</f>
        <v>75.750000000000014</v>
      </c>
      <c r="C3463" s="3" t="s">
        <v>3821</v>
      </c>
      <c r="D3463">
        <f t="shared" ref="D3463" si="10268">_xlfn.NUMBERVALUE(LEFT(C3463,2))</f>
        <v>11</v>
      </c>
      <c r="E3463">
        <f t="shared" ref="E3463" si="10269">_xlfn.NUMBERVALUE(MID(C3463,4,2))</f>
        <v>11</v>
      </c>
      <c r="F3463">
        <f t="shared" ref="F3463" si="10270">_xlfn.NUMBERVALUE(RIGHT(C3463,4))</f>
        <v>2024</v>
      </c>
      <c r="G3463" t="s">
        <v>7</v>
      </c>
      <c r="H3463">
        <v>-2</v>
      </c>
      <c r="I3463">
        <v>6</v>
      </c>
      <c r="K3463" t="s">
        <v>10</v>
      </c>
      <c r="L3463" s="8">
        <f t="shared" si="9845"/>
        <v>2</v>
      </c>
      <c r="M3463" t="s">
        <v>3833</v>
      </c>
    </row>
    <row r="3464" spans="1:13" x14ac:dyDescent="0.35">
      <c r="A3464">
        <f t="shared" si="10250"/>
        <v>3460</v>
      </c>
      <c r="B3464" s="9">
        <f t="shared" ref="B3464" si="10271">B3463+H3464+I3464+J3464</f>
        <v>81.750000000000014</v>
      </c>
      <c r="C3464" s="3" t="s">
        <v>3821</v>
      </c>
      <c r="D3464">
        <f t="shared" ref="D3464" si="10272">_xlfn.NUMBERVALUE(LEFT(C3464,2))</f>
        <v>11</v>
      </c>
      <c r="E3464">
        <f t="shared" ref="E3464" si="10273">_xlfn.NUMBERVALUE(MID(C3464,4,2))</f>
        <v>11</v>
      </c>
      <c r="F3464">
        <f t="shared" ref="F3464" si="10274">_xlfn.NUMBERVALUE(RIGHT(C3464,4))</f>
        <v>2024</v>
      </c>
      <c r="G3464" t="s">
        <v>7</v>
      </c>
      <c r="H3464">
        <v>-2</v>
      </c>
      <c r="I3464">
        <v>8</v>
      </c>
      <c r="K3464" t="s">
        <v>10</v>
      </c>
      <c r="L3464" s="8">
        <f t="shared" si="9845"/>
        <v>3</v>
      </c>
      <c r="M3464" t="s">
        <v>3834</v>
      </c>
    </row>
    <row r="3465" spans="1:13" x14ac:dyDescent="0.35">
      <c r="A3465">
        <f t="shared" si="10250"/>
        <v>3461</v>
      </c>
      <c r="B3465" s="9">
        <f t="shared" ref="B3465" si="10275">B3464+H3465+I3465+J3465</f>
        <v>79.750000000000014</v>
      </c>
      <c r="C3465" s="3" t="s">
        <v>3821</v>
      </c>
      <c r="D3465">
        <f t="shared" ref="D3465" si="10276">_xlfn.NUMBERVALUE(LEFT(C3465,2))</f>
        <v>11</v>
      </c>
      <c r="E3465">
        <f t="shared" ref="E3465" si="10277">_xlfn.NUMBERVALUE(MID(C3465,4,2))</f>
        <v>11</v>
      </c>
      <c r="F3465">
        <f t="shared" ref="F3465" si="10278">_xlfn.NUMBERVALUE(RIGHT(C3465,4))</f>
        <v>2024</v>
      </c>
      <c r="G3465" t="s">
        <v>7</v>
      </c>
      <c r="H3465">
        <v>-2</v>
      </c>
      <c r="K3465" t="s">
        <v>9</v>
      </c>
      <c r="L3465" s="8">
        <f t="shared" si="9845"/>
        <v>-1</v>
      </c>
      <c r="M3465" t="s">
        <v>3835</v>
      </c>
    </row>
    <row r="3466" spans="1:13" x14ac:dyDescent="0.35">
      <c r="A3466">
        <f t="shared" si="10250"/>
        <v>3462</v>
      </c>
      <c r="B3466" s="9">
        <f t="shared" ref="B3466" si="10279">B3465+H3466+I3466+J3466</f>
        <v>81.750000000000014</v>
      </c>
      <c r="C3466" s="3" t="s">
        <v>3821</v>
      </c>
      <c r="D3466">
        <f t="shared" ref="D3466" si="10280">_xlfn.NUMBERVALUE(LEFT(C3466,2))</f>
        <v>11</v>
      </c>
      <c r="E3466">
        <f t="shared" ref="E3466" si="10281">_xlfn.NUMBERVALUE(MID(C3466,4,2))</f>
        <v>11</v>
      </c>
      <c r="F3466">
        <f t="shared" ref="F3466" si="10282">_xlfn.NUMBERVALUE(RIGHT(C3466,4))</f>
        <v>2024</v>
      </c>
      <c r="G3466" t="s">
        <v>7</v>
      </c>
      <c r="H3466">
        <v>-2</v>
      </c>
      <c r="I3466">
        <v>4</v>
      </c>
      <c r="K3466" t="s">
        <v>10</v>
      </c>
      <c r="L3466" s="8">
        <f t="shared" si="9845"/>
        <v>1</v>
      </c>
      <c r="M3466" t="s">
        <v>3836</v>
      </c>
    </row>
    <row r="3467" spans="1:13" x14ac:dyDescent="0.35">
      <c r="A3467">
        <f t="shared" si="10250"/>
        <v>3463</v>
      </c>
      <c r="B3467" s="9">
        <f t="shared" ref="B3467" si="10283">B3466+H3467+I3467+J3467</f>
        <v>79.750000000000014</v>
      </c>
      <c r="C3467" s="3" t="s">
        <v>3821</v>
      </c>
      <c r="D3467">
        <f t="shared" ref="D3467" si="10284">_xlfn.NUMBERVALUE(LEFT(C3467,2))</f>
        <v>11</v>
      </c>
      <c r="E3467">
        <f t="shared" ref="E3467" si="10285">_xlfn.NUMBERVALUE(MID(C3467,4,2))</f>
        <v>11</v>
      </c>
      <c r="F3467">
        <f t="shared" ref="F3467" si="10286">_xlfn.NUMBERVALUE(RIGHT(C3467,4))</f>
        <v>2024</v>
      </c>
      <c r="G3467" t="s">
        <v>7</v>
      </c>
      <c r="H3467">
        <v>-2</v>
      </c>
      <c r="K3467" t="s">
        <v>9</v>
      </c>
      <c r="L3467" s="8">
        <f t="shared" si="9845"/>
        <v>-1</v>
      </c>
      <c r="M3467" t="s">
        <v>3837</v>
      </c>
    </row>
    <row r="3468" spans="1:13" x14ac:dyDescent="0.35">
      <c r="A3468">
        <f t="shared" si="10250"/>
        <v>3464</v>
      </c>
      <c r="B3468" s="9">
        <f t="shared" ref="B3468" si="10287">B3467+H3468+I3468+J3468</f>
        <v>81.750000000000014</v>
      </c>
      <c r="C3468" s="3" t="s">
        <v>3821</v>
      </c>
      <c r="D3468">
        <f t="shared" ref="D3468" si="10288">_xlfn.NUMBERVALUE(LEFT(C3468,2))</f>
        <v>11</v>
      </c>
      <c r="E3468">
        <f t="shared" ref="E3468" si="10289">_xlfn.NUMBERVALUE(MID(C3468,4,2))</f>
        <v>11</v>
      </c>
      <c r="F3468">
        <f t="shared" ref="F3468" si="10290">_xlfn.NUMBERVALUE(RIGHT(C3468,4))</f>
        <v>2024</v>
      </c>
      <c r="G3468" t="s">
        <v>7</v>
      </c>
      <c r="H3468">
        <v>-2</v>
      </c>
      <c r="I3468">
        <v>4</v>
      </c>
      <c r="K3468" t="s">
        <v>10</v>
      </c>
      <c r="L3468" s="8">
        <f t="shared" si="9845"/>
        <v>1</v>
      </c>
      <c r="M3468" t="s">
        <v>3838</v>
      </c>
    </row>
    <row r="3469" spans="1:13" x14ac:dyDescent="0.35">
      <c r="A3469">
        <f t="shared" si="10250"/>
        <v>3465</v>
      </c>
      <c r="B3469" s="9">
        <f t="shared" ref="B3469" si="10291">B3468+H3469+I3469+J3469</f>
        <v>79.750000000000014</v>
      </c>
      <c r="C3469" s="3" t="s">
        <v>3821</v>
      </c>
      <c r="D3469">
        <f t="shared" ref="D3469" si="10292">_xlfn.NUMBERVALUE(LEFT(C3469,2))</f>
        <v>11</v>
      </c>
      <c r="E3469">
        <f t="shared" ref="E3469" si="10293">_xlfn.NUMBERVALUE(MID(C3469,4,2))</f>
        <v>11</v>
      </c>
      <c r="F3469">
        <f t="shared" ref="F3469" si="10294">_xlfn.NUMBERVALUE(RIGHT(C3469,4))</f>
        <v>2024</v>
      </c>
      <c r="G3469" t="s">
        <v>7</v>
      </c>
      <c r="H3469">
        <v>-2</v>
      </c>
      <c r="K3469" t="s">
        <v>9</v>
      </c>
      <c r="L3469" s="8">
        <f t="shared" si="9845"/>
        <v>-1</v>
      </c>
      <c r="M3469" t="s">
        <v>3839</v>
      </c>
    </row>
    <row r="3470" spans="1:13" x14ac:dyDescent="0.35">
      <c r="A3470">
        <f t="shared" si="10250"/>
        <v>3466</v>
      </c>
      <c r="B3470" s="9">
        <f t="shared" ref="B3470" si="10295">B3469+H3470+I3470+J3470</f>
        <v>77.750000000000014</v>
      </c>
      <c r="C3470" s="3" t="s">
        <v>3821</v>
      </c>
      <c r="D3470">
        <f t="shared" ref="D3470" si="10296">_xlfn.NUMBERVALUE(LEFT(C3470,2))</f>
        <v>11</v>
      </c>
      <c r="E3470">
        <f t="shared" ref="E3470" si="10297">_xlfn.NUMBERVALUE(MID(C3470,4,2))</f>
        <v>11</v>
      </c>
      <c r="F3470">
        <f t="shared" ref="F3470" si="10298">_xlfn.NUMBERVALUE(RIGHT(C3470,4))</f>
        <v>2024</v>
      </c>
      <c r="G3470" t="s">
        <v>7</v>
      </c>
      <c r="H3470">
        <v>-2</v>
      </c>
      <c r="K3470" t="s">
        <v>9</v>
      </c>
      <c r="L3470" s="8">
        <f t="shared" si="9845"/>
        <v>-1</v>
      </c>
      <c r="M3470" t="s">
        <v>3840</v>
      </c>
    </row>
    <row r="3471" spans="1:13" x14ac:dyDescent="0.35">
      <c r="A3471">
        <f t="shared" si="10250"/>
        <v>3467</v>
      </c>
      <c r="B3471" s="9">
        <f t="shared" ref="B3471" si="10299">B3470+H3471+I3471+J3471</f>
        <v>75.750000000000014</v>
      </c>
      <c r="C3471" s="3" t="s">
        <v>3821</v>
      </c>
      <c r="D3471">
        <f t="shared" ref="D3471" si="10300">_xlfn.NUMBERVALUE(LEFT(C3471,2))</f>
        <v>11</v>
      </c>
      <c r="E3471">
        <f t="shared" ref="E3471" si="10301">_xlfn.NUMBERVALUE(MID(C3471,4,2))</f>
        <v>11</v>
      </c>
      <c r="F3471">
        <f t="shared" ref="F3471" si="10302">_xlfn.NUMBERVALUE(RIGHT(C3471,4))</f>
        <v>2024</v>
      </c>
      <c r="G3471" t="s">
        <v>7</v>
      </c>
      <c r="H3471">
        <v>-2</v>
      </c>
      <c r="K3471" t="s">
        <v>9</v>
      </c>
      <c r="L3471" s="8">
        <f t="shared" si="9845"/>
        <v>-1</v>
      </c>
      <c r="M3471" t="s">
        <v>3841</v>
      </c>
    </row>
    <row r="3472" spans="1:13" x14ac:dyDescent="0.35">
      <c r="A3472">
        <f t="shared" si="10250"/>
        <v>3468</v>
      </c>
      <c r="B3472" s="9">
        <f t="shared" ref="B3472" si="10303">B3471+H3472+I3472+J3472</f>
        <v>73.750000000000014</v>
      </c>
      <c r="C3472" s="3" t="s">
        <v>3821</v>
      </c>
      <c r="D3472">
        <f t="shared" ref="D3472" si="10304">_xlfn.NUMBERVALUE(LEFT(C3472,2))</f>
        <v>11</v>
      </c>
      <c r="E3472">
        <f t="shared" ref="E3472" si="10305">_xlfn.NUMBERVALUE(MID(C3472,4,2))</f>
        <v>11</v>
      </c>
      <c r="F3472">
        <f t="shared" ref="F3472" si="10306">_xlfn.NUMBERVALUE(RIGHT(C3472,4))</f>
        <v>2024</v>
      </c>
      <c r="G3472" t="s">
        <v>7</v>
      </c>
      <c r="H3472">
        <v>-2</v>
      </c>
      <c r="K3472" t="s">
        <v>9</v>
      </c>
      <c r="L3472" s="8">
        <f t="shared" si="9845"/>
        <v>-1</v>
      </c>
      <c r="M3472" t="s">
        <v>3842</v>
      </c>
    </row>
    <row r="3473" spans="1:13" x14ac:dyDescent="0.35">
      <c r="A3473">
        <f t="shared" si="10250"/>
        <v>3469</v>
      </c>
      <c r="B3473" s="9">
        <f t="shared" ref="B3473" si="10307">B3472+H3473+I3473+J3473</f>
        <v>68.750000000000014</v>
      </c>
      <c r="C3473" s="3" t="s">
        <v>3821</v>
      </c>
      <c r="D3473">
        <f t="shared" ref="D3473" si="10308">_xlfn.NUMBERVALUE(LEFT(C3473,2))</f>
        <v>11</v>
      </c>
      <c r="E3473">
        <f t="shared" ref="E3473" si="10309">_xlfn.NUMBERVALUE(MID(C3473,4,2))</f>
        <v>11</v>
      </c>
      <c r="F3473">
        <f t="shared" ref="F3473" si="10310">_xlfn.NUMBERVALUE(RIGHT(C3473,4))</f>
        <v>2024</v>
      </c>
      <c r="G3473" t="s">
        <v>7</v>
      </c>
      <c r="H3473">
        <v>-5</v>
      </c>
      <c r="K3473" t="s">
        <v>9</v>
      </c>
      <c r="L3473" s="8">
        <f t="shared" si="9845"/>
        <v>-1</v>
      </c>
      <c r="M3473" t="s">
        <v>3843</v>
      </c>
    </row>
    <row r="3474" spans="1:13" x14ac:dyDescent="0.35">
      <c r="A3474">
        <f t="shared" si="10250"/>
        <v>3470</v>
      </c>
      <c r="B3474" s="9">
        <f t="shared" ref="B3474" si="10311">B3473+H3474+I3474+J3474</f>
        <v>63.750000000000014</v>
      </c>
      <c r="C3474" s="3" t="s">
        <v>3821</v>
      </c>
      <c r="D3474">
        <f t="shared" ref="D3474" si="10312">_xlfn.NUMBERVALUE(LEFT(C3474,2))</f>
        <v>11</v>
      </c>
      <c r="E3474">
        <f t="shared" ref="E3474" si="10313">_xlfn.NUMBERVALUE(MID(C3474,4,2))</f>
        <v>11</v>
      </c>
      <c r="F3474">
        <f t="shared" ref="F3474" si="10314">_xlfn.NUMBERVALUE(RIGHT(C3474,4))</f>
        <v>2024</v>
      </c>
      <c r="G3474" t="s">
        <v>7</v>
      </c>
      <c r="H3474">
        <v>-5</v>
      </c>
      <c r="K3474" t="s">
        <v>9</v>
      </c>
      <c r="L3474" s="8">
        <f t="shared" si="9845"/>
        <v>-1</v>
      </c>
      <c r="M3474" t="s">
        <v>3844</v>
      </c>
    </row>
    <row r="3475" spans="1:13" x14ac:dyDescent="0.35">
      <c r="A3475">
        <f t="shared" si="10250"/>
        <v>3471</v>
      </c>
      <c r="B3475" s="9">
        <f t="shared" ref="B3475" si="10315">B3474+H3475+I3475+J3475</f>
        <v>58.750000000000014</v>
      </c>
      <c r="C3475" s="3" t="s">
        <v>3821</v>
      </c>
      <c r="D3475">
        <f t="shared" ref="D3475" si="10316">_xlfn.NUMBERVALUE(LEFT(C3475,2))</f>
        <v>11</v>
      </c>
      <c r="E3475">
        <f t="shared" ref="E3475" si="10317">_xlfn.NUMBERVALUE(MID(C3475,4,2))</f>
        <v>11</v>
      </c>
      <c r="F3475">
        <f t="shared" ref="F3475" si="10318">_xlfn.NUMBERVALUE(RIGHT(C3475,4))</f>
        <v>2024</v>
      </c>
      <c r="G3475" t="s">
        <v>7</v>
      </c>
      <c r="H3475">
        <v>-5</v>
      </c>
      <c r="K3475" t="s">
        <v>9</v>
      </c>
      <c r="L3475" s="8">
        <f t="shared" si="9845"/>
        <v>-1</v>
      </c>
      <c r="M3475" t="s">
        <v>3845</v>
      </c>
    </row>
    <row r="3476" spans="1:13" x14ac:dyDescent="0.35">
      <c r="A3476">
        <f t="shared" si="10250"/>
        <v>3472</v>
      </c>
      <c r="B3476" s="9">
        <f t="shared" ref="B3476" si="10319">B3475+H3476+I3476+J3476</f>
        <v>53.750000000000014</v>
      </c>
      <c r="C3476" s="3" t="s">
        <v>3821</v>
      </c>
      <c r="D3476">
        <f t="shared" ref="D3476" si="10320">_xlfn.NUMBERVALUE(LEFT(C3476,2))</f>
        <v>11</v>
      </c>
      <c r="E3476">
        <f t="shared" ref="E3476" si="10321">_xlfn.NUMBERVALUE(MID(C3476,4,2))</f>
        <v>11</v>
      </c>
      <c r="F3476">
        <f t="shared" ref="F3476" si="10322">_xlfn.NUMBERVALUE(RIGHT(C3476,4))</f>
        <v>2024</v>
      </c>
      <c r="G3476" t="s">
        <v>7</v>
      </c>
      <c r="H3476">
        <v>-5</v>
      </c>
      <c r="K3476" t="s">
        <v>9</v>
      </c>
      <c r="L3476" s="8">
        <f t="shared" ref="L3476:L3577" si="10323">IF(H3476="",0,(SUM(I3476:J3476)/-H3476)-1)</f>
        <v>-1</v>
      </c>
      <c r="M3476" t="s">
        <v>3846</v>
      </c>
    </row>
    <row r="3477" spans="1:13" x14ac:dyDescent="0.35">
      <c r="A3477">
        <f t="shared" si="10250"/>
        <v>3473</v>
      </c>
      <c r="B3477" s="9">
        <f t="shared" ref="B3477" si="10324">B3476+H3477+I3477+J3477</f>
        <v>48.750000000000014</v>
      </c>
      <c r="C3477" s="3" t="s">
        <v>3821</v>
      </c>
      <c r="D3477">
        <f t="shared" ref="D3477" si="10325">_xlfn.NUMBERVALUE(LEFT(C3477,2))</f>
        <v>11</v>
      </c>
      <c r="E3477">
        <f t="shared" ref="E3477" si="10326">_xlfn.NUMBERVALUE(MID(C3477,4,2))</f>
        <v>11</v>
      </c>
      <c r="F3477">
        <f t="shared" ref="F3477" si="10327">_xlfn.NUMBERVALUE(RIGHT(C3477,4))</f>
        <v>2024</v>
      </c>
      <c r="G3477" t="s">
        <v>7</v>
      </c>
      <c r="H3477">
        <v>-5</v>
      </c>
      <c r="K3477" t="s">
        <v>9</v>
      </c>
      <c r="L3477" s="8">
        <f t="shared" si="10323"/>
        <v>-1</v>
      </c>
      <c r="M3477" t="s">
        <v>3847</v>
      </c>
    </row>
    <row r="3478" spans="1:13" x14ac:dyDescent="0.35">
      <c r="A3478">
        <f t="shared" si="10250"/>
        <v>3474</v>
      </c>
      <c r="B3478" s="9">
        <f t="shared" ref="B3478" si="10328">B3477+H3478+I3478+J3478</f>
        <v>43.750000000000014</v>
      </c>
      <c r="C3478" s="3" t="s">
        <v>3821</v>
      </c>
      <c r="D3478">
        <f t="shared" ref="D3478" si="10329">_xlfn.NUMBERVALUE(LEFT(C3478,2))</f>
        <v>11</v>
      </c>
      <c r="E3478">
        <f t="shared" ref="E3478" si="10330">_xlfn.NUMBERVALUE(MID(C3478,4,2))</f>
        <v>11</v>
      </c>
      <c r="F3478">
        <f t="shared" ref="F3478" si="10331">_xlfn.NUMBERVALUE(RIGHT(C3478,4))</f>
        <v>2024</v>
      </c>
      <c r="G3478" t="s">
        <v>7</v>
      </c>
      <c r="H3478">
        <v>-5</v>
      </c>
      <c r="K3478" t="s">
        <v>9</v>
      </c>
      <c r="L3478" s="8">
        <f t="shared" si="10323"/>
        <v>-1</v>
      </c>
      <c r="M3478" t="s">
        <v>3848</v>
      </c>
    </row>
    <row r="3479" spans="1:13" x14ac:dyDescent="0.35">
      <c r="A3479">
        <f t="shared" si="10250"/>
        <v>3475</v>
      </c>
      <c r="B3479" s="9">
        <f t="shared" ref="B3479" si="10332">B3478+H3479+I3479+J3479</f>
        <v>38.750000000000014</v>
      </c>
      <c r="C3479" s="3" t="s">
        <v>3821</v>
      </c>
      <c r="D3479">
        <f t="shared" ref="D3479" si="10333">_xlfn.NUMBERVALUE(LEFT(C3479,2))</f>
        <v>11</v>
      </c>
      <c r="E3479">
        <f t="shared" ref="E3479" si="10334">_xlfn.NUMBERVALUE(MID(C3479,4,2))</f>
        <v>11</v>
      </c>
      <c r="F3479">
        <f t="shared" ref="F3479" si="10335">_xlfn.NUMBERVALUE(RIGHT(C3479,4))</f>
        <v>2024</v>
      </c>
      <c r="G3479" t="s">
        <v>7</v>
      </c>
      <c r="H3479">
        <v>-5</v>
      </c>
      <c r="K3479" t="s">
        <v>9</v>
      </c>
      <c r="L3479" s="8">
        <f t="shared" si="10323"/>
        <v>-1</v>
      </c>
      <c r="M3479" t="s">
        <v>3849</v>
      </c>
    </row>
    <row r="3480" spans="1:13" x14ac:dyDescent="0.35">
      <c r="A3480">
        <f t="shared" si="10250"/>
        <v>3476</v>
      </c>
      <c r="B3480" s="9">
        <f t="shared" ref="B3480" si="10336">B3479+H3480+I3480+J3480</f>
        <v>33.750000000000014</v>
      </c>
      <c r="C3480" s="3" t="s">
        <v>3821</v>
      </c>
      <c r="D3480">
        <f t="shared" ref="D3480" si="10337">_xlfn.NUMBERVALUE(LEFT(C3480,2))</f>
        <v>11</v>
      </c>
      <c r="E3480">
        <f t="shared" ref="E3480" si="10338">_xlfn.NUMBERVALUE(MID(C3480,4,2))</f>
        <v>11</v>
      </c>
      <c r="F3480">
        <f t="shared" ref="F3480" si="10339">_xlfn.NUMBERVALUE(RIGHT(C3480,4))</f>
        <v>2024</v>
      </c>
      <c r="G3480" t="s">
        <v>7</v>
      </c>
      <c r="H3480">
        <v>-5</v>
      </c>
      <c r="K3480" t="s">
        <v>9</v>
      </c>
      <c r="L3480" s="8">
        <f t="shared" si="10323"/>
        <v>-1</v>
      </c>
      <c r="M3480" t="s">
        <v>3850</v>
      </c>
    </row>
    <row r="3481" spans="1:13" x14ac:dyDescent="0.35">
      <c r="A3481">
        <f t="shared" si="10250"/>
        <v>3477</v>
      </c>
      <c r="B3481" s="9">
        <f t="shared" ref="B3481" si="10340">B3480+H3481+I3481+J3481</f>
        <v>28.750000000000014</v>
      </c>
      <c r="C3481" s="3" t="s">
        <v>3821</v>
      </c>
      <c r="D3481">
        <f t="shared" ref="D3481" si="10341">_xlfn.NUMBERVALUE(LEFT(C3481,2))</f>
        <v>11</v>
      </c>
      <c r="E3481">
        <f t="shared" ref="E3481" si="10342">_xlfn.NUMBERVALUE(MID(C3481,4,2))</f>
        <v>11</v>
      </c>
      <c r="F3481">
        <f t="shared" ref="F3481" si="10343">_xlfn.NUMBERVALUE(RIGHT(C3481,4))</f>
        <v>2024</v>
      </c>
      <c r="G3481" t="s">
        <v>7</v>
      </c>
      <c r="H3481">
        <v>-5</v>
      </c>
      <c r="K3481" t="s">
        <v>9</v>
      </c>
      <c r="L3481" s="8">
        <f t="shared" si="10323"/>
        <v>-1</v>
      </c>
      <c r="M3481" t="s">
        <v>3851</v>
      </c>
    </row>
    <row r="3482" spans="1:13" x14ac:dyDescent="0.35">
      <c r="A3482">
        <f t="shared" si="10250"/>
        <v>3478</v>
      </c>
      <c r="B3482" s="9">
        <f t="shared" ref="B3482" si="10344">B3481+H3482+I3482+J3482</f>
        <v>33.750000000000014</v>
      </c>
      <c r="C3482" s="3" t="s">
        <v>3821</v>
      </c>
      <c r="D3482">
        <f t="shared" ref="D3482" si="10345">_xlfn.NUMBERVALUE(LEFT(C3482,2))</f>
        <v>11</v>
      </c>
      <c r="E3482">
        <f t="shared" ref="E3482" si="10346">_xlfn.NUMBERVALUE(MID(C3482,4,2))</f>
        <v>11</v>
      </c>
      <c r="F3482">
        <f t="shared" ref="F3482" si="10347">_xlfn.NUMBERVALUE(RIGHT(C3482,4))</f>
        <v>2024</v>
      </c>
      <c r="G3482" t="s">
        <v>7</v>
      </c>
      <c r="H3482">
        <v>-5</v>
      </c>
      <c r="I3482">
        <v>10</v>
      </c>
      <c r="K3482" t="s">
        <v>10</v>
      </c>
      <c r="L3482" s="8">
        <f t="shared" si="10323"/>
        <v>1</v>
      </c>
      <c r="M3482" t="s">
        <v>3852</v>
      </c>
    </row>
    <row r="3483" spans="1:13" x14ac:dyDescent="0.35">
      <c r="A3483">
        <f t="shared" si="10250"/>
        <v>3479</v>
      </c>
      <c r="B3483" s="9">
        <f t="shared" ref="B3483" si="10348">B3482+H3483+I3483+J3483</f>
        <v>28.750000000000014</v>
      </c>
      <c r="C3483" s="3" t="s">
        <v>3821</v>
      </c>
      <c r="D3483">
        <f t="shared" ref="D3483" si="10349">_xlfn.NUMBERVALUE(LEFT(C3483,2))</f>
        <v>11</v>
      </c>
      <c r="E3483">
        <f t="shared" ref="E3483" si="10350">_xlfn.NUMBERVALUE(MID(C3483,4,2))</f>
        <v>11</v>
      </c>
      <c r="F3483">
        <f t="shared" ref="F3483" si="10351">_xlfn.NUMBERVALUE(RIGHT(C3483,4))</f>
        <v>2024</v>
      </c>
      <c r="G3483" t="s">
        <v>7</v>
      </c>
      <c r="H3483">
        <v>-5</v>
      </c>
      <c r="K3483" t="s">
        <v>9</v>
      </c>
      <c r="L3483" s="8">
        <f t="shared" si="10323"/>
        <v>-1</v>
      </c>
      <c r="M3483" t="s">
        <v>3853</v>
      </c>
    </row>
    <row r="3484" spans="1:13" x14ac:dyDescent="0.35">
      <c r="A3484">
        <f t="shared" si="10250"/>
        <v>3480</v>
      </c>
      <c r="B3484" s="9">
        <f t="shared" ref="B3484" si="10352">B3483+H3484+I3484+J3484</f>
        <v>23.750000000000014</v>
      </c>
      <c r="C3484" s="3" t="s">
        <v>3821</v>
      </c>
      <c r="D3484">
        <f t="shared" ref="D3484" si="10353">_xlfn.NUMBERVALUE(LEFT(C3484,2))</f>
        <v>11</v>
      </c>
      <c r="E3484">
        <f t="shared" ref="E3484" si="10354">_xlfn.NUMBERVALUE(MID(C3484,4,2))</f>
        <v>11</v>
      </c>
      <c r="F3484">
        <f t="shared" ref="F3484" si="10355">_xlfn.NUMBERVALUE(RIGHT(C3484,4))</f>
        <v>2024</v>
      </c>
      <c r="G3484" t="s">
        <v>7</v>
      </c>
      <c r="H3484">
        <v>-5</v>
      </c>
      <c r="K3484" t="s">
        <v>9</v>
      </c>
      <c r="L3484" s="8">
        <f t="shared" si="10323"/>
        <v>-1</v>
      </c>
      <c r="M3484" t="s">
        <v>3854</v>
      </c>
    </row>
    <row r="3485" spans="1:13" x14ac:dyDescent="0.35">
      <c r="A3485">
        <f t="shared" si="10250"/>
        <v>3481</v>
      </c>
      <c r="B3485" s="9">
        <f t="shared" ref="B3485" si="10356">B3484+H3485+I3485+J3485</f>
        <v>18.750000000000014</v>
      </c>
      <c r="C3485" s="3" t="s">
        <v>3821</v>
      </c>
      <c r="D3485">
        <f t="shared" ref="D3485" si="10357">_xlfn.NUMBERVALUE(LEFT(C3485,2))</f>
        <v>11</v>
      </c>
      <c r="E3485">
        <f t="shared" ref="E3485" si="10358">_xlfn.NUMBERVALUE(MID(C3485,4,2))</f>
        <v>11</v>
      </c>
      <c r="F3485">
        <f t="shared" ref="F3485" si="10359">_xlfn.NUMBERVALUE(RIGHT(C3485,4))</f>
        <v>2024</v>
      </c>
      <c r="G3485" t="s">
        <v>7</v>
      </c>
      <c r="H3485">
        <v>-5</v>
      </c>
      <c r="K3485" t="s">
        <v>9</v>
      </c>
      <c r="L3485" s="8">
        <f t="shared" si="10323"/>
        <v>-1</v>
      </c>
      <c r="M3485" t="s">
        <v>3855</v>
      </c>
    </row>
    <row r="3486" spans="1:13" x14ac:dyDescent="0.35">
      <c r="A3486">
        <f t="shared" si="10250"/>
        <v>3482</v>
      </c>
      <c r="B3486" s="9">
        <f t="shared" ref="B3486" si="10360">B3485+H3486+I3486+J3486</f>
        <v>13.750000000000014</v>
      </c>
      <c r="C3486" s="3" t="s">
        <v>3821</v>
      </c>
      <c r="D3486">
        <f t="shared" ref="D3486" si="10361">_xlfn.NUMBERVALUE(LEFT(C3486,2))</f>
        <v>11</v>
      </c>
      <c r="E3486">
        <f t="shared" ref="E3486" si="10362">_xlfn.NUMBERVALUE(MID(C3486,4,2))</f>
        <v>11</v>
      </c>
      <c r="F3486">
        <f t="shared" ref="F3486" si="10363">_xlfn.NUMBERVALUE(RIGHT(C3486,4))</f>
        <v>2024</v>
      </c>
      <c r="G3486" t="s">
        <v>7</v>
      </c>
      <c r="H3486">
        <v>-5</v>
      </c>
      <c r="K3486" t="s">
        <v>9</v>
      </c>
      <c r="L3486" s="8">
        <f t="shared" si="10323"/>
        <v>-1</v>
      </c>
      <c r="M3486" t="s">
        <v>3856</v>
      </c>
    </row>
    <row r="3487" spans="1:13" x14ac:dyDescent="0.35">
      <c r="A3487">
        <f t="shared" si="10250"/>
        <v>3483</v>
      </c>
      <c r="B3487" s="9">
        <f t="shared" ref="B3487" si="10364">B3486+H3487+I3487+J3487</f>
        <v>8.7500000000000142</v>
      </c>
      <c r="C3487" s="3" t="s">
        <v>3821</v>
      </c>
      <c r="D3487">
        <f t="shared" ref="D3487" si="10365">_xlfn.NUMBERVALUE(LEFT(C3487,2))</f>
        <v>11</v>
      </c>
      <c r="E3487">
        <f t="shared" ref="E3487" si="10366">_xlfn.NUMBERVALUE(MID(C3487,4,2))</f>
        <v>11</v>
      </c>
      <c r="F3487">
        <f t="shared" ref="F3487" si="10367">_xlfn.NUMBERVALUE(RIGHT(C3487,4))</f>
        <v>2024</v>
      </c>
      <c r="G3487" t="s">
        <v>7</v>
      </c>
      <c r="H3487">
        <v>-5</v>
      </c>
      <c r="K3487" t="s">
        <v>9</v>
      </c>
      <c r="L3487" s="8">
        <f t="shared" si="10323"/>
        <v>-1</v>
      </c>
      <c r="M3487" t="s">
        <v>3857</v>
      </c>
    </row>
    <row r="3488" spans="1:13" x14ac:dyDescent="0.35">
      <c r="A3488">
        <f t="shared" si="10250"/>
        <v>3484</v>
      </c>
      <c r="B3488" s="9">
        <f t="shared" ref="B3488" si="10368">B3487+H3488+I3488+J3488</f>
        <v>3.7500000000000142</v>
      </c>
      <c r="C3488" s="3" t="s">
        <v>3821</v>
      </c>
      <c r="D3488">
        <f t="shared" ref="D3488" si="10369">_xlfn.NUMBERVALUE(LEFT(C3488,2))</f>
        <v>11</v>
      </c>
      <c r="E3488">
        <f t="shared" ref="E3488" si="10370">_xlfn.NUMBERVALUE(MID(C3488,4,2))</f>
        <v>11</v>
      </c>
      <c r="F3488">
        <f t="shared" ref="F3488" si="10371">_xlfn.NUMBERVALUE(RIGHT(C3488,4))</f>
        <v>2024</v>
      </c>
      <c r="G3488" t="s">
        <v>7</v>
      </c>
      <c r="H3488">
        <v>-5</v>
      </c>
      <c r="K3488" t="s">
        <v>9</v>
      </c>
      <c r="L3488" s="8">
        <f t="shared" si="10323"/>
        <v>-1</v>
      </c>
      <c r="M3488" t="s">
        <v>3858</v>
      </c>
    </row>
    <row r="3489" spans="1:13" x14ac:dyDescent="0.35">
      <c r="A3489">
        <f t="shared" si="10250"/>
        <v>3485</v>
      </c>
      <c r="B3489" s="9">
        <f t="shared" ref="B3489:B3490" si="10372">B3488+H3489+I3489+J3489</f>
        <v>117.37000000000002</v>
      </c>
      <c r="C3489" s="3" t="s">
        <v>3821</v>
      </c>
      <c r="D3489">
        <f t="shared" ref="D3489:D3490" si="10373">_xlfn.NUMBERVALUE(LEFT(C3489,2))</f>
        <v>11</v>
      </c>
      <c r="E3489">
        <f t="shared" ref="E3489:E3490" si="10374">_xlfn.NUMBERVALUE(MID(C3489,4,2))</f>
        <v>11</v>
      </c>
      <c r="F3489">
        <f t="shared" ref="F3489:F3490" si="10375">_xlfn.NUMBERVALUE(RIGHT(C3489,4))</f>
        <v>2024</v>
      </c>
      <c r="G3489" t="s">
        <v>3362</v>
      </c>
      <c r="I3489">
        <v>113.62</v>
      </c>
    </row>
    <row r="3490" spans="1:13" x14ac:dyDescent="0.35">
      <c r="A3490">
        <f t="shared" si="10250"/>
        <v>3486</v>
      </c>
      <c r="B3490" s="9">
        <f t="shared" si="10372"/>
        <v>112.37000000000002</v>
      </c>
      <c r="C3490" s="3" t="s">
        <v>3821</v>
      </c>
      <c r="D3490">
        <f t="shared" si="10373"/>
        <v>11</v>
      </c>
      <c r="E3490">
        <f t="shared" si="10374"/>
        <v>11</v>
      </c>
      <c r="F3490">
        <f t="shared" si="10375"/>
        <v>2024</v>
      </c>
      <c r="G3490" t="s">
        <v>7</v>
      </c>
      <c r="H3490">
        <v>-5</v>
      </c>
      <c r="K3490" t="s">
        <v>9</v>
      </c>
      <c r="L3490" s="8">
        <f t="shared" si="10323"/>
        <v>-1</v>
      </c>
      <c r="M3490" s="9" t="s">
        <v>3859</v>
      </c>
    </row>
    <row r="3491" spans="1:13" x14ac:dyDescent="0.35">
      <c r="A3491">
        <f t="shared" si="10250"/>
        <v>3487</v>
      </c>
      <c r="B3491" s="9">
        <f t="shared" ref="B3491" si="10376">B3490+H3491+I3491+J3491</f>
        <v>107.37000000000002</v>
      </c>
      <c r="C3491" s="3" t="s">
        <v>3821</v>
      </c>
      <c r="D3491">
        <f t="shared" ref="D3491" si="10377">_xlfn.NUMBERVALUE(LEFT(C3491,2))</f>
        <v>11</v>
      </c>
      <c r="E3491">
        <f t="shared" ref="E3491" si="10378">_xlfn.NUMBERVALUE(MID(C3491,4,2))</f>
        <v>11</v>
      </c>
      <c r="F3491">
        <f t="shared" ref="F3491" si="10379">_xlfn.NUMBERVALUE(RIGHT(C3491,4))</f>
        <v>2024</v>
      </c>
      <c r="G3491" t="s">
        <v>7</v>
      </c>
      <c r="H3491">
        <v>-5</v>
      </c>
      <c r="K3491" t="s">
        <v>9</v>
      </c>
      <c r="L3491" s="8">
        <f t="shared" si="10323"/>
        <v>-1</v>
      </c>
      <c r="M3491" t="s">
        <v>3860</v>
      </c>
    </row>
    <row r="3492" spans="1:13" x14ac:dyDescent="0.35">
      <c r="A3492">
        <f t="shared" si="10250"/>
        <v>3488</v>
      </c>
      <c r="B3492" s="9">
        <f t="shared" ref="B3492" si="10380">B3491+H3492+I3492+J3492</f>
        <v>102.37000000000002</v>
      </c>
      <c r="C3492" s="3" t="s">
        <v>3821</v>
      </c>
      <c r="D3492">
        <f t="shared" ref="D3492" si="10381">_xlfn.NUMBERVALUE(LEFT(C3492,2))</f>
        <v>11</v>
      </c>
      <c r="E3492">
        <f t="shared" ref="E3492" si="10382">_xlfn.NUMBERVALUE(MID(C3492,4,2))</f>
        <v>11</v>
      </c>
      <c r="F3492">
        <f t="shared" ref="F3492" si="10383">_xlfn.NUMBERVALUE(RIGHT(C3492,4))</f>
        <v>2024</v>
      </c>
      <c r="G3492" t="s">
        <v>7</v>
      </c>
      <c r="H3492">
        <v>-5</v>
      </c>
      <c r="K3492" t="s">
        <v>9</v>
      </c>
      <c r="L3492" s="8">
        <f t="shared" si="10323"/>
        <v>-1</v>
      </c>
      <c r="M3492" t="s">
        <v>3861</v>
      </c>
    </row>
    <row r="3493" spans="1:13" x14ac:dyDescent="0.35">
      <c r="A3493">
        <f t="shared" si="10250"/>
        <v>3489</v>
      </c>
      <c r="B3493" s="9">
        <f t="shared" ref="B3493" si="10384">B3492+H3493+I3493+J3493</f>
        <v>107.37000000000002</v>
      </c>
      <c r="C3493" s="3" t="s">
        <v>3821</v>
      </c>
      <c r="D3493">
        <f t="shared" ref="D3493" si="10385">_xlfn.NUMBERVALUE(LEFT(C3493,2))</f>
        <v>11</v>
      </c>
      <c r="E3493">
        <f t="shared" ref="E3493" si="10386">_xlfn.NUMBERVALUE(MID(C3493,4,2))</f>
        <v>11</v>
      </c>
      <c r="F3493">
        <f t="shared" ref="F3493" si="10387">_xlfn.NUMBERVALUE(RIGHT(C3493,4))</f>
        <v>2024</v>
      </c>
      <c r="G3493" t="s">
        <v>7</v>
      </c>
      <c r="H3493">
        <v>-5</v>
      </c>
      <c r="I3493">
        <v>10</v>
      </c>
      <c r="K3493" t="s">
        <v>10</v>
      </c>
      <c r="L3493" s="8">
        <f t="shared" si="10323"/>
        <v>1</v>
      </c>
      <c r="M3493" t="s">
        <v>3862</v>
      </c>
    </row>
    <row r="3494" spans="1:13" x14ac:dyDescent="0.35">
      <c r="A3494">
        <f t="shared" si="10250"/>
        <v>3490</v>
      </c>
      <c r="B3494" s="9">
        <f t="shared" ref="B3494" si="10388">B3493+H3494+I3494+J3494</f>
        <v>112.37000000000002</v>
      </c>
      <c r="C3494" s="3" t="s">
        <v>3821</v>
      </c>
      <c r="D3494">
        <f t="shared" ref="D3494" si="10389">_xlfn.NUMBERVALUE(LEFT(C3494,2))</f>
        <v>11</v>
      </c>
      <c r="E3494">
        <f t="shared" ref="E3494" si="10390">_xlfn.NUMBERVALUE(MID(C3494,4,2))</f>
        <v>11</v>
      </c>
      <c r="F3494">
        <f t="shared" ref="F3494" si="10391">_xlfn.NUMBERVALUE(RIGHT(C3494,4))</f>
        <v>2024</v>
      </c>
      <c r="G3494" t="s">
        <v>7</v>
      </c>
      <c r="H3494">
        <v>-5</v>
      </c>
      <c r="I3494">
        <v>10</v>
      </c>
      <c r="K3494" t="s">
        <v>10</v>
      </c>
      <c r="L3494" s="8">
        <f t="shared" si="10323"/>
        <v>1</v>
      </c>
      <c r="M3494" t="s">
        <v>3863</v>
      </c>
    </row>
    <row r="3495" spans="1:13" x14ac:dyDescent="0.35">
      <c r="A3495">
        <f t="shared" si="10250"/>
        <v>3491</v>
      </c>
      <c r="B3495" s="9">
        <f t="shared" ref="B3495" si="10392">B3494+H3495+I3495+J3495</f>
        <v>147.37</v>
      </c>
      <c r="C3495" s="3" t="s">
        <v>3821</v>
      </c>
      <c r="D3495">
        <f t="shared" ref="D3495" si="10393">_xlfn.NUMBERVALUE(LEFT(C3495,2))</f>
        <v>11</v>
      </c>
      <c r="E3495">
        <f t="shared" ref="E3495" si="10394">_xlfn.NUMBERVALUE(MID(C3495,4,2))</f>
        <v>11</v>
      </c>
      <c r="F3495">
        <f t="shared" ref="F3495" si="10395">_xlfn.NUMBERVALUE(RIGHT(C3495,4))</f>
        <v>2024</v>
      </c>
      <c r="G3495" t="s">
        <v>7</v>
      </c>
      <c r="H3495">
        <v>-5</v>
      </c>
      <c r="I3495">
        <v>40</v>
      </c>
      <c r="K3495" t="s">
        <v>10</v>
      </c>
      <c r="L3495" s="8">
        <f t="shared" si="10323"/>
        <v>7</v>
      </c>
      <c r="M3495" t="s">
        <v>3864</v>
      </c>
    </row>
    <row r="3496" spans="1:13" x14ac:dyDescent="0.35">
      <c r="A3496">
        <f t="shared" si="10250"/>
        <v>3492</v>
      </c>
      <c r="B3496" s="9">
        <f t="shared" ref="B3496" si="10396">B3495+H3496+I3496+J3496</f>
        <v>142.37</v>
      </c>
      <c r="C3496" s="3" t="s">
        <v>3821</v>
      </c>
      <c r="D3496">
        <f t="shared" ref="D3496" si="10397">_xlfn.NUMBERVALUE(LEFT(C3496,2))</f>
        <v>11</v>
      </c>
      <c r="E3496">
        <f t="shared" ref="E3496" si="10398">_xlfn.NUMBERVALUE(MID(C3496,4,2))</f>
        <v>11</v>
      </c>
      <c r="F3496">
        <f t="shared" ref="F3496" si="10399">_xlfn.NUMBERVALUE(RIGHT(C3496,4))</f>
        <v>2024</v>
      </c>
      <c r="G3496" t="s">
        <v>7</v>
      </c>
      <c r="H3496">
        <v>-5</v>
      </c>
      <c r="K3496" t="s">
        <v>9</v>
      </c>
      <c r="L3496" s="8">
        <f t="shared" si="10323"/>
        <v>-1</v>
      </c>
      <c r="M3496" t="s">
        <v>3865</v>
      </c>
    </row>
    <row r="3497" spans="1:13" x14ac:dyDescent="0.35">
      <c r="A3497">
        <f t="shared" si="10250"/>
        <v>3493</v>
      </c>
      <c r="B3497" s="9">
        <f t="shared" ref="B3497" si="10400">B3496+H3497+I3497+J3497</f>
        <v>137.37</v>
      </c>
      <c r="C3497" s="3" t="s">
        <v>3821</v>
      </c>
      <c r="D3497">
        <f t="shared" ref="D3497" si="10401">_xlfn.NUMBERVALUE(LEFT(C3497,2))</f>
        <v>11</v>
      </c>
      <c r="E3497">
        <f t="shared" ref="E3497" si="10402">_xlfn.NUMBERVALUE(MID(C3497,4,2))</f>
        <v>11</v>
      </c>
      <c r="F3497">
        <f t="shared" ref="F3497" si="10403">_xlfn.NUMBERVALUE(RIGHT(C3497,4))</f>
        <v>2024</v>
      </c>
      <c r="G3497" t="s">
        <v>7</v>
      </c>
      <c r="H3497">
        <v>-5</v>
      </c>
      <c r="K3497" t="s">
        <v>9</v>
      </c>
      <c r="L3497" s="8">
        <f t="shared" si="10323"/>
        <v>-1</v>
      </c>
      <c r="M3497" t="s">
        <v>3866</v>
      </c>
    </row>
    <row r="3498" spans="1:13" x14ac:dyDescent="0.35">
      <c r="A3498">
        <f t="shared" si="10250"/>
        <v>3494</v>
      </c>
      <c r="B3498" s="9">
        <f t="shared" ref="B3498" si="10404">B3497+H3498+I3498+J3498</f>
        <v>132.37</v>
      </c>
      <c r="C3498" s="3" t="s">
        <v>3821</v>
      </c>
      <c r="D3498">
        <f t="shared" ref="D3498" si="10405">_xlfn.NUMBERVALUE(LEFT(C3498,2))</f>
        <v>11</v>
      </c>
      <c r="E3498">
        <f t="shared" ref="E3498" si="10406">_xlfn.NUMBERVALUE(MID(C3498,4,2))</f>
        <v>11</v>
      </c>
      <c r="F3498">
        <f t="shared" ref="F3498" si="10407">_xlfn.NUMBERVALUE(RIGHT(C3498,4))</f>
        <v>2024</v>
      </c>
      <c r="G3498" t="s">
        <v>7</v>
      </c>
      <c r="H3498">
        <v>-5</v>
      </c>
      <c r="K3498" t="s">
        <v>9</v>
      </c>
      <c r="L3498" s="8">
        <f t="shared" si="10323"/>
        <v>-1</v>
      </c>
      <c r="M3498" t="s">
        <v>3867</v>
      </c>
    </row>
    <row r="3499" spans="1:13" x14ac:dyDescent="0.35">
      <c r="A3499">
        <f t="shared" si="10250"/>
        <v>3495</v>
      </c>
      <c r="B3499" s="9">
        <f t="shared" ref="B3499" si="10408">B3498+H3499+I3499+J3499</f>
        <v>127.37</v>
      </c>
      <c r="C3499" s="3" t="s">
        <v>3821</v>
      </c>
      <c r="D3499">
        <f t="shared" ref="D3499" si="10409">_xlfn.NUMBERVALUE(LEFT(C3499,2))</f>
        <v>11</v>
      </c>
      <c r="E3499">
        <f t="shared" ref="E3499" si="10410">_xlfn.NUMBERVALUE(MID(C3499,4,2))</f>
        <v>11</v>
      </c>
      <c r="F3499">
        <f t="shared" ref="F3499" si="10411">_xlfn.NUMBERVALUE(RIGHT(C3499,4))</f>
        <v>2024</v>
      </c>
      <c r="G3499" t="s">
        <v>7</v>
      </c>
      <c r="H3499">
        <v>-5</v>
      </c>
      <c r="K3499" t="s">
        <v>9</v>
      </c>
      <c r="L3499" s="8">
        <f t="shared" si="10323"/>
        <v>-1</v>
      </c>
      <c r="M3499" t="s">
        <v>3868</v>
      </c>
    </row>
    <row r="3500" spans="1:13" x14ac:dyDescent="0.35">
      <c r="A3500">
        <f t="shared" si="10250"/>
        <v>3496</v>
      </c>
      <c r="B3500" s="9">
        <f t="shared" ref="B3500" si="10412">B3499+H3500+I3500+J3500</f>
        <v>122.37</v>
      </c>
      <c r="C3500" s="3" t="s">
        <v>3821</v>
      </c>
      <c r="D3500">
        <f t="shared" ref="D3500" si="10413">_xlfn.NUMBERVALUE(LEFT(C3500,2))</f>
        <v>11</v>
      </c>
      <c r="E3500">
        <f t="shared" ref="E3500" si="10414">_xlfn.NUMBERVALUE(MID(C3500,4,2))</f>
        <v>11</v>
      </c>
      <c r="F3500">
        <f t="shared" ref="F3500" si="10415">_xlfn.NUMBERVALUE(RIGHT(C3500,4))</f>
        <v>2024</v>
      </c>
      <c r="G3500" t="s">
        <v>7</v>
      </c>
      <c r="H3500">
        <v>-5</v>
      </c>
      <c r="K3500" t="s">
        <v>9</v>
      </c>
      <c r="L3500" s="8">
        <f t="shared" si="10323"/>
        <v>-1</v>
      </c>
      <c r="M3500" t="s">
        <v>3869</v>
      </c>
    </row>
    <row r="3501" spans="1:13" x14ac:dyDescent="0.35">
      <c r="A3501">
        <f t="shared" si="10250"/>
        <v>3497</v>
      </c>
      <c r="B3501" s="9">
        <f t="shared" ref="B3501" si="10416">B3500+H3501+I3501+J3501</f>
        <v>120.37</v>
      </c>
      <c r="C3501" s="3" t="s">
        <v>3821</v>
      </c>
      <c r="D3501">
        <f t="shared" ref="D3501" si="10417">_xlfn.NUMBERVALUE(LEFT(C3501,2))</f>
        <v>11</v>
      </c>
      <c r="E3501">
        <f t="shared" ref="E3501" si="10418">_xlfn.NUMBERVALUE(MID(C3501,4,2))</f>
        <v>11</v>
      </c>
      <c r="F3501">
        <f t="shared" ref="F3501" si="10419">_xlfn.NUMBERVALUE(RIGHT(C3501,4))</f>
        <v>2024</v>
      </c>
      <c r="G3501" t="s">
        <v>7</v>
      </c>
      <c r="H3501">
        <v>-2</v>
      </c>
      <c r="K3501" t="s">
        <v>9</v>
      </c>
      <c r="L3501" s="8">
        <f t="shared" si="10323"/>
        <v>-1</v>
      </c>
      <c r="M3501" t="s">
        <v>3870</v>
      </c>
    </row>
    <row r="3502" spans="1:13" x14ac:dyDescent="0.35">
      <c r="A3502">
        <f t="shared" si="10250"/>
        <v>3498</v>
      </c>
      <c r="B3502" s="9">
        <f t="shared" ref="B3502" si="10420">B3501+H3502+I3502+J3502</f>
        <v>124.37</v>
      </c>
      <c r="C3502" s="3" t="s">
        <v>3821</v>
      </c>
      <c r="D3502">
        <f t="shared" ref="D3502" si="10421">_xlfn.NUMBERVALUE(LEFT(C3502,2))</f>
        <v>11</v>
      </c>
      <c r="E3502">
        <f t="shared" ref="E3502" si="10422">_xlfn.NUMBERVALUE(MID(C3502,4,2))</f>
        <v>11</v>
      </c>
      <c r="F3502">
        <f t="shared" ref="F3502" si="10423">_xlfn.NUMBERVALUE(RIGHT(C3502,4))</f>
        <v>2024</v>
      </c>
      <c r="G3502" t="s">
        <v>7</v>
      </c>
      <c r="H3502">
        <v>-2</v>
      </c>
      <c r="I3502">
        <v>6</v>
      </c>
      <c r="K3502" t="s">
        <v>10</v>
      </c>
      <c r="L3502" s="8">
        <f t="shared" si="10323"/>
        <v>2</v>
      </c>
      <c r="M3502" t="s">
        <v>3871</v>
      </c>
    </row>
    <row r="3503" spans="1:13" x14ac:dyDescent="0.35">
      <c r="A3503">
        <f t="shared" si="10250"/>
        <v>3499</v>
      </c>
      <c r="B3503" s="9">
        <f t="shared" ref="B3503" si="10424">B3502+H3503+I3503+J3503</f>
        <v>122.37</v>
      </c>
      <c r="C3503" s="3" t="s">
        <v>3821</v>
      </c>
      <c r="D3503">
        <f t="shared" ref="D3503" si="10425">_xlfn.NUMBERVALUE(LEFT(C3503,2))</f>
        <v>11</v>
      </c>
      <c r="E3503">
        <f t="shared" ref="E3503" si="10426">_xlfn.NUMBERVALUE(MID(C3503,4,2))</f>
        <v>11</v>
      </c>
      <c r="F3503">
        <f t="shared" ref="F3503" si="10427">_xlfn.NUMBERVALUE(RIGHT(C3503,4))</f>
        <v>2024</v>
      </c>
      <c r="G3503" t="s">
        <v>7</v>
      </c>
      <c r="H3503">
        <v>-2</v>
      </c>
      <c r="K3503" t="s">
        <v>9</v>
      </c>
      <c r="L3503" s="8">
        <f t="shared" si="10323"/>
        <v>-1</v>
      </c>
      <c r="M3503" t="s">
        <v>3872</v>
      </c>
    </row>
    <row r="3504" spans="1:13" x14ac:dyDescent="0.35">
      <c r="A3504">
        <f t="shared" si="10250"/>
        <v>3500</v>
      </c>
      <c r="B3504" s="9">
        <f t="shared" ref="B3504" si="10428">B3503+H3504+I3504+J3504</f>
        <v>124.37</v>
      </c>
      <c r="C3504" s="3" t="s">
        <v>3821</v>
      </c>
      <c r="D3504">
        <f t="shared" ref="D3504" si="10429">_xlfn.NUMBERVALUE(LEFT(C3504,2))</f>
        <v>11</v>
      </c>
      <c r="E3504">
        <f t="shared" ref="E3504" si="10430">_xlfn.NUMBERVALUE(MID(C3504,4,2))</f>
        <v>11</v>
      </c>
      <c r="F3504">
        <f t="shared" ref="F3504" si="10431">_xlfn.NUMBERVALUE(RIGHT(C3504,4))</f>
        <v>2024</v>
      </c>
      <c r="G3504" t="s">
        <v>7</v>
      </c>
      <c r="H3504">
        <v>-2</v>
      </c>
      <c r="I3504">
        <v>4</v>
      </c>
      <c r="K3504" t="s">
        <v>10</v>
      </c>
      <c r="L3504" s="8">
        <f t="shared" si="10323"/>
        <v>1</v>
      </c>
      <c r="M3504" t="s">
        <v>3873</v>
      </c>
    </row>
    <row r="3505" spans="1:13" x14ac:dyDescent="0.35">
      <c r="A3505">
        <f t="shared" si="10250"/>
        <v>3501</v>
      </c>
      <c r="B3505" s="9">
        <f t="shared" ref="B3505" si="10432">B3504+H3505+I3505+J3505</f>
        <v>122.37</v>
      </c>
      <c r="C3505" s="3" t="s">
        <v>3821</v>
      </c>
      <c r="D3505">
        <f t="shared" ref="D3505" si="10433">_xlfn.NUMBERVALUE(LEFT(C3505,2))</f>
        <v>11</v>
      </c>
      <c r="E3505">
        <f t="shared" ref="E3505" si="10434">_xlfn.NUMBERVALUE(MID(C3505,4,2))</f>
        <v>11</v>
      </c>
      <c r="F3505">
        <f t="shared" ref="F3505" si="10435">_xlfn.NUMBERVALUE(RIGHT(C3505,4))</f>
        <v>2024</v>
      </c>
      <c r="G3505" t="s">
        <v>7</v>
      </c>
      <c r="H3505">
        <v>-2</v>
      </c>
      <c r="K3505" t="s">
        <v>9</v>
      </c>
      <c r="L3505" s="8">
        <f t="shared" si="10323"/>
        <v>-1</v>
      </c>
      <c r="M3505" t="s">
        <v>3874</v>
      </c>
    </row>
    <row r="3506" spans="1:13" x14ac:dyDescent="0.35">
      <c r="A3506">
        <f t="shared" si="10250"/>
        <v>3502</v>
      </c>
      <c r="B3506" s="9">
        <f t="shared" ref="B3506" si="10436">B3505+H3506+I3506+J3506</f>
        <v>124.37</v>
      </c>
      <c r="C3506" s="3" t="s">
        <v>3875</v>
      </c>
      <c r="D3506">
        <f t="shared" ref="D3506" si="10437">_xlfn.NUMBERVALUE(LEFT(C3506,2))</f>
        <v>12</v>
      </c>
      <c r="E3506">
        <f t="shared" ref="E3506" si="10438">_xlfn.NUMBERVALUE(MID(C3506,4,2))</f>
        <v>11</v>
      </c>
      <c r="F3506">
        <f t="shared" ref="F3506" si="10439">_xlfn.NUMBERVALUE(RIGHT(C3506,4))</f>
        <v>2024</v>
      </c>
      <c r="G3506" t="s">
        <v>7</v>
      </c>
      <c r="H3506">
        <v>-2</v>
      </c>
      <c r="I3506">
        <v>4</v>
      </c>
      <c r="K3506" t="s">
        <v>10</v>
      </c>
      <c r="L3506" s="8">
        <f t="shared" si="10323"/>
        <v>1</v>
      </c>
      <c r="M3506" t="s">
        <v>3876</v>
      </c>
    </row>
    <row r="3507" spans="1:13" x14ac:dyDescent="0.35">
      <c r="A3507">
        <f t="shared" si="10250"/>
        <v>3503</v>
      </c>
      <c r="B3507" s="9">
        <f t="shared" ref="B3507" si="10440">B3506+H3507+I3507+J3507</f>
        <v>122.37</v>
      </c>
      <c r="C3507" s="3" t="s">
        <v>3875</v>
      </c>
      <c r="D3507">
        <f t="shared" ref="D3507" si="10441">_xlfn.NUMBERVALUE(LEFT(C3507,2))</f>
        <v>12</v>
      </c>
      <c r="E3507">
        <f t="shared" ref="E3507" si="10442">_xlfn.NUMBERVALUE(MID(C3507,4,2))</f>
        <v>11</v>
      </c>
      <c r="F3507">
        <f t="shared" ref="F3507" si="10443">_xlfn.NUMBERVALUE(RIGHT(C3507,4))</f>
        <v>2024</v>
      </c>
      <c r="G3507" t="s">
        <v>7</v>
      </c>
      <c r="H3507">
        <v>-2</v>
      </c>
      <c r="K3507" t="s">
        <v>9</v>
      </c>
      <c r="L3507" s="8">
        <f t="shared" si="10323"/>
        <v>-1</v>
      </c>
      <c r="M3507" t="s">
        <v>3877</v>
      </c>
    </row>
    <row r="3508" spans="1:13" x14ac:dyDescent="0.35">
      <c r="A3508">
        <f t="shared" si="10250"/>
        <v>3504</v>
      </c>
      <c r="B3508" s="9">
        <f t="shared" ref="B3508" si="10444">B3507+H3508+I3508+J3508</f>
        <v>120.37</v>
      </c>
      <c r="C3508" s="3" t="s">
        <v>3875</v>
      </c>
      <c r="D3508">
        <f t="shared" ref="D3508" si="10445">_xlfn.NUMBERVALUE(LEFT(C3508,2))</f>
        <v>12</v>
      </c>
      <c r="E3508">
        <f t="shared" ref="E3508" si="10446">_xlfn.NUMBERVALUE(MID(C3508,4,2))</f>
        <v>11</v>
      </c>
      <c r="F3508">
        <f t="shared" ref="F3508" si="10447">_xlfn.NUMBERVALUE(RIGHT(C3508,4))</f>
        <v>2024</v>
      </c>
      <c r="G3508" t="s">
        <v>7</v>
      </c>
      <c r="H3508">
        <v>-2</v>
      </c>
      <c r="K3508" t="s">
        <v>9</v>
      </c>
      <c r="L3508" s="8">
        <f t="shared" si="10323"/>
        <v>-1</v>
      </c>
      <c r="M3508" t="s">
        <v>3878</v>
      </c>
    </row>
    <row r="3509" spans="1:13" x14ac:dyDescent="0.35">
      <c r="A3509">
        <f t="shared" si="10250"/>
        <v>3505</v>
      </c>
      <c r="B3509" s="9">
        <f t="shared" ref="B3509" si="10448">B3508+H3509+I3509+J3509</f>
        <v>118.37</v>
      </c>
      <c r="C3509" s="3" t="s">
        <v>3875</v>
      </c>
      <c r="D3509">
        <f t="shared" ref="D3509" si="10449">_xlfn.NUMBERVALUE(LEFT(C3509,2))</f>
        <v>12</v>
      </c>
      <c r="E3509">
        <f t="shared" ref="E3509" si="10450">_xlfn.NUMBERVALUE(MID(C3509,4,2))</f>
        <v>11</v>
      </c>
      <c r="F3509">
        <f t="shared" ref="F3509" si="10451">_xlfn.NUMBERVALUE(RIGHT(C3509,4))</f>
        <v>2024</v>
      </c>
      <c r="G3509" t="s">
        <v>7</v>
      </c>
      <c r="H3509">
        <v>-2</v>
      </c>
      <c r="K3509" t="s">
        <v>9</v>
      </c>
      <c r="L3509" s="8">
        <f t="shared" si="10323"/>
        <v>-1</v>
      </c>
      <c r="M3509" t="s">
        <v>3879</v>
      </c>
    </row>
    <row r="3510" spans="1:13" x14ac:dyDescent="0.35">
      <c r="A3510">
        <f t="shared" si="10250"/>
        <v>3506</v>
      </c>
      <c r="B3510" s="9">
        <f t="shared" ref="B3510" si="10452">B3509+H3510+I3510+J3510</f>
        <v>116.37</v>
      </c>
      <c r="C3510" s="3" t="s">
        <v>3875</v>
      </c>
      <c r="D3510">
        <f t="shared" ref="D3510" si="10453">_xlfn.NUMBERVALUE(LEFT(C3510,2))</f>
        <v>12</v>
      </c>
      <c r="E3510">
        <f t="shared" ref="E3510" si="10454">_xlfn.NUMBERVALUE(MID(C3510,4,2))</f>
        <v>11</v>
      </c>
      <c r="F3510">
        <f t="shared" ref="F3510" si="10455">_xlfn.NUMBERVALUE(RIGHT(C3510,4))</f>
        <v>2024</v>
      </c>
      <c r="G3510" t="s">
        <v>7</v>
      </c>
      <c r="H3510">
        <v>-2</v>
      </c>
      <c r="K3510" t="s">
        <v>9</v>
      </c>
      <c r="L3510" s="8">
        <f t="shared" si="10323"/>
        <v>-1</v>
      </c>
      <c r="M3510" t="s">
        <v>3880</v>
      </c>
    </row>
    <row r="3511" spans="1:13" x14ac:dyDescent="0.35">
      <c r="A3511">
        <f t="shared" si="10250"/>
        <v>3507</v>
      </c>
      <c r="B3511" s="9">
        <f t="shared" ref="B3511" si="10456">B3510+H3511+I3511+J3511</f>
        <v>116.37</v>
      </c>
      <c r="C3511" s="3" t="s">
        <v>3875</v>
      </c>
      <c r="D3511">
        <f t="shared" ref="D3511" si="10457">_xlfn.NUMBERVALUE(LEFT(C3511,2))</f>
        <v>12</v>
      </c>
      <c r="E3511">
        <f t="shared" ref="E3511" si="10458">_xlfn.NUMBERVALUE(MID(C3511,4,2))</f>
        <v>11</v>
      </c>
      <c r="F3511">
        <f t="shared" ref="F3511" si="10459">_xlfn.NUMBERVALUE(RIGHT(C3511,4))</f>
        <v>2024</v>
      </c>
      <c r="G3511" t="s">
        <v>3039</v>
      </c>
      <c r="K3511" t="s">
        <v>9</v>
      </c>
      <c r="L3511" s="8">
        <f t="shared" si="10323"/>
        <v>0</v>
      </c>
      <c r="M3511" t="s">
        <v>3881</v>
      </c>
    </row>
    <row r="3512" spans="1:13" x14ac:dyDescent="0.35">
      <c r="A3512">
        <f t="shared" si="10250"/>
        <v>3508</v>
      </c>
      <c r="B3512" s="9">
        <f t="shared" ref="B3512" si="10460">B3511+H3512+I3512+J3512</f>
        <v>114.37</v>
      </c>
      <c r="C3512" s="3" t="s">
        <v>3875</v>
      </c>
      <c r="D3512">
        <f t="shared" ref="D3512" si="10461">_xlfn.NUMBERVALUE(LEFT(C3512,2))</f>
        <v>12</v>
      </c>
      <c r="E3512">
        <f t="shared" ref="E3512" si="10462">_xlfn.NUMBERVALUE(MID(C3512,4,2))</f>
        <v>11</v>
      </c>
      <c r="F3512">
        <f t="shared" ref="F3512" si="10463">_xlfn.NUMBERVALUE(RIGHT(C3512,4))</f>
        <v>2024</v>
      </c>
      <c r="G3512" t="s">
        <v>7</v>
      </c>
      <c r="H3512">
        <v>-2</v>
      </c>
      <c r="K3512" t="s">
        <v>9</v>
      </c>
      <c r="L3512" s="8">
        <f t="shared" si="10323"/>
        <v>-1</v>
      </c>
      <c r="M3512" t="s">
        <v>3882</v>
      </c>
    </row>
    <row r="3513" spans="1:13" x14ac:dyDescent="0.35">
      <c r="A3513">
        <f t="shared" si="10250"/>
        <v>3509</v>
      </c>
      <c r="B3513" s="9">
        <f t="shared" ref="B3513" si="10464">B3512+H3513+I3513+J3513</f>
        <v>118.37</v>
      </c>
      <c r="C3513" s="3" t="s">
        <v>3875</v>
      </c>
      <c r="D3513">
        <f t="shared" ref="D3513" si="10465">_xlfn.NUMBERVALUE(LEFT(C3513,2))</f>
        <v>12</v>
      </c>
      <c r="E3513">
        <f t="shared" ref="E3513" si="10466">_xlfn.NUMBERVALUE(MID(C3513,4,2))</f>
        <v>11</v>
      </c>
      <c r="F3513">
        <f t="shared" ref="F3513" si="10467">_xlfn.NUMBERVALUE(RIGHT(C3513,4))</f>
        <v>2024</v>
      </c>
      <c r="G3513" t="s">
        <v>7</v>
      </c>
      <c r="H3513">
        <v>-2</v>
      </c>
      <c r="I3513">
        <v>6</v>
      </c>
      <c r="K3513" t="s">
        <v>10</v>
      </c>
      <c r="L3513" s="8">
        <f t="shared" si="10323"/>
        <v>2</v>
      </c>
      <c r="M3513" t="s">
        <v>3883</v>
      </c>
    </row>
    <row r="3514" spans="1:13" x14ac:dyDescent="0.35">
      <c r="A3514">
        <f t="shared" si="10250"/>
        <v>3510</v>
      </c>
      <c r="B3514" s="9">
        <f t="shared" ref="B3514" si="10468">B3513+H3514+I3514+J3514</f>
        <v>116.37</v>
      </c>
      <c r="C3514" s="3" t="s">
        <v>3875</v>
      </c>
      <c r="D3514">
        <f t="shared" ref="D3514" si="10469">_xlfn.NUMBERVALUE(LEFT(C3514,2))</f>
        <v>12</v>
      </c>
      <c r="E3514">
        <f t="shared" ref="E3514" si="10470">_xlfn.NUMBERVALUE(MID(C3514,4,2))</f>
        <v>11</v>
      </c>
      <c r="F3514">
        <f t="shared" ref="F3514" si="10471">_xlfn.NUMBERVALUE(RIGHT(C3514,4))</f>
        <v>2024</v>
      </c>
      <c r="G3514" t="s">
        <v>7</v>
      </c>
      <c r="H3514">
        <v>-2</v>
      </c>
      <c r="K3514" t="s">
        <v>9</v>
      </c>
      <c r="L3514" s="8">
        <f t="shared" si="10323"/>
        <v>-1</v>
      </c>
      <c r="M3514" t="s">
        <v>3884</v>
      </c>
    </row>
    <row r="3515" spans="1:13" x14ac:dyDescent="0.35">
      <c r="A3515">
        <f t="shared" si="10250"/>
        <v>3511</v>
      </c>
      <c r="B3515" s="9">
        <f t="shared" ref="B3515:B3516" si="10472">B3514+H3515+I3515+J3515</f>
        <v>114.37</v>
      </c>
      <c r="C3515" s="3" t="s">
        <v>3875</v>
      </c>
      <c r="D3515">
        <f t="shared" ref="D3515:D3516" si="10473">_xlfn.NUMBERVALUE(LEFT(C3515,2))</f>
        <v>12</v>
      </c>
      <c r="E3515">
        <f t="shared" ref="E3515:E3516" si="10474">_xlfn.NUMBERVALUE(MID(C3515,4,2))</f>
        <v>11</v>
      </c>
      <c r="F3515">
        <f t="shared" ref="F3515:F3516" si="10475">_xlfn.NUMBERVALUE(RIGHT(C3515,4))</f>
        <v>2024</v>
      </c>
      <c r="G3515" t="s">
        <v>7</v>
      </c>
      <c r="H3515">
        <v>-2</v>
      </c>
      <c r="K3515" t="s">
        <v>9</v>
      </c>
      <c r="L3515" s="8">
        <f t="shared" si="10323"/>
        <v>-1</v>
      </c>
      <c r="M3515" t="s">
        <v>3885</v>
      </c>
    </row>
    <row r="3516" spans="1:13" x14ac:dyDescent="0.35">
      <c r="A3516">
        <f t="shared" si="10250"/>
        <v>3512</v>
      </c>
      <c r="B3516" s="9">
        <f t="shared" si="10472"/>
        <v>112.37</v>
      </c>
      <c r="C3516" s="3" t="s">
        <v>3875</v>
      </c>
      <c r="D3516">
        <f t="shared" si="10473"/>
        <v>12</v>
      </c>
      <c r="E3516">
        <f t="shared" si="10474"/>
        <v>11</v>
      </c>
      <c r="F3516">
        <f t="shared" si="10475"/>
        <v>2024</v>
      </c>
      <c r="G3516" t="s">
        <v>7</v>
      </c>
      <c r="H3516">
        <v>-2</v>
      </c>
      <c r="K3516" t="s">
        <v>9</v>
      </c>
      <c r="L3516" s="8">
        <f t="shared" si="10323"/>
        <v>-1</v>
      </c>
      <c r="M3516" t="s">
        <v>3886</v>
      </c>
    </row>
    <row r="3517" spans="1:13" x14ac:dyDescent="0.35">
      <c r="A3517">
        <f t="shared" si="10250"/>
        <v>3513</v>
      </c>
      <c r="B3517" s="9">
        <f t="shared" ref="B3517" si="10476">B3516+H3517+I3517+J3517</f>
        <v>110.37</v>
      </c>
      <c r="C3517" s="3" t="s">
        <v>3888</v>
      </c>
      <c r="D3517">
        <f t="shared" ref="D3517" si="10477">_xlfn.NUMBERVALUE(LEFT(C3517,2))</f>
        <v>13</v>
      </c>
      <c r="E3517">
        <f t="shared" ref="E3517" si="10478">_xlfn.NUMBERVALUE(MID(C3517,4,2))</f>
        <v>11</v>
      </c>
      <c r="F3517">
        <f t="shared" ref="F3517" si="10479">_xlfn.NUMBERVALUE(RIGHT(C3517,4))</f>
        <v>2024</v>
      </c>
      <c r="G3517" t="s">
        <v>7</v>
      </c>
      <c r="H3517">
        <v>-2</v>
      </c>
      <c r="K3517" t="s">
        <v>9</v>
      </c>
      <c r="L3517" s="8">
        <f t="shared" si="10323"/>
        <v>-1</v>
      </c>
      <c r="M3517" t="s">
        <v>3887</v>
      </c>
    </row>
    <row r="3518" spans="1:13" x14ac:dyDescent="0.35">
      <c r="A3518">
        <f t="shared" si="10250"/>
        <v>3514</v>
      </c>
      <c r="B3518" s="9">
        <f t="shared" ref="B3518" si="10480">B3517+H3518+I3518+J3518</f>
        <v>114.37</v>
      </c>
      <c r="C3518" s="3" t="s">
        <v>3888</v>
      </c>
      <c r="D3518">
        <f t="shared" ref="D3518" si="10481">_xlfn.NUMBERVALUE(LEFT(C3518,2))</f>
        <v>13</v>
      </c>
      <c r="E3518">
        <f t="shared" ref="E3518" si="10482">_xlfn.NUMBERVALUE(MID(C3518,4,2))</f>
        <v>11</v>
      </c>
      <c r="F3518">
        <f t="shared" ref="F3518" si="10483">_xlfn.NUMBERVALUE(RIGHT(C3518,4))</f>
        <v>2024</v>
      </c>
      <c r="G3518" t="s">
        <v>7</v>
      </c>
      <c r="H3518">
        <v>-2</v>
      </c>
      <c r="I3518">
        <v>6</v>
      </c>
      <c r="K3518" t="s">
        <v>10</v>
      </c>
      <c r="L3518" s="8">
        <f t="shared" si="10323"/>
        <v>2</v>
      </c>
      <c r="M3518" t="s">
        <v>3889</v>
      </c>
    </row>
    <row r="3519" spans="1:13" x14ac:dyDescent="0.35">
      <c r="A3519">
        <f t="shared" si="10250"/>
        <v>3515</v>
      </c>
      <c r="B3519" s="9">
        <f t="shared" ref="B3519" si="10484">B3518+H3519+I3519+J3519</f>
        <v>112.37</v>
      </c>
      <c r="C3519" s="3" t="s">
        <v>3888</v>
      </c>
      <c r="D3519">
        <f t="shared" ref="D3519" si="10485">_xlfn.NUMBERVALUE(LEFT(C3519,2))</f>
        <v>13</v>
      </c>
      <c r="E3519">
        <f t="shared" ref="E3519" si="10486">_xlfn.NUMBERVALUE(MID(C3519,4,2))</f>
        <v>11</v>
      </c>
      <c r="F3519">
        <f t="shared" ref="F3519" si="10487">_xlfn.NUMBERVALUE(RIGHT(C3519,4))</f>
        <v>2024</v>
      </c>
      <c r="G3519" t="s">
        <v>7</v>
      </c>
      <c r="H3519">
        <v>-2</v>
      </c>
      <c r="K3519" t="s">
        <v>9</v>
      </c>
      <c r="L3519" s="8">
        <f t="shared" si="10323"/>
        <v>-1</v>
      </c>
      <c r="M3519" t="s">
        <v>3890</v>
      </c>
    </row>
    <row r="3520" spans="1:13" x14ac:dyDescent="0.35">
      <c r="A3520">
        <f t="shared" si="10250"/>
        <v>3516</v>
      </c>
      <c r="B3520" s="9">
        <f t="shared" ref="B3520" si="10488">B3519+H3520+I3520+J3520</f>
        <v>110.37</v>
      </c>
      <c r="C3520" s="3" t="s">
        <v>3888</v>
      </c>
      <c r="D3520">
        <f t="shared" ref="D3520" si="10489">_xlfn.NUMBERVALUE(LEFT(C3520,2))</f>
        <v>13</v>
      </c>
      <c r="E3520">
        <f t="shared" ref="E3520" si="10490">_xlfn.NUMBERVALUE(MID(C3520,4,2))</f>
        <v>11</v>
      </c>
      <c r="F3520">
        <f t="shared" ref="F3520" si="10491">_xlfn.NUMBERVALUE(RIGHT(C3520,4))</f>
        <v>2024</v>
      </c>
      <c r="G3520" t="s">
        <v>7</v>
      </c>
      <c r="H3520">
        <v>-2</v>
      </c>
      <c r="K3520" t="s">
        <v>9</v>
      </c>
      <c r="L3520" s="8">
        <f t="shared" si="10323"/>
        <v>-1</v>
      </c>
      <c r="M3520" t="s">
        <v>3891</v>
      </c>
    </row>
    <row r="3521" spans="1:13" x14ac:dyDescent="0.35">
      <c r="A3521">
        <f t="shared" si="10250"/>
        <v>3517</v>
      </c>
      <c r="B3521" s="9">
        <f t="shared" ref="B3521" si="10492">B3520+H3521+I3521+J3521</f>
        <v>108.37</v>
      </c>
      <c r="C3521" s="3" t="s">
        <v>3888</v>
      </c>
      <c r="D3521">
        <f t="shared" ref="D3521" si="10493">_xlfn.NUMBERVALUE(LEFT(C3521,2))</f>
        <v>13</v>
      </c>
      <c r="E3521">
        <f t="shared" ref="E3521" si="10494">_xlfn.NUMBERVALUE(MID(C3521,4,2))</f>
        <v>11</v>
      </c>
      <c r="F3521">
        <f t="shared" ref="F3521" si="10495">_xlfn.NUMBERVALUE(RIGHT(C3521,4))</f>
        <v>2024</v>
      </c>
      <c r="G3521" t="s">
        <v>7</v>
      </c>
      <c r="H3521">
        <v>-2</v>
      </c>
      <c r="K3521" t="s">
        <v>9</v>
      </c>
      <c r="L3521" s="8">
        <f t="shared" si="10323"/>
        <v>-1</v>
      </c>
      <c r="M3521" t="s">
        <v>3892</v>
      </c>
    </row>
    <row r="3522" spans="1:13" x14ac:dyDescent="0.35">
      <c r="A3522">
        <f t="shared" si="10250"/>
        <v>3518</v>
      </c>
      <c r="B3522" s="9">
        <f t="shared" ref="B3522" si="10496">B3521+H3522+I3522+J3522</f>
        <v>110.37</v>
      </c>
      <c r="C3522" s="3" t="s">
        <v>3893</v>
      </c>
      <c r="D3522">
        <f t="shared" ref="D3522" si="10497">_xlfn.NUMBERVALUE(LEFT(C3522,2))</f>
        <v>14</v>
      </c>
      <c r="E3522">
        <f t="shared" ref="E3522" si="10498">_xlfn.NUMBERVALUE(MID(C3522,4,2))</f>
        <v>11</v>
      </c>
      <c r="F3522">
        <f t="shared" ref="F3522" si="10499">_xlfn.NUMBERVALUE(RIGHT(C3522,4))</f>
        <v>2024</v>
      </c>
      <c r="G3522" t="s">
        <v>7</v>
      </c>
      <c r="H3522">
        <v>-2</v>
      </c>
      <c r="I3522">
        <v>4</v>
      </c>
      <c r="K3522" t="s">
        <v>10</v>
      </c>
      <c r="L3522" s="8">
        <f t="shared" si="10323"/>
        <v>1</v>
      </c>
      <c r="M3522" t="s">
        <v>3894</v>
      </c>
    </row>
    <row r="3523" spans="1:13" x14ac:dyDescent="0.35">
      <c r="A3523">
        <f t="shared" si="10250"/>
        <v>3519</v>
      </c>
      <c r="B3523" s="9">
        <f t="shared" ref="B3523" si="10500">B3522+H3523+I3523+J3523</f>
        <v>114.37</v>
      </c>
      <c r="C3523" s="3" t="s">
        <v>3893</v>
      </c>
      <c r="D3523">
        <f t="shared" ref="D3523" si="10501">_xlfn.NUMBERVALUE(LEFT(C3523,2))</f>
        <v>14</v>
      </c>
      <c r="E3523">
        <f t="shared" ref="E3523" si="10502">_xlfn.NUMBERVALUE(MID(C3523,4,2))</f>
        <v>11</v>
      </c>
      <c r="F3523">
        <f t="shared" ref="F3523" si="10503">_xlfn.NUMBERVALUE(RIGHT(C3523,4))</f>
        <v>2024</v>
      </c>
      <c r="G3523" t="s">
        <v>7</v>
      </c>
      <c r="H3523">
        <v>-2</v>
      </c>
      <c r="I3523">
        <v>6</v>
      </c>
      <c r="K3523" t="s">
        <v>10</v>
      </c>
      <c r="L3523" s="8">
        <f t="shared" si="10323"/>
        <v>2</v>
      </c>
      <c r="M3523" t="s">
        <v>3895</v>
      </c>
    </row>
    <row r="3524" spans="1:13" x14ac:dyDescent="0.35">
      <c r="A3524">
        <f t="shared" si="10250"/>
        <v>3520</v>
      </c>
      <c r="B3524" s="9">
        <f t="shared" ref="B3524" si="10504">B3523+H3524+I3524+J3524</f>
        <v>116.37</v>
      </c>
      <c r="C3524" s="3" t="s">
        <v>3893</v>
      </c>
      <c r="D3524">
        <f t="shared" ref="D3524" si="10505">_xlfn.NUMBERVALUE(LEFT(C3524,2))</f>
        <v>14</v>
      </c>
      <c r="E3524">
        <f t="shared" ref="E3524" si="10506">_xlfn.NUMBERVALUE(MID(C3524,4,2))</f>
        <v>11</v>
      </c>
      <c r="F3524">
        <f t="shared" ref="F3524" si="10507">_xlfn.NUMBERVALUE(RIGHT(C3524,4))</f>
        <v>2024</v>
      </c>
      <c r="G3524" t="s">
        <v>7</v>
      </c>
      <c r="H3524">
        <v>-2</v>
      </c>
      <c r="I3524">
        <v>4</v>
      </c>
      <c r="K3524" t="s">
        <v>10</v>
      </c>
      <c r="L3524" s="8">
        <f t="shared" si="10323"/>
        <v>1</v>
      </c>
      <c r="M3524" t="s">
        <v>3896</v>
      </c>
    </row>
    <row r="3525" spans="1:13" x14ac:dyDescent="0.35">
      <c r="A3525">
        <f t="shared" si="10250"/>
        <v>3521</v>
      </c>
      <c r="B3525" s="9">
        <f t="shared" ref="B3525:B3526" si="10508">B3524+H3525+I3525+J3525</f>
        <v>120.37</v>
      </c>
      <c r="C3525" s="3" t="s">
        <v>3893</v>
      </c>
      <c r="D3525">
        <f t="shared" ref="D3525:D3526" si="10509">_xlfn.NUMBERVALUE(LEFT(C3525,2))</f>
        <v>14</v>
      </c>
      <c r="E3525">
        <f t="shared" ref="E3525:E3526" si="10510">_xlfn.NUMBERVALUE(MID(C3525,4,2))</f>
        <v>11</v>
      </c>
      <c r="F3525">
        <f t="shared" ref="F3525:F3526" si="10511">_xlfn.NUMBERVALUE(RIGHT(C3525,4))</f>
        <v>2024</v>
      </c>
      <c r="G3525" t="s">
        <v>7</v>
      </c>
      <c r="H3525">
        <v>-2</v>
      </c>
      <c r="I3525">
        <v>6</v>
      </c>
      <c r="K3525" t="s">
        <v>10</v>
      </c>
      <c r="L3525" s="8">
        <f t="shared" si="10323"/>
        <v>2</v>
      </c>
      <c r="M3525" t="s">
        <v>3897</v>
      </c>
    </row>
    <row r="3526" spans="1:13" x14ac:dyDescent="0.35">
      <c r="A3526">
        <f t="shared" si="10250"/>
        <v>3522</v>
      </c>
      <c r="B3526" s="9">
        <f t="shared" si="10508"/>
        <v>118.37</v>
      </c>
      <c r="C3526" s="3" t="s">
        <v>3893</v>
      </c>
      <c r="D3526">
        <f t="shared" si="10509"/>
        <v>14</v>
      </c>
      <c r="E3526">
        <f t="shared" si="10510"/>
        <v>11</v>
      </c>
      <c r="F3526">
        <f t="shared" si="10511"/>
        <v>2024</v>
      </c>
      <c r="G3526" t="s">
        <v>7</v>
      </c>
      <c r="H3526">
        <v>-2</v>
      </c>
      <c r="K3526" t="s">
        <v>9</v>
      </c>
      <c r="L3526" s="8">
        <f t="shared" si="10323"/>
        <v>-1</v>
      </c>
      <c r="M3526" t="s">
        <v>3898</v>
      </c>
    </row>
    <row r="3527" spans="1:13" x14ac:dyDescent="0.35">
      <c r="A3527">
        <f t="shared" si="10250"/>
        <v>3523</v>
      </c>
      <c r="B3527" s="9">
        <f t="shared" ref="B3527:B3528" si="10512">B3526+H3527+I3527+J3527</f>
        <v>118.37</v>
      </c>
      <c r="C3527" s="3" t="s">
        <v>3893</v>
      </c>
      <c r="D3527">
        <f t="shared" ref="D3527:D3528" si="10513">_xlfn.NUMBERVALUE(LEFT(C3527,2))</f>
        <v>14</v>
      </c>
      <c r="E3527">
        <f t="shared" ref="E3527:E3528" si="10514">_xlfn.NUMBERVALUE(MID(C3527,4,2))</f>
        <v>11</v>
      </c>
      <c r="F3527">
        <f t="shared" ref="F3527:F3528" si="10515">_xlfn.NUMBERVALUE(RIGHT(C3527,4))</f>
        <v>2024</v>
      </c>
      <c r="G3527" t="s">
        <v>3039</v>
      </c>
      <c r="K3527" t="s">
        <v>10</v>
      </c>
      <c r="L3527" s="8">
        <f t="shared" si="10323"/>
        <v>0</v>
      </c>
      <c r="M3527" t="s">
        <v>3899</v>
      </c>
    </row>
    <row r="3528" spans="1:13" x14ac:dyDescent="0.35">
      <c r="A3528">
        <f t="shared" si="10250"/>
        <v>3524</v>
      </c>
      <c r="B3528" s="9">
        <f t="shared" si="10512"/>
        <v>118.37</v>
      </c>
      <c r="C3528" s="3" t="s">
        <v>3893</v>
      </c>
      <c r="D3528">
        <f t="shared" si="10513"/>
        <v>14</v>
      </c>
      <c r="E3528">
        <f t="shared" si="10514"/>
        <v>11</v>
      </c>
      <c r="F3528">
        <f t="shared" si="10515"/>
        <v>2024</v>
      </c>
      <c r="G3528" t="s">
        <v>3039</v>
      </c>
      <c r="K3528" t="s">
        <v>10</v>
      </c>
      <c r="L3528" s="8">
        <f t="shared" si="10323"/>
        <v>0</v>
      </c>
      <c r="M3528" t="s">
        <v>3900</v>
      </c>
    </row>
    <row r="3529" spans="1:13" x14ac:dyDescent="0.35">
      <c r="A3529">
        <f t="shared" si="10250"/>
        <v>3525</v>
      </c>
      <c r="B3529" s="9">
        <f t="shared" ref="B3529:B3530" si="10516">B3528+H3529+I3529+J3529</f>
        <v>118.37</v>
      </c>
      <c r="C3529" s="3" t="s">
        <v>3893</v>
      </c>
      <c r="D3529">
        <f t="shared" ref="D3529:D3530" si="10517">_xlfn.NUMBERVALUE(LEFT(C3529,2))</f>
        <v>14</v>
      </c>
      <c r="E3529">
        <f t="shared" ref="E3529:E3530" si="10518">_xlfn.NUMBERVALUE(MID(C3529,4,2))</f>
        <v>11</v>
      </c>
      <c r="F3529">
        <f t="shared" ref="F3529:F3530" si="10519">_xlfn.NUMBERVALUE(RIGHT(C3529,4))</f>
        <v>2024</v>
      </c>
      <c r="G3529" t="s">
        <v>2969</v>
      </c>
      <c r="K3529" t="s">
        <v>9</v>
      </c>
      <c r="L3529" s="8">
        <f t="shared" si="10323"/>
        <v>0</v>
      </c>
      <c r="M3529" t="s">
        <v>3901</v>
      </c>
    </row>
    <row r="3530" spans="1:13" x14ac:dyDescent="0.35">
      <c r="A3530">
        <f t="shared" si="10250"/>
        <v>3526</v>
      </c>
      <c r="B3530" s="9">
        <f t="shared" si="10516"/>
        <v>116.37</v>
      </c>
      <c r="C3530" s="3" t="s">
        <v>3902</v>
      </c>
      <c r="D3530">
        <f t="shared" si="10517"/>
        <v>15</v>
      </c>
      <c r="E3530">
        <f t="shared" si="10518"/>
        <v>11</v>
      </c>
      <c r="F3530">
        <f t="shared" si="10519"/>
        <v>2024</v>
      </c>
      <c r="G3530" t="s">
        <v>7</v>
      </c>
      <c r="H3530">
        <v>-2</v>
      </c>
      <c r="K3530" t="s">
        <v>9</v>
      </c>
      <c r="L3530" s="8">
        <f t="shared" si="10323"/>
        <v>-1</v>
      </c>
      <c r="M3530" t="s">
        <v>3903</v>
      </c>
    </row>
    <row r="3531" spans="1:13" x14ac:dyDescent="0.35">
      <c r="A3531">
        <f t="shared" si="10250"/>
        <v>3527</v>
      </c>
      <c r="B3531" s="9">
        <f t="shared" ref="B3531" si="10520">B3530+H3531+I3531+J3531</f>
        <v>120.37</v>
      </c>
      <c r="C3531" s="3" t="s">
        <v>3902</v>
      </c>
      <c r="D3531">
        <f t="shared" ref="D3531" si="10521">_xlfn.NUMBERVALUE(LEFT(C3531,2))</f>
        <v>15</v>
      </c>
      <c r="E3531">
        <f t="shared" ref="E3531" si="10522">_xlfn.NUMBERVALUE(MID(C3531,4,2))</f>
        <v>11</v>
      </c>
      <c r="F3531">
        <f t="shared" ref="F3531" si="10523">_xlfn.NUMBERVALUE(RIGHT(C3531,4))</f>
        <v>2024</v>
      </c>
      <c r="G3531" t="s">
        <v>7</v>
      </c>
      <c r="H3531">
        <v>-2</v>
      </c>
      <c r="I3531">
        <v>6</v>
      </c>
      <c r="K3531" t="s">
        <v>10</v>
      </c>
      <c r="L3531" s="8">
        <f t="shared" si="10323"/>
        <v>2</v>
      </c>
      <c r="M3531" t="s">
        <v>3904</v>
      </c>
    </row>
    <row r="3532" spans="1:13" x14ac:dyDescent="0.35">
      <c r="A3532">
        <f t="shared" si="10250"/>
        <v>3528</v>
      </c>
      <c r="B3532" s="9">
        <f t="shared" ref="B3532" si="10524">B3531+H3532+I3532+J3532</f>
        <v>118.37</v>
      </c>
      <c r="C3532" s="3" t="s">
        <v>3902</v>
      </c>
      <c r="D3532">
        <f t="shared" ref="D3532" si="10525">_xlfn.NUMBERVALUE(LEFT(C3532,2))</f>
        <v>15</v>
      </c>
      <c r="E3532">
        <f t="shared" ref="E3532" si="10526">_xlfn.NUMBERVALUE(MID(C3532,4,2))</f>
        <v>11</v>
      </c>
      <c r="F3532">
        <f t="shared" ref="F3532" si="10527">_xlfn.NUMBERVALUE(RIGHT(C3532,4))</f>
        <v>2024</v>
      </c>
      <c r="G3532" t="s">
        <v>7</v>
      </c>
      <c r="H3532">
        <v>-2</v>
      </c>
      <c r="K3532" t="s">
        <v>9</v>
      </c>
      <c r="L3532" s="8">
        <f t="shared" si="10323"/>
        <v>-1</v>
      </c>
      <c r="M3532" t="s">
        <v>3905</v>
      </c>
    </row>
    <row r="3533" spans="1:13" x14ac:dyDescent="0.35">
      <c r="A3533">
        <f t="shared" si="10250"/>
        <v>3529</v>
      </c>
      <c r="B3533" s="9">
        <f t="shared" ref="B3533:B3534" si="10528">B3532+H3533+I3533+J3533</f>
        <v>120.37</v>
      </c>
      <c r="C3533" s="3" t="s">
        <v>3902</v>
      </c>
      <c r="D3533">
        <f t="shared" ref="D3533:D3534" si="10529">_xlfn.NUMBERVALUE(LEFT(C3533,2))</f>
        <v>15</v>
      </c>
      <c r="E3533">
        <f t="shared" ref="E3533:E3534" si="10530">_xlfn.NUMBERVALUE(MID(C3533,4,2))</f>
        <v>11</v>
      </c>
      <c r="F3533">
        <f t="shared" ref="F3533:F3534" si="10531">_xlfn.NUMBERVALUE(RIGHT(C3533,4))</f>
        <v>2024</v>
      </c>
      <c r="G3533" t="s">
        <v>7</v>
      </c>
      <c r="H3533">
        <v>-2</v>
      </c>
      <c r="I3533">
        <v>4</v>
      </c>
      <c r="K3533" t="s">
        <v>10</v>
      </c>
      <c r="L3533" s="8">
        <f t="shared" si="10323"/>
        <v>1</v>
      </c>
      <c r="M3533" t="s">
        <v>3906</v>
      </c>
    </row>
    <row r="3534" spans="1:13" x14ac:dyDescent="0.35">
      <c r="A3534">
        <f t="shared" si="10250"/>
        <v>3530</v>
      </c>
      <c r="B3534" s="9">
        <f t="shared" si="10528"/>
        <v>118.37</v>
      </c>
      <c r="C3534" s="3" t="s">
        <v>3902</v>
      </c>
      <c r="D3534">
        <f t="shared" si="10529"/>
        <v>15</v>
      </c>
      <c r="E3534">
        <f t="shared" si="10530"/>
        <v>11</v>
      </c>
      <c r="F3534">
        <f t="shared" si="10531"/>
        <v>2024</v>
      </c>
      <c r="G3534" t="s">
        <v>7</v>
      </c>
      <c r="H3534">
        <v>-2</v>
      </c>
      <c r="K3534" t="s">
        <v>9</v>
      </c>
      <c r="L3534" s="8">
        <f t="shared" si="10323"/>
        <v>-1</v>
      </c>
      <c r="M3534" t="s">
        <v>3907</v>
      </c>
    </row>
    <row r="3535" spans="1:13" x14ac:dyDescent="0.35">
      <c r="A3535">
        <f t="shared" si="10250"/>
        <v>3531</v>
      </c>
      <c r="B3535" s="9">
        <f t="shared" ref="B3535" si="10532">B3534+H3535+I3535+J3535</f>
        <v>120.37</v>
      </c>
      <c r="C3535" s="3" t="s">
        <v>3902</v>
      </c>
      <c r="D3535">
        <f t="shared" ref="D3535" si="10533">_xlfn.NUMBERVALUE(LEFT(C3535,2))</f>
        <v>15</v>
      </c>
      <c r="E3535">
        <f t="shared" ref="E3535" si="10534">_xlfn.NUMBERVALUE(MID(C3535,4,2))</f>
        <v>11</v>
      </c>
      <c r="F3535">
        <f t="shared" ref="F3535" si="10535">_xlfn.NUMBERVALUE(RIGHT(C3535,4))</f>
        <v>2024</v>
      </c>
      <c r="G3535" t="s">
        <v>7</v>
      </c>
      <c r="H3535">
        <v>-2</v>
      </c>
      <c r="I3535">
        <v>4</v>
      </c>
      <c r="K3535" t="s">
        <v>10</v>
      </c>
      <c r="L3535" s="8">
        <f t="shared" si="10323"/>
        <v>1</v>
      </c>
      <c r="M3535" t="s">
        <v>3908</v>
      </c>
    </row>
    <row r="3536" spans="1:13" x14ac:dyDescent="0.35">
      <c r="A3536">
        <f t="shared" si="10250"/>
        <v>3532</v>
      </c>
      <c r="B3536" s="9">
        <f t="shared" ref="B3536" si="10536">B3535+H3536+I3536+J3536</f>
        <v>122.37</v>
      </c>
      <c r="C3536" s="3" t="s">
        <v>3902</v>
      </c>
      <c r="D3536">
        <f t="shared" ref="D3536" si="10537">_xlfn.NUMBERVALUE(LEFT(C3536,2))</f>
        <v>15</v>
      </c>
      <c r="E3536">
        <f t="shared" ref="E3536" si="10538">_xlfn.NUMBERVALUE(MID(C3536,4,2))</f>
        <v>11</v>
      </c>
      <c r="F3536">
        <f t="shared" ref="F3536" si="10539">_xlfn.NUMBERVALUE(RIGHT(C3536,4))</f>
        <v>2024</v>
      </c>
      <c r="G3536" t="s">
        <v>7</v>
      </c>
      <c r="H3536">
        <v>-2</v>
      </c>
      <c r="I3536">
        <v>4</v>
      </c>
      <c r="K3536" t="s">
        <v>10</v>
      </c>
      <c r="L3536" s="8">
        <f t="shared" si="10323"/>
        <v>1</v>
      </c>
      <c r="M3536" t="s">
        <v>3909</v>
      </c>
    </row>
    <row r="3537" spans="1:13" x14ac:dyDescent="0.35">
      <c r="A3537">
        <f t="shared" si="10250"/>
        <v>3533</v>
      </c>
      <c r="B3537" s="9">
        <f t="shared" ref="B3537" si="10540">B3536+H3537+I3537+J3537</f>
        <v>120.37</v>
      </c>
      <c r="C3537" s="3" t="s">
        <v>3902</v>
      </c>
      <c r="D3537">
        <f t="shared" ref="D3537" si="10541">_xlfn.NUMBERVALUE(LEFT(C3537,2))</f>
        <v>15</v>
      </c>
      <c r="E3537">
        <f t="shared" ref="E3537" si="10542">_xlfn.NUMBERVALUE(MID(C3537,4,2))</f>
        <v>11</v>
      </c>
      <c r="F3537">
        <f t="shared" ref="F3537" si="10543">_xlfn.NUMBERVALUE(RIGHT(C3537,4))</f>
        <v>2024</v>
      </c>
      <c r="G3537" t="s">
        <v>7</v>
      </c>
      <c r="H3537">
        <v>-2</v>
      </c>
      <c r="K3537" t="s">
        <v>9</v>
      </c>
      <c r="L3537" s="8">
        <f t="shared" si="10323"/>
        <v>-1</v>
      </c>
      <c r="M3537" t="s">
        <v>3910</v>
      </c>
    </row>
    <row r="3538" spans="1:13" x14ac:dyDescent="0.35">
      <c r="A3538">
        <f t="shared" si="10250"/>
        <v>3534</v>
      </c>
      <c r="B3538" s="9">
        <f t="shared" ref="B3538:B3539" si="10544">B3537+H3538+I3538+J3538</f>
        <v>116.97</v>
      </c>
      <c r="C3538" s="3" t="s">
        <v>3902</v>
      </c>
      <c r="D3538">
        <f t="shared" ref="D3538:D3539" si="10545">_xlfn.NUMBERVALUE(LEFT(C3538,2))</f>
        <v>15</v>
      </c>
      <c r="E3538">
        <f t="shared" ref="E3538:E3539" si="10546">_xlfn.NUMBERVALUE(MID(C3538,4,2))</f>
        <v>11</v>
      </c>
      <c r="F3538">
        <f t="shared" ref="F3538:F3539" si="10547">_xlfn.NUMBERVALUE(RIGHT(C3538,4))</f>
        <v>2024</v>
      </c>
      <c r="G3538" t="s">
        <v>44</v>
      </c>
      <c r="H3538">
        <v>-4.4000000000000004</v>
      </c>
      <c r="J3538">
        <v>1</v>
      </c>
      <c r="K3538" t="s">
        <v>9</v>
      </c>
      <c r="L3538" s="8">
        <f t="shared" si="10323"/>
        <v>-0.77272727272727271</v>
      </c>
      <c r="M3538" t="s">
        <v>3911</v>
      </c>
    </row>
    <row r="3539" spans="1:13" x14ac:dyDescent="0.35">
      <c r="A3539">
        <f t="shared" si="10250"/>
        <v>3535</v>
      </c>
      <c r="B3539" s="9">
        <f t="shared" si="10544"/>
        <v>118.97</v>
      </c>
      <c r="C3539" s="3" t="s">
        <v>3902</v>
      </c>
      <c r="D3539">
        <f t="shared" si="10545"/>
        <v>15</v>
      </c>
      <c r="E3539">
        <f t="shared" si="10546"/>
        <v>11</v>
      </c>
      <c r="F3539">
        <f t="shared" si="10547"/>
        <v>2024</v>
      </c>
      <c r="G3539" t="s">
        <v>7</v>
      </c>
      <c r="H3539">
        <v>-2</v>
      </c>
      <c r="I3539">
        <v>4</v>
      </c>
      <c r="K3539" t="s">
        <v>10</v>
      </c>
      <c r="L3539" s="8">
        <f t="shared" si="10323"/>
        <v>1</v>
      </c>
      <c r="M3539" t="s">
        <v>3912</v>
      </c>
    </row>
    <row r="3540" spans="1:13" x14ac:dyDescent="0.35">
      <c r="A3540">
        <f t="shared" si="10250"/>
        <v>3536</v>
      </c>
      <c r="B3540" s="9">
        <f t="shared" ref="B3540:B3541" si="10548">B3539+H3540+I3540+J3540</f>
        <v>120.97</v>
      </c>
      <c r="C3540" s="3" t="s">
        <v>3902</v>
      </c>
      <c r="D3540">
        <f t="shared" ref="D3540:D3541" si="10549">_xlfn.NUMBERVALUE(LEFT(C3540,2))</f>
        <v>15</v>
      </c>
      <c r="E3540">
        <f t="shared" ref="E3540:E3541" si="10550">_xlfn.NUMBERVALUE(MID(C3540,4,2))</f>
        <v>11</v>
      </c>
      <c r="F3540">
        <f t="shared" ref="F3540:F3541" si="10551">_xlfn.NUMBERVALUE(RIGHT(C3540,4))</f>
        <v>2024</v>
      </c>
      <c r="G3540" t="s">
        <v>7</v>
      </c>
      <c r="H3540">
        <v>-2</v>
      </c>
      <c r="I3540">
        <v>4</v>
      </c>
      <c r="K3540" t="s">
        <v>10</v>
      </c>
      <c r="L3540" s="8">
        <f t="shared" si="10323"/>
        <v>1</v>
      </c>
      <c r="M3540" t="s">
        <v>3913</v>
      </c>
    </row>
    <row r="3541" spans="1:13" x14ac:dyDescent="0.35">
      <c r="A3541">
        <f t="shared" si="10250"/>
        <v>3537</v>
      </c>
      <c r="B3541" s="9">
        <f t="shared" si="10548"/>
        <v>120.97</v>
      </c>
      <c r="C3541" s="3" t="s">
        <v>3902</v>
      </c>
      <c r="D3541">
        <f t="shared" si="10549"/>
        <v>15</v>
      </c>
      <c r="E3541">
        <f t="shared" si="10550"/>
        <v>11</v>
      </c>
      <c r="F3541">
        <f t="shared" si="10551"/>
        <v>2024</v>
      </c>
      <c r="G3541" t="s">
        <v>3039</v>
      </c>
      <c r="K3541" t="s">
        <v>10</v>
      </c>
      <c r="L3541" s="8">
        <f t="shared" si="10323"/>
        <v>0</v>
      </c>
      <c r="M3541" t="s">
        <v>3914</v>
      </c>
    </row>
    <row r="3542" spans="1:13" x14ac:dyDescent="0.35">
      <c r="A3542">
        <f t="shared" si="10250"/>
        <v>3538</v>
      </c>
      <c r="B3542" s="9">
        <f t="shared" ref="B3542" si="10552">B3541+H3542+I3542+J3542</f>
        <v>122.97</v>
      </c>
      <c r="C3542" s="3" t="s">
        <v>3915</v>
      </c>
      <c r="D3542">
        <f t="shared" ref="D3542" si="10553">_xlfn.NUMBERVALUE(LEFT(C3542,2))</f>
        <v>16</v>
      </c>
      <c r="E3542">
        <f t="shared" ref="E3542" si="10554">_xlfn.NUMBERVALUE(MID(C3542,4,2))</f>
        <v>11</v>
      </c>
      <c r="F3542">
        <f t="shared" ref="F3542" si="10555">_xlfn.NUMBERVALUE(RIGHT(C3542,4))</f>
        <v>2024</v>
      </c>
      <c r="G3542" t="s">
        <v>7</v>
      </c>
      <c r="H3542">
        <v>-2</v>
      </c>
      <c r="I3542">
        <v>4</v>
      </c>
      <c r="K3542" t="s">
        <v>10</v>
      </c>
      <c r="L3542" s="8">
        <f t="shared" si="10323"/>
        <v>1</v>
      </c>
      <c r="M3542" t="s">
        <v>3916</v>
      </c>
    </row>
    <row r="3543" spans="1:13" x14ac:dyDescent="0.35">
      <c r="A3543">
        <f t="shared" si="10250"/>
        <v>3539</v>
      </c>
      <c r="B3543" s="9">
        <f t="shared" ref="B3543" si="10556">B3542+H3543+I3543+J3543</f>
        <v>120.97</v>
      </c>
      <c r="C3543" s="3" t="s">
        <v>3915</v>
      </c>
      <c r="D3543">
        <f t="shared" ref="D3543" si="10557">_xlfn.NUMBERVALUE(LEFT(C3543,2))</f>
        <v>16</v>
      </c>
      <c r="E3543">
        <f t="shared" ref="E3543" si="10558">_xlfn.NUMBERVALUE(MID(C3543,4,2))</f>
        <v>11</v>
      </c>
      <c r="F3543">
        <f t="shared" ref="F3543" si="10559">_xlfn.NUMBERVALUE(RIGHT(C3543,4))</f>
        <v>2024</v>
      </c>
      <c r="G3543" t="s">
        <v>7</v>
      </c>
      <c r="H3543">
        <v>-2</v>
      </c>
      <c r="K3543" t="s">
        <v>9</v>
      </c>
      <c r="L3543" s="8">
        <f t="shared" si="10323"/>
        <v>-1</v>
      </c>
      <c r="M3543" t="s">
        <v>3917</v>
      </c>
    </row>
    <row r="3544" spans="1:13" x14ac:dyDescent="0.35">
      <c r="A3544">
        <f t="shared" si="10250"/>
        <v>3540</v>
      </c>
      <c r="B3544" s="9">
        <f t="shared" ref="B3544" si="10560">B3543+H3544+I3544+J3544</f>
        <v>118.97</v>
      </c>
      <c r="C3544" s="3" t="s">
        <v>3915</v>
      </c>
      <c r="D3544">
        <f t="shared" ref="D3544" si="10561">_xlfn.NUMBERVALUE(LEFT(C3544,2))</f>
        <v>16</v>
      </c>
      <c r="E3544">
        <f t="shared" ref="E3544" si="10562">_xlfn.NUMBERVALUE(MID(C3544,4,2))</f>
        <v>11</v>
      </c>
      <c r="F3544">
        <f t="shared" ref="F3544" si="10563">_xlfn.NUMBERVALUE(RIGHT(C3544,4))</f>
        <v>2024</v>
      </c>
      <c r="G3544" t="s">
        <v>7</v>
      </c>
      <c r="H3544">
        <v>-2</v>
      </c>
      <c r="K3544" t="s">
        <v>9</v>
      </c>
      <c r="L3544" s="8">
        <f t="shared" si="10323"/>
        <v>-1</v>
      </c>
      <c r="M3544" t="s">
        <v>3918</v>
      </c>
    </row>
    <row r="3545" spans="1:13" x14ac:dyDescent="0.35">
      <c r="A3545">
        <f t="shared" si="10250"/>
        <v>3541</v>
      </c>
      <c r="B3545" s="9">
        <f t="shared" ref="B3545:B3546" si="10564">B3544+H3545+I3545+J3545</f>
        <v>116.97</v>
      </c>
      <c r="C3545" s="3" t="s">
        <v>3915</v>
      </c>
      <c r="D3545">
        <f t="shared" ref="D3545:D3546" si="10565">_xlfn.NUMBERVALUE(LEFT(C3545,2))</f>
        <v>16</v>
      </c>
      <c r="E3545">
        <f t="shared" ref="E3545:E3546" si="10566">_xlfn.NUMBERVALUE(MID(C3545,4,2))</f>
        <v>11</v>
      </c>
      <c r="F3545">
        <f t="shared" ref="F3545:F3546" si="10567">_xlfn.NUMBERVALUE(RIGHT(C3545,4))</f>
        <v>2024</v>
      </c>
      <c r="G3545" t="s">
        <v>7</v>
      </c>
      <c r="H3545">
        <v>-2</v>
      </c>
      <c r="K3545" t="s">
        <v>9</v>
      </c>
      <c r="L3545" s="8">
        <f t="shared" si="10323"/>
        <v>-1</v>
      </c>
      <c r="M3545" t="s">
        <v>3919</v>
      </c>
    </row>
    <row r="3546" spans="1:13" x14ac:dyDescent="0.35">
      <c r="A3546">
        <f t="shared" si="10250"/>
        <v>3542</v>
      </c>
      <c r="B3546" s="9">
        <f t="shared" si="10564"/>
        <v>114.97</v>
      </c>
      <c r="C3546" s="3" t="s">
        <v>3915</v>
      </c>
      <c r="D3546">
        <f t="shared" si="10565"/>
        <v>16</v>
      </c>
      <c r="E3546">
        <f t="shared" si="10566"/>
        <v>11</v>
      </c>
      <c r="F3546">
        <f t="shared" si="10567"/>
        <v>2024</v>
      </c>
      <c r="G3546" t="s">
        <v>7</v>
      </c>
      <c r="H3546">
        <v>-2</v>
      </c>
      <c r="K3546" t="s">
        <v>9</v>
      </c>
      <c r="L3546" s="8">
        <f t="shared" si="10323"/>
        <v>-1</v>
      </c>
      <c r="M3546" t="s">
        <v>3920</v>
      </c>
    </row>
    <row r="3547" spans="1:13" x14ac:dyDescent="0.35">
      <c r="A3547">
        <f t="shared" si="10250"/>
        <v>3543</v>
      </c>
      <c r="B3547" s="9">
        <f t="shared" ref="B3547" si="10568">B3546+H3547+I3547+J3547</f>
        <v>116.97</v>
      </c>
      <c r="C3547" s="3" t="s">
        <v>3915</v>
      </c>
      <c r="D3547">
        <f t="shared" ref="D3547" si="10569">_xlfn.NUMBERVALUE(LEFT(C3547,2))</f>
        <v>16</v>
      </c>
      <c r="E3547">
        <f t="shared" ref="E3547" si="10570">_xlfn.NUMBERVALUE(MID(C3547,4,2))</f>
        <v>11</v>
      </c>
      <c r="F3547">
        <f t="shared" ref="F3547" si="10571">_xlfn.NUMBERVALUE(RIGHT(C3547,4))</f>
        <v>2024</v>
      </c>
      <c r="G3547" t="s">
        <v>7</v>
      </c>
      <c r="H3547">
        <v>-2</v>
      </c>
      <c r="I3547">
        <v>4</v>
      </c>
      <c r="K3547" t="s">
        <v>10</v>
      </c>
      <c r="L3547" s="8">
        <f t="shared" si="10323"/>
        <v>1</v>
      </c>
      <c r="M3547" t="s">
        <v>3921</v>
      </c>
    </row>
    <row r="3548" spans="1:13" x14ac:dyDescent="0.35">
      <c r="A3548">
        <f t="shared" si="10250"/>
        <v>3544</v>
      </c>
      <c r="B3548" s="9">
        <f t="shared" ref="B3548" si="10572">B3547+H3548+I3548+J3548</f>
        <v>118.97</v>
      </c>
      <c r="C3548" s="3" t="s">
        <v>3915</v>
      </c>
      <c r="D3548">
        <f t="shared" ref="D3548" si="10573">_xlfn.NUMBERVALUE(LEFT(C3548,2))</f>
        <v>16</v>
      </c>
      <c r="E3548">
        <f t="shared" ref="E3548" si="10574">_xlfn.NUMBERVALUE(MID(C3548,4,2))</f>
        <v>11</v>
      </c>
      <c r="F3548">
        <f t="shared" ref="F3548" si="10575">_xlfn.NUMBERVALUE(RIGHT(C3548,4))</f>
        <v>2024</v>
      </c>
      <c r="G3548" t="s">
        <v>7</v>
      </c>
      <c r="H3548">
        <v>-2</v>
      </c>
      <c r="I3548">
        <v>4</v>
      </c>
      <c r="K3548" t="s">
        <v>10</v>
      </c>
      <c r="L3548" s="8">
        <f t="shared" si="10323"/>
        <v>1</v>
      </c>
      <c r="M3548" t="s">
        <v>3922</v>
      </c>
    </row>
    <row r="3549" spans="1:13" x14ac:dyDescent="0.35">
      <c r="A3549">
        <f t="shared" si="10250"/>
        <v>3545</v>
      </c>
      <c r="B3549" s="9">
        <f t="shared" ref="B3549" si="10576">B3548+H3549+I3549+J3549</f>
        <v>116.97</v>
      </c>
      <c r="C3549" s="3" t="s">
        <v>3915</v>
      </c>
      <c r="D3549">
        <f t="shared" ref="D3549" si="10577">_xlfn.NUMBERVALUE(LEFT(C3549,2))</f>
        <v>16</v>
      </c>
      <c r="E3549">
        <f t="shared" ref="E3549" si="10578">_xlfn.NUMBERVALUE(MID(C3549,4,2))</f>
        <v>11</v>
      </c>
      <c r="F3549">
        <f t="shared" ref="F3549" si="10579">_xlfn.NUMBERVALUE(RIGHT(C3549,4))</f>
        <v>2024</v>
      </c>
      <c r="G3549" t="s">
        <v>7</v>
      </c>
      <c r="H3549">
        <v>-2</v>
      </c>
      <c r="K3549" t="s">
        <v>9</v>
      </c>
      <c r="L3549" s="8">
        <f t="shared" si="10323"/>
        <v>-1</v>
      </c>
      <c r="M3549" t="s">
        <v>3923</v>
      </c>
    </row>
    <row r="3550" spans="1:13" x14ac:dyDescent="0.35">
      <c r="A3550">
        <f t="shared" si="10250"/>
        <v>3546</v>
      </c>
      <c r="B3550" s="9">
        <f t="shared" ref="B3550:B3551" si="10580">B3549+H3550+I3550+J3550</f>
        <v>114.97</v>
      </c>
      <c r="C3550" s="3" t="s">
        <v>3915</v>
      </c>
      <c r="D3550">
        <f t="shared" ref="D3550:D3551" si="10581">_xlfn.NUMBERVALUE(LEFT(C3550,2))</f>
        <v>16</v>
      </c>
      <c r="E3550">
        <f t="shared" ref="E3550:E3551" si="10582">_xlfn.NUMBERVALUE(MID(C3550,4,2))</f>
        <v>11</v>
      </c>
      <c r="F3550">
        <f t="shared" ref="F3550:F3551" si="10583">_xlfn.NUMBERVALUE(RIGHT(C3550,4))</f>
        <v>2024</v>
      </c>
      <c r="G3550" t="s">
        <v>7</v>
      </c>
      <c r="H3550">
        <v>-2</v>
      </c>
      <c r="K3550" t="s">
        <v>9</v>
      </c>
      <c r="L3550" s="8">
        <f t="shared" si="10323"/>
        <v>-1</v>
      </c>
      <c r="M3550" t="s">
        <v>3924</v>
      </c>
    </row>
    <row r="3551" spans="1:13" x14ac:dyDescent="0.35">
      <c r="A3551">
        <f t="shared" si="10250"/>
        <v>3547</v>
      </c>
      <c r="B3551" s="9">
        <f t="shared" si="10580"/>
        <v>112.97</v>
      </c>
      <c r="C3551" s="3" t="s">
        <v>3915</v>
      </c>
      <c r="D3551">
        <f t="shared" si="10581"/>
        <v>16</v>
      </c>
      <c r="E3551">
        <f t="shared" si="10582"/>
        <v>11</v>
      </c>
      <c r="F3551">
        <f t="shared" si="10583"/>
        <v>2024</v>
      </c>
      <c r="G3551" t="s">
        <v>7</v>
      </c>
      <c r="H3551">
        <v>-2</v>
      </c>
      <c r="K3551" t="s">
        <v>9</v>
      </c>
      <c r="L3551" s="8">
        <f t="shared" si="10323"/>
        <v>-1</v>
      </c>
      <c r="M3551" t="s">
        <v>3925</v>
      </c>
    </row>
    <row r="3552" spans="1:13" x14ac:dyDescent="0.35">
      <c r="A3552">
        <f t="shared" si="10250"/>
        <v>3548</v>
      </c>
      <c r="B3552" s="9">
        <f t="shared" ref="B3552" si="10584">B3551+H3552+I3552+J3552</f>
        <v>110.97</v>
      </c>
      <c r="C3552" s="3" t="s">
        <v>3915</v>
      </c>
      <c r="D3552">
        <f t="shared" ref="D3552" si="10585">_xlfn.NUMBERVALUE(LEFT(C3552,2))</f>
        <v>16</v>
      </c>
      <c r="E3552">
        <f t="shared" ref="E3552" si="10586">_xlfn.NUMBERVALUE(MID(C3552,4,2))</f>
        <v>11</v>
      </c>
      <c r="F3552">
        <f t="shared" ref="F3552" si="10587">_xlfn.NUMBERVALUE(RIGHT(C3552,4))</f>
        <v>2024</v>
      </c>
      <c r="G3552" t="s">
        <v>7</v>
      </c>
      <c r="H3552">
        <v>-2</v>
      </c>
      <c r="K3552" t="s">
        <v>9</v>
      </c>
      <c r="L3552" s="8">
        <f t="shared" si="10323"/>
        <v>-1</v>
      </c>
      <c r="M3552" t="s">
        <v>3926</v>
      </c>
    </row>
    <row r="3553" spans="1:13" x14ac:dyDescent="0.35">
      <c r="A3553">
        <f t="shared" si="10250"/>
        <v>3549</v>
      </c>
      <c r="B3553" s="9">
        <f t="shared" ref="B3553" si="10588">B3552+H3553+I3553+J3553</f>
        <v>108.97</v>
      </c>
      <c r="C3553" s="3" t="s">
        <v>3915</v>
      </c>
      <c r="D3553">
        <f t="shared" ref="D3553" si="10589">_xlfn.NUMBERVALUE(LEFT(C3553,2))</f>
        <v>16</v>
      </c>
      <c r="E3553">
        <f t="shared" ref="E3553" si="10590">_xlfn.NUMBERVALUE(MID(C3553,4,2))</f>
        <v>11</v>
      </c>
      <c r="F3553">
        <f t="shared" ref="F3553" si="10591">_xlfn.NUMBERVALUE(RIGHT(C3553,4))</f>
        <v>2024</v>
      </c>
      <c r="G3553" t="s">
        <v>7</v>
      </c>
      <c r="H3553">
        <v>-2</v>
      </c>
      <c r="K3553" t="s">
        <v>9</v>
      </c>
      <c r="L3553" s="8">
        <f t="shared" si="10323"/>
        <v>-1</v>
      </c>
      <c r="M3553" t="s">
        <v>3927</v>
      </c>
    </row>
    <row r="3554" spans="1:13" x14ac:dyDescent="0.35">
      <c r="A3554">
        <f t="shared" si="10250"/>
        <v>3550</v>
      </c>
      <c r="B3554" s="9">
        <f t="shared" ref="B3554" si="10592">B3553+H3554+I3554+J3554</f>
        <v>106.97</v>
      </c>
      <c r="C3554" s="3" t="s">
        <v>3915</v>
      </c>
      <c r="D3554">
        <f t="shared" ref="D3554" si="10593">_xlfn.NUMBERVALUE(LEFT(C3554,2))</f>
        <v>16</v>
      </c>
      <c r="E3554">
        <f t="shared" ref="E3554" si="10594">_xlfn.NUMBERVALUE(MID(C3554,4,2))</f>
        <v>11</v>
      </c>
      <c r="F3554">
        <f t="shared" ref="F3554" si="10595">_xlfn.NUMBERVALUE(RIGHT(C3554,4))</f>
        <v>2024</v>
      </c>
      <c r="G3554" t="s">
        <v>7</v>
      </c>
      <c r="H3554">
        <v>-2</v>
      </c>
      <c r="K3554" t="s">
        <v>9</v>
      </c>
      <c r="L3554" s="8">
        <f t="shared" si="10323"/>
        <v>-1</v>
      </c>
      <c r="M3554" t="s">
        <v>3928</v>
      </c>
    </row>
    <row r="3555" spans="1:13" x14ac:dyDescent="0.35">
      <c r="A3555">
        <f t="shared" si="10250"/>
        <v>3551</v>
      </c>
      <c r="B3555" s="9">
        <f t="shared" ref="B3555" si="10596">B3554+H3555+I3555+J3555</f>
        <v>110.97</v>
      </c>
      <c r="C3555" s="3" t="s">
        <v>3915</v>
      </c>
      <c r="D3555">
        <f t="shared" ref="D3555" si="10597">_xlfn.NUMBERVALUE(LEFT(C3555,2))</f>
        <v>16</v>
      </c>
      <c r="E3555">
        <f t="shared" ref="E3555" si="10598">_xlfn.NUMBERVALUE(MID(C3555,4,2))</f>
        <v>11</v>
      </c>
      <c r="F3555">
        <f t="shared" ref="F3555:F3556" si="10599">_xlfn.NUMBERVALUE(RIGHT(C3555,4))</f>
        <v>2024</v>
      </c>
      <c r="G3555" t="s">
        <v>7</v>
      </c>
      <c r="H3555">
        <v>-2</v>
      </c>
      <c r="I3555">
        <v>6</v>
      </c>
      <c r="K3555" t="s">
        <v>10</v>
      </c>
      <c r="L3555" s="8">
        <f t="shared" si="10323"/>
        <v>2</v>
      </c>
      <c r="M3555" t="s">
        <v>3929</v>
      </c>
    </row>
    <row r="3556" spans="1:13" x14ac:dyDescent="0.35">
      <c r="A3556">
        <f t="shared" si="10250"/>
        <v>3552</v>
      </c>
      <c r="B3556" s="9">
        <f t="shared" ref="B3556" si="10600">B3555+H3556+I3556+J3556</f>
        <v>110.97</v>
      </c>
      <c r="C3556" s="3" t="s">
        <v>3915</v>
      </c>
      <c r="D3556">
        <f t="shared" ref="D3556" si="10601">_xlfn.NUMBERVALUE(LEFT(C3556,2))</f>
        <v>16</v>
      </c>
      <c r="E3556">
        <f t="shared" ref="E3556" si="10602">_xlfn.NUMBERVALUE(MID(C3556,4,2))</f>
        <v>11</v>
      </c>
      <c r="F3556">
        <f t="shared" si="10599"/>
        <v>2024</v>
      </c>
      <c r="G3556" t="s">
        <v>3039</v>
      </c>
      <c r="K3556" t="s">
        <v>9</v>
      </c>
      <c r="L3556" s="8">
        <f t="shared" si="10323"/>
        <v>0</v>
      </c>
      <c r="M3556" t="s">
        <v>3930</v>
      </c>
    </row>
    <row r="3557" spans="1:13" x14ac:dyDescent="0.35">
      <c r="A3557">
        <f t="shared" si="10250"/>
        <v>3553</v>
      </c>
      <c r="B3557" s="9">
        <f t="shared" ref="B3557:B3558" si="10603">B3556+H3557+I3557+J3557</f>
        <v>110.97</v>
      </c>
      <c r="C3557" s="3" t="s">
        <v>3915</v>
      </c>
      <c r="D3557">
        <f t="shared" ref="D3557:D3558" si="10604">_xlfn.NUMBERVALUE(LEFT(C3557,2))</f>
        <v>16</v>
      </c>
      <c r="E3557">
        <f t="shared" ref="E3557:E3558" si="10605">_xlfn.NUMBERVALUE(MID(C3557,4,2))</f>
        <v>11</v>
      </c>
      <c r="F3557">
        <f t="shared" ref="F3557:F3558" si="10606">_xlfn.NUMBERVALUE(RIGHT(C3557,4))</f>
        <v>2024</v>
      </c>
      <c r="G3557" t="s">
        <v>2969</v>
      </c>
      <c r="K3557" t="s">
        <v>9</v>
      </c>
      <c r="L3557" s="8">
        <f t="shared" si="10323"/>
        <v>0</v>
      </c>
      <c r="M3557" t="s">
        <v>3931</v>
      </c>
    </row>
    <row r="3558" spans="1:13" x14ac:dyDescent="0.35">
      <c r="A3558">
        <f t="shared" si="10250"/>
        <v>3554</v>
      </c>
      <c r="B3558" s="9">
        <f t="shared" si="10603"/>
        <v>108.97</v>
      </c>
      <c r="C3558" s="3" t="s">
        <v>3915</v>
      </c>
      <c r="D3558">
        <f t="shared" si="10604"/>
        <v>16</v>
      </c>
      <c r="E3558">
        <f t="shared" si="10605"/>
        <v>11</v>
      </c>
      <c r="F3558">
        <f t="shared" si="10606"/>
        <v>2024</v>
      </c>
      <c r="G3558" t="s">
        <v>7</v>
      </c>
      <c r="H3558">
        <v>-2</v>
      </c>
      <c r="K3558" t="s">
        <v>9</v>
      </c>
      <c r="L3558" s="8">
        <f t="shared" si="10323"/>
        <v>-1</v>
      </c>
      <c r="M3558" t="s">
        <v>3932</v>
      </c>
    </row>
    <row r="3559" spans="1:13" x14ac:dyDescent="0.35">
      <c r="A3559">
        <f t="shared" si="10250"/>
        <v>3555</v>
      </c>
      <c r="B3559" s="9">
        <f t="shared" ref="B3559" si="10607">B3558+H3559+I3559+J3559</f>
        <v>110.97</v>
      </c>
      <c r="C3559" s="3" t="s">
        <v>3915</v>
      </c>
      <c r="D3559">
        <f t="shared" ref="D3559" si="10608">_xlfn.NUMBERVALUE(LEFT(C3559,2))</f>
        <v>16</v>
      </c>
      <c r="E3559">
        <f t="shared" ref="E3559" si="10609">_xlfn.NUMBERVALUE(MID(C3559,4,2))</f>
        <v>11</v>
      </c>
      <c r="F3559">
        <f t="shared" ref="F3559" si="10610">_xlfn.NUMBERVALUE(RIGHT(C3559,4))</f>
        <v>2024</v>
      </c>
      <c r="G3559" t="s">
        <v>7</v>
      </c>
      <c r="H3559">
        <v>-2</v>
      </c>
      <c r="I3559">
        <v>4</v>
      </c>
      <c r="K3559" t="s">
        <v>10</v>
      </c>
      <c r="L3559" s="8">
        <f t="shared" si="10323"/>
        <v>1</v>
      </c>
      <c r="M3559" t="s">
        <v>3933</v>
      </c>
    </row>
    <row r="3560" spans="1:13" x14ac:dyDescent="0.35">
      <c r="A3560">
        <f t="shared" si="10250"/>
        <v>3556</v>
      </c>
      <c r="B3560" s="9">
        <f t="shared" ref="B3560" si="10611">B3559+H3560+I3560+J3560</f>
        <v>112.97</v>
      </c>
      <c r="C3560" s="3" t="s">
        <v>3915</v>
      </c>
      <c r="D3560">
        <f t="shared" ref="D3560" si="10612">_xlfn.NUMBERVALUE(LEFT(C3560,2))</f>
        <v>16</v>
      </c>
      <c r="E3560">
        <f t="shared" ref="E3560" si="10613">_xlfn.NUMBERVALUE(MID(C3560,4,2))</f>
        <v>11</v>
      </c>
      <c r="F3560">
        <f t="shared" ref="F3560" si="10614">_xlfn.NUMBERVALUE(RIGHT(C3560,4))</f>
        <v>2024</v>
      </c>
      <c r="G3560" t="s">
        <v>7</v>
      </c>
      <c r="H3560">
        <v>-2</v>
      </c>
      <c r="I3560">
        <v>4</v>
      </c>
      <c r="K3560" t="s">
        <v>10</v>
      </c>
      <c r="L3560" s="8">
        <f t="shared" si="10323"/>
        <v>1</v>
      </c>
      <c r="M3560" t="s">
        <v>3934</v>
      </c>
    </row>
    <row r="3561" spans="1:13" x14ac:dyDescent="0.35">
      <c r="A3561">
        <f t="shared" si="10250"/>
        <v>3557</v>
      </c>
      <c r="B3561" s="9">
        <f t="shared" ref="B3561:B3563" si="10615">B3560+H3561+I3561+J3561</f>
        <v>110.97</v>
      </c>
      <c r="C3561" s="3" t="s">
        <v>3915</v>
      </c>
      <c r="D3561">
        <f t="shared" ref="D3561:D3563" si="10616">_xlfn.NUMBERVALUE(LEFT(C3561,2))</f>
        <v>16</v>
      </c>
      <c r="E3561">
        <f t="shared" ref="E3561:E3563" si="10617">_xlfn.NUMBERVALUE(MID(C3561,4,2))</f>
        <v>11</v>
      </c>
      <c r="F3561">
        <f t="shared" ref="F3561:F3563" si="10618">_xlfn.NUMBERVALUE(RIGHT(C3561,4))</f>
        <v>2024</v>
      </c>
      <c r="G3561" t="s">
        <v>7</v>
      </c>
      <c r="H3561">
        <v>-2</v>
      </c>
      <c r="K3561" t="s">
        <v>9</v>
      </c>
      <c r="L3561" s="8">
        <f t="shared" si="10323"/>
        <v>-1</v>
      </c>
      <c r="M3561" t="s">
        <v>3935</v>
      </c>
    </row>
    <row r="3562" spans="1:13" x14ac:dyDescent="0.35">
      <c r="A3562">
        <f t="shared" si="10250"/>
        <v>3558</v>
      </c>
      <c r="B3562" s="9">
        <f t="shared" si="10615"/>
        <v>110.97</v>
      </c>
      <c r="C3562" s="3" t="s">
        <v>3915</v>
      </c>
      <c r="D3562">
        <f t="shared" si="10616"/>
        <v>16</v>
      </c>
      <c r="E3562">
        <f t="shared" si="10617"/>
        <v>11</v>
      </c>
      <c r="F3562">
        <f t="shared" si="10618"/>
        <v>2024</v>
      </c>
      <c r="G3562" t="s">
        <v>2969</v>
      </c>
      <c r="K3562" t="s">
        <v>10</v>
      </c>
      <c r="L3562" s="8">
        <f t="shared" si="10323"/>
        <v>0</v>
      </c>
      <c r="M3562" t="s">
        <v>3938</v>
      </c>
    </row>
    <row r="3563" spans="1:13" x14ac:dyDescent="0.35">
      <c r="A3563">
        <f t="shared" si="10250"/>
        <v>3559</v>
      </c>
      <c r="B3563" s="9">
        <f t="shared" si="10615"/>
        <v>108.97</v>
      </c>
      <c r="C3563" s="3" t="s">
        <v>3915</v>
      </c>
      <c r="D3563">
        <f t="shared" si="10616"/>
        <v>16</v>
      </c>
      <c r="E3563">
        <f t="shared" si="10617"/>
        <v>11</v>
      </c>
      <c r="F3563">
        <f t="shared" si="10618"/>
        <v>2024</v>
      </c>
      <c r="G3563" t="s">
        <v>7</v>
      </c>
      <c r="H3563">
        <v>-2</v>
      </c>
      <c r="K3563" t="s">
        <v>9</v>
      </c>
      <c r="L3563" s="8">
        <f t="shared" si="10323"/>
        <v>-1</v>
      </c>
      <c r="M3563" t="s">
        <v>3936</v>
      </c>
    </row>
    <row r="3564" spans="1:13" x14ac:dyDescent="0.35">
      <c r="A3564">
        <f t="shared" ref="A3564:A3721" si="10619">A3563+1</f>
        <v>3560</v>
      </c>
      <c r="B3564" s="9">
        <f t="shared" ref="B3564" si="10620">B3563+H3564+I3564+J3564</f>
        <v>110.97</v>
      </c>
      <c r="C3564" s="3" t="s">
        <v>3915</v>
      </c>
      <c r="D3564">
        <f t="shared" ref="D3564" si="10621">_xlfn.NUMBERVALUE(LEFT(C3564,2))</f>
        <v>16</v>
      </c>
      <c r="E3564">
        <f t="shared" ref="E3564" si="10622">_xlfn.NUMBERVALUE(MID(C3564,4,2))</f>
        <v>11</v>
      </c>
      <c r="F3564">
        <f t="shared" ref="F3564" si="10623">_xlfn.NUMBERVALUE(RIGHT(C3564,4))</f>
        <v>2024</v>
      </c>
      <c r="G3564" t="s">
        <v>7</v>
      </c>
      <c r="H3564">
        <v>-2</v>
      </c>
      <c r="I3564">
        <v>4</v>
      </c>
      <c r="K3564" t="s">
        <v>10</v>
      </c>
      <c r="L3564" s="8">
        <f t="shared" si="10323"/>
        <v>1</v>
      </c>
      <c r="M3564" t="s">
        <v>3937</v>
      </c>
    </row>
    <row r="3565" spans="1:13" x14ac:dyDescent="0.35">
      <c r="A3565">
        <f t="shared" si="10619"/>
        <v>3561</v>
      </c>
      <c r="B3565" s="9">
        <f t="shared" ref="B3565" si="10624">B3564+H3565+I3565+J3565</f>
        <v>110.97</v>
      </c>
      <c r="C3565" s="3" t="s">
        <v>3940</v>
      </c>
      <c r="D3565">
        <f t="shared" ref="D3565" si="10625">_xlfn.NUMBERVALUE(LEFT(C3565,2))</f>
        <v>17</v>
      </c>
      <c r="E3565">
        <f t="shared" ref="E3565" si="10626">_xlfn.NUMBERVALUE(MID(C3565,4,2))</f>
        <v>11</v>
      </c>
      <c r="F3565">
        <f t="shared" ref="F3565" si="10627">_xlfn.NUMBERVALUE(RIGHT(C3565,4))</f>
        <v>2024</v>
      </c>
      <c r="G3565" t="s">
        <v>7</v>
      </c>
      <c r="K3565" t="s">
        <v>9</v>
      </c>
      <c r="L3565" s="8">
        <f t="shared" si="10323"/>
        <v>0</v>
      </c>
      <c r="M3565" t="s">
        <v>3939</v>
      </c>
    </row>
    <row r="3566" spans="1:13" x14ac:dyDescent="0.35">
      <c r="A3566">
        <f t="shared" si="10619"/>
        <v>3562</v>
      </c>
      <c r="B3566" s="9">
        <f t="shared" ref="B3566" si="10628">B3565+H3566+I3566+J3566</f>
        <v>108.97</v>
      </c>
      <c r="C3566" s="3" t="s">
        <v>3940</v>
      </c>
      <c r="D3566">
        <f t="shared" ref="D3566" si="10629">_xlfn.NUMBERVALUE(LEFT(C3566,2))</f>
        <v>17</v>
      </c>
      <c r="E3566">
        <f t="shared" ref="E3566" si="10630">_xlfn.NUMBERVALUE(MID(C3566,4,2))</f>
        <v>11</v>
      </c>
      <c r="F3566">
        <f t="shared" ref="F3566" si="10631">_xlfn.NUMBERVALUE(RIGHT(C3566,4))</f>
        <v>2024</v>
      </c>
      <c r="G3566" t="s">
        <v>7</v>
      </c>
      <c r="H3566">
        <v>-2</v>
      </c>
      <c r="K3566" t="s">
        <v>9</v>
      </c>
      <c r="L3566" s="8">
        <f t="shared" si="10323"/>
        <v>-1</v>
      </c>
      <c r="M3566" t="s">
        <v>3941</v>
      </c>
    </row>
    <row r="3567" spans="1:13" x14ac:dyDescent="0.35">
      <c r="A3567">
        <f t="shared" si="10619"/>
        <v>3563</v>
      </c>
      <c r="B3567" s="9">
        <f t="shared" ref="B3567:B3570" si="10632">B3566+H3567+I3567+J3567</f>
        <v>106.97</v>
      </c>
      <c r="C3567" s="3" t="s">
        <v>3940</v>
      </c>
      <c r="D3567">
        <f t="shared" ref="D3567:D3570" si="10633">_xlfn.NUMBERVALUE(LEFT(C3567,2))</f>
        <v>17</v>
      </c>
      <c r="E3567">
        <f t="shared" ref="E3567:E3570" si="10634">_xlfn.NUMBERVALUE(MID(C3567,4,2))</f>
        <v>11</v>
      </c>
      <c r="F3567">
        <f t="shared" ref="F3567:F3570" si="10635">_xlfn.NUMBERVALUE(RIGHT(C3567,4))</f>
        <v>2024</v>
      </c>
      <c r="G3567" t="s">
        <v>7</v>
      </c>
      <c r="H3567">
        <v>-2</v>
      </c>
      <c r="K3567" t="s">
        <v>9</v>
      </c>
      <c r="L3567" s="8">
        <f t="shared" si="10323"/>
        <v>-1</v>
      </c>
      <c r="M3567" t="s">
        <v>3942</v>
      </c>
    </row>
    <row r="3568" spans="1:13" x14ac:dyDescent="0.35">
      <c r="A3568">
        <f t="shared" si="10619"/>
        <v>3564</v>
      </c>
      <c r="B3568" s="9">
        <f t="shared" si="10632"/>
        <v>104.97</v>
      </c>
      <c r="C3568" s="3" t="s">
        <v>3940</v>
      </c>
      <c r="D3568">
        <f t="shared" si="10633"/>
        <v>17</v>
      </c>
      <c r="E3568">
        <f t="shared" si="10634"/>
        <v>11</v>
      </c>
      <c r="F3568">
        <f t="shared" si="10635"/>
        <v>2024</v>
      </c>
      <c r="G3568" t="s">
        <v>7</v>
      </c>
      <c r="H3568">
        <v>-2</v>
      </c>
      <c r="K3568" t="s">
        <v>9</v>
      </c>
      <c r="L3568" s="8">
        <f t="shared" si="10323"/>
        <v>-1</v>
      </c>
      <c r="M3568" t="s">
        <v>3943</v>
      </c>
    </row>
    <row r="3569" spans="1:13" x14ac:dyDescent="0.35">
      <c r="A3569">
        <f t="shared" si="10619"/>
        <v>3565</v>
      </c>
      <c r="B3569" s="9">
        <f t="shared" si="10632"/>
        <v>106.97</v>
      </c>
      <c r="C3569" s="3" t="s">
        <v>3940</v>
      </c>
      <c r="D3569">
        <f t="shared" si="10633"/>
        <v>17</v>
      </c>
      <c r="E3569">
        <f t="shared" si="10634"/>
        <v>11</v>
      </c>
      <c r="F3569">
        <f t="shared" si="10635"/>
        <v>2024</v>
      </c>
      <c r="G3569" t="s">
        <v>7</v>
      </c>
      <c r="H3569">
        <v>-2</v>
      </c>
      <c r="I3569">
        <v>4</v>
      </c>
      <c r="K3569" t="s">
        <v>10</v>
      </c>
      <c r="L3569" s="8">
        <f t="shared" si="10323"/>
        <v>1</v>
      </c>
      <c r="M3569" t="s">
        <v>3944</v>
      </c>
    </row>
    <row r="3570" spans="1:13" x14ac:dyDescent="0.35">
      <c r="A3570">
        <f t="shared" si="10619"/>
        <v>3566</v>
      </c>
      <c r="B3570" s="9">
        <f t="shared" si="10632"/>
        <v>110.97</v>
      </c>
      <c r="C3570" s="3" t="s">
        <v>3940</v>
      </c>
      <c r="D3570">
        <f t="shared" si="10633"/>
        <v>17</v>
      </c>
      <c r="E3570">
        <f t="shared" si="10634"/>
        <v>11</v>
      </c>
      <c r="F3570">
        <f t="shared" si="10635"/>
        <v>2024</v>
      </c>
      <c r="G3570" t="s">
        <v>7</v>
      </c>
      <c r="H3570">
        <v>-2</v>
      </c>
      <c r="I3570">
        <v>6</v>
      </c>
      <c r="K3570" t="s">
        <v>10</v>
      </c>
      <c r="L3570" s="8">
        <f t="shared" si="10323"/>
        <v>2</v>
      </c>
      <c r="M3570" t="s">
        <v>3945</v>
      </c>
    </row>
    <row r="3571" spans="1:13" x14ac:dyDescent="0.35">
      <c r="A3571">
        <f t="shared" si="10619"/>
        <v>3567</v>
      </c>
      <c r="B3571" s="9">
        <f t="shared" ref="B3571" si="10636">B3570+H3571+I3571+J3571</f>
        <v>112.97</v>
      </c>
      <c r="C3571" s="3" t="s">
        <v>3940</v>
      </c>
      <c r="D3571">
        <f t="shared" ref="D3571" si="10637">_xlfn.NUMBERVALUE(LEFT(C3571,2))</f>
        <v>17</v>
      </c>
      <c r="E3571">
        <f t="shared" ref="E3571" si="10638">_xlfn.NUMBERVALUE(MID(C3571,4,2))</f>
        <v>11</v>
      </c>
      <c r="F3571">
        <f t="shared" ref="F3571" si="10639">_xlfn.NUMBERVALUE(RIGHT(C3571,4))</f>
        <v>2024</v>
      </c>
      <c r="G3571" t="s">
        <v>7</v>
      </c>
      <c r="H3571">
        <v>-2</v>
      </c>
      <c r="I3571">
        <v>4</v>
      </c>
      <c r="K3571" t="s">
        <v>10</v>
      </c>
      <c r="L3571" s="8">
        <f t="shared" si="10323"/>
        <v>1</v>
      </c>
      <c r="M3571" t="s">
        <v>3946</v>
      </c>
    </row>
    <row r="3572" spans="1:13" x14ac:dyDescent="0.35">
      <c r="A3572">
        <f t="shared" si="10619"/>
        <v>3568</v>
      </c>
      <c r="B3572" s="9">
        <f t="shared" ref="B3572:B3575" si="10640">B3571+H3572+I3572+J3572</f>
        <v>114.97</v>
      </c>
      <c r="C3572" s="3" t="s">
        <v>3940</v>
      </c>
      <c r="D3572">
        <f t="shared" ref="D3572:D3575" si="10641">_xlfn.NUMBERVALUE(LEFT(C3572,2))</f>
        <v>17</v>
      </c>
      <c r="E3572">
        <f t="shared" ref="E3572:E3575" si="10642">_xlfn.NUMBERVALUE(MID(C3572,4,2))</f>
        <v>11</v>
      </c>
      <c r="F3572">
        <f t="shared" ref="F3572:F3575" si="10643">_xlfn.NUMBERVALUE(RIGHT(C3572,4))</f>
        <v>2024</v>
      </c>
      <c r="G3572" t="s">
        <v>7</v>
      </c>
      <c r="H3572">
        <v>-2</v>
      </c>
      <c r="I3572">
        <v>4</v>
      </c>
      <c r="K3572" t="s">
        <v>10</v>
      </c>
      <c r="L3572" s="8">
        <f t="shared" si="10323"/>
        <v>1</v>
      </c>
      <c r="M3572" t="s">
        <v>3947</v>
      </c>
    </row>
    <row r="3573" spans="1:13" x14ac:dyDescent="0.35">
      <c r="A3573">
        <f t="shared" si="10619"/>
        <v>3569</v>
      </c>
      <c r="B3573" s="9">
        <f t="shared" si="10640"/>
        <v>116.97</v>
      </c>
      <c r="C3573" s="3" t="s">
        <v>3940</v>
      </c>
      <c r="D3573">
        <f t="shared" si="10641"/>
        <v>17</v>
      </c>
      <c r="E3573">
        <f t="shared" si="10642"/>
        <v>11</v>
      </c>
      <c r="F3573">
        <f t="shared" si="10643"/>
        <v>2024</v>
      </c>
      <c r="G3573" t="s">
        <v>7</v>
      </c>
      <c r="H3573">
        <v>-2</v>
      </c>
      <c r="I3573">
        <v>4</v>
      </c>
      <c r="K3573" t="s">
        <v>10</v>
      </c>
      <c r="L3573" s="8">
        <f t="shared" si="10323"/>
        <v>1</v>
      </c>
      <c r="M3573" t="s">
        <v>3948</v>
      </c>
    </row>
    <row r="3574" spans="1:13" x14ac:dyDescent="0.35">
      <c r="A3574">
        <f t="shared" si="10619"/>
        <v>3570</v>
      </c>
      <c r="B3574" s="9">
        <f t="shared" si="10640"/>
        <v>114.97</v>
      </c>
      <c r="C3574" s="3" t="s">
        <v>3940</v>
      </c>
      <c r="D3574">
        <f t="shared" si="10641"/>
        <v>17</v>
      </c>
      <c r="E3574">
        <f t="shared" si="10642"/>
        <v>11</v>
      </c>
      <c r="F3574">
        <f t="shared" si="10643"/>
        <v>2024</v>
      </c>
      <c r="G3574" t="s">
        <v>7</v>
      </c>
      <c r="H3574">
        <v>-2</v>
      </c>
      <c r="K3574" t="s">
        <v>9</v>
      </c>
      <c r="L3574" s="8">
        <f t="shared" si="10323"/>
        <v>-1</v>
      </c>
      <c r="M3574" t="s">
        <v>3949</v>
      </c>
    </row>
    <row r="3575" spans="1:13" x14ac:dyDescent="0.35">
      <c r="A3575">
        <f t="shared" si="10619"/>
        <v>3571</v>
      </c>
      <c r="B3575" s="9">
        <f t="shared" si="10640"/>
        <v>112.97</v>
      </c>
      <c r="C3575" s="3" t="s">
        <v>3940</v>
      </c>
      <c r="D3575">
        <f t="shared" si="10641"/>
        <v>17</v>
      </c>
      <c r="E3575">
        <f t="shared" si="10642"/>
        <v>11</v>
      </c>
      <c r="F3575">
        <f t="shared" si="10643"/>
        <v>2024</v>
      </c>
      <c r="G3575" t="s">
        <v>7</v>
      </c>
      <c r="H3575">
        <v>-2</v>
      </c>
      <c r="K3575" t="s">
        <v>9</v>
      </c>
      <c r="L3575" s="8">
        <f t="shared" si="10323"/>
        <v>-1</v>
      </c>
      <c r="M3575" t="s">
        <v>3950</v>
      </c>
    </row>
    <row r="3576" spans="1:13" x14ac:dyDescent="0.35">
      <c r="A3576">
        <f t="shared" si="10619"/>
        <v>3572</v>
      </c>
      <c r="B3576" s="9">
        <f t="shared" ref="B3576" si="10644">B3575+H3576+I3576+J3576</f>
        <v>110.97</v>
      </c>
      <c r="C3576" s="3" t="s">
        <v>3940</v>
      </c>
      <c r="D3576">
        <f t="shared" ref="D3576" si="10645">_xlfn.NUMBERVALUE(LEFT(C3576,2))</f>
        <v>17</v>
      </c>
      <c r="E3576">
        <f t="shared" ref="E3576" si="10646">_xlfn.NUMBERVALUE(MID(C3576,4,2))</f>
        <v>11</v>
      </c>
      <c r="F3576">
        <f t="shared" ref="F3576" si="10647">_xlfn.NUMBERVALUE(RIGHT(C3576,4))</f>
        <v>2024</v>
      </c>
      <c r="G3576" t="s">
        <v>7</v>
      </c>
      <c r="H3576">
        <v>-2</v>
      </c>
      <c r="K3576" t="s">
        <v>9</v>
      </c>
      <c r="L3576" s="8">
        <f t="shared" si="10323"/>
        <v>-1</v>
      </c>
      <c r="M3576" t="s">
        <v>3951</v>
      </c>
    </row>
    <row r="3577" spans="1:13" x14ac:dyDescent="0.35">
      <c r="A3577">
        <f t="shared" si="10619"/>
        <v>3573</v>
      </c>
      <c r="B3577" s="9">
        <f t="shared" ref="B3577" si="10648">B3576+H3577+I3577+J3577</f>
        <v>108.97</v>
      </c>
      <c r="C3577" s="3" t="s">
        <v>3940</v>
      </c>
      <c r="D3577">
        <f t="shared" ref="D3577" si="10649">_xlfn.NUMBERVALUE(LEFT(C3577,2))</f>
        <v>17</v>
      </c>
      <c r="E3577">
        <f t="shared" ref="E3577" si="10650">_xlfn.NUMBERVALUE(MID(C3577,4,2))</f>
        <v>11</v>
      </c>
      <c r="F3577">
        <f t="shared" ref="F3577" si="10651">_xlfn.NUMBERVALUE(RIGHT(C3577,4))</f>
        <v>2024</v>
      </c>
      <c r="G3577" t="s">
        <v>7</v>
      </c>
      <c r="H3577">
        <v>-2</v>
      </c>
      <c r="K3577" t="s">
        <v>9</v>
      </c>
      <c r="L3577" s="8">
        <f t="shared" si="10323"/>
        <v>-1</v>
      </c>
      <c r="M3577" t="s">
        <v>3952</v>
      </c>
    </row>
    <row r="3578" spans="1:13" x14ac:dyDescent="0.35">
      <c r="A3578">
        <f t="shared" si="10619"/>
        <v>3574</v>
      </c>
      <c r="B3578" s="9">
        <f t="shared" ref="B3578" si="10652">B3577+H3578+I3578+J3578</f>
        <v>106.97</v>
      </c>
      <c r="C3578" s="3" t="s">
        <v>3940</v>
      </c>
      <c r="D3578">
        <f t="shared" ref="D3578" si="10653">_xlfn.NUMBERVALUE(LEFT(C3578,2))</f>
        <v>17</v>
      </c>
      <c r="E3578">
        <f t="shared" ref="E3578" si="10654">_xlfn.NUMBERVALUE(MID(C3578,4,2))</f>
        <v>11</v>
      </c>
      <c r="F3578">
        <f t="shared" ref="F3578" si="10655">_xlfn.NUMBERVALUE(RIGHT(C3578,4))</f>
        <v>2024</v>
      </c>
      <c r="G3578" t="s">
        <v>7</v>
      </c>
      <c r="H3578">
        <v>-2</v>
      </c>
      <c r="K3578" t="s">
        <v>9</v>
      </c>
      <c r="L3578" s="8">
        <f t="shared" ref="L3578:L3648" si="10656">IF(H3578="",0,(SUM(I3578:J3578)/-H3578)-1)</f>
        <v>-1</v>
      </c>
      <c r="M3578" t="s">
        <v>3953</v>
      </c>
    </row>
    <row r="3579" spans="1:13" x14ac:dyDescent="0.35">
      <c r="A3579">
        <f t="shared" si="10619"/>
        <v>3575</v>
      </c>
      <c r="B3579" s="9">
        <f t="shared" ref="B3579:B3580" si="10657">B3578+H3579+I3579+J3579</f>
        <v>104.97</v>
      </c>
      <c r="C3579" s="3" t="s">
        <v>3940</v>
      </c>
      <c r="D3579">
        <f t="shared" ref="D3579:D3580" si="10658">_xlfn.NUMBERVALUE(LEFT(C3579,2))</f>
        <v>17</v>
      </c>
      <c r="E3579">
        <f t="shared" ref="E3579:E3580" si="10659">_xlfn.NUMBERVALUE(MID(C3579,4,2))</f>
        <v>11</v>
      </c>
      <c r="F3579">
        <f t="shared" ref="F3579:F3580" si="10660">_xlfn.NUMBERVALUE(RIGHT(C3579,4))</f>
        <v>2024</v>
      </c>
      <c r="G3579" t="s">
        <v>7</v>
      </c>
      <c r="H3579">
        <v>-2</v>
      </c>
      <c r="K3579" t="s">
        <v>9</v>
      </c>
      <c r="L3579" s="8">
        <f t="shared" si="10656"/>
        <v>-1</v>
      </c>
      <c r="M3579" t="s">
        <v>3954</v>
      </c>
    </row>
    <row r="3580" spans="1:13" x14ac:dyDescent="0.35">
      <c r="A3580">
        <f t="shared" si="10619"/>
        <v>3576</v>
      </c>
      <c r="B3580" s="9">
        <f t="shared" si="10657"/>
        <v>102.97</v>
      </c>
      <c r="C3580" s="3" t="s">
        <v>3940</v>
      </c>
      <c r="D3580">
        <f t="shared" si="10658"/>
        <v>17</v>
      </c>
      <c r="E3580">
        <f t="shared" si="10659"/>
        <v>11</v>
      </c>
      <c r="F3580">
        <f t="shared" si="10660"/>
        <v>2024</v>
      </c>
      <c r="G3580" t="s">
        <v>7</v>
      </c>
      <c r="H3580">
        <v>-2</v>
      </c>
      <c r="K3580" t="s">
        <v>9</v>
      </c>
      <c r="L3580" s="8">
        <f t="shared" si="10656"/>
        <v>-1</v>
      </c>
      <c r="M3580" t="s">
        <v>3955</v>
      </c>
    </row>
    <row r="3581" spans="1:13" x14ac:dyDescent="0.35">
      <c r="A3581">
        <f t="shared" si="10619"/>
        <v>3577</v>
      </c>
      <c r="B3581" s="9">
        <f t="shared" ref="B3581:B3585" si="10661">B3580+H3581+I3581+J3581</f>
        <v>100.97</v>
      </c>
      <c r="C3581" s="3" t="s">
        <v>3940</v>
      </c>
      <c r="D3581">
        <f t="shared" ref="D3581:D3585" si="10662">_xlfn.NUMBERVALUE(LEFT(C3581,2))</f>
        <v>17</v>
      </c>
      <c r="E3581">
        <f t="shared" ref="E3581:E3585" si="10663">_xlfn.NUMBERVALUE(MID(C3581,4,2))</f>
        <v>11</v>
      </c>
      <c r="F3581">
        <f t="shared" ref="F3581:F3585" si="10664">_xlfn.NUMBERVALUE(RIGHT(C3581,4))</f>
        <v>2024</v>
      </c>
      <c r="G3581" t="s">
        <v>7</v>
      </c>
      <c r="H3581">
        <v>-2</v>
      </c>
      <c r="K3581" t="s">
        <v>9</v>
      </c>
      <c r="L3581" s="8">
        <f t="shared" si="10656"/>
        <v>-1</v>
      </c>
      <c r="M3581" t="s">
        <v>3956</v>
      </c>
    </row>
    <row r="3582" spans="1:13" x14ac:dyDescent="0.35">
      <c r="A3582">
        <f t="shared" si="10619"/>
        <v>3578</v>
      </c>
      <c r="B3582" s="9">
        <f t="shared" si="10661"/>
        <v>102.97</v>
      </c>
      <c r="C3582" s="3" t="s">
        <v>3940</v>
      </c>
      <c r="D3582">
        <f t="shared" si="10662"/>
        <v>17</v>
      </c>
      <c r="E3582">
        <f t="shared" si="10663"/>
        <v>11</v>
      </c>
      <c r="F3582">
        <f t="shared" si="10664"/>
        <v>2024</v>
      </c>
      <c r="G3582" t="s">
        <v>7</v>
      </c>
      <c r="H3582">
        <v>-2</v>
      </c>
      <c r="I3582">
        <v>4</v>
      </c>
      <c r="K3582" t="s">
        <v>10</v>
      </c>
      <c r="L3582" s="8">
        <f t="shared" si="10656"/>
        <v>1</v>
      </c>
      <c r="M3582" t="s">
        <v>3957</v>
      </c>
    </row>
    <row r="3583" spans="1:13" x14ac:dyDescent="0.35">
      <c r="A3583">
        <f t="shared" si="10619"/>
        <v>3579</v>
      </c>
      <c r="B3583" s="9">
        <f t="shared" si="10661"/>
        <v>100.97</v>
      </c>
      <c r="C3583" s="3" t="s">
        <v>3940</v>
      </c>
      <c r="D3583">
        <f t="shared" si="10662"/>
        <v>17</v>
      </c>
      <c r="E3583">
        <f t="shared" si="10663"/>
        <v>11</v>
      </c>
      <c r="F3583">
        <f t="shared" si="10664"/>
        <v>2024</v>
      </c>
      <c r="G3583" t="s">
        <v>7</v>
      </c>
      <c r="H3583">
        <v>-2</v>
      </c>
      <c r="K3583" t="s">
        <v>9</v>
      </c>
      <c r="L3583" s="8">
        <f t="shared" si="10656"/>
        <v>-1</v>
      </c>
      <c r="M3583" t="s">
        <v>3958</v>
      </c>
    </row>
    <row r="3584" spans="1:13" x14ac:dyDescent="0.35">
      <c r="A3584">
        <f t="shared" si="10619"/>
        <v>3580</v>
      </c>
      <c r="B3584" s="9">
        <f t="shared" si="10661"/>
        <v>98.97</v>
      </c>
      <c r="C3584" s="3" t="s">
        <v>3940</v>
      </c>
      <c r="D3584">
        <f t="shared" si="10662"/>
        <v>17</v>
      </c>
      <c r="E3584">
        <f t="shared" si="10663"/>
        <v>11</v>
      </c>
      <c r="F3584">
        <f t="shared" si="10664"/>
        <v>2024</v>
      </c>
      <c r="G3584" t="s">
        <v>7</v>
      </c>
      <c r="H3584">
        <v>-2</v>
      </c>
      <c r="K3584" t="s">
        <v>9</v>
      </c>
      <c r="L3584" s="8">
        <f t="shared" si="10656"/>
        <v>-1</v>
      </c>
      <c r="M3584" t="s">
        <v>3959</v>
      </c>
    </row>
    <row r="3585" spans="1:13" x14ac:dyDescent="0.35">
      <c r="A3585">
        <f t="shared" si="10619"/>
        <v>3581</v>
      </c>
      <c r="B3585" s="9">
        <f t="shared" si="10661"/>
        <v>96.97</v>
      </c>
      <c r="C3585" s="3" t="s">
        <v>3940</v>
      </c>
      <c r="D3585">
        <f t="shared" si="10662"/>
        <v>17</v>
      </c>
      <c r="E3585">
        <f t="shared" si="10663"/>
        <v>11</v>
      </c>
      <c r="F3585">
        <f t="shared" si="10664"/>
        <v>2024</v>
      </c>
      <c r="G3585" t="s">
        <v>7</v>
      </c>
      <c r="H3585">
        <v>-2</v>
      </c>
      <c r="K3585" t="s">
        <v>9</v>
      </c>
      <c r="L3585" s="8">
        <f t="shared" si="10656"/>
        <v>-1</v>
      </c>
      <c r="M3585" t="s">
        <v>3960</v>
      </c>
    </row>
    <row r="3586" spans="1:13" x14ac:dyDescent="0.35">
      <c r="A3586">
        <f t="shared" si="10619"/>
        <v>3582</v>
      </c>
      <c r="B3586" s="9">
        <f t="shared" ref="B3586:B3590" si="10665">B3585+H3586+I3586+J3586</f>
        <v>94.97</v>
      </c>
      <c r="C3586" s="3" t="s">
        <v>3940</v>
      </c>
      <c r="D3586">
        <f t="shared" ref="D3586:D3590" si="10666">_xlfn.NUMBERVALUE(LEFT(C3586,2))</f>
        <v>17</v>
      </c>
      <c r="E3586">
        <f t="shared" ref="E3586:E3590" si="10667">_xlfn.NUMBERVALUE(MID(C3586,4,2))</f>
        <v>11</v>
      </c>
      <c r="F3586">
        <f t="shared" ref="F3586:F3590" si="10668">_xlfn.NUMBERVALUE(RIGHT(C3586,4))</f>
        <v>2024</v>
      </c>
      <c r="G3586" t="s">
        <v>7</v>
      </c>
      <c r="H3586">
        <v>-2</v>
      </c>
      <c r="K3586" t="s">
        <v>9</v>
      </c>
      <c r="L3586" s="8">
        <f t="shared" si="10656"/>
        <v>-1</v>
      </c>
      <c r="M3586" t="s">
        <v>3961</v>
      </c>
    </row>
    <row r="3587" spans="1:13" x14ac:dyDescent="0.35">
      <c r="A3587">
        <f t="shared" si="10619"/>
        <v>3583</v>
      </c>
      <c r="B3587" s="9">
        <f t="shared" si="10665"/>
        <v>92.97</v>
      </c>
      <c r="C3587" s="3" t="s">
        <v>3940</v>
      </c>
      <c r="D3587">
        <f t="shared" si="10666"/>
        <v>17</v>
      </c>
      <c r="E3587">
        <f t="shared" si="10667"/>
        <v>11</v>
      </c>
      <c r="F3587">
        <f t="shared" si="10668"/>
        <v>2024</v>
      </c>
      <c r="G3587" t="s">
        <v>7</v>
      </c>
      <c r="H3587">
        <v>-2</v>
      </c>
      <c r="K3587" t="s">
        <v>9</v>
      </c>
      <c r="L3587" s="8">
        <f t="shared" si="10656"/>
        <v>-1</v>
      </c>
      <c r="M3587" t="s">
        <v>3962</v>
      </c>
    </row>
    <row r="3588" spans="1:13" x14ac:dyDescent="0.35">
      <c r="A3588">
        <f t="shared" si="10619"/>
        <v>3584</v>
      </c>
      <c r="B3588" s="9">
        <f t="shared" si="10665"/>
        <v>90.97</v>
      </c>
      <c r="C3588" s="3" t="s">
        <v>3940</v>
      </c>
      <c r="D3588">
        <f t="shared" si="10666"/>
        <v>17</v>
      </c>
      <c r="E3588">
        <f t="shared" si="10667"/>
        <v>11</v>
      </c>
      <c r="F3588">
        <f t="shared" si="10668"/>
        <v>2024</v>
      </c>
      <c r="G3588" t="s">
        <v>7</v>
      </c>
      <c r="H3588">
        <v>-2</v>
      </c>
      <c r="K3588" t="s">
        <v>9</v>
      </c>
      <c r="L3588" s="8">
        <f t="shared" si="10656"/>
        <v>-1</v>
      </c>
      <c r="M3588" t="s">
        <v>3963</v>
      </c>
    </row>
    <row r="3589" spans="1:13" x14ac:dyDescent="0.35">
      <c r="A3589">
        <f t="shared" si="10619"/>
        <v>3585</v>
      </c>
      <c r="B3589" s="9">
        <f t="shared" si="10665"/>
        <v>88.97</v>
      </c>
      <c r="C3589" s="3" t="s">
        <v>3940</v>
      </c>
      <c r="D3589">
        <f t="shared" si="10666"/>
        <v>17</v>
      </c>
      <c r="E3589">
        <f t="shared" si="10667"/>
        <v>11</v>
      </c>
      <c r="F3589">
        <f t="shared" si="10668"/>
        <v>2024</v>
      </c>
      <c r="G3589" t="s">
        <v>7</v>
      </c>
      <c r="H3589">
        <v>-2</v>
      </c>
      <c r="K3589" t="s">
        <v>9</v>
      </c>
      <c r="L3589" s="8">
        <f t="shared" si="10656"/>
        <v>-1</v>
      </c>
      <c r="M3589" t="s">
        <v>3964</v>
      </c>
    </row>
    <row r="3590" spans="1:13" x14ac:dyDescent="0.35">
      <c r="A3590">
        <f t="shared" si="10619"/>
        <v>3586</v>
      </c>
      <c r="B3590" s="9">
        <f t="shared" si="10665"/>
        <v>90.97</v>
      </c>
      <c r="C3590" s="3" t="s">
        <v>3940</v>
      </c>
      <c r="D3590">
        <f t="shared" si="10666"/>
        <v>17</v>
      </c>
      <c r="E3590">
        <f t="shared" si="10667"/>
        <v>11</v>
      </c>
      <c r="F3590">
        <f t="shared" si="10668"/>
        <v>2024</v>
      </c>
      <c r="G3590" t="s">
        <v>7</v>
      </c>
      <c r="H3590">
        <v>-2</v>
      </c>
      <c r="I3590">
        <v>4</v>
      </c>
      <c r="K3590" t="s">
        <v>9</v>
      </c>
      <c r="L3590" s="8">
        <f t="shared" si="10656"/>
        <v>1</v>
      </c>
      <c r="M3590" t="s">
        <v>3965</v>
      </c>
    </row>
    <row r="3591" spans="1:13" x14ac:dyDescent="0.35">
      <c r="A3591">
        <f t="shared" si="10619"/>
        <v>3587</v>
      </c>
      <c r="B3591" s="9">
        <f t="shared" ref="B3591:B3595" si="10669">B3590+H3591+I3591+J3591</f>
        <v>88.97</v>
      </c>
      <c r="C3591" s="3" t="s">
        <v>3940</v>
      </c>
      <c r="D3591">
        <f t="shared" ref="D3591:D3595" si="10670">_xlfn.NUMBERVALUE(LEFT(C3591,2))</f>
        <v>17</v>
      </c>
      <c r="E3591">
        <f t="shared" ref="E3591:E3595" si="10671">_xlfn.NUMBERVALUE(MID(C3591,4,2))</f>
        <v>11</v>
      </c>
      <c r="F3591">
        <f t="shared" ref="F3591:F3595" si="10672">_xlfn.NUMBERVALUE(RIGHT(C3591,4))</f>
        <v>2024</v>
      </c>
      <c r="G3591" t="s">
        <v>7</v>
      </c>
      <c r="H3591">
        <v>-2</v>
      </c>
      <c r="K3591" t="s">
        <v>9</v>
      </c>
      <c r="L3591" s="8">
        <f t="shared" si="10656"/>
        <v>-1</v>
      </c>
      <c r="M3591" t="s">
        <v>3966</v>
      </c>
    </row>
    <row r="3592" spans="1:13" x14ac:dyDescent="0.35">
      <c r="A3592">
        <f t="shared" si="10619"/>
        <v>3588</v>
      </c>
      <c r="B3592" s="9">
        <f t="shared" si="10669"/>
        <v>92.97</v>
      </c>
      <c r="C3592" s="3" t="s">
        <v>3940</v>
      </c>
      <c r="D3592">
        <f t="shared" si="10670"/>
        <v>17</v>
      </c>
      <c r="E3592">
        <f t="shared" si="10671"/>
        <v>11</v>
      </c>
      <c r="F3592">
        <f t="shared" si="10672"/>
        <v>2024</v>
      </c>
      <c r="G3592" t="s">
        <v>7</v>
      </c>
      <c r="H3592">
        <v>-2</v>
      </c>
      <c r="I3592">
        <v>6</v>
      </c>
      <c r="K3592" t="s">
        <v>10</v>
      </c>
      <c r="L3592" s="8">
        <f t="shared" si="10656"/>
        <v>2</v>
      </c>
      <c r="M3592" t="s">
        <v>3967</v>
      </c>
    </row>
    <row r="3593" spans="1:13" x14ac:dyDescent="0.35">
      <c r="A3593">
        <f t="shared" si="10619"/>
        <v>3589</v>
      </c>
      <c r="B3593" s="9">
        <f t="shared" si="10669"/>
        <v>90.97</v>
      </c>
      <c r="C3593" s="3" t="s">
        <v>3940</v>
      </c>
      <c r="D3593">
        <f t="shared" si="10670"/>
        <v>17</v>
      </c>
      <c r="E3593">
        <f t="shared" si="10671"/>
        <v>11</v>
      </c>
      <c r="F3593">
        <f t="shared" si="10672"/>
        <v>2024</v>
      </c>
      <c r="G3593" t="s">
        <v>7</v>
      </c>
      <c r="H3593">
        <v>-2</v>
      </c>
      <c r="K3593" t="s">
        <v>9</v>
      </c>
      <c r="L3593" s="8">
        <f t="shared" si="10656"/>
        <v>-1</v>
      </c>
      <c r="M3593" t="s">
        <v>3968</v>
      </c>
    </row>
    <row r="3594" spans="1:13" x14ac:dyDescent="0.35">
      <c r="A3594">
        <f t="shared" si="10619"/>
        <v>3590</v>
      </c>
      <c r="B3594" s="9">
        <f t="shared" si="10669"/>
        <v>88.97</v>
      </c>
      <c r="C3594" s="3" t="s">
        <v>3940</v>
      </c>
      <c r="D3594">
        <f t="shared" si="10670"/>
        <v>17</v>
      </c>
      <c r="E3594">
        <f t="shared" si="10671"/>
        <v>11</v>
      </c>
      <c r="F3594">
        <f t="shared" si="10672"/>
        <v>2024</v>
      </c>
      <c r="G3594" t="s">
        <v>7</v>
      </c>
      <c r="H3594">
        <v>-2</v>
      </c>
      <c r="K3594" t="s">
        <v>9</v>
      </c>
      <c r="L3594" s="8">
        <f t="shared" si="10656"/>
        <v>-1</v>
      </c>
      <c r="M3594" t="s">
        <v>3969</v>
      </c>
    </row>
    <row r="3595" spans="1:13" x14ac:dyDescent="0.35">
      <c r="A3595">
        <f t="shared" si="10619"/>
        <v>3591</v>
      </c>
      <c r="B3595" s="9">
        <f t="shared" si="10669"/>
        <v>94.97</v>
      </c>
      <c r="C3595" s="3" t="s">
        <v>3940</v>
      </c>
      <c r="D3595">
        <f t="shared" si="10670"/>
        <v>17</v>
      </c>
      <c r="E3595">
        <f t="shared" si="10671"/>
        <v>11</v>
      </c>
      <c r="F3595">
        <f t="shared" si="10672"/>
        <v>2024</v>
      </c>
      <c r="G3595" t="s">
        <v>7</v>
      </c>
      <c r="H3595">
        <v>-2</v>
      </c>
      <c r="I3595">
        <v>8</v>
      </c>
      <c r="K3595" t="s">
        <v>10</v>
      </c>
      <c r="L3595" s="8">
        <f t="shared" si="10656"/>
        <v>3</v>
      </c>
      <c r="M3595" t="s">
        <v>3970</v>
      </c>
    </row>
    <row r="3596" spans="1:13" x14ac:dyDescent="0.35">
      <c r="A3596">
        <f t="shared" si="10619"/>
        <v>3592</v>
      </c>
      <c r="B3596" s="9">
        <f t="shared" ref="B3596:B3600" si="10673">B3595+H3596+I3596+J3596</f>
        <v>92.97</v>
      </c>
      <c r="C3596" s="3" t="s">
        <v>3940</v>
      </c>
      <c r="D3596">
        <f t="shared" ref="D3596:D3600" si="10674">_xlfn.NUMBERVALUE(LEFT(C3596,2))</f>
        <v>17</v>
      </c>
      <c r="E3596">
        <f t="shared" ref="E3596:E3600" si="10675">_xlfn.NUMBERVALUE(MID(C3596,4,2))</f>
        <v>11</v>
      </c>
      <c r="F3596">
        <f t="shared" ref="F3596:F3600" si="10676">_xlfn.NUMBERVALUE(RIGHT(C3596,4))</f>
        <v>2024</v>
      </c>
      <c r="G3596" t="s">
        <v>7</v>
      </c>
      <c r="H3596">
        <v>-2</v>
      </c>
      <c r="K3596" t="s">
        <v>9</v>
      </c>
      <c r="L3596" s="8">
        <f t="shared" si="10656"/>
        <v>-1</v>
      </c>
      <c r="M3596" t="s">
        <v>3971</v>
      </c>
    </row>
    <row r="3597" spans="1:13" x14ac:dyDescent="0.35">
      <c r="A3597">
        <f t="shared" si="10619"/>
        <v>3593</v>
      </c>
      <c r="B3597" s="9">
        <f t="shared" si="10673"/>
        <v>90.97</v>
      </c>
      <c r="C3597" s="3" t="s">
        <v>3940</v>
      </c>
      <c r="D3597">
        <f t="shared" si="10674"/>
        <v>17</v>
      </c>
      <c r="E3597">
        <f t="shared" si="10675"/>
        <v>11</v>
      </c>
      <c r="F3597">
        <f t="shared" si="10676"/>
        <v>2024</v>
      </c>
      <c r="G3597" t="s">
        <v>7</v>
      </c>
      <c r="H3597">
        <v>-2</v>
      </c>
      <c r="K3597" t="s">
        <v>9</v>
      </c>
      <c r="L3597" s="8">
        <f t="shared" si="10656"/>
        <v>-1</v>
      </c>
      <c r="M3597" t="s">
        <v>3972</v>
      </c>
    </row>
    <row r="3598" spans="1:13" x14ac:dyDescent="0.35">
      <c r="A3598">
        <f t="shared" si="10619"/>
        <v>3594</v>
      </c>
      <c r="B3598" s="9">
        <f t="shared" si="10673"/>
        <v>88.97</v>
      </c>
      <c r="C3598" s="3" t="s">
        <v>3940</v>
      </c>
      <c r="D3598">
        <f t="shared" si="10674"/>
        <v>17</v>
      </c>
      <c r="E3598">
        <f t="shared" si="10675"/>
        <v>11</v>
      </c>
      <c r="F3598">
        <f t="shared" si="10676"/>
        <v>2024</v>
      </c>
      <c r="G3598" t="s">
        <v>7</v>
      </c>
      <c r="H3598">
        <v>-2</v>
      </c>
      <c r="K3598" t="s">
        <v>9</v>
      </c>
      <c r="L3598" s="8">
        <f t="shared" si="10656"/>
        <v>-1</v>
      </c>
      <c r="M3598" t="s">
        <v>3973</v>
      </c>
    </row>
    <row r="3599" spans="1:13" x14ac:dyDescent="0.35">
      <c r="A3599">
        <f t="shared" si="10619"/>
        <v>3595</v>
      </c>
      <c r="B3599" s="9">
        <f t="shared" si="10673"/>
        <v>86.97</v>
      </c>
      <c r="C3599" s="3" t="s">
        <v>3940</v>
      </c>
      <c r="D3599">
        <f t="shared" si="10674"/>
        <v>17</v>
      </c>
      <c r="E3599">
        <f t="shared" si="10675"/>
        <v>11</v>
      </c>
      <c r="F3599">
        <f t="shared" si="10676"/>
        <v>2024</v>
      </c>
      <c r="G3599" t="s">
        <v>7</v>
      </c>
      <c r="H3599">
        <v>-2</v>
      </c>
      <c r="K3599" t="s">
        <v>9</v>
      </c>
      <c r="L3599" s="8">
        <f t="shared" si="10656"/>
        <v>-1</v>
      </c>
      <c r="M3599" t="s">
        <v>3974</v>
      </c>
    </row>
    <row r="3600" spans="1:13" x14ac:dyDescent="0.35">
      <c r="A3600">
        <f t="shared" si="10619"/>
        <v>3596</v>
      </c>
      <c r="B3600" s="9">
        <f t="shared" si="10673"/>
        <v>84.97</v>
      </c>
      <c r="C3600" s="3" t="s">
        <v>3940</v>
      </c>
      <c r="D3600">
        <f t="shared" si="10674"/>
        <v>17</v>
      </c>
      <c r="E3600">
        <f t="shared" si="10675"/>
        <v>11</v>
      </c>
      <c r="F3600">
        <f t="shared" si="10676"/>
        <v>2024</v>
      </c>
      <c r="G3600" t="s">
        <v>7</v>
      </c>
      <c r="H3600">
        <v>-2</v>
      </c>
      <c r="K3600" t="s">
        <v>9</v>
      </c>
      <c r="L3600" s="8">
        <f t="shared" si="10656"/>
        <v>-1</v>
      </c>
      <c r="M3600" t="s">
        <v>3975</v>
      </c>
    </row>
    <row r="3601" spans="1:13" x14ac:dyDescent="0.35">
      <c r="A3601">
        <f t="shared" si="10619"/>
        <v>3597</v>
      </c>
      <c r="B3601" s="9">
        <f t="shared" ref="B3601" si="10677">B3600+H3601+I3601+J3601</f>
        <v>82.97</v>
      </c>
      <c r="C3601" s="3" t="s">
        <v>3976</v>
      </c>
      <c r="D3601">
        <f t="shared" ref="D3601" si="10678">_xlfn.NUMBERVALUE(LEFT(C3601,2))</f>
        <v>18</v>
      </c>
      <c r="E3601">
        <f t="shared" ref="E3601" si="10679">_xlfn.NUMBERVALUE(MID(C3601,4,2))</f>
        <v>11</v>
      </c>
      <c r="F3601">
        <f t="shared" ref="F3601" si="10680">_xlfn.NUMBERVALUE(RIGHT(C3601,4))</f>
        <v>2024</v>
      </c>
      <c r="G3601" t="s">
        <v>7</v>
      </c>
      <c r="H3601">
        <v>-2</v>
      </c>
      <c r="K3601" t="s">
        <v>9</v>
      </c>
      <c r="L3601" s="8">
        <f t="shared" si="10656"/>
        <v>-1</v>
      </c>
      <c r="M3601" t="s">
        <v>3977</v>
      </c>
    </row>
    <row r="3602" spans="1:13" x14ac:dyDescent="0.35">
      <c r="A3602">
        <f t="shared" si="10619"/>
        <v>3598</v>
      </c>
      <c r="B3602" s="9">
        <f t="shared" ref="B3602:B3605" si="10681">B3601+H3602+I3602+J3602</f>
        <v>80.97</v>
      </c>
      <c r="C3602" s="3" t="s">
        <v>3976</v>
      </c>
      <c r="D3602">
        <f t="shared" ref="D3602:D3605" si="10682">_xlfn.NUMBERVALUE(LEFT(C3602,2))</f>
        <v>18</v>
      </c>
      <c r="E3602">
        <f t="shared" ref="E3602:E3605" si="10683">_xlfn.NUMBERVALUE(MID(C3602,4,2))</f>
        <v>11</v>
      </c>
      <c r="F3602">
        <f t="shared" ref="F3602:F3605" si="10684">_xlfn.NUMBERVALUE(RIGHT(C3602,4))</f>
        <v>2024</v>
      </c>
      <c r="G3602" t="s">
        <v>7</v>
      </c>
      <c r="H3602">
        <v>-2</v>
      </c>
      <c r="K3602" t="s">
        <v>9</v>
      </c>
      <c r="L3602" s="8">
        <f t="shared" si="10656"/>
        <v>-1</v>
      </c>
      <c r="M3602" t="s">
        <v>3978</v>
      </c>
    </row>
    <row r="3603" spans="1:13" x14ac:dyDescent="0.35">
      <c r="A3603">
        <f t="shared" si="10619"/>
        <v>3599</v>
      </c>
      <c r="B3603" s="9">
        <f t="shared" si="10681"/>
        <v>82.97</v>
      </c>
      <c r="C3603" s="3" t="s">
        <v>3976</v>
      </c>
      <c r="D3603">
        <f t="shared" si="10682"/>
        <v>18</v>
      </c>
      <c r="E3603">
        <f t="shared" si="10683"/>
        <v>11</v>
      </c>
      <c r="F3603">
        <f t="shared" si="10684"/>
        <v>2024</v>
      </c>
      <c r="G3603" t="s">
        <v>7</v>
      </c>
      <c r="H3603">
        <v>-2</v>
      </c>
      <c r="I3603">
        <v>4</v>
      </c>
      <c r="K3603" t="s">
        <v>10</v>
      </c>
      <c r="L3603" s="8">
        <f t="shared" si="10656"/>
        <v>1</v>
      </c>
      <c r="M3603" t="s">
        <v>3979</v>
      </c>
    </row>
    <row r="3604" spans="1:13" x14ac:dyDescent="0.35">
      <c r="A3604">
        <f t="shared" si="10619"/>
        <v>3600</v>
      </c>
      <c r="B3604" s="9">
        <f t="shared" si="10681"/>
        <v>80.97</v>
      </c>
      <c r="C3604" s="3" t="s">
        <v>3976</v>
      </c>
      <c r="D3604">
        <f t="shared" si="10682"/>
        <v>18</v>
      </c>
      <c r="E3604">
        <f t="shared" si="10683"/>
        <v>11</v>
      </c>
      <c r="F3604">
        <f t="shared" si="10684"/>
        <v>2024</v>
      </c>
      <c r="G3604" t="s">
        <v>7</v>
      </c>
      <c r="H3604">
        <v>-2</v>
      </c>
      <c r="K3604" t="s">
        <v>9</v>
      </c>
      <c r="L3604" s="8">
        <f t="shared" si="10656"/>
        <v>-1</v>
      </c>
      <c r="M3604" t="s">
        <v>3980</v>
      </c>
    </row>
    <row r="3605" spans="1:13" x14ac:dyDescent="0.35">
      <c r="A3605">
        <f t="shared" si="10619"/>
        <v>3601</v>
      </c>
      <c r="B3605" s="9">
        <f t="shared" si="10681"/>
        <v>78.97</v>
      </c>
      <c r="C3605" s="3" t="s">
        <v>3976</v>
      </c>
      <c r="D3605">
        <f t="shared" si="10682"/>
        <v>18</v>
      </c>
      <c r="E3605">
        <f t="shared" si="10683"/>
        <v>11</v>
      </c>
      <c r="F3605">
        <f t="shared" si="10684"/>
        <v>2024</v>
      </c>
      <c r="G3605" t="s">
        <v>7</v>
      </c>
      <c r="H3605">
        <v>-2</v>
      </c>
      <c r="K3605" t="s">
        <v>9</v>
      </c>
      <c r="L3605" s="8">
        <f t="shared" si="10656"/>
        <v>-1</v>
      </c>
      <c r="M3605" t="s">
        <v>3981</v>
      </c>
    </row>
    <row r="3606" spans="1:13" x14ac:dyDescent="0.35">
      <c r="A3606">
        <f t="shared" si="10619"/>
        <v>3602</v>
      </c>
      <c r="B3606" s="9">
        <f t="shared" ref="B3606" si="10685">B3605+H3606+I3606+J3606</f>
        <v>80.97</v>
      </c>
      <c r="C3606" s="3" t="s">
        <v>3982</v>
      </c>
      <c r="D3606">
        <f t="shared" ref="D3606" si="10686">_xlfn.NUMBERVALUE(LEFT(C3606,2))</f>
        <v>19</v>
      </c>
      <c r="E3606">
        <f t="shared" ref="E3606" si="10687">_xlfn.NUMBERVALUE(MID(C3606,4,2))</f>
        <v>11</v>
      </c>
      <c r="F3606">
        <f t="shared" ref="F3606" si="10688">_xlfn.NUMBERVALUE(RIGHT(C3606,4))</f>
        <v>2024</v>
      </c>
      <c r="G3606" t="s">
        <v>7</v>
      </c>
      <c r="H3606">
        <v>-2</v>
      </c>
      <c r="I3606">
        <v>4</v>
      </c>
      <c r="K3606" t="s">
        <v>10</v>
      </c>
      <c r="L3606" s="8">
        <f t="shared" si="10656"/>
        <v>1</v>
      </c>
      <c r="M3606" t="s">
        <v>3983</v>
      </c>
    </row>
    <row r="3607" spans="1:13" x14ac:dyDescent="0.35">
      <c r="A3607">
        <f t="shared" si="10619"/>
        <v>3603</v>
      </c>
      <c r="B3607" s="9">
        <f t="shared" ref="B3607:B3610" si="10689">B3606+H3607+I3607+J3607</f>
        <v>78.97</v>
      </c>
      <c r="C3607" s="3" t="s">
        <v>3982</v>
      </c>
      <c r="D3607">
        <f t="shared" ref="D3607:D3610" si="10690">_xlfn.NUMBERVALUE(LEFT(C3607,2))</f>
        <v>19</v>
      </c>
      <c r="E3607">
        <f t="shared" ref="E3607:E3610" si="10691">_xlfn.NUMBERVALUE(MID(C3607,4,2))</f>
        <v>11</v>
      </c>
      <c r="F3607">
        <f t="shared" ref="F3607:F3610" si="10692">_xlfn.NUMBERVALUE(RIGHT(C3607,4))</f>
        <v>2024</v>
      </c>
      <c r="G3607" t="s">
        <v>7</v>
      </c>
      <c r="H3607">
        <v>-2</v>
      </c>
      <c r="K3607" t="s">
        <v>9</v>
      </c>
      <c r="L3607" s="8">
        <f t="shared" si="10656"/>
        <v>-1</v>
      </c>
      <c r="M3607" t="s">
        <v>3984</v>
      </c>
    </row>
    <row r="3608" spans="1:13" x14ac:dyDescent="0.35">
      <c r="A3608">
        <f t="shared" si="10619"/>
        <v>3604</v>
      </c>
      <c r="B3608" s="9">
        <f t="shared" si="10689"/>
        <v>76.97</v>
      </c>
      <c r="C3608" s="3" t="s">
        <v>3982</v>
      </c>
      <c r="D3608">
        <f t="shared" si="10690"/>
        <v>19</v>
      </c>
      <c r="E3608">
        <f t="shared" si="10691"/>
        <v>11</v>
      </c>
      <c r="F3608">
        <f t="shared" si="10692"/>
        <v>2024</v>
      </c>
      <c r="G3608" t="s">
        <v>7</v>
      </c>
      <c r="H3608">
        <v>-2</v>
      </c>
      <c r="K3608" t="s">
        <v>9</v>
      </c>
      <c r="L3608" s="8">
        <f t="shared" si="10656"/>
        <v>-1</v>
      </c>
      <c r="M3608" t="s">
        <v>3985</v>
      </c>
    </row>
    <row r="3609" spans="1:13" x14ac:dyDescent="0.35">
      <c r="A3609">
        <f t="shared" si="10619"/>
        <v>3605</v>
      </c>
      <c r="B3609" s="9">
        <f t="shared" si="10689"/>
        <v>74.97</v>
      </c>
      <c r="C3609" s="3" t="s">
        <v>3982</v>
      </c>
      <c r="D3609">
        <f t="shared" si="10690"/>
        <v>19</v>
      </c>
      <c r="E3609">
        <f t="shared" si="10691"/>
        <v>11</v>
      </c>
      <c r="F3609">
        <f t="shared" si="10692"/>
        <v>2024</v>
      </c>
      <c r="G3609" t="s">
        <v>7</v>
      </c>
      <c r="H3609">
        <v>-2</v>
      </c>
      <c r="K3609" t="s">
        <v>9</v>
      </c>
      <c r="L3609" s="8">
        <f t="shared" si="10656"/>
        <v>-1</v>
      </c>
      <c r="M3609" t="s">
        <v>3986</v>
      </c>
    </row>
    <row r="3610" spans="1:13" x14ac:dyDescent="0.35">
      <c r="A3610">
        <f t="shared" si="10619"/>
        <v>3606</v>
      </c>
      <c r="B3610" s="9">
        <f t="shared" si="10689"/>
        <v>72.97</v>
      </c>
      <c r="C3610" s="3" t="s">
        <v>3982</v>
      </c>
      <c r="D3610">
        <f t="shared" si="10690"/>
        <v>19</v>
      </c>
      <c r="E3610">
        <f t="shared" si="10691"/>
        <v>11</v>
      </c>
      <c r="F3610">
        <f t="shared" si="10692"/>
        <v>2024</v>
      </c>
      <c r="G3610" t="s">
        <v>7</v>
      </c>
      <c r="H3610">
        <v>-2</v>
      </c>
      <c r="K3610" t="s">
        <v>9</v>
      </c>
      <c r="L3610" s="8">
        <f t="shared" si="10656"/>
        <v>-1</v>
      </c>
      <c r="M3610" t="s">
        <v>3987</v>
      </c>
    </row>
    <row r="3611" spans="1:13" x14ac:dyDescent="0.35">
      <c r="A3611">
        <f t="shared" si="10619"/>
        <v>3607</v>
      </c>
      <c r="B3611" s="9">
        <f t="shared" ref="B3611:B3615" si="10693">B3610+H3611+I3611+J3611</f>
        <v>80.97</v>
      </c>
      <c r="C3611" s="3" t="s">
        <v>3982</v>
      </c>
      <c r="D3611">
        <f t="shared" ref="D3611:D3615" si="10694">_xlfn.NUMBERVALUE(LEFT(C3611,2))</f>
        <v>19</v>
      </c>
      <c r="E3611">
        <f t="shared" ref="E3611:E3615" si="10695">_xlfn.NUMBERVALUE(MID(C3611,4,2))</f>
        <v>11</v>
      </c>
      <c r="F3611">
        <f t="shared" ref="F3611:F3615" si="10696">_xlfn.NUMBERVALUE(RIGHT(C3611,4))</f>
        <v>2024</v>
      </c>
      <c r="G3611" t="s">
        <v>7</v>
      </c>
      <c r="H3611">
        <v>-2</v>
      </c>
      <c r="I3611">
        <v>10</v>
      </c>
      <c r="K3611" t="s">
        <v>10</v>
      </c>
      <c r="L3611" s="8">
        <f t="shared" si="10656"/>
        <v>4</v>
      </c>
      <c r="M3611" t="s">
        <v>3988</v>
      </c>
    </row>
    <row r="3612" spans="1:13" x14ac:dyDescent="0.35">
      <c r="A3612">
        <f t="shared" si="10619"/>
        <v>3608</v>
      </c>
      <c r="B3612" s="9">
        <f t="shared" si="10693"/>
        <v>82.97</v>
      </c>
      <c r="C3612" s="3" t="s">
        <v>3982</v>
      </c>
      <c r="D3612">
        <f t="shared" si="10694"/>
        <v>19</v>
      </c>
      <c r="E3612">
        <f t="shared" si="10695"/>
        <v>11</v>
      </c>
      <c r="F3612">
        <f t="shared" si="10696"/>
        <v>2024</v>
      </c>
      <c r="G3612" t="s">
        <v>7</v>
      </c>
      <c r="H3612">
        <v>-2</v>
      </c>
      <c r="I3612">
        <v>4</v>
      </c>
      <c r="K3612" t="s">
        <v>10</v>
      </c>
      <c r="L3612" s="8">
        <f t="shared" si="10656"/>
        <v>1</v>
      </c>
      <c r="M3612" t="s">
        <v>3989</v>
      </c>
    </row>
    <row r="3613" spans="1:13" x14ac:dyDescent="0.35">
      <c r="A3613">
        <f t="shared" si="10619"/>
        <v>3609</v>
      </c>
      <c r="B3613" s="9">
        <f t="shared" si="10693"/>
        <v>80.97</v>
      </c>
      <c r="C3613" s="3" t="s">
        <v>3982</v>
      </c>
      <c r="D3613">
        <f t="shared" si="10694"/>
        <v>19</v>
      </c>
      <c r="E3613">
        <f t="shared" si="10695"/>
        <v>11</v>
      </c>
      <c r="F3613">
        <f t="shared" si="10696"/>
        <v>2024</v>
      </c>
      <c r="G3613" t="s">
        <v>7</v>
      </c>
      <c r="H3613">
        <v>-2</v>
      </c>
      <c r="K3613" t="s">
        <v>9</v>
      </c>
      <c r="L3613" s="8">
        <f t="shared" si="10656"/>
        <v>-1</v>
      </c>
      <c r="M3613" t="s">
        <v>3990</v>
      </c>
    </row>
    <row r="3614" spans="1:13" x14ac:dyDescent="0.35">
      <c r="A3614">
        <f t="shared" si="10619"/>
        <v>3610</v>
      </c>
      <c r="B3614" s="9">
        <f t="shared" si="10693"/>
        <v>84.97</v>
      </c>
      <c r="C3614" s="3" t="s">
        <v>3982</v>
      </c>
      <c r="D3614">
        <f t="shared" si="10694"/>
        <v>19</v>
      </c>
      <c r="E3614">
        <f t="shared" si="10695"/>
        <v>11</v>
      </c>
      <c r="F3614">
        <f t="shared" si="10696"/>
        <v>2024</v>
      </c>
      <c r="G3614" t="s">
        <v>7</v>
      </c>
      <c r="H3614">
        <v>-2</v>
      </c>
      <c r="I3614">
        <v>6</v>
      </c>
      <c r="K3614" t="s">
        <v>10</v>
      </c>
      <c r="L3614" s="8">
        <f t="shared" si="10656"/>
        <v>2</v>
      </c>
      <c r="M3614" t="s">
        <v>3991</v>
      </c>
    </row>
    <row r="3615" spans="1:13" x14ac:dyDescent="0.35">
      <c r="A3615">
        <f t="shared" si="10619"/>
        <v>3611</v>
      </c>
      <c r="B3615" s="9">
        <f t="shared" si="10693"/>
        <v>82.97</v>
      </c>
      <c r="C3615" s="3" t="s">
        <v>3982</v>
      </c>
      <c r="D3615">
        <f t="shared" si="10694"/>
        <v>19</v>
      </c>
      <c r="E3615">
        <f t="shared" si="10695"/>
        <v>11</v>
      </c>
      <c r="F3615">
        <f t="shared" si="10696"/>
        <v>2024</v>
      </c>
      <c r="G3615" t="s">
        <v>7</v>
      </c>
      <c r="H3615">
        <v>-2</v>
      </c>
      <c r="K3615" t="s">
        <v>9</v>
      </c>
      <c r="L3615" s="8">
        <f t="shared" si="10656"/>
        <v>-1</v>
      </c>
      <c r="M3615" t="s">
        <v>3992</v>
      </c>
    </row>
    <row r="3616" spans="1:13" x14ac:dyDescent="0.35">
      <c r="A3616">
        <f t="shared" si="10619"/>
        <v>3612</v>
      </c>
      <c r="B3616" s="9">
        <f t="shared" ref="B3616" si="10697">B3615+H3616+I3616+J3616</f>
        <v>82.97</v>
      </c>
      <c r="C3616" s="3" t="s">
        <v>3982</v>
      </c>
      <c r="D3616">
        <f t="shared" ref="D3616" si="10698">_xlfn.NUMBERVALUE(LEFT(C3616,2))</f>
        <v>19</v>
      </c>
      <c r="E3616">
        <f t="shared" ref="E3616" si="10699">_xlfn.NUMBERVALUE(MID(C3616,4,2))</f>
        <v>11</v>
      </c>
      <c r="F3616">
        <f t="shared" ref="F3616" si="10700">_xlfn.NUMBERVALUE(RIGHT(C3616,4))</f>
        <v>2024</v>
      </c>
      <c r="G3616" t="s">
        <v>3039</v>
      </c>
      <c r="K3616" t="s">
        <v>9</v>
      </c>
      <c r="L3616" s="8">
        <f t="shared" si="10656"/>
        <v>0</v>
      </c>
      <c r="M3616" t="s">
        <v>3993</v>
      </c>
    </row>
    <row r="3617" spans="1:13" x14ac:dyDescent="0.35">
      <c r="A3617">
        <f t="shared" si="10619"/>
        <v>3613</v>
      </c>
      <c r="B3617" s="9">
        <f t="shared" ref="B3617" si="10701">B3616+H3617+I3617+J3617</f>
        <v>82.97</v>
      </c>
      <c r="C3617" s="3" t="s">
        <v>3982</v>
      </c>
      <c r="D3617">
        <f t="shared" ref="D3617" si="10702">_xlfn.NUMBERVALUE(LEFT(C3617,2))</f>
        <v>19</v>
      </c>
      <c r="E3617">
        <f t="shared" ref="E3617" si="10703">_xlfn.NUMBERVALUE(MID(C3617,4,2))</f>
        <v>11</v>
      </c>
      <c r="F3617">
        <f t="shared" ref="F3617" si="10704">_xlfn.NUMBERVALUE(RIGHT(C3617,4))</f>
        <v>2024</v>
      </c>
      <c r="G3617" t="s">
        <v>3039</v>
      </c>
      <c r="K3617" t="s">
        <v>9</v>
      </c>
      <c r="L3617" s="8">
        <f t="shared" si="10656"/>
        <v>0</v>
      </c>
      <c r="M3617" t="s">
        <v>3994</v>
      </c>
    </row>
    <row r="3618" spans="1:13" x14ac:dyDescent="0.35">
      <c r="A3618">
        <f t="shared" si="10619"/>
        <v>3614</v>
      </c>
      <c r="B3618" s="9">
        <f t="shared" ref="B3618" si="10705">B3617+H3618+I3618+J3618</f>
        <v>82.97</v>
      </c>
      <c r="C3618" s="3" t="s">
        <v>3982</v>
      </c>
      <c r="D3618">
        <f t="shared" ref="D3618" si="10706">_xlfn.NUMBERVALUE(LEFT(C3618,2))</f>
        <v>19</v>
      </c>
      <c r="E3618">
        <f t="shared" ref="E3618" si="10707">_xlfn.NUMBERVALUE(MID(C3618,4,2))</f>
        <v>11</v>
      </c>
      <c r="F3618">
        <f t="shared" ref="F3618" si="10708">_xlfn.NUMBERVALUE(RIGHT(C3618,4))</f>
        <v>2024</v>
      </c>
      <c r="G3618" t="s">
        <v>3039</v>
      </c>
      <c r="K3618" t="s">
        <v>10</v>
      </c>
      <c r="L3618" s="8">
        <f t="shared" si="10656"/>
        <v>0</v>
      </c>
      <c r="M3618" t="s">
        <v>3995</v>
      </c>
    </row>
    <row r="3619" spans="1:13" x14ac:dyDescent="0.35">
      <c r="A3619">
        <f t="shared" si="10619"/>
        <v>3615</v>
      </c>
      <c r="B3619" s="9">
        <f t="shared" ref="B3619:B3620" si="10709">B3618+H3619+I3619+J3619</f>
        <v>82.97</v>
      </c>
      <c r="C3619" s="3" t="s">
        <v>3982</v>
      </c>
      <c r="D3619">
        <f t="shared" ref="D3619:D3620" si="10710">_xlfn.NUMBERVALUE(LEFT(C3619,2))</f>
        <v>19</v>
      </c>
      <c r="E3619">
        <f t="shared" ref="E3619:E3620" si="10711">_xlfn.NUMBERVALUE(MID(C3619,4,2))</f>
        <v>11</v>
      </c>
      <c r="F3619">
        <f t="shared" ref="F3619:F3620" si="10712">_xlfn.NUMBERVALUE(RIGHT(C3619,4))</f>
        <v>2024</v>
      </c>
      <c r="G3619" t="s">
        <v>2969</v>
      </c>
      <c r="K3619" t="s">
        <v>9</v>
      </c>
      <c r="L3619" s="8">
        <f t="shared" si="10656"/>
        <v>0</v>
      </c>
      <c r="M3619" t="s">
        <v>3996</v>
      </c>
    </row>
    <row r="3620" spans="1:13" x14ac:dyDescent="0.35">
      <c r="A3620">
        <f t="shared" si="10619"/>
        <v>3616</v>
      </c>
      <c r="B3620" s="9">
        <f t="shared" si="10709"/>
        <v>80.97</v>
      </c>
      <c r="C3620" s="3" t="s">
        <v>3982</v>
      </c>
      <c r="D3620">
        <f t="shared" si="10710"/>
        <v>19</v>
      </c>
      <c r="E3620">
        <f t="shared" si="10711"/>
        <v>11</v>
      </c>
      <c r="F3620">
        <f t="shared" si="10712"/>
        <v>2024</v>
      </c>
      <c r="G3620" t="s">
        <v>7</v>
      </c>
      <c r="H3620">
        <v>-2</v>
      </c>
      <c r="K3620" t="s">
        <v>9</v>
      </c>
      <c r="L3620" s="8">
        <f t="shared" si="10656"/>
        <v>-1</v>
      </c>
      <c r="M3620" t="s">
        <v>3997</v>
      </c>
    </row>
    <row r="3621" spans="1:13" x14ac:dyDescent="0.35">
      <c r="A3621">
        <f t="shared" si="10619"/>
        <v>3617</v>
      </c>
      <c r="B3621" s="9">
        <f t="shared" ref="B3621" si="10713">B3620+H3621+I3621+J3621</f>
        <v>78.97</v>
      </c>
      <c r="C3621" s="3" t="s">
        <v>3982</v>
      </c>
      <c r="D3621">
        <f t="shared" ref="D3621" si="10714">_xlfn.NUMBERVALUE(LEFT(C3621,2))</f>
        <v>19</v>
      </c>
      <c r="E3621">
        <f t="shared" ref="E3621" si="10715">_xlfn.NUMBERVALUE(MID(C3621,4,2))</f>
        <v>11</v>
      </c>
      <c r="F3621">
        <f t="shared" ref="F3621" si="10716">_xlfn.NUMBERVALUE(RIGHT(C3621,4))</f>
        <v>2024</v>
      </c>
      <c r="G3621" t="s">
        <v>7</v>
      </c>
      <c r="H3621">
        <v>-2</v>
      </c>
      <c r="K3621" t="s">
        <v>9</v>
      </c>
      <c r="L3621" s="8">
        <f t="shared" si="10656"/>
        <v>-1</v>
      </c>
      <c r="M3621" t="s">
        <v>3998</v>
      </c>
    </row>
    <row r="3622" spans="1:13" x14ac:dyDescent="0.35">
      <c r="A3622">
        <f t="shared" si="10619"/>
        <v>3618</v>
      </c>
      <c r="B3622" s="9">
        <f t="shared" ref="B3622" si="10717">B3621+H3622+I3622+J3622</f>
        <v>76.97</v>
      </c>
      <c r="C3622" s="3" t="s">
        <v>3982</v>
      </c>
      <c r="D3622">
        <f t="shared" ref="D3622" si="10718">_xlfn.NUMBERVALUE(LEFT(C3622,2))</f>
        <v>19</v>
      </c>
      <c r="E3622">
        <f t="shared" ref="E3622" si="10719">_xlfn.NUMBERVALUE(MID(C3622,4,2))</f>
        <v>11</v>
      </c>
      <c r="F3622">
        <f t="shared" ref="F3622" si="10720">_xlfn.NUMBERVALUE(RIGHT(C3622,4))</f>
        <v>2024</v>
      </c>
      <c r="G3622" t="s">
        <v>7</v>
      </c>
      <c r="H3622">
        <v>-2</v>
      </c>
      <c r="K3622" t="s">
        <v>9</v>
      </c>
      <c r="L3622" s="8">
        <f t="shared" si="10656"/>
        <v>-1</v>
      </c>
      <c r="M3622" t="s">
        <v>3999</v>
      </c>
    </row>
    <row r="3623" spans="1:13" x14ac:dyDescent="0.35">
      <c r="A3623">
        <f t="shared" si="10619"/>
        <v>3619</v>
      </c>
      <c r="B3623" s="9">
        <f t="shared" ref="B3623:B3624" si="10721">B3622+H3623+I3623+J3623</f>
        <v>80.97</v>
      </c>
      <c r="C3623" s="3" t="s">
        <v>3982</v>
      </c>
      <c r="D3623">
        <f t="shared" ref="D3623:D3624" si="10722">_xlfn.NUMBERVALUE(LEFT(C3623,2))</f>
        <v>19</v>
      </c>
      <c r="E3623">
        <f t="shared" ref="E3623:E3624" si="10723">_xlfn.NUMBERVALUE(MID(C3623,4,2))</f>
        <v>11</v>
      </c>
      <c r="F3623">
        <f t="shared" ref="F3623:F3624" si="10724">_xlfn.NUMBERVALUE(RIGHT(C3623,4))</f>
        <v>2024</v>
      </c>
      <c r="G3623" t="s">
        <v>7</v>
      </c>
      <c r="H3623">
        <v>-2</v>
      </c>
      <c r="I3623">
        <v>6</v>
      </c>
      <c r="K3623" t="s">
        <v>10</v>
      </c>
      <c r="L3623" s="8">
        <f t="shared" si="10656"/>
        <v>2</v>
      </c>
      <c r="M3623" t="s">
        <v>4000</v>
      </c>
    </row>
    <row r="3624" spans="1:13" x14ac:dyDescent="0.35">
      <c r="A3624">
        <f t="shared" si="10619"/>
        <v>3620</v>
      </c>
      <c r="B3624" s="9">
        <f t="shared" si="10721"/>
        <v>84.97</v>
      </c>
      <c r="C3624" s="3" t="s">
        <v>3982</v>
      </c>
      <c r="D3624">
        <f t="shared" si="10722"/>
        <v>19</v>
      </c>
      <c r="E3624">
        <f t="shared" si="10723"/>
        <v>11</v>
      </c>
      <c r="F3624">
        <f t="shared" si="10724"/>
        <v>2024</v>
      </c>
      <c r="G3624" t="s">
        <v>7</v>
      </c>
      <c r="H3624">
        <v>-2</v>
      </c>
      <c r="I3624">
        <v>6</v>
      </c>
      <c r="K3624" t="s">
        <v>10</v>
      </c>
      <c r="L3624" s="8">
        <f t="shared" si="10656"/>
        <v>2</v>
      </c>
      <c r="M3624" t="s">
        <v>4001</v>
      </c>
    </row>
    <row r="3625" spans="1:13" x14ac:dyDescent="0.35">
      <c r="A3625">
        <f t="shared" si="10619"/>
        <v>3621</v>
      </c>
      <c r="B3625" s="9">
        <f t="shared" ref="B3625:B3629" si="10725">B3624+H3625+I3625+J3625</f>
        <v>82.97</v>
      </c>
      <c r="C3625" s="3" t="s">
        <v>3982</v>
      </c>
      <c r="D3625">
        <f t="shared" ref="D3625:D3629" si="10726">_xlfn.NUMBERVALUE(LEFT(C3625,2))</f>
        <v>19</v>
      </c>
      <c r="E3625">
        <f t="shared" ref="E3625:E3629" si="10727">_xlfn.NUMBERVALUE(MID(C3625,4,2))</f>
        <v>11</v>
      </c>
      <c r="F3625">
        <f t="shared" ref="F3625:F3629" si="10728">_xlfn.NUMBERVALUE(RIGHT(C3625,4))</f>
        <v>2024</v>
      </c>
      <c r="G3625" t="s">
        <v>7</v>
      </c>
      <c r="H3625">
        <v>-2</v>
      </c>
      <c r="K3625" t="s">
        <v>9</v>
      </c>
      <c r="L3625" s="8">
        <f t="shared" si="10656"/>
        <v>-1</v>
      </c>
      <c r="M3625" t="s">
        <v>4002</v>
      </c>
    </row>
    <row r="3626" spans="1:13" x14ac:dyDescent="0.35">
      <c r="A3626">
        <f t="shared" si="10619"/>
        <v>3622</v>
      </c>
      <c r="B3626" s="9">
        <f t="shared" si="10725"/>
        <v>88.97</v>
      </c>
      <c r="C3626" s="3" t="s">
        <v>3982</v>
      </c>
      <c r="D3626">
        <f t="shared" si="10726"/>
        <v>19</v>
      </c>
      <c r="E3626">
        <f t="shared" si="10727"/>
        <v>11</v>
      </c>
      <c r="F3626">
        <f t="shared" si="10728"/>
        <v>2024</v>
      </c>
      <c r="G3626" t="s">
        <v>7</v>
      </c>
      <c r="H3626">
        <v>-2</v>
      </c>
      <c r="I3626">
        <v>8</v>
      </c>
      <c r="K3626" t="s">
        <v>10</v>
      </c>
      <c r="L3626" s="8">
        <f t="shared" si="10656"/>
        <v>3</v>
      </c>
      <c r="M3626" t="s">
        <v>4003</v>
      </c>
    </row>
    <row r="3627" spans="1:13" x14ac:dyDescent="0.35">
      <c r="A3627">
        <f t="shared" si="10619"/>
        <v>3623</v>
      </c>
      <c r="B3627" s="9">
        <f t="shared" si="10725"/>
        <v>86.97</v>
      </c>
      <c r="C3627" s="3" t="s">
        <v>3982</v>
      </c>
      <c r="D3627">
        <f t="shared" si="10726"/>
        <v>19</v>
      </c>
      <c r="E3627">
        <f t="shared" si="10727"/>
        <v>11</v>
      </c>
      <c r="F3627">
        <f t="shared" si="10728"/>
        <v>2024</v>
      </c>
      <c r="G3627" t="s">
        <v>7</v>
      </c>
      <c r="H3627">
        <v>-2</v>
      </c>
      <c r="K3627" t="s">
        <v>9</v>
      </c>
      <c r="L3627" s="8">
        <f t="shared" si="10656"/>
        <v>-1</v>
      </c>
      <c r="M3627" t="s">
        <v>4004</v>
      </c>
    </row>
    <row r="3628" spans="1:13" x14ac:dyDescent="0.35">
      <c r="A3628">
        <f t="shared" si="10619"/>
        <v>3624</v>
      </c>
      <c r="B3628" s="9">
        <f t="shared" si="10725"/>
        <v>84.97</v>
      </c>
      <c r="C3628" s="3" t="s">
        <v>3982</v>
      </c>
      <c r="D3628">
        <f t="shared" si="10726"/>
        <v>19</v>
      </c>
      <c r="E3628">
        <f t="shared" si="10727"/>
        <v>11</v>
      </c>
      <c r="F3628">
        <f t="shared" si="10728"/>
        <v>2024</v>
      </c>
      <c r="G3628" t="s">
        <v>7</v>
      </c>
      <c r="H3628">
        <v>-2</v>
      </c>
      <c r="K3628" t="s">
        <v>9</v>
      </c>
      <c r="L3628" s="8">
        <f t="shared" si="10656"/>
        <v>-1</v>
      </c>
      <c r="M3628" t="s">
        <v>4005</v>
      </c>
    </row>
    <row r="3629" spans="1:13" x14ac:dyDescent="0.35">
      <c r="A3629">
        <f t="shared" si="10619"/>
        <v>3625</v>
      </c>
      <c r="B3629" s="9">
        <f t="shared" si="10725"/>
        <v>82.97</v>
      </c>
      <c r="C3629" s="3" t="s">
        <v>3982</v>
      </c>
      <c r="D3629">
        <f t="shared" si="10726"/>
        <v>19</v>
      </c>
      <c r="E3629">
        <f t="shared" si="10727"/>
        <v>11</v>
      </c>
      <c r="F3629">
        <f t="shared" si="10728"/>
        <v>2024</v>
      </c>
      <c r="G3629" t="s">
        <v>7</v>
      </c>
      <c r="H3629">
        <v>-2</v>
      </c>
      <c r="K3629" t="s">
        <v>9</v>
      </c>
      <c r="L3629" s="8">
        <f t="shared" si="10656"/>
        <v>-1</v>
      </c>
      <c r="M3629" t="s">
        <v>4006</v>
      </c>
    </row>
    <row r="3630" spans="1:13" x14ac:dyDescent="0.35">
      <c r="A3630">
        <f t="shared" si="10619"/>
        <v>3626</v>
      </c>
      <c r="B3630" s="9">
        <f t="shared" ref="B3630:B3634" si="10729">B3629+H3630+I3630+J3630</f>
        <v>86.97</v>
      </c>
      <c r="C3630" s="3" t="s">
        <v>3982</v>
      </c>
      <c r="D3630">
        <f t="shared" ref="D3630:D3634" si="10730">_xlfn.NUMBERVALUE(LEFT(C3630,2))</f>
        <v>19</v>
      </c>
      <c r="E3630">
        <f t="shared" ref="E3630:E3634" si="10731">_xlfn.NUMBERVALUE(MID(C3630,4,2))</f>
        <v>11</v>
      </c>
      <c r="F3630">
        <f t="shared" ref="F3630:F3634" si="10732">_xlfn.NUMBERVALUE(RIGHT(C3630,4))</f>
        <v>2024</v>
      </c>
      <c r="G3630" t="s">
        <v>7</v>
      </c>
      <c r="H3630">
        <v>-2</v>
      </c>
      <c r="I3630">
        <v>6</v>
      </c>
      <c r="K3630" t="s">
        <v>10</v>
      </c>
      <c r="L3630" s="8">
        <f t="shared" si="10656"/>
        <v>2</v>
      </c>
      <c r="M3630" t="s">
        <v>4007</v>
      </c>
    </row>
    <row r="3631" spans="1:13" x14ac:dyDescent="0.35">
      <c r="A3631">
        <f t="shared" si="10619"/>
        <v>3627</v>
      </c>
      <c r="B3631" s="9">
        <f t="shared" si="10729"/>
        <v>84.97</v>
      </c>
      <c r="C3631" s="3" t="s">
        <v>3982</v>
      </c>
      <c r="D3631">
        <f t="shared" si="10730"/>
        <v>19</v>
      </c>
      <c r="E3631">
        <f t="shared" si="10731"/>
        <v>11</v>
      </c>
      <c r="F3631">
        <f t="shared" si="10732"/>
        <v>2024</v>
      </c>
      <c r="G3631" t="s">
        <v>7</v>
      </c>
      <c r="H3631">
        <v>-2</v>
      </c>
      <c r="K3631" t="s">
        <v>9</v>
      </c>
      <c r="L3631" s="8">
        <f t="shared" si="10656"/>
        <v>-1</v>
      </c>
      <c r="M3631" t="s">
        <v>4008</v>
      </c>
    </row>
    <row r="3632" spans="1:13" x14ac:dyDescent="0.35">
      <c r="A3632">
        <f t="shared" si="10619"/>
        <v>3628</v>
      </c>
      <c r="B3632" s="9">
        <f t="shared" si="10729"/>
        <v>82.97</v>
      </c>
      <c r="C3632" s="3" t="s">
        <v>3982</v>
      </c>
      <c r="D3632">
        <f t="shared" si="10730"/>
        <v>19</v>
      </c>
      <c r="E3632">
        <f t="shared" si="10731"/>
        <v>11</v>
      </c>
      <c r="F3632">
        <f t="shared" si="10732"/>
        <v>2024</v>
      </c>
      <c r="G3632" t="s">
        <v>7</v>
      </c>
      <c r="H3632">
        <v>-2</v>
      </c>
      <c r="K3632" t="s">
        <v>9</v>
      </c>
      <c r="L3632" s="8">
        <f t="shared" si="10656"/>
        <v>-1</v>
      </c>
      <c r="M3632" t="s">
        <v>4009</v>
      </c>
    </row>
    <row r="3633" spans="1:13" x14ac:dyDescent="0.35">
      <c r="A3633">
        <f t="shared" si="10619"/>
        <v>3629</v>
      </c>
      <c r="B3633" s="9">
        <f t="shared" si="10729"/>
        <v>80.97</v>
      </c>
      <c r="C3633" s="3" t="s">
        <v>3982</v>
      </c>
      <c r="D3633">
        <f t="shared" si="10730"/>
        <v>19</v>
      </c>
      <c r="E3633">
        <f t="shared" si="10731"/>
        <v>11</v>
      </c>
      <c r="F3633">
        <f t="shared" si="10732"/>
        <v>2024</v>
      </c>
      <c r="G3633" t="s">
        <v>7</v>
      </c>
      <c r="H3633">
        <v>-2</v>
      </c>
      <c r="K3633" t="s">
        <v>9</v>
      </c>
      <c r="L3633" s="8">
        <f t="shared" si="10656"/>
        <v>-1</v>
      </c>
      <c r="M3633" t="s">
        <v>4010</v>
      </c>
    </row>
    <row r="3634" spans="1:13" x14ac:dyDescent="0.35">
      <c r="A3634">
        <f t="shared" si="10619"/>
        <v>3630</v>
      </c>
      <c r="B3634" s="9">
        <f t="shared" si="10729"/>
        <v>82.97</v>
      </c>
      <c r="C3634" s="3" t="s">
        <v>3982</v>
      </c>
      <c r="D3634">
        <f t="shared" si="10730"/>
        <v>19</v>
      </c>
      <c r="E3634">
        <f t="shared" si="10731"/>
        <v>11</v>
      </c>
      <c r="F3634">
        <f t="shared" si="10732"/>
        <v>2024</v>
      </c>
      <c r="G3634" t="s">
        <v>7</v>
      </c>
      <c r="H3634">
        <v>-2</v>
      </c>
      <c r="I3634">
        <v>4</v>
      </c>
      <c r="K3634" t="s">
        <v>10</v>
      </c>
      <c r="L3634" s="8">
        <f t="shared" si="10656"/>
        <v>1</v>
      </c>
      <c r="M3634" t="s">
        <v>4011</v>
      </c>
    </row>
    <row r="3635" spans="1:13" x14ac:dyDescent="0.35">
      <c r="A3635">
        <f t="shared" si="10619"/>
        <v>3631</v>
      </c>
      <c r="B3635" s="9">
        <f t="shared" ref="B3635" si="10733">B3634+H3635+I3635+J3635</f>
        <v>80.97</v>
      </c>
      <c r="C3635" s="3" t="s">
        <v>4012</v>
      </c>
      <c r="D3635">
        <f t="shared" ref="D3635" si="10734">_xlfn.NUMBERVALUE(LEFT(C3635,2))</f>
        <v>20</v>
      </c>
      <c r="E3635">
        <f t="shared" ref="E3635" si="10735">_xlfn.NUMBERVALUE(MID(C3635,4,2))</f>
        <v>11</v>
      </c>
      <c r="F3635">
        <f t="shared" ref="F3635" si="10736">_xlfn.NUMBERVALUE(RIGHT(C3635,4))</f>
        <v>2024</v>
      </c>
      <c r="G3635" t="s">
        <v>7</v>
      </c>
      <c r="H3635">
        <v>-2</v>
      </c>
      <c r="K3635" t="s">
        <v>9</v>
      </c>
      <c r="L3635" s="8">
        <f t="shared" si="10656"/>
        <v>-1</v>
      </c>
      <c r="M3635" t="s">
        <v>4013</v>
      </c>
    </row>
    <row r="3636" spans="1:13" x14ac:dyDescent="0.35">
      <c r="A3636">
        <f t="shared" si="10619"/>
        <v>3632</v>
      </c>
      <c r="B3636" s="9">
        <f t="shared" ref="B3636" si="10737">B3635+H3636+I3636+J3636</f>
        <v>80.97</v>
      </c>
      <c r="C3636" s="3" t="s">
        <v>4012</v>
      </c>
      <c r="D3636">
        <f t="shared" ref="D3636" si="10738">_xlfn.NUMBERVALUE(LEFT(C3636,2))</f>
        <v>20</v>
      </c>
      <c r="E3636">
        <f t="shared" ref="E3636" si="10739">_xlfn.NUMBERVALUE(MID(C3636,4,2))</f>
        <v>11</v>
      </c>
      <c r="F3636">
        <f t="shared" ref="F3636" si="10740">_xlfn.NUMBERVALUE(RIGHT(C3636,4))</f>
        <v>2024</v>
      </c>
      <c r="G3636" t="s">
        <v>3039</v>
      </c>
      <c r="K3636" t="s">
        <v>10</v>
      </c>
      <c r="L3636" s="8">
        <f t="shared" si="10656"/>
        <v>0</v>
      </c>
      <c r="M3636" t="s">
        <v>4014</v>
      </c>
    </row>
    <row r="3637" spans="1:13" x14ac:dyDescent="0.35">
      <c r="A3637">
        <f t="shared" si="10619"/>
        <v>3633</v>
      </c>
      <c r="B3637" s="9">
        <f t="shared" ref="B3637:B3638" si="10741">B3636+H3637+I3637+J3637</f>
        <v>80.97</v>
      </c>
      <c r="C3637" s="3" t="s">
        <v>4012</v>
      </c>
      <c r="D3637">
        <f t="shared" ref="D3637:D3638" si="10742">_xlfn.NUMBERVALUE(LEFT(C3637,2))</f>
        <v>20</v>
      </c>
      <c r="E3637">
        <f t="shared" ref="E3637:E3638" si="10743">_xlfn.NUMBERVALUE(MID(C3637,4,2))</f>
        <v>11</v>
      </c>
      <c r="F3637">
        <f t="shared" ref="F3637:F3638" si="10744">_xlfn.NUMBERVALUE(RIGHT(C3637,4))</f>
        <v>2024</v>
      </c>
      <c r="G3637" t="s">
        <v>2969</v>
      </c>
      <c r="K3637" t="s">
        <v>9</v>
      </c>
      <c r="L3637" s="8">
        <f t="shared" si="10656"/>
        <v>0</v>
      </c>
      <c r="M3637" t="s">
        <v>4015</v>
      </c>
    </row>
    <row r="3638" spans="1:13" x14ac:dyDescent="0.35">
      <c r="A3638">
        <f t="shared" si="10619"/>
        <v>3634</v>
      </c>
      <c r="B3638" s="9">
        <f t="shared" si="10741"/>
        <v>78.97</v>
      </c>
      <c r="C3638" s="3" t="s">
        <v>4012</v>
      </c>
      <c r="D3638">
        <f t="shared" si="10742"/>
        <v>20</v>
      </c>
      <c r="E3638">
        <f t="shared" si="10743"/>
        <v>11</v>
      </c>
      <c r="F3638">
        <f t="shared" si="10744"/>
        <v>2024</v>
      </c>
      <c r="G3638" t="s">
        <v>7</v>
      </c>
      <c r="H3638">
        <v>-2</v>
      </c>
      <c r="K3638" t="s">
        <v>9</v>
      </c>
      <c r="L3638" s="8">
        <f t="shared" si="10656"/>
        <v>-1</v>
      </c>
      <c r="M3638" t="s">
        <v>4016</v>
      </c>
    </row>
    <row r="3639" spans="1:13" x14ac:dyDescent="0.35">
      <c r="A3639">
        <f t="shared" si="10619"/>
        <v>3635</v>
      </c>
      <c r="B3639" s="9">
        <f t="shared" ref="B3639" si="10745">B3638+H3639+I3639+J3639</f>
        <v>76.97</v>
      </c>
      <c r="C3639" s="3" t="s">
        <v>4012</v>
      </c>
      <c r="D3639">
        <f t="shared" ref="D3639" si="10746">_xlfn.NUMBERVALUE(LEFT(C3639,2))</f>
        <v>20</v>
      </c>
      <c r="E3639">
        <f t="shared" ref="E3639" si="10747">_xlfn.NUMBERVALUE(MID(C3639,4,2))</f>
        <v>11</v>
      </c>
      <c r="F3639">
        <f t="shared" ref="F3639" si="10748">_xlfn.NUMBERVALUE(RIGHT(C3639,4))</f>
        <v>2024</v>
      </c>
      <c r="G3639" t="s">
        <v>7</v>
      </c>
      <c r="H3639">
        <v>-2</v>
      </c>
      <c r="K3639" t="s">
        <v>9</v>
      </c>
      <c r="L3639" s="8">
        <f t="shared" si="10656"/>
        <v>-1</v>
      </c>
      <c r="M3639" t="s">
        <v>4017</v>
      </c>
    </row>
    <row r="3640" spans="1:13" x14ac:dyDescent="0.35">
      <c r="A3640">
        <f t="shared" si="10619"/>
        <v>3636</v>
      </c>
      <c r="B3640" s="9">
        <f t="shared" ref="B3640:B3641" si="10749">B3639+H3640+I3640+J3640</f>
        <v>80.97</v>
      </c>
      <c r="C3640" s="3" t="s">
        <v>4012</v>
      </c>
      <c r="D3640">
        <f t="shared" ref="D3640:D3641" si="10750">_xlfn.NUMBERVALUE(LEFT(C3640,2))</f>
        <v>20</v>
      </c>
      <c r="E3640">
        <f t="shared" ref="E3640:E3641" si="10751">_xlfn.NUMBERVALUE(MID(C3640,4,2))</f>
        <v>11</v>
      </c>
      <c r="F3640">
        <f t="shared" ref="F3640:F3641" si="10752">_xlfn.NUMBERVALUE(RIGHT(C3640,4))</f>
        <v>2024</v>
      </c>
      <c r="G3640" t="s">
        <v>7</v>
      </c>
      <c r="H3640">
        <v>-2</v>
      </c>
      <c r="I3640">
        <v>6</v>
      </c>
      <c r="K3640" t="s">
        <v>10</v>
      </c>
      <c r="L3640" s="8">
        <f t="shared" si="10656"/>
        <v>2</v>
      </c>
      <c r="M3640" t="s">
        <v>4018</v>
      </c>
    </row>
    <row r="3641" spans="1:13" x14ac:dyDescent="0.35">
      <c r="A3641">
        <f t="shared" si="10619"/>
        <v>3637</v>
      </c>
      <c r="B3641" s="9">
        <f t="shared" si="10749"/>
        <v>78.97</v>
      </c>
      <c r="C3641" s="3" t="s">
        <v>4012</v>
      </c>
      <c r="D3641">
        <f t="shared" si="10750"/>
        <v>20</v>
      </c>
      <c r="E3641">
        <f t="shared" si="10751"/>
        <v>11</v>
      </c>
      <c r="F3641">
        <f t="shared" si="10752"/>
        <v>2024</v>
      </c>
      <c r="G3641" t="s">
        <v>7</v>
      </c>
      <c r="H3641">
        <v>-2</v>
      </c>
      <c r="K3641" t="s">
        <v>9</v>
      </c>
      <c r="L3641" s="8">
        <f t="shared" si="10656"/>
        <v>-1</v>
      </c>
      <c r="M3641" t="s">
        <v>4019</v>
      </c>
    </row>
    <row r="3642" spans="1:13" x14ac:dyDescent="0.35">
      <c r="A3642">
        <f t="shared" si="10619"/>
        <v>3638</v>
      </c>
      <c r="B3642" s="9">
        <f t="shared" ref="B3642:B3646" si="10753">B3641+H3642+I3642+J3642</f>
        <v>76.97</v>
      </c>
      <c r="C3642" s="3" t="s">
        <v>4012</v>
      </c>
      <c r="D3642">
        <f t="shared" ref="D3642:D3646" si="10754">_xlfn.NUMBERVALUE(LEFT(C3642,2))</f>
        <v>20</v>
      </c>
      <c r="E3642">
        <f t="shared" ref="E3642:E3646" si="10755">_xlfn.NUMBERVALUE(MID(C3642,4,2))</f>
        <v>11</v>
      </c>
      <c r="F3642">
        <f t="shared" ref="F3642:F3646" si="10756">_xlfn.NUMBERVALUE(RIGHT(C3642,4))</f>
        <v>2024</v>
      </c>
      <c r="G3642" t="s">
        <v>7</v>
      </c>
      <c r="H3642">
        <v>-2</v>
      </c>
      <c r="K3642" t="s">
        <v>9</v>
      </c>
      <c r="L3642" s="8">
        <f t="shared" si="10656"/>
        <v>-1</v>
      </c>
      <c r="M3642" t="s">
        <v>4020</v>
      </c>
    </row>
    <row r="3643" spans="1:13" x14ac:dyDescent="0.35">
      <c r="A3643">
        <f t="shared" si="10619"/>
        <v>3639</v>
      </c>
      <c r="B3643" s="9">
        <f t="shared" si="10753"/>
        <v>74.97</v>
      </c>
      <c r="C3643" s="3" t="s">
        <v>4012</v>
      </c>
      <c r="D3643">
        <f t="shared" si="10754"/>
        <v>20</v>
      </c>
      <c r="E3643">
        <f t="shared" si="10755"/>
        <v>11</v>
      </c>
      <c r="F3643">
        <f t="shared" si="10756"/>
        <v>2024</v>
      </c>
      <c r="G3643" t="s">
        <v>7</v>
      </c>
      <c r="H3643">
        <v>-2</v>
      </c>
      <c r="K3643" t="s">
        <v>9</v>
      </c>
      <c r="L3643" s="8">
        <f t="shared" si="10656"/>
        <v>-1</v>
      </c>
      <c r="M3643" t="s">
        <v>4021</v>
      </c>
    </row>
    <row r="3644" spans="1:13" x14ac:dyDescent="0.35">
      <c r="A3644">
        <f t="shared" si="10619"/>
        <v>3640</v>
      </c>
      <c r="B3644" s="9">
        <f t="shared" si="10753"/>
        <v>76.97</v>
      </c>
      <c r="C3644" s="3" t="s">
        <v>4012</v>
      </c>
      <c r="D3644">
        <f t="shared" si="10754"/>
        <v>20</v>
      </c>
      <c r="E3644">
        <f t="shared" si="10755"/>
        <v>11</v>
      </c>
      <c r="F3644">
        <f t="shared" si="10756"/>
        <v>2024</v>
      </c>
      <c r="G3644" t="s">
        <v>7</v>
      </c>
      <c r="H3644">
        <v>-2</v>
      </c>
      <c r="I3644">
        <v>4</v>
      </c>
      <c r="K3644" t="s">
        <v>10</v>
      </c>
      <c r="L3644" s="8">
        <f t="shared" si="10656"/>
        <v>1</v>
      </c>
      <c r="M3644" t="s">
        <v>4022</v>
      </c>
    </row>
    <row r="3645" spans="1:13" x14ac:dyDescent="0.35">
      <c r="A3645">
        <f t="shared" si="10619"/>
        <v>3641</v>
      </c>
      <c r="B3645" s="9">
        <f t="shared" si="10753"/>
        <v>74.97</v>
      </c>
      <c r="C3645" s="3" t="s">
        <v>4012</v>
      </c>
      <c r="D3645">
        <f t="shared" si="10754"/>
        <v>20</v>
      </c>
      <c r="E3645">
        <f t="shared" si="10755"/>
        <v>11</v>
      </c>
      <c r="F3645">
        <f t="shared" si="10756"/>
        <v>2024</v>
      </c>
      <c r="G3645" t="s">
        <v>7</v>
      </c>
      <c r="H3645">
        <v>-2</v>
      </c>
      <c r="K3645" t="s">
        <v>9</v>
      </c>
      <c r="L3645" s="8">
        <f t="shared" si="10656"/>
        <v>-1</v>
      </c>
      <c r="M3645" t="s">
        <v>4023</v>
      </c>
    </row>
    <row r="3646" spans="1:13" x14ac:dyDescent="0.35">
      <c r="A3646">
        <f t="shared" si="10619"/>
        <v>3642</v>
      </c>
      <c r="B3646" s="9">
        <f t="shared" si="10753"/>
        <v>72.97</v>
      </c>
      <c r="C3646" s="3" t="s">
        <v>4012</v>
      </c>
      <c r="D3646">
        <f t="shared" si="10754"/>
        <v>20</v>
      </c>
      <c r="E3646">
        <f t="shared" si="10755"/>
        <v>11</v>
      </c>
      <c r="F3646">
        <f t="shared" si="10756"/>
        <v>2024</v>
      </c>
      <c r="G3646" t="s">
        <v>7</v>
      </c>
      <c r="H3646">
        <v>-2</v>
      </c>
      <c r="K3646" t="s">
        <v>9</v>
      </c>
      <c r="L3646" s="8">
        <f t="shared" si="10656"/>
        <v>-1</v>
      </c>
      <c r="M3646" t="s">
        <v>4024</v>
      </c>
    </row>
    <row r="3647" spans="1:13" x14ac:dyDescent="0.35">
      <c r="A3647">
        <f t="shared" si="10619"/>
        <v>3643</v>
      </c>
      <c r="B3647" s="9">
        <f t="shared" ref="B3647:B3651" si="10757">B3646+H3647+I3647+J3647</f>
        <v>70.97</v>
      </c>
      <c r="C3647" s="3" t="s">
        <v>4012</v>
      </c>
      <c r="D3647">
        <f t="shared" ref="D3647:D3651" si="10758">_xlfn.NUMBERVALUE(LEFT(C3647,2))</f>
        <v>20</v>
      </c>
      <c r="E3647">
        <f t="shared" ref="E3647:E3651" si="10759">_xlfn.NUMBERVALUE(MID(C3647,4,2))</f>
        <v>11</v>
      </c>
      <c r="F3647">
        <f t="shared" ref="F3647:F3651" si="10760">_xlfn.NUMBERVALUE(RIGHT(C3647,4))</f>
        <v>2024</v>
      </c>
      <c r="G3647" t="s">
        <v>7</v>
      </c>
      <c r="H3647">
        <v>-2</v>
      </c>
      <c r="K3647" t="s">
        <v>9</v>
      </c>
      <c r="L3647" s="8">
        <f t="shared" si="10656"/>
        <v>-1</v>
      </c>
      <c r="M3647" t="s">
        <v>4025</v>
      </c>
    </row>
    <row r="3648" spans="1:13" x14ac:dyDescent="0.35">
      <c r="A3648">
        <f t="shared" si="10619"/>
        <v>3644</v>
      </c>
      <c r="B3648" s="9">
        <f t="shared" si="10757"/>
        <v>68.97</v>
      </c>
      <c r="C3648" s="3" t="s">
        <v>4012</v>
      </c>
      <c r="D3648">
        <f t="shared" si="10758"/>
        <v>20</v>
      </c>
      <c r="E3648">
        <f t="shared" si="10759"/>
        <v>11</v>
      </c>
      <c r="F3648">
        <f t="shared" si="10760"/>
        <v>2024</v>
      </c>
      <c r="G3648" t="s">
        <v>7</v>
      </c>
      <c r="H3648">
        <v>-2</v>
      </c>
      <c r="K3648" t="s">
        <v>9</v>
      </c>
      <c r="L3648" s="8">
        <f t="shared" si="10656"/>
        <v>-1</v>
      </c>
      <c r="M3648" t="s">
        <v>4026</v>
      </c>
    </row>
    <row r="3649" spans="1:13" x14ac:dyDescent="0.35">
      <c r="A3649">
        <f t="shared" si="10619"/>
        <v>3645</v>
      </c>
      <c r="B3649" s="9">
        <f t="shared" si="10757"/>
        <v>66.97</v>
      </c>
      <c r="C3649" s="3" t="s">
        <v>4012</v>
      </c>
      <c r="D3649">
        <f t="shared" si="10758"/>
        <v>20</v>
      </c>
      <c r="E3649">
        <f t="shared" si="10759"/>
        <v>11</v>
      </c>
      <c r="F3649">
        <f t="shared" si="10760"/>
        <v>2024</v>
      </c>
      <c r="G3649" t="s">
        <v>7</v>
      </c>
      <c r="H3649">
        <v>-2</v>
      </c>
      <c r="K3649" t="s">
        <v>9</v>
      </c>
      <c r="L3649" s="8">
        <f t="shared" ref="L3649:L3658" si="10761">IF(H3649="",0,(SUM(I3649:J3649)/-H3649)-1)</f>
        <v>-1</v>
      </c>
      <c r="M3649" t="s">
        <v>4027</v>
      </c>
    </row>
    <row r="3650" spans="1:13" x14ac:dyDescent="0.35">
      <c r="A3650">
        <f t="shared" si="10619"/>
        <v>3646</v>
      </c>
      <c r="B3650" s="9">
        <f t="shared" si="10757"/>
        <v>70.97</v>
      </c>
      <c r="C3650" s="3" t="s">
        <v>4012</v>
      </c>
      <c r="D3650">
        <f t="shared" si="10758"/>
        <v>20</v>
      </c>
      <c r="E3650">
        <f t="shared" si="10759"/>
        <v>11</v>
      </c>
      <c r="F3650">
        <f t="shared" si="10760"/>
        <v>2024</v>
      </c>
      <c r="G3650" t="s">
        <v>7</v>
      </c>
      <c r="H3650">
        <v>-2</v>
      </c>
      <c r="I3650">
        <v>6</v>
      </c>
      <c r="K3650" t="s">
        <v>10</v>
      </c>
      <c r="L3650" s="8">
        <f t="shared" si="10761"/>
        <v>2</v>
      </c>
      <c r="M3650" t="s">
        <v>4028</v>
      </c>
    </row>
    <row r="3651" spans="1:13" x14ac:dyDescent="0.35">
      <c r="A3651">
        <f t="shared" si="10619"/>
        <v>3647</v>
      </c>
      <c r="B3651" s="9">
        <f t="shared" si="10757"/>
        <v>74.97</v>
      </c>
      <c r="C3651" s="3" t="s">
        <v>4012</v>
      </c>
      <c r="D3651">
        <f t="shared" si="10758"/>
        <v>20</v>
      </c>
      <c r="E3651">
        <f t="shared" si="10759"/>
        <v>11</v>
      </c>
      <c r="F3651">
        <f t="shared" si="10760"/>
        <v>2024</v>
      </c>
      <c r="G3651" t="s">
        <v>7</v>
      </c>
      <c r="H3651">
        <v>-2</v>
      </c>
      <c r="I3651">
        <v>6</v>
      </c>
      <c r="K3651" t="s">
        <v>10</v>
      </c>
      <c r="L3651" s="8">
        <f t="shared" si="10761"/>
        <v>2</v>
      </c>
      <c r="M3651" t="s">
        <v>4029</v>
      </c>
    </row>
    <row r="3652" spans="1:13" x14ac:dyDescent="0.35">
      <c r="A3652">
        <f t="shared" si="10619"/>
        <v>3648</v>
      </c>
      <c r="B3652" s="9">
        <f t="shared" ref="B3652" si="10762">B3651+H3652+I3652+J3652</f>
        <v>72.97</v>
      </c>
      <c r="C3652" s="3" t="s">
        <v>4030</v>
      </c>
      <c r="D3652">
        <f t="shared" ref="D3652" si="10763">_xlfn.NUMBERVALUE(LEFT(C3652,2))</f>
        <v>21</v>
      </c>
      <c r="E3652">
        <f t="shared" ref="E3652" si="10764">_xlfn.NUMBERVALUE(MID(C3652,4,2))</f>
        <v>11</v>
      </c>
      <c r="F3652">
        <f t="shared" ref="F3652" si="10765">_xlfn.NUMBERVALUE(RIGHT(C3652,4))</f>
        <v>2024</v>
      </c>
      <c r="G3652" t="s">
        <v>7</v>
      </c>
      <c r="H3652">
        <v>-2</v>
      </c>
      <c r="K3652" t="s">
        <v>9</v>
      </c>
      <c r="L3652" s="8">
        <f t="shared" si="10761"/>
        <v>-1</v>
      </c>
      <c r="M3652" t="s">
        <v>4031</v>
      </c>
    </row>
    <row r="3653" spans="1:13" x14ac:dyDescent="0.35">
      <c r="A3653">
        <f t="shared" si="10619"/>
        <v>3649</v>
      </c>
      <c r="B3653" s="9">
        <f t="shared" ref="B3653" si="10766">B3652+H3653+I3653+J3653</f>
        <v>70.97</v>
      </c>
      <c r="C3653" s="3" t="s">
        <v>4030</v>
      </c>
      <c r="D3653">
        <f t="shared" ref="D3653" si="10767">_xlfn.NUMBERVALUE(LEFT(C3653,2))</f>
        <v>21</v>
      </c>
      <c r="E3653">
        <f t="shared" ref="E3653" si="10768">_xlfn.NUMBERVALUE(MID(C3653,4,2))</f>
        <v>11</v>
      </c>
      <c r="F3653">
        <f t="shared" ref="F3653" si="10769">_xlfn.NUMBERVALUE(RIGHT(C3653,4))</f>
        <v>2024</v>
      </c>
      <c r="G3653" t="s">
        <v>7</v>
      </c>
      <c r="H3653">
        <v>-2</v>
      </c>
      <c r="K3653" t="s">
        <v>9</v>
      </c>
      <c r="L3653" s="8">
        <f t="shared" si="10761"/>
        <v>-1</v>
      </c>
      <c r="M3653" t="s">
        <v>4032</v>
      </c>
    </row>
    <row r="3654" spans="1:13" x14ac:dyDescent="0.35">
      <c r="A3654">
        <f t="shared" si="10619"/>
        <v>3650</v>
      </c>
      <c r="B3654" s="9">
        <f t="shared" ref="B3654" si="10770">B3653+H3654+I3654+J3654</f>
        <v>68.97</v>
      </c>
      <c r="C3654" s="3" t="s">
        <v>4030</v>
      </c>
      <c r="D3654">
        <f t="shared" ref="D3654" si="10771">_xlfn.NUMBERVALUE(LEFT(C3654,2))</f>
        <v>21</v>
      </c>
      <c r="E3654">
        <f t="shared" ref="E3654" si="10772">_xlfn.NUMBERVALUE(MID(C3654,4,2))</f>
        <v>11</v>
      </c>
      <c r="F3654">
        <f t="shared" ref="F3654" si="10773">_xlfn.NUMBERVALUE(RIGHT(C3654,4))</f>
        <v>2024</v>
      </c>
      <c r="G3654" t="s">
        <v>7</v>
      </c>
      <c r="H3654">
        <v>-2</v>
      </c>
      <c r="K3654" t="s">
        <v>9</v>
      </c>
      <c r="L3654" s="8">
        <f t="shared" si="10761"/>
        <v>-1</v>
      </c>
      <c r="M3654" t="s">
        <v>4033</v>
      </c>
    </row>
    <row r="3655" spans="1:13" x14ac:dyDescent="0.35">
      <c r="A3655">
        <f t="shared" si="10619"/>
        <v>3651</v>
      </c>
      <c r="B3655" s="9">
        <f t="shared" ref="B3655" si="10774">B3654+H3655+I3655+J3655</f>
        <v>70.97</v>
      </c>
      <c r="C3655" s="3" t="s">
        <v>4030</v>
      </c>
      <c r="D3655">
        <f t="shared" ref="D3655" si="10775">_xlfn.NUMBERVALUE(LEFT(C3655,2))</f>
        <v>21</v>
      </c>
      <c r="E3655">
        <f t="shared" ref="E3655" si="10776">_xlfn.NUMBERVALUE(MID(C3655,4,2))</f>
        <v>11</v>
      </c>
      <c r="F3655">
        <f t="shared" ref="F3655" si="10777">_xlfn.NUMBERVALUE(RIGHT(C3655,4))</f>
        <v>2024</v>
      </c>
      <c r="G3655" t="s">
        <v>7</v>
      </c>
      <c r="H3655">
        <v>-2</v>
      </c>
      <c r="I3655">
        <v>4</v>
      </c>
      <c r="K3655" t="s">
        <v>10</v>
      </c>
      <c r="L3655" s="8">
        <f t="shared" si="10761"/>
        <v>1</v>
      </c>
      <c r="M3655" t="s">
        <v>4034</v>
      </c>
    </row>
    <row r="3656" spans="1:13" x14ac:dyDescent="0.35">
      <c r="A3656">
        <f t="shared" si="10619"/>
        <v>3652</v>
      </c>
      <c r="B3656" s="9">
        <f t="shared" ref="B3656" si="10778">B3655+H3656+I3656+J3656</f>
        <v>68.97</v>
      </c>
      <c r="C3656" s="3" t="s">
        <v>4030</v>
      </c>
      <c r="D3656">
        <f t="shared" ref="D3656" si="10779">_xlfn.NUMBERVALUE(LEFT(C3656,2))</f>
        <v>21</v>
      </c>
      <c r="E3656">
        <f t="shared" ref="E3656" si="10780">_xlfn.NUMBERVALUE(MID(C3656,4,2))</f>
        <v>11</v>
      </c>
      <c r="F3656">
        <f t="shared" ref="F3656" si="10781">_xlfn.NUMBERVALUE(RIGHT(C3656,4))</f>
        <v>2024</v>
      </c>
      <c r="G3656" t="s">
        <v>7</v>
      </c>
      <c r="H3656">
        <v>-2</v>
      </c>
      <c r="K3656" t="s">
        <v>9</v>
      </c>
      <c r="L3656" s="8">
        <f t="shared" si="10761"/>
        <v>-1</v>
      </c>
      <c r="M3656" t="s">
        <v>4035</v>
      </c>
    </row>
    <row r="3657" spans="1:13" x14ac:dyDescent="0.35">
      <c r="A3657">
        <f t="shared" si="10619"/>
        <v>3653</v>
      </c>
      <c r="B3657" s="9">
        <f t="shared" ref="B3657:B3658" si="10782">B3656+H3657+I3657+J3657</f>
        <v>68.97</v>
      </c>
      <c r="C3657" s="3" t="s">
        <v>4030</v>
      </c>
      <c r="D3657">
        <f t="shared" ref="D3657:D3658" si="10783">_xlfn.NUMBERVALUE(LEFT(C3657,2))</f>
        <v>21</v>
      </c>
      <c r="E3657">
        <f t="shared" ref="E3657:E3658" si="10784">_xlfn.NUMBERVALUE(MID(C3657,4,2))</f>
        <v>11</v>
      </c>
      <c r="F3657">
        <f t="shared" ref="F3657:F3658" si="10785">_xlfn.NUMBERVALUE(RIGHT(C3657,4))</f>
        <v>2024</v>
      </c>
      <c r="G3657" t="s">
        <v>3039</v>
      </c>
      <c r="K3657" t="s">
        <v>10</v>
      </c>
      <c r="L3657" s="8">
        <f t="shared" si="10761"/>
        <v>0</v>
      </c>
      <c r="M3657" t="s">
        <v>4036</v>
      </c>
    </row>
    <row r="3658" spans="1:13" x14ac:dyDescent="0.35">
      <c r="A3658">
        <f t="shared" si="10619"/>
        <v>3654</v>
      </c>
      <c r="B3658" s="9">
        <f t="shared" si="10782"/>
        <v>66.97</v>
      </c>
      <c r="C3658" s="3" t="s">
        <v>4030</v>
      </c>
      <c r="D3658">
        <f t="shared" si="10783"/>
        <v>21</v>
      </c>
      <c r="E3658">
        <f t="shared" si="10784"/>
        <v>11</v>
      </c>
      <c r="F3658">
        <f t="shared" si="10785"/>
        <v>2024</v>
      </c>
      <c r="G3658" t="s">
        <v>7</v>
      </c>
      <c r="H3658">
        <v>-2</v>
      </c>
      <c r="K3658" t="s">
        <v>9</v>
      </c>
      <c r="L3658" s="8">
        <f t="shared" si="10761"/>
        <v>-1</v>
      </c>
      <c r="M3658" t="s">
        <v>4037</v>
      </c>
    </row>
    <row r="3659" spans="1:13" x14ac:dyDescent="0.35">
      <c r="A3659">
        <f t="shared" si="10619"/>
        <v>3655</v>
      </c>
      <c r="B3659" s="9">
        <f t="shared" ref="B3659" si="10786">B3658+H3659+I3659+J3659</f>
        <v>64.97</v>
      </c>
      <c r="C3659" s="3" t="s">
        <v>4030</v>
      </c>
      <c r="D3659">
        <f t="shared" ref="D3659" si="10787">_xlfn.NUMBERVALUE(LEFT(C3659,2))</f>
        <v>21</v>
      </c>
      <c r="E3659">
        <f t="shared" ref="E3659" si="10788">_xlfn.NUMBERVALUE(MID(C3659,4,2))</f>
        <v>11</v>
      </c>
      <c r="F3659">
        <f t="shared" ref="F3659" si="10789">_xlfn.NUMBERVALUE(RIGHT(C3659,4))</f>
        <v>2024</v>
      </c>
      <c r="G3659" t="s">
        <v>7</v>
      </c>
      <c r="H3659">
        <v>-2</v>
      </c>
      <c r="K3659" t="s">
        <v>9</v>
      </c>
      <c r="L3659" s="8">
        <f t="shared" ref="L3659:L3692" si="10790">IF(H3659="",0,(SUM(I3659:J3659)/-H3659)-1)</f>
        <v>-1</v>
      </c>
      <c r="M3659" t="s">
        <v>4038</v>
      </c>
    </row>
    <row r="3660" spans="1:13" x14ac:dyDescent="0.35">
      <c r="A3660">
        <f t="shared" si="10619"/>
        <v>3656</v>
      </c>
      <c r="B3660" s="9">
        <f t="shared" ref="B3660" si="10791">B3659+H3660+I3660+J3660</f>
        <v>62.97</v>
      </c>
      <c r="C3660" s="3" t="s">
        <v>4030</v>
      </c>
      <c r="D3660">
        <f t="shared" ref="D3660" si="10792">_xlfn.NUMBERVALUE(LEFT(C3660,2))</f>
        <v>21</v>
      </c>
      <c r="E3660">
        <f t="shared" ref="E3660" si="10793">_xlfn.NUMBERVALUE(MID(C3660,4,2))</f>
        <v>11</v>
      </c>
      <c r="F3660">
        <f t="shared" ref="F3660" si="10794">_xlfn.NUMBERVALUE(RIGHT(C3660,4))</f>
        <v>2024</v>
      </c>
      <c r="G3660" t="s">
        <v>7</v>
      </c>
      <c r="H3660">
        <v>-2</v>
      </c>
      <c r="K3660" t="s">
        <v>9</v>
      </c>
      <c r="L3660" s="8">
        <f t="shared" si="10790"/>
        <v>-1</v>
      </c>
      <c r="M3660" t="s">
        <v>4039</v>
      </c>
    </row>
    <row r="3661" spans="1:13" x14ac:dyDescent="0.35">
      <c r="A3661">
        <f t="shared" si="10619"/>
        <v>3657</v>
      </c>
      <c r="B3661" s="9">
        <f t="shared" ref="B3661" si="10795">B3660+H3661+I3661+J3661</f>
        <v>60.97</v>
      </c>
      <c r="C3661" s="3" t="s">
        <v>4030</v>
      </c>
      <c r="D3661">
        <f t="shared" ref="D3661" si="10796">_xlfn.NUMBERVALUE(LEFT(C3661,2))</f>
        <v>21</v>
      </c>
      <c r="E3661">
        <f t="shared" ref="E3661" si="10797">_xlfn.NUMBERVALUE(MID(C3661,4,2))</f>
        <v>11</v>
      </c>
      <c r="F3661">
        <f t="shared" ref="F3661" si="10798">_xlfn.NUMBERVALUE(RIGHT(C3661,4))</f>
        <v>2024</v>
      </c>
      <c r="G3661" t="s">
        <v>7</v>
      </c>
      <c r="H3661">
        <v>-2</v>
      </c>
      <c r="K3661" t="s">
        <v>9</v>
      </c>
      <c r="L3661" s="8">
        <f t="shared" si="10790"/>
        <v>-1</v>
      </c>
      <c r="M3661" t="s">
        <v>4040</v>
      </c>
    </row>
    <row r="3662" spans="1:13" x14ac:dyDescent="0.35">
      <c r="A3662">
        <f t="shared" si="10619"/>
        <v>3658</v>
      </c>
      <c r="B3662" s="9">
        <f t="shared" ref="B3662:B3665" si="10799">B3661+H3662+I3662+J3662</f>
        <v>61.239999999999995</v>
      </c>
      <c r="C3662" s="3" t="s">
        <v>4030</v>
      </c>
      <c r="D3662">
        <f t="shared" ref="D3662:D3665" si="10800">_xlfn.NUMBERVALUE(LEFT(C3662,2))</f>
        <v>21</v>
      </c>
      <c r="E3662">
        <f t="shared" ref="E3662:E3665" si="10801">_xlfn.NUMBERVALUE(MID(C3662,4,2))</f>
        <v>11</v>
      </c>
      <c r="F3662">
        <f t="shared" ref="F3662:F3665" si="10802">_xlfn.NUMBERVALUE(RIGHT(C3662,4))</f>
        <v>2024</v>
      </c>
      <c r="G3662" t="s">
        <v>1389</v>
      </c>
      <c r="H3662">
        <v>-10</v>
      </c>
      <c r="I3662">
        <v>10.27</v>
      </c>
      <c r="K3662" t="s">
        <v>10</v>
      </c>
      <c r="L3662" s="8">
        <f t="shared" si="10790"/>
        <v>2.6999999999999913E-2</v>
      </c>
      <c r="M3662" t="s">
        <v>4041</v>
      </c>
    </row>
    <row r="3663" spans="1:13" x14ac:dyDescent="0.35">
      <c r="A3663">
        <f t="shared" si="10619"/>
        <v>3659</v>
      </c>
      <c r="B3663" s="9">
        <f t="shared" si="10799"/>
        <v>62.589999999999996</v>
      </c>
      <c r="C3663" s="3" t="s">
        <v>4030</v>
      </c>
      <c r="D3663">
        <f t="shared" si="10800"/>
        <v>21</v>
      </c>
      <c r="E3663">
        <f t="shared" si="10801"/>
        <v>11</v>
      </c>
      <c r="F3663">
        <f t="shared" si="10802"/>
        <v>2024</v>
      </c>
      <c r="G3663" t="s">
        <v>1389</v>
      </c>
      <c r="H3663">
        <v>-2</v>
      </c>
      <c r="I3663">
        <v>3.35</v>
      </c>
      <c r="K3663" t="s">
        <v>10</v>
      </c>
      <c r="L3663" s="8">
        <f t="shared" si="10790"/>
        <v>0.67500000000000004</v>
      </c>
      <c r="M3663" t="s">
        <v>4042</v>
      </c>
    </row>
    <row r="3664" spans="1:13" x14ac:dyDescent="0.35">
      <c r="A3664">
        <f t="shared" si="10619"/>
        <v>3660</v>
      </c>
      <c r="B3664" s="9">
        <f t="shared" si="10799"/>
        <v>64.59</v>
      </c>
      <c r="C3664" s="3" t="s">
        <v>4043</v>
      </c>
      <c r="D3664">
        <f t="shared" si="10800"/>
        <v>22</v>
      </c>
      <c r="E3664">
        <f t="shared" si="10801"/>
        <v>11</v>
      </c>
      <c r="F3664">
        <f t="shared" si="10802"/>
        <v>2024</v>
      </c>
      <c r="G3664" t="s">
        <v>7</v>
      </c>
      <c r="H3664">
        <v>-2</v>
      </c>
      <c r="I3664">
        <v>4</v>
      </c>
      <c r="K3664" t="s">
        <v>10</v>
      </c>
      <c r="L3664" s="8">
        <f t="shared" si="10790"/>
        <v>1</v>
      </c>
      <c r="M3664" t="s">
        <v>4044</v>
      </c>
    </row>
    <row r="3665" spans="1:13" x14ac:dyDescent="0.35">
      <c r="A3665">
        <f t="shared" si="10619"/>
        <v>3661</v>
      </c>
      <c r="B3665" s="9">
        <f t="shared" si="10799"/>
        <v>64.59</v>
      </c>
      <c r="C3665" s="3" t="s">
        <v>4043</v>
      </c>
      <c r="D3665">
        <f t="shared" si="10800"/>
        <v>22</v>
      </c>
      <c r="E3665">
        <f t="shared" si="10801"/>
        <v>11</v>
      </c>
      <c r="F3665">
        <f t="shared" si="10802"/>
        <v>2024</v>
      </c>
      <c r="G3665" t="s">
        <v>3039</v>
      </c>
      <c r="K3665" t="s">
        <v>9</v>
      </c>
      <c r="L3665" s="8">
        <f t="shared" si="10790"/>
        <v>0</v>
      </c>
      <c r="M3665" t="s">
        <v>4045</v>
      </c>
    </row>
    <row r="3666" spans="1:13" x14ac:dyDescent="0.35">
      <c r="A3666">
        <f t="shared" si="10619"/>
        <v>3662</v>
      </c>
      <c r="B3666" s="9">
        <f t="shared" ref="B3666" si="10803">B3665+H3666+I3666+J3666</f>
        <v>62.59</v>
      </c>
      <c r="C3666" s="3" t="s">
        <v>4043</v>
      </c>
      <c r="D3666">
        <f t="shared" ref="D3666" si="10804">_xlfn.NUMBERVALUE(LEFT(C3666,2))</f>
        <v>22</v>
      </c>
      <c r="E3666">
        <f t="shared" ref="E3666" si="10805">_xlfn.NUMBERVALUE(MID(C3666,4,2))</f>
        <v>11</v>
      </c>
      <c r="F3666">
        <f t="shared" ref="F3666" si="10806">_xlfn.NUMBERVALUE(RIGHT(C3666,4))</f>
        <v>2024</v>
      </c>
      <c r="G3666" t="s">
        <v>7</v>
      </c>
      <c r="H3666">
        <v>-2</v>
      </c>
      <c r="K3666" t="s">
        <v>9</v>
      </c>
      <c r="L3666" s="8">
        <f t="shared" si="10790"/>
        <v>-1</v>
      </c>
      <c r="M3666" t="s">
        <v>4046</v>
      </c>
    </row>
    <row r="3667" spans="1:13" x14ac:dyDescent="0.35">
      <c r="A3667">
        <f t="shared" si="10619"/>
        <v>3663</v>
      </c>
      <c r="B3667" s="9">
        <f t="shared" ref="B3667:B3669" si="10807">B3666+H3667+I3667+J3667</f>
        <v>60.59</v>
      </c>
      <c r="C3667" s="3" t="s">
        <v>4043</v>
      </c>
      <c r="D3667">
        <f t="shared" ref="D3667:D3669" si="10808">_xlfn.NUMBERVALUE(LEFT(C3667,2))</f>
        <v>22</v>
      </c>
      <c r="E3667">
        <f t="shared" ref="E3667:E3669" si="10809">_xlfn.NUMBERVALUE(MID(C3667,4,2))</f>
        <v>11</v>
      </c>
      <c r="F3667">
        <f t="shared" ref="F3667:F3669" si="10810">_xlfn.NUMBERVALUE(RIGHT(C3667,4))</f>
        <v>2024</v>
      </c>
      <c r="G3667" t="s">
        <v>7</v>
      </c>
      <c r="H3667">
        <v>-2</v>
      </c>
      <c r="K3667" t="s">
        <v>9</v>
      </c>
      <c r="L3667" s="8">
        <f t="shared" si="10790"/>
        <v>-1</v>
      </c>
      <c r="M3667" t="s">
        <v>4047</v>
      </c>
    </row>
    <row r="3668" spans="1:13" x14ac:dyDescent="0.35">
      <c r="A3668">
        <f t="shared" si="10619"/>
        <v>3664</v>
      </c>
      <c r="B3668" s="9">
        <f t="shared" si="10807"/>
        <v>58.59</v>
      </c>
      <c r="C3668" s="3" t="s">
        <v>4043</v>
      </c>
      <c r="D3668">
        <f t="shared" si="10808"/>
        <v>22</v>
      </c>
      <c r="E3668">
        <f t="shared" si="10809"/>
        <v>11</v>
      </c>
      <c r="F3668">
        <f t="shared" si="10810"/>
        <v>2024</v>
      </c>
      <c r="G3668" t="s">
        <v>7</v>
      </c>
      <c r="H3668">
        <v>-2</v>
      </c>
      <c r="K3668" t="s">
        <v>9</v>
      </c>
      <c r="L3668" s="8">
        <f t="shared" si="10790"/>
        <v>-1</v>
      </c>
      <c r="M3668" t="s">
        <v>4048</v>
      </c>
    </row>
    <row r="3669" spans="1:13" x14ac:dyDescent="0.35">
      <c r="A3669">
        <f t="shared" si="10619"/>
        <v>3665</v>
      </c>
      <c r="B3669" s="9">
        <f t="shared" si="10807"/>
        <v>56.59</v>
      </c>
      <c r="C3669" s="3" t="s">
        <v>4043</v>
      </c>
      <c r="D3669">
        <f t="shared" si="10808"/>
        <v>22</v>
      </c>
      <c r="E3669">
        <f t="shared" si="10809"/>
        <v>11</v>
      </c>
      <c r="F3669">
        <f t="shared" si="10810"/>
        <v>2024</v>
      </c>
      <c r="G3669" t="s">
        <v>7</v>
      </c>
      <c r="H3669">
        <v>-2</v>
      </c>
      <c r="K3669" t="s">
        <v>9</v>
      </c>
      <c r="L3669" s="8">
        <f t="shared" si="10790"/>
        <v>-1</v>
      </c>
      <c r="M3669" t="s">
        <v>4049</v>
      </c>
    </row>
    <row r="3670" spans="1:13" x14ac:dyDescent="0.35">
      <c r="A3670">
        <f t="shared" si="10619"/>
        <v>3666</v>
      </c>
      <c r="B3670" s="9">
        <f t="shared" ref="B3670" si="10811">B3669+H3670+I3670+J3670</f>
        <v>56.360000000000007</v>
      </c>
      <c r="C3670" s="3" t="s">
        <v>4043</v>
      </c>
      <c r="D3670">
        <f t="shared" ref="D3670" si="10812">_xlfn.NUMBERVALUE(LEFT(C3670,2))</f>
        <v>22</v>
      </c>
      <c r="E3670">
        <f t="shared" ref="E3670" si="10813">_xlfn.NUMBERVALUE(MID(C3670,4,2))</f>
        <v>11</v>
      </c>
      <c r="F3670">
        <f t="shared" ref="F3670" si="10814">_xlfn.NUMBERVALUE(RIGHT(C3670,4))</f>
        <v>2024</v>
      </c>
      <c r="G3670" t="s">
        <v>1389</v>
      </c>
      <c r="H3670">
        <v>-2</v>
      </c>
      <c r="I3670">
        <v>1.77</v>
      </c>
      <c r="K3670" t="s">
        <v>9</v>
      </c>
      <c r="L3670" s="8">
        <f t="shared" si="10790"/>
        <v>-0.11499999999999999</v>
      </c>
      <c r="M3670" t="s">
        <v>4050</v>
      </c>
    </row>
    <row r="3671" spans="1:13" x14ac:dyDescent="0.35">
      <c r="A3671">
        <f t="shared" si="10619"/>
        <v>3667</v>
      </c>
      <c r="B3671" s="9">
        <f t="shared" ref="B3671" si="10815">B3670+H3671+I3671+J3671</f>
        <v>53.160000000000004</v>
      </c>
      <c r="C3671" s="3" t="s">
        <v>4043</v>
      </c>
      <c r="D3671">
        <f t="shared" ref="D3671" si="10816">_xlfn.NUMBERVALUE(LEFT(C3671,2))</f>
        <v>22</v>
      </c>
      <c r="E3671">
        <f t="shared" ref="E3671" si="10817">_xlfn.NUMBERVALUE(MID(C3671,4,2))</f>
        <v>11</v>
      </c>
      <c r="F3671">
        <f t="shared" ref="F3671" si="10818">_xlfn.NUMBERVALUE(RIGHT(C3671,4))</f>
        <v>2024</v>
      </c>
      <c r="G3671" t="s">
        <v>1389</v>
      </c>
      <c r="H3671">
        <v>-10</v>
      </c>
      <c r="I3671">
        <v>6.8</v>
      </c>
      <c r="K3671" t="s">
        <v>9</v>
      </c>
      <c r="L3671" s="8">
        <f t="shared" si="10790"/>
        <v>-0.32000000000000006</v>
      </c>
      <c r="M3671" t="s">
        <v>4051</v>
      </c>
    </row>
    <row r="3672" spans="1:13" x14ac:dyDescent="0.35">
      <c r="A3672">
        <f t="shared" si="10619"/>
        <v>3668</v>
      </c>
      <c r="B3672" s="9">
        <f t="shared" ref="B3672" si="10819">B3671+H3672+I3672+J3672</f>
        <v>8.1200000000000045</v>
      </c>
      <c r="C3672" s="3" t="s">
        <v>4043</v>
      </c>
      <c r="D3672">
        <f t="shared" ref="D3672" si="10820">_xlfn.NUMBERVALUE(LEFT(C3672,2))</f>
        <v>22</v>
      </c>
      <c r="E3672">
        <f t="shared" ref="E3672" si="10821">_xlfn.NUMBERVALUE(MID(C3672,4,2))</f>
        <v>11</v>
      </c>
      <c r="F3672">
        <f t="shared" ref="F3672" si="10822">_xlfn.NUMBERVALUE(RIGHT(C3672,4))</f>
        <v>2024</v>
      </c>
      <c r="G3672" t="s">
        <v>1389</v>
      </c>
      <c r="H3672">
        <v>-45.04</v>
      </c>
      <c r="K3672" t="s">
        <v>9</v>
      </c>
      <c r="L3672" s="8">
        <f t="shared" si="10790"/>
        <v>-1</v>
      </c>
      <c r="M3672" t="s">
        <v>4052</v>
      </c>
    </row>
    <row r="3673" spans="1:13" x14ac:dyDescent="0.35">
      <c r="A3673">
        <f t="shared" si="10619"/>
        <v>3669</v>
      </c>
      <c r="B3673" s="9">
        <f t="shared" ref="B3673:B3674" si="10823">B3672+H3673+I3673+J3673</f>
        <v>120.62</v>
      </c>
      <c r="C3673" s="3" t="s">
        <v>4043</v>
      </c>
      <c r="D3673">
        <f t="shared" ref="D3673:D3674" si="10824">_xlfn.NUMBERVALUE(LEFT(C3673,2))</f>
        <v>22</v>
      </c>
      <c r="E3673">
        <f t="shared" ref="E3673:E3674" si="10825">_xlfn.NUMBERVALUE(MID(C3673,4,2))</f>
        <v>11</v>
      </c>
      <c r="F3673">
        <f t="shared" ref="F3673:F3674" si="10826">_xlfn.NUMBERVALUE(RIGHT(C3673,4))</f>
        <v>2024</v>
      </c>
      <c r="G3673" t="s">
        <v>3362</v>
      </c>
      <c r="I3673">
        <v>112.5</v>
      </c>
      <c r="L3673" s="8"/>
    </row>
    <row r="3674" spans="1:13" x14ac:dyDescent="0.35">
      <c r="A3674">
        <f t="shared" si="10619"/>
        <v>3670</v>
      </c>
      <c r="B3674" s="9">
        <f t="shared" si="10823"/>
        <v>111.66</v>
      </c>
      <c r="C3674" s="3" t="s">
        <v>4043</v>
      </c>
      <c r="D3674">
        <f t="shared" si="10824"/>
        <v>22</v>
      </c>
      <c r="E3674">
        <f t="shared" si="10825"/>
        <v>11</v>
      </c>
      <c r="F3674">
        <f t="shared" si="10826"/>
        <v>2024</v>
      </c>
      <c r="G3674" t="s">
        <v>1389</v>
      </c>
      <c r="H3674">
        <v>-8.9600000000000009</v>
      </c>
      <c r="K3674" t="s">
        <v>9</v>
      </c>
      <c r="L3674" s="8">
        <f t="shared" si="10790"/>
        <v>-1</v>
      </c>
      <c r="M3674" t="s">
        <v>4053</v>
      </c>
    </row>
    <row r="3675" spans="1:13" x14ac:dyDescent="0.35">
      <c r="A3675">
        <f t="shared" si="10619"/>
        <v>3671</v>
      </c>
      <c r="B3675" s="9">
        <f t="shared" ref="B3675" si="10827">B3674+H3675+I3675+J3675</f>
        <v>120.53999999999999</v>
      </c>
      <c r="C3675" s="3" t="s">
        <v>4043</v>
      </c>
      <c r="D3675">
        <f t="shared" ref="D3675" si="10828">_xlfn.NUMBERVALUE(LEFT(C3675,2))</f>
        <v>22</v>
      </c>
      <c r="E3675">
        <f t="shared" ref="E3675" si="10829">_xlfn.NUMBERVALUE(MID(C3675,4,2))</f>
        <v>11</v>
      </c>
      <c r="F3675">
        <f t="shared" ref="F3675" si="10830">_xlfn.NUMBERVALUE(RIGHT(C3675,4))</f>
        <v>2024</v>
      </c>
      <c r="G3675" t="s">
        <v>1389</v>
      </c>
      <c r="H3675" s="9">
        <v>-10</v>
      </c>
      <c r="I3675">
        <v>18.88</v>
      </c>
      <c r="K3675" t="s">
        <v>10</v>
      </c>
      <c r="L3675" s="8">
        <f t="shared" si="10790"/>
        <v>0.8879999999999999</v>
      </c>
      <c r="M3675" t="s">
        <v>4054</v>
      </c>
    </row>
    <row r="3676" spans="1:13" x14ac:dyDescent="0.35">
      <c r="A3676">
        <f t="shared" si="10619"/>
        <v>3672</v>
      </c>
      <c r="B3676" s="9">
        <f t="shared" ref="B3676" si="10831">B3675+H3676+I3676+J3676</f>
        <v>111.07</v>
      </c>
      <c r="C3676" s="3" t="s">
        <v>4043</v>
      </c>
      <c r="D3676">
        <f t="shared" ref="D3676" si="10832">_xlfn.NUMBERVALUE(LEFT(C3676,2))</f>
        <v>22</v>
      </c>
      <c r="E3676">
        <f t="shared" ref="E3676" si="10833">_xlfn.NUMBERVALUE(MID(C3676,4,2))</f>
        <v>11</v>
      </c>
      <c r="F3676">
        <f t="shared" ref="F3676" si="10834">_xlfn.NUMBERVALUE(RIGHT(C3676,4))</f>
        <v>2024</v>
      </c>
      <c r="G3676" t="s">
        <v>1389</v>
      </c>
      <c r="H3676" s="9">
        <v>-10</v>
      </c>
      <c r="I3676">
        <v>0.53</v>
      </c>
      <c r="K3676" t="s">
        <v>9</v>
      </c>
      <c r="L3676" s="8">
        <f t="shared" si="10790"/>
        <v>-0.94699999999999995</v>
      </c>
      <c r="M3676" t="s">
        <v>4055</v>
      </c>
    </row>
    <row r="3677" spans="1:13" x14ac:dyDescent="0.35">
      <c r="A3677">
        <f t="shared" si="10619"/>
        <v>3673</v>
      </c>
      <c r="B3677" s="9">
        <f t="shared" ref="B3677" si="10835">B3676+H3677+I3677+J3677</f>
        <v>112.94999999999999</v>
      </c>
      <c r="C3677" s="3" t="s">
        <v>4043</v>
      </c>
      <c r="D3677">
        <f t="shared" ref="D3677" si="10836">_xlfn.NUMBERVALUE(LEFT(C3677,2))</f>
        <v>22</v>
      </c>
      <c r="E3677">
        <f t="shared" ref="E3677" si="10837">_xlfn.NUMBERVALUE(MID(C3677,4,2))</f>
        <v>11</v>
      </c>
      <c r="F3677">
        <f t="shared" ref="F3677" si="10838">_xlfn.NUMBERVALUE(RIGHT(C3677,4))</f>
        <v>2024</v>
      </c>
      <c r="G3677" t="s">
        <v>1389</v>
      </c>
      <c r="H3677" s="9">
        <v>-10</v>
      </c>
      <c r="I3677" s="9">
        <v>11.88</v>
      </c>
      <c r="K3677" t="s">
        <v>10</v>
      </c>
      <c r="L3677" s="8">
        <f t="shared" si="10790"/>
        <v>0.18800000000000017</v>
      </c>
      <c r="M3677" t="s">
        <v>4056</v>
      </c>
    </row>
    <row r="3678" spans="1:13" x14ac:dyDescent="0.35">
      <c r="A3678">
        <f t="shared" si="10619"/>
        <v>3674</v>
      </c>
      <c r="B3678" s="9">
        <f t="shared" ref="B3678" si="10839">B3677+H3678+I3678+J3678</f>
        <v>92.949999999999989</v>
      </c>
      <c r="C3678" s="3" t="s">
        <v>4043</v>
      </c>
      <c r="D3678">
        <f t="shared" ref="D3678" si="10840">_xlfn.NUMBERVALUE(LEFT(C3678,2))</f>
        <v>22</v>
      </c>
      <c r="E3678">
        <f t="shared" ref="E3678" si="10841">_xlfn.NUMBERVALUE(MID(C3678,4,2))</f>
        <v>11</v>
      </c>
      <c r="F3678">
        <f t="shared" ref="F3678" si="10842">_xlfn.NUMBERVALUE(RIGHT(C3678,4))</f>
        <v>2024</v>
      </c>
      <c r="G3678" t="s">
        <v>1389</v>
      </c>
      <c r="H3678" s="9">
        <v>-20</v>
      </c>
      <c r="K3678" t="s">
        <v>9</v>
      </c>
      <c r="L3678" s="8">
        <f t="shared" si="10790"/>
        <v>-1</v>
      </c>
      <c r="M3678" t="s">
        <v>4057</v>
      </c>
    </row>
    <row r="3679" spans="1:13" x14ac:dyDescent="0.35">
      <c r="A3679">
        <f t="shared" si="10619"/>
        <v>3675</v>
      </c>
      <c r="B3679" s="9">
        <f t="shared" ref="B3679:B3680" si="10843">B3678+H3679+I3679+J3679</f>
        <v>77.839999999999989</v>
      </c>
      <c r="C3679" s="3" t="s">
        <v>4043</v>
      </c>
      <c r="D3679">
        <f t="shared" ref="D3679:D3680" si="10844">_xlfn.NUMBERVALUE(LEFT(C3679,2))</f>
        <v>22</v>
      </c>
      <c r="E3679">
        <f t="shared" ref="E3679:E3680" si="10845">_xlfn.NUMBERVALUE(MID(C3679,4,2))</f>
        <v>11</v>
      </c>
      <c r="F3679">
        <f t="shared" ref="F3679:F3680" si="10846">_xlfn.NUMBERVALUE(RIGHT(C3679,4))</f>
        <v>2024</v>
      </c>
      <c r="G3679" t="s">
        <v>1389</v>
      </c>
      <c r="H3679" s="9">
        <v>-24.16</v>
      </c>
      <c r="I3679">
        <v>9.0500000000000007</v>
      </c>
      <c r="K3679" t="s">
        <v>9</v>
      </c>
      <c r="L3679" s="8">
        <f t="shared" si="10790"/>
        <v>-0.6254139072847682</v>
      </c>
      <c r="M3679" t="s">
        <v>4058</v>
      </c>
    </row>
    <row r="3680" spans="1:13" x14ac:dyDescent="0.35">
      <c r="A3680">
        <f t="shared" si="10619"/>
        <v>3676</v>
      </c>
      <c r="B3680" s="9">
        <f t="shared" si="10843"/>
        <v>76.959999999999994</v>
      </c>
      <c r="C3680" s="3" t="s">
        <v>4043</v>
      </c>
      <c r="D3680">
        <f t="shared" si="10844"/>
        <v>22</v>
      </c>
      <c r="E3680">
        <f t="shared" si="10845"/>
        <v>11</v>
      </c>
      <c r="F3680">
        <f t="shared" si="10846"/>
        <v>2024</v>
      </c>
      <c r="G3680" t="s">
        <v>1389</v>
      </c>
      <c r="H3680" s="9">
        <v>-10</v>
      </c>
      <c r="I3680">
        <v>9.1199999999999992</v>
      </c>
      <c r="K3680" t="s">
        <v>9</v>
      </c>
      <c r="L3680" s="8">
        <f t="shared" si="10790"/>
        <v>-8.8000000000000078E-2</v>
      </c>
      <c r="M3680" t="s">
        <v>4059</v>
      </c>
    </row>
    <row r="3681" spans="1:13" x14ac:dyDescent="0.35">
      <c r="A3681">
        <f t="shared" si="10619"/>
        <v>3677</v>
      </c>
      <c r="B3681" s="9">
        <f t="shared" ref="B3681" si="10847">B3680+H3681+I3681+J3681</f>
        <v>68.779999999999987</v>
      </c>
      <c r="C3681" s="3" t="s">
        <v>4043</v>
      </c>
      <c r="D3681">
        <f t="shared" ref="D3681" si="10848">_xlfn.NUMBERVALUE(LEFT(C3681,2))</f>
        <v>22</v>
      </c>
      <c r="E3681">
        <f t="shared" ref="E3681" si="10849">_xlfn.NUMBERVALUE(MID(C3681,4,2))</f>
        <v>11</v>
      </c>
      <c r="F3681">
        <f t="shared" ref="F3681" si="10850">_xlfn.NUMBERVALUE(RIGHT(C3681,4))</f>
        <v>2024</v>
      </c>
      <c r="G3681" t="s">
        <v>1389</v>
      </c>
      <c r="H3681" s="9">
        <v>-10</v>
      </c>
      <c r="I3681">
        <v>1.82</v>
      </c>
      <c r="K3681" t="s">
        <v>9</v>
      </c>
      <c r="L3681" s="8">
        <f t="shared" si="10790"/>
        <v>-0.81800000000000006</v>
      </c>
      <c r="M3681" t="s">
        <v>4054</v>
      </c>
    </row>
    <row r="3682" spans="1:13" x14ac:dyDescent="0.35">
      <c r="A3682">
        <f t="shared" si="10619"/>
        <v>3678</v>
      </c>
      <c r="B3682" s="9">
        <f t="shared" ref="B3682" si="10851">B3681+H3682+I3682+J3682</f>
        <v>58.779999999999987</v>
      </c>
      <c r="C3682" s="3" t="s">
        <v>4043</v>
      </c>
      <c r="D3682">
        <f t="shared" ref="D3682" si="10852">_xlfn.NUMBERVALUE(LEFT(C3682,2))</f>
        <v>22</v>
      </c>
      <c r="E3682">
        <f t="shared" ref="E3682" si="10853">_xlfn.NUMBERVALUE(MID(C3682,4,2))</f>
        <v>11</v>
      </c>
      <c r="F3682">
        <f t="shared" ref="F3682" si="10854">_xlfn.NUMBERVALUE(RIGHT(C3682,4))</f>
        <v>2024</v>
      </c>
      <c r="G3682" t="s">
        <v>1389</v>
      </c>
      <c r="H3682" s="9">
        <v>-10</v>
      </c>
      <c r="K3682" t="s">
        <v>9</v>
      </c>
      <c r="L3682" s="8">
        <f t="shared" si="10790"/>
        <v>-1</v>
      </c>
      <c r="M3682" t="s">
        <v>4060</v>
      </c>
    </row>
    <row r="3683" spans="1:13" x14ac:dyDescent="0.35">
      <c r="A3683">
        <f t="shared" si="10619"/>
        <v>3679</v>
      </c>
      <c r="B3683" s="9">
        <f t="shared" ref="B3683" si="10855">B3682+H3683+I3683+J3683</f>
        <v>50.849999999999987</v>
      </c>
      <c r="C3683" s="3" t="s">
        <v>4043</v>
      </c>
      <c r="D3683">
        <f t="shared" ref="D3683" si="10856">_xlfn.NUMBERVALUE(LEFT(C3683,2))</f>
        <v>22</v>
      </c>
      <c r="E3683">
        <f t="shared" ref="E3683" si="10857">_xlfn.NUMBERVALUE(MID(C3683,4,2))</f>
        <v>11</v>
      </c>
      <c r="F3683">
        <f t="shared" ref="F3683" si="10858">_xlfn.NUMBERVALUE(RIGHT(C3683,4))</f>
        <v>2024</v>
      </c>
      <c r="G3683" t="s">
        <v>1389</v>
      </c>
      <c r="H3683" s="9">
        <v>-10</v>
      </c>
      <c r="I3683" s="9">
        <v>2.0699999999999998</v>
      </c>
      <c r="K3683" t="s">
        <v>9</v>
      </c>
      <c r="L3683" s="8">
        <f t="shared" si="10790"/>
        <v>-0.79300000000000004</v>
      </c>
      <c r="M3683" t="s">
        <v>4061</v>
      </c>
    </row>
    <row r="3684" spans="1:13" x14ac:dyDescent="0.35">
      <c r="A3684">
        <f t="shared" si="10619"/>
        <v>3680</v>
      </c>
      <c r="B3684" s="9">
        <f t="shared" ref="B3684" si="10859">B3683+H3684+I3684+J3684</f>
        <v>53.179999999999986</v>
      </c>
      <c r="C3684" s="3" t="s">
        <v>4043</v>
      </c>
      <c r="D3684">
        <f t="shared" ref="D3684" si="10860">_xlfn.NUMBERVALUE(LEFT(C3684,2))</f>
        <v>22</v>
      </c>
      <c r="E3684">
        <f t="shared" ref="E3684" si="10861">_xlfn.NUMBERVALUE(MID(C3684,4,2))</f>
        <v>11</v>
      </c>
      <c r="F3684">
        <f t="shared" ref="F3684" si="10862">_xlfn.NUMBERVALUE(RIGHT(C3684,4))</f>
        <v>2024</v>
      </c>
      <c r="G3684" t="s">
        <v>1389</v>
      </c>
      <c r="H3684" s="9">
        <v>-17.03</v>
      </c>
      <c r="I3684">
        <v>19.36</v>
      </c>
      <c r="K3684" t="s">
        <v>10</v>
      </c>
      <c r="L3684" s="8">
        <f t="shared" si="10790"/>
        <v>0.13681738109219022</v>
      </c>
      <c r="M3684" t="s">
        <v>4062</v>
      </c>
    </row>
    <row r="3685" spans="1:13" x14ac:dyDescent="0.35">
      <c r="A3685">
        <f t="shared" si="10619"/>
        <v>3681</v>
      </c>
      <c r="B3685" s="9">
        <f t="shared" ref="B3685" si="10863">B3684+H3685+I3685+J3685</f>
        <v>58.269999999999982</v>
      </c>
      <c r="C3685" s="3" t="s">
        <v>4043</v>
      </c>
      <c r="D3685">
        <f t="shared" ref="D3685" si="10864">_xlfn.NUMBERVALUE(LEFT(C3685,2))</f>
        <v>22</v>
      </c>
      <c r="E3685">
        <f t="shared" ref="E3685" si="10865">_xlfn.NUMBERVALUE(MID(C3685,4,2))</f>
        <v>11</v>
      </c>
      <c r="F3685">
        <f t="shared" ref="F3685" si="10866">_xlfn.NUMBERVALUE(RIGHT(C3685,4))</f>
        <v>2024</v>
      </c>
      <c r="G3685" t="s">
        <v>1389</v>
      </c>
      <c r="H3685" s="9">
        <v>-10</v>
      </c>
      <c r="I3685">
        <v>15.09</v>
      </c>
      <c r="K3685" t="s">
        <v>10</v>
      </c>
      <c r="L3685" s="8">
        <f t="shared" si="10790"/>
        <v>0.5089999999999999</v>
      </c>
      <c r="M3685" t="s">
        <v>4063</v>
      </c>
    </row>
    <row r="3686" spans="1:13" x14ac:dyDescent="0.35">
      <c r="A3686">
        <f t="shared" si="10619"/>
        <v>3682</v>
      </c>
      <c r="B3686" s="9">
        <f t="shared" ref="B3686" si="10867">B3685+H3686+I3686+J3686</f>
        <v>56.269999999999982</v>
      </c>
      <c r="C3686" s="3" t="s">
        <v>4064</v>
      </c>
      <c r="D3686">
        <f t="shared" ref="D3686" si="10868">_xlfn.NUMBERVALUE(LEFT(C3686,2))</f>
        <v>23</v>
      </c>
      <c r="E3686">
        <f t="shared" ref="E3686" si="10869">_xlfn.NUMBERVALUE(MID(C3686,4,2))</f>
        <v>11</v>
      </c>
      <c r="F3686">
        <f t="shared" ref="F3686" si="10870">_xlfn.NUMBERVALUE(RIGHT(C3686,4))</f>
        <v>2024</v>
      </c>
      <c r="G3686" t="s">
        <v>7</v>
      </c>
      <c r="H3686" s="9">
        <v>-2</v>
      </c>
      <c r="K3686" t="s">
        <v>9</v>
      </c>
      <c r="L3686" s="8">
        <f t="shared" si="10790"/>
        <v>-1</v>
      </c>
      <c r="M3686" t="s">
        <v>4065</v>
      </c>
    </row>
    <row r="3687" spans="1:13" x14ac:dyDescent="0.35">
      <c r="A3687">
        <f t="shared" si="10619"/>
        <v>3683</v>
      </c>
      <c r="B3687" s="9">
        <f t="shared" ref="B3687" si="10871">B3686+H3687+I3687+J3687</f>
        <v>56.269999999999982</v>
      </c>
      <c r="C3687" s="3" t="s">
        <v>4064</v>
      </c>
      <c r="D3687">
        <f t="shared" ref="D3687" si="10872">_xlfn.NUMBERVALUE(LEFT(C3687,2))</f>
        <v>23</v>
      </c>
      <c r="E3687">
        <f t="shared" ref="E3687" si="10873">_xlfn.NUMBERVALUE(MID(C3687,4,2))</f>
        <v>11</v>
      </c>
      <c r="F3687">
        <f t="shared" ref="F3687" si="10874">_xlfn.NUMBERVALUE(RIGHT(C3687,4))</f>
        <v>2024</v>
      </c>
      <c r="G3687" t="s">
        <v>3039</v>
      </c>
      <c r="K3687" t="s">
        <v>10</v>
      </c>
      <c r="L3687" s="8">
        <f t="shared" si="10790"/>
        <v>0</v>
      </c>
      <c r="M3687" t="s">
        <v>4066</v>
      </c>
    </row>
    <row r="3688" spans="1:13" x14ac:dyDescent="0.35">
      <c r="A3688">
        <f t="shared" si="10619"/>
        <v>3684</v>
      </c>
      <c r="B3688" s="9">
        <f t="shared" ref="B3688:B3689" si="10875">B3687+H3688+I3688+J3688</f>
        <v>56.269999999999982</v>
      </c>
      <c r="C3688" s="3" t="s">
        <v>4064</v>
      </c>
      <c r="D3688">
        <f t="shared" ref="D3688:D3689" si="10876">_xlfn.NUMBERVALUE(LEFT(C3688,2))</f>
        <v>23</v>
      </c>
      <c r="E3688">
        <f t="shared" ref="E3688:E3689" si="10877">_xlfn.NUMBERVALUE(MID(C3688,4,2))</f>
        <v>11</v>
      </c>
      <c r="F3688">
        <f t="shared" ref="F3688:F3689" si="10878">_xlfn.NUMBERVALUE(RIGHT(C3688,4))</f>
        <v>2024</v>
      </c>
      <c r="G3688" t="s">
        <v>2969</v>
      </c>
      <c r="K3688" t="s">
        <v>9</v>
      </c>
      <c r="L3688" s="8">
        <f t="shared" si="10790"/>
        <v>0</v>
      </c>
      <c r="M3688" t="s">
        <v>4067</v>
      </c>
    </row>
    <row r="3689" spans="1:13" x14ac:dyDescent="0.35">
      <c r="A3689">
        <f t="shared" si="10619"/>
        <v>3685</v>
      </c>
      <c r="B3689" s="9">
        <f t="shared" si="10875"/>
        <v>59.979999999999983</v>
      </c>
      <c r="C3689" s="3" t="s">
        <v>4064</v>
      </c>
      <c r="D3689">
        <f t="shared" si="10876"/>
        <v>23</v>
      </c>
      <c r="E3689">
        <f t="shared" si="10877"/>
        <v>11</v>
      </c>
      <c r="F3689">
        <f t="shared" si="10878"/>
        <v>2024</v>
      </c>
      <c r="G3689" t="s">
        <v>1389</v>
      </c>
      <c r="H3689" s="9">
        <v>-10</v>
      </c>
      <c r="I3689">
        <v>13.71</v>
      </c>
      <c r="K3689" t="s">
        <v>10</v>
      </c>
      <c r="L3689" s="8">
        <f t="shared" si="10790"/>
        <v>0.371</v>
      </c>
      <c r="M3689" t="s">
        <v>4068</v>
      </c>
    </row>
    <row r="3690" spans="1:13" x14ac:dyDescent="0.35">
      <c r="A3690">
        <f t="shared" si="10619"/>
        <v>3686</v>
      </c>
      <c r="B3690" s="9">
        <f t="shared" ref="B3690" si="10879">B3689+H3690+I3690+J3690</f>
        <v>61.91999999999998</v>
      </c>
      <c r="C3690" s="3" t="s">
        <v>4064</v>
      </c>
      <c r="D3690">
        <f t="shared" ref="D3690" si="10880">_xlfn.NUMBERVALUE(LEFT(C3690,2))</f>
        <v>23</v>
      </c>
      <c r="E3690">
        <f t="shared" ref="E3690" si="10881">_xlfn.NUMBERVALUE(MID(C3690,4,2))</f>
        <v>11</v>
      </c>
      <c r="F3690">
        <f t="shared" ref="F3690" si="10882">_xlfn.NUMBERVALUE(RIGHT(C3690,4))</f>
        <v>2024</v>
      </c>
      <c r="G3690" t="s">
        <v>1389</v>
      </c>
      <c r="H3690" s="9">
        <v>-10</v>
      </c>
      <c r="I3690">
        <v>11.94</v>
      </c>
      <c r="K3690" t="s">
        <v>10</v>
      </c>
      <c r="L3690" s="8">
        <f t="shared" si="10790"/>
        <v>0.19399999999999995</v>
      </c>
      <c r="M3690" t="s">
        <v>4069</v>
      </c>
    </row>
    <row r="3691" spans="1:13" x14ac:dyDescent="0.35">
      <c r="A3691">
        <f t="shared" si="10619"/>
        <v>3687</v>
      </c>
      <c r="B3691" s="9">
        <f t="shared" ref="B3691:B3692" si="10883">B3690+H3691+I3691+J3691</f>
        <v>69.429999999999978</v>
      </c>
      <c r="C3691" s="3" t="s">
        <v>4064</v>
      </c>
      <c r="D3691">
        <f t="shared" ref="D3691:D3692" si="10884">_xlfn.NUMBERVALUE(LEFT(C3691,2))</f>
        <v>23</v>
      </c>
      <c r="E3691">
        <f t="shared" ref="E3691:E3692" si="10885">_xlfn.NUMBERVALUE(MID(C3691,4,2))</f>
        <v>11</v>
      </c>
      <c r="F3691">
        <f t="shared" ref="F3691:F3692" si="10886">_xlfn.NUMBERVALUE(RIGHT(C3691,4))</f>
        <v>2024</v>
      </c>
      <c r="G3691" t="s">
        <v>1389</v>
      </c>
      <c r="H3691" s="9">
        <v>-10</v>
      </c>
      <c r="I3691">
        <v>17.510000000000002</v>
      </c>
      <c r="K3691" t="s">
        <v>10</v>
      </c>
      <c r="L3691" s="8">
        <f t="shared" si="10790"/>
        <v>0.75100000000000011</v>
      </c>
      <c r="M3691" t="s">
        <v>4070</v>
      </c>
    </row>
    <row r="3692" spans="1:13" x14ac:dyDescent="0.35">
      <c r="A3692">
        <f t="shared" si="10619"/>
        <v>3688</v>
      </c>
      <c r="B3692" s="9">
        <f t="shared" si="10883"/>
        <v>67.429999999999978</v>
      </c>
      <c r="C3692" s="3" t="s">
        <v>4071</v>
      </c>
      <c r="D3692">
        <f t="shared" si="10884"/>
        <v>24</v>
      </c>
      <c r="E3692">
        <f t="shared" si="10885"/>
        <v>11</v>
      </c>
      <c r="F3692">
        <f t="shared" si="10886"/>
        <v>2024</v>
      </c>
      <c r="G3692" t="s">
        <v>7</v>
      </c>
      <c r="H3692" s="9">
        <v>-2</v>
      </c>
      <c r="K3692" t="s">
        <v>9</v>
      </c>
      <c r="L3692" s="8">
        <f t="shared" si="10790"/>
        <v>-1</v>
      </c>
      <c r="M3692" t="s">
        <v>4072</v>
      </c>
    </row>
    <row r="3693" spans="1:13" x14ac:dyDescent="0.35">
      <c r="A3693">
        <f t="shared" si="10619"/>
        <v>3689</v>
      </c>
      <c r="B3693" s="9">
        <f t="shared" ref="B3693:B3694" si="10887">B3692+H3693+I3693+J3693</f>
        <v>67.429999999999978</v>
      </c>
      <c r="C3693" s="3" t="s">
        <v>4071</v>
      </c>
      <c r="D3693">
        <f t="shared" ref="D3693:D3694" si="10888">_xlfn.NUMBERVALUE(LEFT(C3693,2))</f>
        <v>24</v>
      </c>
      <c r="E3693">
        <f t="shared" ref="E3693:E3694" si="10889">_xlfn.NUMBERVALUE(MID(C3693,4,2))</f>
        <v>11</v>
      </c>
      <c r="F3693">
        <f t="shared" ref="F3693:F3694" si="10890">_xlfn.NUMBERVALUE(RIGHT(C3693,4))</f>
        <v>2024</v>
      </c>
      <c r="G3693" t="s">
        <v>3039</v>
      </c>
      <c r="K3693" t="s">
        <v>9</v>
      </c>
      <c r="L3693" s="8">
        <f t="shared" ref="L3693:L3730" si="10891">IF(H3693="",0,(SUM(I3693:J3693)/-H3693)-1)</f>
        <v>0</v>
      </c>
      <c r="M3693" t="s">
        <v>4073</v>
      </c>
    </row>
    <row r="3694" spans="1:13" x14ac:dyDescent="0.35">
      <c r="A3694">
        <f t="shared" si="10619"/>
        <v>3690</v>
      </c>
      <c r="B3694" s="9">
        <f t="shared" si="10887"/>
        <v>69.71999999999997</v>
      </c>
      <c r="C3694" s="3" t="s">
        <v>4071</v>
      </c>
      <c r="D3694">
        <f t="shared" si="10888"/>
        <v>24</v>
      </c>
      <c r="E3694">
        <f t="shared" si="10889"/>
        <v>11</v>
      </c>
      <c r="F3694">
        <f t="shared" si="10890"/>
        <v>2024</v>
      </c>
      <c r="G3694" t="s">
        <v>1389</v>
      </c>
      <c r="H3694" s="9">
        <v>-10</v>
      </c>
      <c r="I3694">
        <v>12.29</v>
      </c>
      <c r="K3694" t="s">
        <v>10</v>
      </c>
      <c r="L3694" s="8">
        <f t="shared" si="10891"/>
        <v>0.22899999999999987</v>
      </c>
      <c r="M3694" t="s">
        <v>4074</v>
      </c>
    </row>
    <row r="3695" spans="1:13" x14ac:dyDescent="0.35">
      <c r="A3695">
        <f t="shared" si="10619"/>
        <v>3691</v>
      </c>
      <c r="B3695" s="9">
        <f t="shared" ref="B3695" si="10892">B3694+H3695+I3695+J3695</f>
        <v>72.949999999999974</v>
      </c>
      <c r="C3695" s="3" t="s">
        <v>4071</v>
      </c>
      <c r="D3695">
        <f t="shared" ref="D3695" si="10893">_xlfn.NUMBERVALUE(LEFT(C3695,2))</f>
        <v>24</v>
      </c>
      <c r="E3695">
        <f t="shared" ref="E3695" si="10894">_xlfn.NUMBERVALUE(MID(C3695,4,2))</f>
        <v>11</v>
      </c>
      <c r="F3695">
        <f t="shared" ref="F3695" si="10895">_xlfn.NUMBERVALUE(RIGHT(C3695,4))</f>
        <v>2024</v>
      </c>
      <c r="G3695" t="s">
        <v>1389</v>
      </c>
      <c r="H3695" s="9">
        <v>-10</v>
      </c>
      <c r="I3695">
        <v>13.23</v>
      </c>
      <c r="K3695" t="s">
        <v>10</v>
      </c>
      <c r="L3695" s="8">
        <f t="shared" si="10891"/>
        <v>0.32299999999999995</v>
      </c>
      <c r="M3695" t="s">
        <v>4075</v>
      </c>
    </row>
    <row r="3696" spans="1:13" x14ac:dyDescent="0.35">
      <c r="A3696">
        <f t="shared" si="10619"/>
        <v>3692</v>
      </c>
      <c r="B3696" s="9">
        <f t="shared" ref="B3696:B3697" si="10896">B3695+H3696+I3696+J3696</f>
        <v>57.949999999999974</v>
      </c>
      <c r="C3696" s="3" t="s">
        <v>4071</v>
      </c>
      <c r="D3696">
        <f t="shared" ref="D3696:D3697" si="10897">_xlfn.NUMBERVALUE(LEFT(C3696,2))</f>
        <v>24</v>
      </c>
      <c r="E3696">
        <f t="shared" ref="E3696:E3697" si="10898">_xlfn.NUMBERVALUE(MID(C3696,4,2))</f>
        <v>11</v>
      </c>
      <c r="F3696">
        <f t="shared" ref="F3696:F3697" si="10899">_xlfn.NUMBERVALUE(RIGHT(C3696,4))</f>
        <v>2024</v>
      </c>
      <c r="G3696" t="s">
        <v>1389</v>
      </c>
      <c r="H3696" s="9">
        <v>-15</v>
      </c>
      <c r="K3696" t="s">
        <v>9</v>
      </c>
      <c r="L3696" s="8">
        <f t="shared" si="10891"/>
        <v>-1</v>
      </c>
      <c r="M3696" t="s">
        <v>4076</v>
      </c>
    </row>
    <row r="3697" spans="1:13" x14ac:dyDescent="0.35">
      <c r="A3697">
        <f t="shared" si="10619"/>
        <v>3693</v>
      </c>
      <c r="B3697" s="9">
        <f t="shared" si="10896"/>
        <v>55.949999999999974</v>
      </c>
      <c r="C3697" s="3" t="s">
        <v>4077</v>
      </c>
      <c r="D3697">
        <f t="shared" si="10897"/>
        <v>25</v>
      </c>
      <c r="E3697">
        <f t="shared" si="10898"/>
        <v>11</v>
      </c>
      <c r="F3697">
        <f t="shared" si="10899"/>
        <v>2024</v>
      </c>
      <c r="G3697" t="s">
        <v>7</v>
      </c>
      <c r="H3697" s="9">
        <v>-2</v>
      </c>
      <c r="K3697" t="s">
        <v>9</v>
      </c>
      <c r="L3697" s="8">
        <f t="shared" si="10891"/>
        <v>-1</v>
      </c>
      <c r="M3697" t="s">
        <v>4078</v>
      </c>
    </row>
    <row r="3698" spans="1:13" x14ac:dyDescent="0.35">
      <c r="A3698">
        <f t="shared" si="10619"/>
        <v>3694</v>
      </c>
      <c r="B3698" s="9">
        <f t="shared" ref="B3698" si="10900">B3697+H3698+I3698+J3698</f>
        <v>55.949999999999974</v>
      </c>
      <c r="C3698" s="3" t="s">
        <v>4077</v>
      </c>
      <c r="D3698">
        <f t="shared" ref="D3698" si="10901">_xlfn.NUMBERVALUE(LEFT(C3698,2))</f>
        <v>25</v>
      </c>
      <c r="E3698">
        <f t="shared" ref="E3698" si="10902">_xlfn.NUMBERVALUE(MID(C3698,4,2))</f>
        <v>11</v>
      </c>
      <c r="F3698">
        <f t="shared" ref="F3698" si="10903">_xlfn.NUMBERVALUE(RIGHT(C3698,4))</f>
        <v>2024</v>
      </c>
      <c r="G3698" t="s">
        <v>3039</v>
      </c>
      <c r="H3698" s="9"/>
      <c r="K3698" t="s">
        <v>10</v>
      </c>
      <c r="L3698" s="8">
        <f t="shared" si="10891"/>
        <v>0</v>
      </c>
      <c r="M3698" t="s">
        <v>4079</v>
      </c>
    </row>
    <row r="3699" spans="1:13" x14ac:dyDescent="0.35">
      <c r="A3699">
        <f t="shared" si="10619"/>
        <v>3695</v>
      </c>
      <c r="B3699" s="9">
        <f t="shared" ref="B3699:B3701" si="10904">B3698+H3699+I3699+J3699</f>
        <v>57.379999999999974</v>
      </c>
      <c r="C3699" s="3" t="s">
        <v>4077</v>
      </c>
      <c r="D3699">
        <f t="shared" ref="D3699:D3701" si="10905">_xlfn.NUMBERVALUE(LEFT(C3699,2))</f>
        <v>25</v>
      </c>
      <c r="E3699">
        <f t="shared" ref="E3699:E3701" si="10906">_xlfn.NUMBERVALUE(MID(C3699,4,2))</f>
        <v>11</v>
      </c>
      <c r="F3699">
        <f t="shared" ref="F3699:F3701" si="10907">_xlfn.NUMBERVALUE(RIGHT(C3699,4))</f>
        <v>2024</v>
      </c>
      <c r="G3699" t="s">
        <v>2969</v>
      </c>
      <c r="I3699">
        <v>1.43</v>
      </c>
      <c r="K3699" t="s">
        <v>10</v>
      </c>
      <c r="L3699" s="8">
        <f t="shared" si="10891"/>
        <v>0</v>
      </c>
      <c r="M3699" t="s">
        <v>4080</v>
      </c>
    </row>
    <row r="3700" spans="1:13" x14ac:dyDescent="0.35">
      <c r="A3700">
        <f t="shared" si="10619"/>
        <v>3696</v>
      </c>
      <c r="B3700" s="9">
        <f t="shared" si="10904"/>
        <v>50.859999999999971</v>
      </c>
      <c r="C3700" s="3" t="s">
        <v>4077</v>
      </c>
      <c r="D3700">
        <f t="shared" si="10905"/>
        <v>25</v>
      </c>
      <c r="E3700">
        <f t="shared" si="10906"/>
        <v>11</v>
      </c>
      <c r="F3700">
        <f t="shared" si="10907"/>
        <v>2024</v>
      </c>
      <c r="G3700" t="s">
        <v>1389</v>
      </c>
      <c r="H3700" s="9">
        <v>-10</v>
      </c>
      <c r="I3700">
        <v>3.48</v>
      </c>
      <c r="K3700" t="s">
        <v>9</v>
      </c>
      <c r="L3700" s="8">
        <f t="shared" si="10891"/>
        <v>-0.65200000000000002</v>
      </c>
      <c r="M3700" t="s">
        <v>4081</v>
      </c>
    </row>
    <row r="3701" spans="1:13" x14ac:dyDescent="0.35">
      <c r="A3701">
        <f t="shared" si="10619"/>
        <v>3697</v>
      </c>
      <c r="B3701" s="9">
        <f t="shared" si="10904"/>
        <v>48.859999999999971</v>
      </c>
      <c r="C3701" s="3" t="s">
        <v>4082</v>
      </c>
      <c r="D3701">
        <f t="shared" si="10905"/>
        <v>26</v>
      </c>
      <c r="E3701">
        <f t="shared" si="10906"/>
        <v>11</v>
      </c>
      <c r="F3701">
        <f t="shared" si="10907"/>
        <v>2024</v>
      </c>
      <c r="G3701" t="s">
        <v>7</v>
      </c>
      <c r="H3701" s="9">
        <v>-2</v>
      </c>
      <c r="K3701" t="s">
        <v>9</v>
      </c>
      <c r="L3701" s="8">
        <f t="shared" si="10891"/>
        <v>-1</v>
      </c>
      <c r="M3701" t="s">
        <v>4083</v>
      </c>
    </row>
    <row r="3702" spans="1:13" x14ac:dyDescent="0.35">
      <c r="A3702">
        <f t="shared" si="10619"/>
        <v>3698</v>
      </c>
      <c r="B3702" s="9">
        <f t="shared" ref="B3702:B3704" si="10908">B3701+H3702+I3702+J3702</f>
        <v>48.859999999999971</v>
      </c>
      <c r="C3702" s="3" t="s">
        <v>4082</v>
      </c>
      <c r="D3702">
        <f t="shared" ref="D3702:D3704" si="10909">_xlfn.NUMBERVALUE(LEFT(C3702,2))</f>
        <v>26</v>
      </c>
      <c r="E3702">
        <f t="shared" ref="E3702:E3704" si="10910">_xlfn.NUMBERVALUE(MID(C3702,4,2))</f>
        <v>11</v>
      </c>
      <c r="F3702">
        <f t="shared" ref="F3702:F3704" si="10911">_xlfn.NUMBERVALUE(RIGHT(C3702,4))</f>
        <v>2024</v>
      </c>
      <c r="G3702" t="s">
        <v>3039</v>
      </c>
      <c r="K3702" t="s">
        <v>9</v>
      </c>
      <c r="L3702" s="8">
        <f t="shared" si="10891"/>
        <v>0</v>
      </c>
      <c r="M3702" t="s">
        <v>4084</v>
      </c>
    </row>
    <row r="3703" spans="1:13" x14ac:dyDescent="0.35">
      <c r="A3703">
        <f t="shared" si="10619"/>
        <v>3699</v>
      </c>
      <c r="B3703" s="9">
        <f t="shared" si="10908"/>
        <v>51.799999999999969</v>
      </c>
      <c r="C3703" s="3" t="s">
        <v>4082</v>
      </c>
      <c r="D3703">
        <f t="shared" si="10909"/>
        <v>26</v>
      </c>
      <c r="E3703">
        <f t="shared" si="10910"/>
        <v>11</v>
      </c>
      <c r="F3703">
        <f t="shared" si="10911"/>
        <v>2024</v>
      </c>
      <c r="G3703" t="s">
        <v>1389</v>
      </c>
      <c r="H3703" s="9">
        <v>-10</v>
      </c>
      <c r="I3703">
        <v>12.94</v>
      </c>
      <c r="K3703" t="s">
        <v>10</v>
      </c>
      <c r="L3703" s="8">
        <f t="shared" si="10891"/>
        <v>0.29400000000000004</v>
      </c>
      <c r="M3703" t="s">
        <v>4085</v>
      </c>
    </row>
    <row r="3704" spans="1:13" x14ac:dyDescent="0.35">
      <c r="A3704">
        <f t="shared" si="10619"/>
        <v>3700</v>
      </c>
      <c r="B3704" s="9">
        <f t="shared" si="10908"/>
        <v>49.799999999999969</v>
      </c>
      <c r="C3704" s="3" t="s">
        <v>4086</v>
      </c>
      <c r="D3704">
        <f t="shared" si="10909"/>
        <v>27</v>
      </c>
      <c r="E3704">
        <f t="shared" si="10910"/>
        <v>11</v>
      </c>
      <c r="F3704">
        <f t="shared" si="10911"/>
        <v>2024</v>
      </c>
      <c r="G3704" t="s">
        <v>7</v>
      </c>
      <c r="H3704" s="9">
        <v>-2</v>
      </c>
      <c r="K3704" t="s">
        <v>9</v>
      </c>
      <c r="L3704" s="8">
        <f t="shared" si="10891"/>
        <v>-1</v>
      </c>
      <c r="M3704" t="s">
        <v>4087</v>
      </c>
    </row>
    <row r="3705" spans="1:13" x14ac:dyDescent="0.35">
      <c r="A3705">
        <f t="shared" si="10619"/>
        <v>3701</v>
      </c>
      <c r="B3705" s="9">
        <f t="shared" ref="B3705:B3707" si="10912">B3704+H3705+I3705+J3705</f>
        <v>49.799999999999969</v>
      </c>
      <c r="C3705" s="3" t="s">
        <v>4086</v>
      </c>
      <c r="D3705">
        <f t="shared" ref="D3705:D3707" si="10913">_xlfn.NUMBERVALUE(LEFT(C3705,2))</f>
        <v>27</v>
      </c>
      <c r="E3705">
        <f t="shared" ref="E3705:E3707" si="10914">_xlfn.NUMBERVALUE(MID(C3705,4,2))</f>
        <v>11</v>
      </c>
      <c r="F3705">
        <f t="shared" ref="F3705:F3707" si="10915">_xlfn.NUMBERVALUE(RIGHT(C3705,4))</f>
        <v>2024</v>
      </c>
      <c r="G3705" t="s">
        <v>3039</v>
      </c>
      <c r="K3705" t="s">
        <v>10</v>
      </c>
      <c r="L3705" s="8">
        <f t="shared" si="10891"/>
        <v>0</v>
      </c>
      <c r="M3705" t="s">
        <v>4088</v>
      </c>
    </row>
    <row r="3706" spans="1:13" x14ac:dyDescent="0.35">
      <c r="A3706">
        <f t="shared" si="10619"/>
        <v>3702</v>
      </c>
      <c r="B3706" s="9">
        <f t="shared" si="10912"/>
        <v>51.109999999999971</v>
      </c>
      <c r="C3706" s="3" t="s">
        <v>4086</v>
      </c>
      <c r="D3706">
        <f t="shared" si="10913"/>
        <v>27</v>
      </c>
      <c r="E3706">
        <f t="shared" si="10914"/>
        <v>11</v>
      </c>
      <c r="F3706">
        <f t="shared" si="10915"/>
        <v>2024</v>
      </c>
      <c r="G3706" t="s">
        <v>1389</v>
      </c>
      <c r="H3706" s="9">
        <v>-10</v>
      </c>
      <c r="I3706">
        <v>11.31</v>
      </c>
      <c r="K3706" t="s">
        <v>10</v>
      </c>
      <c r="L3706" s="8">
        <f t="shared" si="10891"/>
        <v>0.13100000000000001</v>
      </c>
      <c r="M3706" t="s">
        <v>4089</v>
      </c>
    </row>
    <row r="3707" spans="1:13" x14ac:dyDescent="0.35">
      <c r="A3707">
        <f t="shared" si="10619"/>
        <v>3703</v>
      </c>
      <c r="B3707" s="9">
        <f t="shared" si="10912"/>
        <v>49.109999999999971</v>
      </c>
      <c r="C3707" s="3" t="s">
        <v>4090</v>
      </c>
      <c r="D3707">
        <f t="shared" si="10913"/>
        <v>28</v>
      </c>
      <c r="E3707">
        <f t="shared" si="10914"/>
        <v>11</v>
      </c>
      <c r="F3707">
        <f t="shared" si="10915"/>
        <v>2024</v>
      </c>
      <c r="G3707" t="s">
        <v>7</v>
      </c>
      <c r="H3707" s="9">
        <v>-2</v>
      </c>
      <c r="K3707" t="s">
        <v>9</v>
      </c>
      <c r="L3707" s="8">
        <f t="shared" si="10891"/>
        <v>-1</v>
      </c>
      <c r="M3707" t="s">
        <v>4091</v>
      </c>
    </row>
    <row r="3708" spans="1:13" x14ac:dyDescent="0.35">
      <c r="A3708">
        <f t="shared" si="10619"/>
        <v>3704</v>
      </c>
      <c r="B3708" s="9">
        <f t="shared" ref="B3708:B3711" si="10916">B3707+H3708+I3708+J3708</f>
        <v>49.109999999999971</v>
      </c>
      <c r="C3708" s="3" t="s">
        <v>4090</v>
      </c>
      <c r="D3708">
        <f t="shared" ref="D3708:D3711" si="10917">_xlfn.NUMBERVALUE(LEFT(C3708,2))</f>
        <v>28</v>
      </c>
      <c r="E3708">
        <f t="shared" ref="E3708:E3711" si="10918">_xlfn.NUMBERVALUE(MID(C3708,4,2))</f>
        <v>11</v>
      </c>
      <c r="F3708">
        <f t="shared" ref="F3708:F3711" si="10919">_xlfn.NUMBERVALUE(RIGHT(C3708,4))</f>
        <v>2024</v>
      </c>
      <c r="G3708" t="s">
        <v>3039</v>
      </c>
      <c r="K3708" t="s">
        <v>9</v>
      </c>
      <c r="L3708" s="8">
        <f t="shared" si="10891"/>
        <v>0</v>
      </c>
      <c r="M3708" t="s">
        <v>4092</v>
      </c>
    </row>
    <row r="3709" spans="1:13" x14ac:dyDescent="0.35">
      <c r="A3709">
        <f t="shared" si="10619"/>
        <v>3705</v>
      </c>
      <c r="B3709" s="9">
        <f t="shared" si="10916"/>
        <v>51.269999999999968</v>
      </c>
      <c r="C3709" s="3" t="s">
        <v>4090</v>
      </c>
      <c r="D3709">
        <f t="shared" si="10917"/>
        <v>28</v>
      </c>
      <c r="E3709">
        <f t="shared" si="10918"/>
        <v>11</v>
      </c>
      <c r="F3709">
        <f t="shared" si="10919"/>
        <v>2024</v>
      </c>
      <c r="G3709" t="s">
        <v>1389</v>
      </c>
      <c r="H3709" s="9">
        <v>-10</v>
      </c>
      <c r="I3709">
        <v>12.16</v>
      </c>
      <c r="K3709" t="s">
        <v>10</v>
      </c>
      <c r="L3709" s="8">
        <f t="shared" si="10891"/>
        <v>0.21599999999999997</v>
      </c>
      <c r="M3709" t="s">
        <v>4093</v>
      </c>
    </row>
    <row r="3710" spans="1:13" x14ac:dyDescent="0.35">
      <c r="A3710">
        <f t="shared" si="10619"/>
        <v>3706</v>
      </c>
      <c r="B3710" s="9">
        <f t="shared" si="10916"/>
        <v>51.269999999999968</v>
      </c>
      <c r="C3710" s="3" t="s">
        <v>4090</v>
      </c>
      <c r="D3710">
        <f t="shared" si="10917"/>
        <v>28</v>
      </c>
      <c r="E3710">
        <f t="shared" si="10918"/>
        <v>11</v>
      </c>
      <c r="F3710">
        <f t="shared" si="10919"/>
        <v>2024</v>
      </c>
      <c r="G3710" t="s">
        <v>2969</v>
      </c>
      <c r="K3710" t="s">
        <v>10</v>
      </c>
      <c r="L3710" s="8">
        <f t="shared" si="10891"/>
        <v>0</v>
      </c>
      <c r="M3710" t="s">
        <v>4094</v>
      </c>
    </row>
    <row r="3711" spans="1:13" x14ac:dyDescent="0.35">
      <c r="A3711">
        <f t="shared" si="10619"/>
        <v>3707</v>
      </c>
      <c r="B3711" s="9">
        <f t="shared" si="10916"/>
        <v>53.269999999999968</v>
      </c>
      <c r="C3711" s="3" t="s">
        <v>4097</v>
      </c>
      <c r="D3711">
        <f t="shared" si="10917"/>
        <v>29</v>
      </c>
      <c r="E3711">
        <f t="shared" si="10918"/>
        <v>11</v>
      </c>
      <c r="F3711">
        <f t="shared" si="10919"/>
        <v>2024</v>
      </c>
      <c r="G3711" t="s">
        <v>7</v>
      </c>
      <c r="H3711" s="9">
        <v>-2</v>
      </c>
      <c r="I3711">
        <v>4</v>
      </c>
      <c r="K3711" t="s">
        <v>10</v>
      </c>
      <c r="L3711" s="8">
        <f t="shared" si="10891"/>
        <v>1</v>
      </c>
      <c r="M3711" t="s">
        <v>4095</v>
      </c>
    </row>
    <row r="3712" spans="1:13" x14ac:dyDescent="0.35">
      <c r="A3712">
        <f t="shared" si="10619"/>
        <v>3708</v>
      </c>
      <c r="B3712" s="9">
        <f t="shared" ref="B3712:B3713" si="10920">B3711+H3712+I3712+J3712</f>
        <v>53.269999999999968</v>
      </c>
      <c r="C3712" s="3" t="s">
        <v>4097</v>
      </c>
      <c r="D3712">
        <f t="shared" ref="D3712:D3713" si="10921">_xlfn.NUMBERVALUE(LEFT(C3712,2))</f>
        <v>29</v>
      </c>
      <c r="E3712">
        <f t="shared" ref="E3712:E3713" si="10922">_xlfn.NUMBERVALUE(MID(C3712,4,2))</f>
        <v>11</v>
      </c>
      <c r="F3712">
        <f t="shared" ref="F3712:F3713" si="10923">_xlfn.NUMBERVALUE(RIGHT(C3712,4))</f>
        <v>2024</v>
      </c>
      <c r="G3712" t="s">
        <v>3039</v>
      </c>
      <c r="K3712" t="s">
        <v>9</v>
      </c>
      <c r="L3712" s="8">
        <f t="shared" si="10891"/>
        <v>0</v>
      </c>
      <c r="M3712" t="s">
        <v>4096</v>
      </c>
    </row>
    <row r="3713" spans="1:13" x14ac:dyDescent="0.35">
      <c r="A3713">
        <f t="shared" si="10619"/>
        <v>3709</v>
      </c>
      <c r="B3713" s="9">
        <f t="shared" si="10920"/>
        <v>62.069999999999965</v>
      </c>
      <c r="C3713" s="3" t="s">
        <v>4097</v>
      </c>
      <c r="D3713">
        <f t="shared" si="10921"/>
        <v>29</v>
      </c>
      <c r="E3713">
        <f t="shared" si="10922"/>
        <v>11</v>
      </c>
      <c r="F3713">
        <f t="shared" si="10923"/>
        <v>2024</v>
      </c>
      <c r="G3713" t="s">
        <v>1389</v>
      </c>
      <c r="H3713" s="9">
        <v>-10</v>
      </c>
      <c r="I3713" s="9">
        <v>18.8</v>
      </c>
      <c r="K3713" t="s">
        <v>10</v>
      </c>
      <c r="L3713" s="8">
        <f t="shared" si="10891"/>
        <v>0.88000000000000012</v>
      </c>
      <c r="M3713" t="s">
        <v>4098</v>
      </c>
    </row>
    <row r="3714" spans="1:13" x14ac:dyDescent="0.35">
      <c r="A3714">
        <f t="shared" si="10619"/>
        <v>3710</v>
      </c>
      <c r="B3714" s="9">
        <f t="shared" ref="B3714" si="10924">B3713+H3714+I3714+J3714</f>
        <v>64.889999999999958</v>
      </c>
      <c r="C3714" s="3" t="s">
        <v>4097</v>
      </c>
      <c r="D3714">
        <f t="shared" ref="D3714" si="10925">_xlfn.NUMBERVALUE(LEFT(C3714,2))</f>
        <v>29</v>
      </c>
      <c r="E3714">
        <f t="shared" ref="E3714" si="10926">_xlfn.NUMBERVALUE(MID(C3714,4,2))</f>
        <v>11</v>
      </c>
      <c r="F3714">
        <f t="shared" ref="F3714" si="10927">_xlfn.NUMBERVALUE(RIGHT(C3714,4))</f>
        <v>2024</v>
      </c>
      <c r="G3714" t="s">
        <v>1389</v>
      </c>
      <c r="H3714" s="9">
        <v>-10</v>
      </c>
      <c r="I3714">
        <v>12.82</v>
      </c>
      <c r="K3714" t="s">
        <v>10</v>
      </c>
      <c r="L3714" s="8">
        <f t="shared" si="10891"/>
        <v>0.28200000000000003</v>
      </c>
      <c r="M3714" t="s">
        <v>4099</v>
      </c>
    </row>
    <row r="3715" spans="1:13" x14ac:dyDescent="0.35">
      <c r="A3715">
        <f t="shared" si="10619"/>
        <v>3711</v>
      </c>
      <c r="B3715" s="9">
        <f t="shared" ref="B3715" si="10928">B3714+H3715+I3715+J3715</f>
        <v>63.839999999999961</v>
      </c>
      <c r="C3715" s="3" t="s">
        <v>4097</v>
      </c>
      <c r="D3715">
        <f t="shared" ref="D3715" si="10929">_xlfn.NUMBERVALUE(LEFT(C3715,2))</f>
        <v>29</v>
      </c>
      <c r="E3715">
        <f t="shared" ref="E3715" si="10930">_xlfn.NUMBERVALUE(MID(C3715,4,2))</f>
        <v>11</v>
      </c>
      <c r="F3715">
        <f t="shared" ref="F3715" si="10931">_xlfn.NUMBERVALUE(RIGHT(C3715,4))</f>
        <v>2024</v>
      </c>
      <c r="G3715" t="s">
        <v>44</v>
      </c>
      <c r="H3715" s="9">
        <v>-3.3</v>
      </c>
      <c r="I3715">
        <v>2.25</v>
      </c>
      <c r="K3715" t="s">
        <v>9</v>
      </c>
      <c r="L3715" s="8">
        <f t="shared" si="10891"/>
        <v>-0.31818181818181812</v>
      </c>
      <c r="M3715" t="s">
        <v>4103</v>
      </c>
    </row>
    <row r="3716" spans="1:13" x14ac:dyDescent="0.35">
      <c r="A3716">
        <f t="shared" si="10619"/>
        <v>3712</v>
      </c>
      <c r="B3716" s="9">
        <f t="shared" ref="B3716:B3720" si="10932">B3715+H3716+I3716+J3716</f>
        <v>63.839999999999961</v>
      </c>
      <c r="C3716" s="3" t="s">
        <v>4097</v>
      </c>
      <c r="D3716">
        <f t="shared" ref="D3716:D3720" si="10933">_xlfn.NUMBERVALUE(LEFT(C3716,2))</f>
        <v>29</v>
      </c>
      <c r="E3716">
        <f t="shared" ref="E3716:E3720" si="10934">_xlfn.NUMBERVALUE(MID(C3716,4,2))</f>
        <v>11</v>
      </c>
      <c r="F3716">
        <f t="shared" ref="F3716:F3720" si="10935">_xlfn.NUMBERVALUE(RIGHT(C3716,4))</f>
        <v>2024</v>
      </c>
      <c r="G3716" t="s">
        <v>2969</v>
      </c>
      <c r="K3716" t="s">
        <v>9</v>
      </c>
      <c r="L3716" s="8">
        <f t="shared" si="10891"/>
        <v>0</v>
      </c>
      <c r="M3716" t="s">
        <v>4101</v>
      </c>
    </row>
    <row r="3717" spans="1:13" x14ac:dyDescent="0.35">
      <c r="A3717">
        <f t="shared" si="10619"/>
        <v>3713</v>
      </c>
      <c r="B3717" s="9">
        <f t="shared" si="10932"/>
        <v>63.839999999999961</v>
      </c>
      <c r="C3717" s="3" t="s">
        <v>4097</v>
      </c>
      <c r="D3717">
        <f t="shared" si="10933"/>
        <v>29</v>
      </c>
      <c r="E3717">
        <f t="shared" si="10934"/>
        <v>11</v>
      </c>
      <c r="F3717">
        <f t="shared" si="10935"/>
        <v>2024</v>
      </c>
      <c r="G3717" t="s">
        <v>3040</v>
      </c>
      <c r="K3717" t="s">
        <v>9</v>
      </c>
      <c r="L3717" s="8">
        <f t="shared" si="10891"/>
        <v>0</v>
      </c>
      <c r="M3717" t="s">
        <v>4102</v>
      </c>
    </row>
    <row r="3718" spans="1:13" x14ac:dyDescent="0.35">
      <c r="A3718">
        <f t="shared" si="10619"/>
        <v>3714</v>
      </c>
      <c r="B3718" s="9">
        <f t="shared" si="10932"/>
        <v>68.129999999999967</v>
      </c>
      <c r="C3718" s="3" t="s">
        <v>4097</v>
      </c>
      <c r="D3718">
        <f t="shared" si="10933"/>
        <v>29</v>
      </c>
      <c r="E3718">
        <f t="shared" si="10934"/>
        <v>11</v>
      </c>
      <c r="F3718">
        <f t="shared" si="10935"/>
        <v>2024</v>
      </c>
      <c r="G3718" t="s">
        <v>1389</v>
      </c>
      <c r="H3718" s="9">
        <v>-10</v>
      </c>
      <c r="I3718">
        <v>14.29</v>
      </c>
      <c r="K3718" t="s">
        <v>10</v>
      </c>
      <c r="L3718" s="8">
        <f t="shared" ref="L3718" si="10936">IF(H3718="",0,(SUM(I3718:J3718)/-H3718)-1)</f>
        <v>0.42899999999999983</v>
      </c>
      <c r="M3718" t="s">
        <v>4100</v>
      </c>
    </row>
    <row r="3719" spans="1:13" x14ac:dyDescent="0.35">
      <c r="A3719">
        <f t="shared" si="10619"/>
        <v>3715</v>
      </c>
      <c r="B3719" s="9">
        <f t="shared" si="10932"/>
        <v>66.129999999999967</v>
      </c>
      <c r="C3719" s="3" t="s">
        <v>4104</v>
      </c>
      <c r="D3719">
        <f t="shared" si="10933"/>
        <v>30</v>
      </c>
      <c r="E3719">
        <f t="shared" si="10934"/>
        <v>11</v>
      </c>
      <c r="F3719">
        <f t="shared" si="10935"/>
        <v>2024</v>
      </c>
      <c r="G3719" t="s">
        <v>7</v>
      </c>
      <c r="H3719" s="9">
        <v>-2</v>
      </c>
      <c r="K3719" t="s">
        <v>9</v>
      </c>
      <c r="L3719" s="8">
        <f t="shared" si="10891"/>
        <v>-1</v>
      </c>
      <c r="M3719" t="s">
        <v>4105</v>
      </c>
    </row>
    <row r="3720" spans="1:13" x14ac:dyDescent="0.35">
      <c r="A3720">
        <f t="shared" si="10619"/>
        <v>3716</v>
      </c>
      <c r="B3720" s="9">
        <f t="shared" si="10932"/>
        <v>66.129999999999967</v>
      </c>
      <c r="C3720" s="3" t="s">
        <v>4104</v>
      </c>
      <c r="D3720">
        <f t="shared" si="10933"/>
        <v>30</v>
      </c>
      <c r="E3720">
        <f t="shared" si="10934"/>
        <v>11</v>
      </c>
      <c r="F3720">
        <f t="shared" si="10935"/>
        <v>2024</v>
      </c>
      <c r="G3720" t="s">
        <v>3039</v>
      </c>
      <c r="K3720" t="s">
        <v>9</v>
      </c>
      <c r="L3720" s="8">
        <f t="shared" si="10891"/>
        <v>0</v>
      </c>
      <c r="M3720" t="s">
        <v>4106</v>
      </c>
    </row>
    <row r="3721" spans="1:13" x14ac:dyDescent="0.35">
      <c r="A3721">
        <f t="shared" si="10619"/>
        <v>3717</v>
      </c>
      <c r="B3721" s="9">
        <f t="shared" ref="B3721:B3722" si="10937">B3720+H3721+I3721+J3721</f>
        <v>64.129999999999967</v>
      </c>
      <c r="C3721" s="3" t="s">
        <v>4107</v>
      </c>
      <c r="D3721">
        <f t="shared" ref="D3721:D3722" si="10938">_xlfn.NUMBERVALUE(LEFT(C3721,2))</f>
        <v>1</v>
      </c>
      <c r="E3721">
        <f t="shared" ref="E3721:E3722" si="10939">_xlfn.NUMBERVALUE(MID(C3721,4,2))</f>
        <v>12</v>
      </c>
      <c r="F3721">
        <f t="shared" ref="F3721:F3722" si="10940">_xlfn.NUMBERVALUE(RIGHT(C3721,4))</f>
        <v>2024</v>
      </c>
      <c r="G3721" t="s">
        <v>7</v>
      </c>
      <c r="H3721" s="9">
        <v>-2</v>
      </c>
      <c r="K3721" t="s">
        <v>9</v>
      </c>
      <c r="L3721" s="8">
        <f t="shared" si="10891"/>
        <v>-1</v>
      </c>
      <c r="M3721" t="s">
        <v>4108</v>
      </c>
    </row>
    <row r="3722" spans="1:13" x14ac:dyDescent="0.35">
      <c r="A3722">
        <f t="shared" ref="A3722:A3792" si="10941">A3721+1</f>
        <v>3718</v>
      </c>
      <c r="B3722" s="9">
        <f t="shared" si="10937"/>
        <v>64.129999999999967</v>
      </c>
      <c r="C3722" s="3" t="s">
        <v>4107</v>
      </c>
      <c r="D3722">
        <f t="shared" si="10938"/>
        <v>1</v>
      </c>
      <c r="E3722">
        <f t="shared" si="10939"/>
        <v>12</v>
      </c>
      <c r="F3722">
        <f t="shared" si="10940"/>
        <v>2024</v>
      </c>
      <c r="G3722" t="s">
        <v>3039</v>
      </c>
      <c r="K3722" t="s">
        <v>10</v>
      </c>
      <c r="L3722" s="8">
        <f t="shared" si="10891"/>
        <v>0</v>
      </c>
      <c r="M3722" t="s">
        <v>4109</v>
      </c>
    </row>
    <row r="3723" spans="1:13" x14ac:dyDescent="0.35">
      <c r="A3723">
        <f t="shared" si="10941"/>
        <v>3719</v>
      </c>
      <c r="B3723" s="9">
        <f t="shared" ref="B3723:B3724" si="10942">B3722+H3723+I3723+J3723</f>
        <v>64.129999999999967</v>
      </c>
      <c r="C3723" s="3" t="s">
        <v>4107</v>
      </c>
      <c r="D3723">
        <f t="shared" ref="D3723:D3724" si="10943">_xlfn.NUMBERVALUE(LEFT(C3723,2))</f>
        <v>1</v>
      </c>
      <c r="E3723">
        <f t="shared" ref="E3723:E3724" si="10944">_xlfn.NUMBERVALUE(MID(C3723,4,2))</f>
        <v>12</v>
      </c>
      <c r="F3723">
        <f t="shared" ref="F3723:F3724" si="10945">_xlfn.NUMBERVALUE(RIGHT(C3723,4))</f>
        <v>2024</v>
      </c>
      <c r="G3723" t="s">
        <v>2969</v>
      </c>
      <c r="K3723" t="s">
        <v>9</v>
      </c>
      <c r="L3723" s="8">
        <f t="shared" si="10891"/>
        <v>0</v>
      </c>
      <c r="M3723" t="s">
        <v>4110</v>
      </c>
    </row>
    <row r="3724" spans="1:13" x14ac:dyDescent="0.35">
      <c r="A3724">
        <f t="shared" si="10941"/>
        <v>3720</v>
      </c>
      <c r="B3724" s="9">
        <f t="shared" si="10942"/>
        <v>66.779999999999973</v>
      </c>
      <c r="C3724" s="3" t="s">
        <v>4107</v>
      </c>
      <c r="D3724">
        <f t="shared" si="10943"/>
        <v>1</v>
      </c>
      <c r="E3724">
        <f t="shared" si="10944"/>
        <v>12</v>
      </c>
      <c r="F3724">
        <f t="shared" si="10945"/>
        <v>2024</v>
      </c>
      <c r="G3724" t="s">
        <v>1389</v>
      </c>
      <c r="H3724" s="9">
        <v>-10</v>
      </c>
      <c r="I3724">
        <v>12.65</v>
      </c>
      <c r="K3724" t="s">
        <v>10</v>
      </c>
      <c r="L3724" s="8">
        <f t="shared" si="10891"/>
        <v>0.26500000000000012</v>
      </c>
      <c r="M3724" t="s">
        <v>4111</v>
      </c>
    </row>
    <row r="3725" spans="1:13" x14ac:dyDescent="0.35">
      <c r="A3725">
        <f t="shared" si="10941"/>
        <v>3721</v>
      </c>
      <c r="B3725" s="9">
        <f t="shared" ref="B3725" si="10946">B3724+H3725+I3725+J3725</f>
        <v>61.379999999999974</v>
      </c>
      <c r="C3725" s="3" t="s">
        <v>4107</v>
      </c>
      <c r="D3725">
        <f t="shared" ref="D3725" si="10947">_xlfn.NUMBERVALUE(LEFT(C3725,2))</f>
        <v>1</v>
      </c>
      <c r="E3725">
        <f t="shared" ref="E3725" si="10948">_xlfn.NUMBERVALUE(MID(C3725,4,2))</f>
        <v>12</v>
      </c>
      <c r="F3725">
        <f t="shared" ref="F3725" si="10949">_xlfn.NUMBERVALUE(RIGHT(C3725,4))</f>
        <v>2024</v>
      </c>
      <c r="G3725" t="s">
        <v>1389</v>
      </c>
      <c r="H3725" s="9">
        <v>-10</v>
      </c>
      <c r="I3725">
        <v>4.5999999999999996</v>
      </c>
      <c r="K3725" t="s">
        <v>9</v>
      </c>
      <c r="L3725" s="8">
        <f t="shared" si="10891"/>
        <v>-0.54</v>
      </c>
      <c r="M3725" t="s">
        <v>4112</v>
      </c>
    </row>
    <row r="3726" spans="1:13" x14ac:dyDescent="0.35">
      <c r="A3726">
        <f t="shared" si="10941"/>
        <v>3722</v>
      </c>
      <c r="B3726" s="9">
        <f t="shared" ref="B3726" si="10950">B3725+H3726+I3726+J3726</f>
        <v>64.109999999999971</v>
      </c>
      <c r="C3726" s="3" t="s">
        <v>4107</v>
      </c>
      <c r="D3726">
        <f t="shared" ref="D3726" si="10951">_xlfn.NUMBERVALUE(LEFT(C3726,2))</f>
        <v>1</v>
      </c>
      <c r="E3726">
        <f t="shared" ref="E3726" si="10952">_xlfn.NUMBERVALUE(MID(C3726,4,2))</f>
        <v>12</v>
      </c>
      <c r="F3726">
        <f t="shared" ref="F3726" si="10953">_xlfn.NUMBERVALUE(RIGHT(C3726,4))</f>
        <v>2024</v>
      </c>
      <c r="G3726" t="s">
        <v>1389</v>
      </c>
      <c r="H3726" s="9">
        <v>-10</v>
      </c>
      <c r="I3726">
        <v>12.73</v>
      </c>
      <c r="K3726" t="s">
        <v>10</v>
      </c>
      <c r="L3726" s="8">
        <f t="shared" si="10891"/>
        <v>0.27300000000000013</v>
      </c>
      <c r="M3726" t="s">
        <v>4113</v>
      </c>
    </row>
    <row r="3727" spans="1:13" x14ac:dyDescent="0.35">
      <c r="A3727">
        <f t="shared" si="10941"/>
        <v>3723</v>
      </c>
      <c r="B3727" s="9">
        <f t="shared" ref="B3727:B3729" si="10954">B3726+H3727+I3727+J3727</f>
        <v>66.349999999999966</v>
      </c>
      <c r="C3727" s="3" t="s">
        <v>4107</v>
      </c>
      <c r="D3727">
        <f t="shared" ref="D3727:D3729" si="10955">_xlfn.NUMBERVALUE(LEFT(C3727,2))</f>
        <v>1</v>
      </c>
      <c r="E3727">
        <f t="shared" ref="E3727:E3729" si="10956">_xlfn.NUMBERVALUE(MID(C3727,4,2))</f>
        <v>12</v>
      </c>
      <c r="F3727">
        <f t="shared" ref="F3727:F3729" si="10957">_xlfn.NUMBERVALUE(RIGHT(C3727,4))</f>
        <v>2024</v>
      </c>
      <c r="G3727" t="s">
        <v>1389</v>
      </c>
      <c r="H3727" s="9">
        <v>-10</v>
      </c>
      <c r="I3727">
        <v>12.24</v>
      </c>
      <c r="K3727" t="s">
        <v>10</v>
      </c>
      <c r="L3727" s="8">
        <f t="shared" si="10891"/>
        <v>0.22399999999999998</v>
      </c>
      <c r="M3727" t="s">
        <v>4114</v>
      </c>
    </row>
    <row r="3728" spans="1:13" x14ac:dyDescent="0.35">
      <c r="A3728">
        <f t="shared" si="10941"/>
        <v>3724</v>
      </c>
      <c r="B3728" s="9">
        <f t="shared" si="10954"/>
        <v>64.349999999999966</v>
      </c>
      <c r="C3728" s="3" t="s">
        <v>4115</v>
      </c>
      <c r="D3728">
        <f t="shared" si="10955"/>
        <v>2</v>
      </c>
      <c r="E3728">
        <f t="shared" si="10956"/>
        <v>12</v>
      </c>
      <c r="F3728">
        <f t="shared" si="10957"/>
        <v>2024</v>
      </c>
      <c r="G3728" t="s">
        <v>7</v>
      </c>
      <c r="H3728" s="9">
        <v>-2</v>
      </c>
      <c r="K3728" t="s">
        <v>9</v>
      </c>
      <c r="L3728" s="8">
        <f t="shared" si="10891"/>
        <v>-1</v>
      </c>
      <c r="M3728" t="s">
        <v>4116</v>
      </c>
    </row>
    <row r="3729" spans="1:13" x14ac:dyDescent="0.35">
      <c r="A3729">
        <f t="shared" si="10941"/>
        <v>3725</v>
      </c>
      <c r="B3729" s="9">
        <f t="shared" si="10954"/>
        <v>64.349999999999966</v>
      </c>
      <c r="C3729" s="3" t="s">
        <v>4115</v>
      </c>
      <c r="D3729">
        <f t="shared" si="10955"/>
        <v>2</v>
      </c>
      <c r="E3729">
        <f t="shared" si="10956"/>
        <v>12</v>
      </c>
      <c r="F3729">
        <f t="shared" si="10957"/>
        <v>2024</v>
      </c>
      <c r="G3729" t="s">
        <v>3039</v>
      </c>
      <c r="K3729" t="s">
        <v>9</v>
      </c>
      <c r="L3729" s="8">
        <f t="shared" si="10891"/>
        <v>0</v>
      </c>
      <c r="M3729" t="s">
        <v>4117</v>
      </c>
    </row>
    <row r="3730" spans="1:13" x14ac:dyDescent="0.35">
      <c r="A3730">
        <f t="shared" si="10941"/>
        <v>3726</v>
      </c>
      <c r="B3730" s="9">
        <f t="shared" ref="B3730:B3732" si="10958">B3729+H3730+I3730+J3730</f>
        <v>68.349999999999966</v>
      </c>
      <c r="C3730" s="3" t="s">
        <v>4118</v>
      </c>
      <c r="D3730">
        <f t="shared" ref="D3730:D3732" si="10959">_xlfn.NUMBERVALUE(LEFT(C3730,2))</f>
        <v>3</v>
      </c>
      <c r="E3730">
        <f t="shared" ref="E3730:E3732" si="10960">_xlfn.NUMBERVALUE(MID(C3730,4,2))</f>
        <v>12</v>
      </c>
      <c r="F3730">
        <f t="shared" ref="F3730:F3732" si="10961">_xlfn.NUMBERVALUE(RIGHT(C3730,4))</f>
        <v>2024</v>
      </c>
      <c r="G3730" t="s">
        <v>7</v>
      </c>
      <c r="H3730" s="9">
        <v>-2</v>
      </c>
      <c r="I3730">
        <v>6</v>
      </c>
      <c r="K3730" t="s">
        <v>10</v>
      </c>
      <c r="L3730" s="8">
        <f t="shared" si="10891"/>
        <v>2</v>
      </c>
      <c r="M3730" t="s">
        <v>4119</v>
      </c>
    </row>
    <row r="3731" spans="1:13" x14ac:dyDescent="0.35">
      <c r="A3731">
        <f t="shared" si="10941"/>
        <v>3727</v>
      </c>
      <c r="B3731" s="9">
        <f t="shared" si="10958"/>
        <v>68.349999999999966</v>
      </c>
      <c r="C3731" s="3" t="s">
        <v>4118</v>
      </c>
      <c r="D3731">
        <f t="shared" si="10959"/>
        <v>3</v>
      </c>
      <c r="E3731">
        <f t="shared" si="10960"/>
        <v>12</v>
      </c>
      <c r="F3731">
        <f t="shared" si="10961"/>
        <v>2024</v>
      </c>
      <c r="G3731" t="s">
        <v>3039</v>
      </c>
      <c r="K3731" t="s">
        <v>9</v>
      </c>
      <c r="L3731" s="8">
        <f t="shared" ref="L3731:L3765" si="10962">IF(H3731="",0,(SUM(I3731:J3731)/-H3731)-1)</f>
        <v>0</v>
      </c>
      <c r="M3731" t="s">
        <v>4120</v>
      </c>
    </row>
    <row r="3732" spans="1:13" x14ac:dyDescent="0.35">
      <c r="A3732">
        <f t="shared" si="10941"/>
        <v>3728</v>
      </c>
      <c r="B3732" s="9">
        <f t="shared" si="10958"/>
        <v>60.369999999999969</v>
      </c>
      <c r="C3732" s="3" t="s">
        <v>4118</v>
      </c>
      <c r="D3732">
        <f t="shared" si="10959"/>
        <v>3</v>
      </c>
      <c r="E3732">
        <f t="shared" si="10960"/>
        <v>12</v>
      </c>
      <c r="F3732">
        <f t="shared" si="10961"/>
        <v>2024</v>
      </c>
      <c r="G3732" t="s">
        <v>1389</v>
      </c>
      <c r="H3732" s="9">
        <v>-22.72</v>
      </c>
      <c r="I3732">
        <v>14.74</v>
      </c>
      <c r="K3732" t="s">
        <v>9</v>
      </c>
      <c r="L3732" s="8">
        <f t="shared" si="10962"/>
        <v>-0.35123239436619713</v>
      </c>
      <c r="M3732" t="s">
        <v>4121</v>
      </c>
    </row>
    <row r="3733" spans="1:13" x14ac:dyDescent="0.35">
      <c r="A3733">
        <f t="shared" si="10941"/>
        <v>3729</v>
      </c>
      <c r="B3733" s="9">
        <f t="shared" ref="B3733:B3735" si="10963">B3732+H3733+I3733+J3733</f>
        <v>50.369999999999969</v>
      </c>
      <c r="C3733" s="3" t="s">
        <v>4118</v>
      </c>
      <c r="D3733">
        <f t="shared" ref="D3733:D3735" si="10964">_xlfn.NUMBERVALUE(LEFT(C3733,2))</f>
        <v>3</v>
      </c>
      <c r="E3733">
        <f t="shared" ref="E3733:E3735" si="10965">_xlfn.NUMBERVALUE(MID(C3733,4,2))</f>
        <v>12</v>
      </c>
      <c r="F3733">
        <f t="shared" ref="F3733:F3735" si="10966">_xlfn.NUMBERVALUE(RIGHT(C3733,4))</f>
        <v>2024</v>
      </c>
      <c r="G3733" t="s">
        <v>1389</v>
      </c>
      <c r="H3733" s="9">
        <v>-10</v>
      </c>
      <c r="K3733" t="s">
        <v>9</v>
      </c>
      <c r="L3733" s="8">
        <f t="shared" si="10962"/>
        <v>-1</v>
      </c>
      <c r="M3733" t="s">
        <v>4122</v>
      </c>
    </row>
    <row r="3734" spans="1:13" x14ac:dyDescent="0.35">
      <c r="A3734">
        <f t="shared" si="10941"/>
        <v>3730</v>
      </c>
      <c r="B3734" s="9">
        <f t="shared" si="10963"/>
        <v>48.369999999999969</v>
      </c>
      <c r="C3734" s="3" t="s">
        <v>4123</v>
      </c>
      <c r="D3734">
        <f t="shared" si="10964"/>
        <v>4</v>
      </c>
      <c r="E3734">
        <f t="shared" si="10965"/>
        <v>12</v>
      </c>
      <c r="F3734">
        <f t="shared" si="10966"/>
        <v>2024</v>
      </c>
      <c r="G3734" t="s">
        <v>7</v>
      </c>
      <c r="H3734" s="9">
        <v>-2</v>
      </c>
      <c r="K3734" t="s">
        <v>9</v>
      </c>
      <c r="L3734" s="8">
        <f t="shared" si="10962"/>
        <v>-1</v>
      </c>
      <c r="M3734" t="s">
        <v>4124</v>
      </c>
    </row>
    <row r="3735" spans="1:13" x14ac:dyDescent="0.35">
      <c r="A3735">
        <f t="shared" si="10941"/>
        <v>3731</v>
      </c>
      <c r="B3735" s="9">
        <f t="shared" si="10963"/>
        <v>48.369999999999969</v>
      </c>
      <c r="C3735" s="3" t="s">
        <v>4123</v>
      </c>
      <c r="D3735">
        <f t="shared" si="10964"/>
        <v>4</v>
      </c>
      <c r="E3735">
        <f t="shared" si="10965"/>
        <v>12</v>
      </c>
      <c r="F3735">
        <f t="shared" si="10966"/>
        <v>2024</v>
      </c>
      <c r="G3735" t="s">
        <v>3039</v>
      </c>
      <c r="K3735" t="s">
        <v>10</v>
      </c>
      <c r="L3735" s="8">
        <f t="shared" si="10962"/>
        <v>0</v>
      </c>
      <c r="M3735" t="s">
        <v>4125</v>
      </c>
    </row>
    <row r="3736" spans="1:13" x14ac:dyDescent="0.35">
      <c r="A3736">
        <f t="shared" si="10941"/>
        <v>3732</v>
      </c>
      <c r="B3736" s="9">
        <f t="shared" ref="B3736:B3739" si="10967">B3735+H3736+I3736+J3736</f>
        <v>49.799999999999969</v>
      </c>
      <c r="C3736" s="3" t="s">
        <v>4123</v>
      </c>
      <c r="D3736">
        <f t="shared" ref="D3736:D3739" si="10968">_xlfn.NUMBERVALUE(LEFT(C3736,2))</f>
        <v>4</v>
      </c>
      <c r="E3736">
        <f t="shared" ref="E3736:E3739" si="10969">_xlfn.NUMBERVALUE(MID(C3736,4,2))</f>
        <v>12</v>
      </c>
      <c r="F3736">
        <f t="shared" ref="F3736:F3739" si="10970">_xlfn.NUMBERVALUE(RIGHT(C3736,4))</f>
        <v>2024</v>
      </c>
      <c r="G3736" t="s">
        <v>2969</v>
      </c>
      <c r="I3736">
        <v>1.43</v>
      </c>
      <c r="K3736" t="s">
        <v>10</v>
      </c>
      <c r="L3736" s="8">
        <f t="shared" si="10962"/>
        <v>0</v>
      </c>
      <c r="M3736" t="s">
        <v>4126</v>
      </c>
    </row>
    <row r="3737" spans="1:13" x14ac:dyDescent="0.35">
      <c r="A3737">
        <f t="shared" si="10941"/>
        <v>3733</v>
      </c>
      <c r="B3737" s="9">
        <f t="shared" si="10967"/>
        <v>47.919999999999966</v>
      </c>
      <c r="C3737" s="3" t="s">
        <v>4123</v>
      </c>
      <c r="D3737">
        <f t="shared" si="10968"/>
        <v>4</v>
      </c>
      <c r="E3737">
        <f t="shared" si="10969"/>
        <v>12</v>
      </c>
      <c r="F3737">
        <f t="shared" si="10970"/>
        <v>2024</v>
      </c>
      <c r="G3737" t="s">
        <v>1389</v>
      </c>
      <c r="H3737" s="9">
        <v>-10</v>
      </c>
      <c r="I3737">
        <v>8.1199999999999992</v>
      </c>
      <c r="K3737" t="s">
        <v>9</v>
      </c>
      <c r="L3737" s="8">
        <f t="shared" si="10962"/>
        <v>-0.18800000000000006</v>
      </c>
      <c r="M3737" t="s">
        <v>4127</v>
      </c>
    </row>
    <row r="3738" spans="1:13" x14ac:dyDescent="0.35">
      <c r="A3738">
        <f t="shared" si="10941"/>
        <v>3734</v>
      </c>
      <c r="B3738" s="9">
        <f t="shared" si="10967"/>
        <v>45.919999999999966</v>
      </c>
      <c r="C3738" s="3" t="s">
        <v>4128</v>
      </c>
      <c r="D3738">
        <f t="shared" si="10968"/>
        <v>5</v>
      </c>
      <c r="E3738">
        <f t="shared" si="10969"/>
        <v>12</v>
      </c>
      <c r="F3738">
        <f t="shared" si="10970"/>
        <v>2024</v>
      </c>
      <c r="G3738" t="s">
        <v>7</v>
      </c>
      <c r="H3738" s="9">
        <v>-2</v>
      </c>
      <c r="K3738" t="s">
        <v>9</v>
      </c>
      <c r="L3738" s="8">
        <f t="shared" si="10962"/>
        <v>-1</v>
      </c>
      <c r="M3738" t="s">
        <v>4129</v>
      </c>
    </row>
    <row r="3739" spans="1:13" x14ac:dyDescent="0.35">
      <c r="A3739">
        <f t="shared" si="10941"/>
        <v>3735</v>
      </c>
      <c r="B3739" s="9">
        <f t="shared" si="10967"/>
        <v>45.919999999999966</v>
      </c>
      <c r="C3739" s="3" t="s">
        <v>4128</v>
      </c>
      <c r="D3739">
        <f t="shared" si="10968"/>
        <v>5</v>
      </c>
      <c r="E3739">
        <f t="shared" si="10969"/>
        <v>12</v>
      </c>
      <c r="F3739">
        <f t="shared" si="10970"/>
        <v>2024</v>
      </c>
      <c r="G3739" t="s">
        <v>3039</v>
      </c>
      <c r="K3739" t="s">
        <v>10</v>
      </c>
      <c r="L3739" s="8">
        <f t="shared" si="10962"/>
        <v>0</v>
      </c>
      <c r="M3739" t="s">
        <v>4130</v>
      </c>
    </row>
    <row r="3740" spans="1:13" x14ac:dyDescent="0.35">
      <c r="A3740">
        <f t="shared" si="10941"/>
        <v>3736</v>
      </c>
      <c r="B3740" s="9">
        <f t="shared" ref="B3740:B3741" si="10971">B3739+H3740+I3740+J3740</f>
        <v>45.919999999999966</v>
      </c>
      <c r="C3740" s="3" t="s">
        <v>4128</v>
      </c>
      <c r="D3740">
        <f t="shared" ref="D3740:D3741" si="10972">_xlfn.NUMBERVALUE(LEFT(C3740,2))</f>
        <v>5</v>
      </c>
      <c r="E3740">
        <f t="shared" ref="E3740:E3741" si="10973">_xlfn.NUMBERVALUE(MID(C3740,4,2))</f>
        <v>12</v>
      </c>
      <c r="F3740">
        <f t="shared" ref="F3740:F3741" si="10974">_xlfn.NUMBERVALUE(RIGHT(C3740,4))</f>
        <v>2024</v>
      </c>
      <c r="G3740" t="s">
        <v>2969</v>
      </c>
      <c r="K3740" t="s">
        <v>10</v>
      </c>
      <c r="L3740" s="8">
        <f t="shared" si="10962"/>
        <v>0</v>
      </c>
      <c r="M3740" t="s">
        <v>4131</v>
      </c>
    </row>
    <row r="3741" spans="1:13" x14ac:dyDescent="0.35">
      <c r="A3741">
        <f t="shared" si="10941"/>
        <v>3737</v>
      </c>
      <c r="B3741" s="9">
        <f t="shared" si="10971"/>
        <v>45.919999999999966</v>
      </c>
      <c r="C3741" s="3" t="s">
        <v>4128</v>
      </c>
      <c r="D3741">
        <f t="shared" si="10972"/>
        <v>5</v>
      </c>
      <c r="E3741">
        <f t="shared" si="10973"/>
        <v>12</v>
      </c>
      <c r="F3741">
        <f t="shared" si="10974"/>
        <v>2024</v>
      </c>
      <c r="G3741" t="s">
        <v>2969</v>
      </c>
      <c r="H3741" s="9"/>
      <c r="K3741" t="s">
        <v>9</v>
      </c>
      <c r="L3741" s="8">
        <f t="shared" si="10962"/>
        <v>0</v>
      </c>
      <c r="M3741" t="s">
        <v>4133</v>
      </c>
    </row>
    <row r="3742" spans="1:13" x14ac:dyDescent="0.35">
      <c r="A3742">
        <f t="shared" si="10941"/>
        <v>3738</v>
      </c>
      <c r="B3742" s="9">
        <f t="shared" ref="B3742:B3745" si="10975">B3741+H3742+I3742+J3742</f>
        <v>49.239999999999966</v>
      </c>
      <c r="C3742" s="3" t="s">
        <v>4128</v>
      </c>
      <c r="D3742">
        <f t="shared" ref="D3742:D3746" si="10976">_xlfn.NUMBERVALUE(LEFT(C3742,2))</f>
        <v>5</v>
      </c>
      <c r="E3742">
        <f t="shared" ref="E3742:E3745" si="10977">_xlfn.NUMBERVALUE(MID(C3742,4,2))</f>
        <v>12</v>
      </c>
      <c r="F3742">
        <f t="shared" ref="F3742:F3745" si="10978">_xlfn.NUMBERVALUE(RIGHT(C3742,4))</f>
        <v>2024</v>
      </c>
      <c r="G3742" t="s">
        <v>1389</v>
      </c>
      <c r="H3742" s="9">
        <v>-10</v>
      </c>
      <c r="I3742">
        <v>13.32</v>
      </c>
      <c r="K3742" t="s">
        <v>10</v>
      </c>
      <c r="L3742" s="8">
        <f t="shared" si="10962"/>
        <v>0.33200000000000007</v>
      </c>
      <c r="M3742" t="s">
        <v>4132</v>
      </c>
    </row>
    <row r="3743" spans="1:13" x14ac:dyDescent="0.35">
      <c r="A3743">
        <f t="shared" si="10941"/>
        <v>3739</v>
      </c>
      <c r="B3743" s="9">
        <f t="shared" si="10975"/>
        <v>39.239999999999966</v>
      </c>
      <c r="C3743" s="3" t="s">
        <v>4128</v>
      </c>
      <c r="D3743">
        <f t="shared" si="10976"/>
        <v>5</v>
      </c>
      <c r="E3743">
        <f t="shared" si="10977"/>
        <v>12</v>
      </c>
      <c r="F3743">
        <f t="shared" si="10978"/>
        <v>2024</v>
      </c>
      <c r="G3743" t="s">
        <v>1389</v>
      </c>
      <c r="H3743" s="9">
        <v>-10</v>
      </c>
      <c r="K3743" t="s">
        <v>9</v>
      </c>
      <c r="L3743" s="8">
        <f t="shared" si="10962"/>
        <v>-1</v>
      </c>
      <c r="M3743" t="s">
        <v>4134</v>
      </c>
    </row>
    <row r="3744" spans="1:13" x14ac:dyDescent="0.35">
      <c r="A3744">
        <f t="shared" si="10941"/>
        <v>3740</v>
      </c>
      <c r="B3744" s="9">
        <f t="shared" si="10975"/>
        <v>37.239999999999966</v>
      </c>
      <c r="C3744" s="3" t="s">
        <v>4135</v>
      </c>
      <c r="D3744">
        <f t="shared" si="10976"/>
        <v>6</v>
      </c>
      <c r="E3744">
        <f t="shared" si="10977"/>
        <v>12</v>
      </c>
      <c r="F3744">
        <f t="shared" si="10978"/>
        <v>2024</v>
      </c>
      <c r="G3744" t="s">
        <v>7</v>
      </c>
      <c r="H3744" s="9">
        <v>-2</v>
      </c>
      <c r="K3744" t="s">
        <v>9</v>
      </c>
      <c r="L3744" s="8">
        <f t="shared" si="10962"/>
        <v>-1</v>
      </c>
      <c r="M3744" t="s">
        <v>4136</v>
      </c>
    </row>
    <row r="3745" spans="1:13" x14ac:dyDescent="0.35">
      <c r="A3745">
        <f t="shared" si="10941"/>
        <v>3741</v>
      </c>
      <c r="B3745" s="9">
        <f t="shared" si="10975"/>
        <v>37.239999999999966</v>
      </c>
      <c r="C3745" s="3" t="s">
        <v>4135</v>
      </c>
      <c r="D3745">
        <f t="shared" si="10976"/>
        <v>6</v>
      </c>
      <c r="E3745">
        <f t="shared" si="10977"/>
        <v>12</v>
      </c>
      <c r="F3745">
        <f t="shared" si="10978"/>
        <v>2024</v>
      </c>
      <c r="G3745" t="s">
        <v>3039</v>
      </c>
      <c r="K3745" t="s">
        <v>10</v>
      </c>
      <c r="L3745" s="8">
        <f t="shared" si="10962"/>
        <v>0</v>
      </c>
      <c r="M3745" t="s">
        <v>4137</v>
      </c>
    </row>
    <row r="3746" spans="1:13" x14ac:dyDescent="0.35">
      <c r="A3746">
        <f t="shared" si="10941"/>
        <v>3742</v>
      </c>
      <c r="B3746" s="9">
        <f t="shared" ref="B3746" si="10979">B3745+H3746+I3746+J3746</f>
        <v>41.659999999999968</v>
      </c>
      <c r="C3746" s="3" t="s">
        <v>4135</v>
      </c>
      <c r="D3746">
        <f t="shared" si="10976"/>
        <v>6</v>
      </c>
      <c r="E3746">
        <f t="shared" ref="E3746" si="10980">_xlfn.NUMBERVALUE(MID(C3746,4,2))</f>
        <v>12</v>
      </c>
      <c r="F3746">
        <f t="shared" ref="F3746" si="10981">_xlfn.NUMBERVALUE(RIGHT(C3746,4))</f>
        <v>2024</v>
      </c>
      <c r="G3746" t="s">
        <v>1389</v>
      </c>
      <c r="H3746" s="9">
        <v>-10</v>
      </c>
      <c r="I3746">
        <v>14.42</v>
      </c>
      <c r="K3746" t="s">
        <v>10</v>
      </c>
      <c r="L3746" s="8">
        <f t="shared" si="10962"/>
        <v>0.44199999999999995</v>
      </c>
      <c r="M3746" t="s">
        <v>4138</v>
      </c>
    </row>
    <row r="3747" spans="1:13" x14ac:dyDescent="0.35">
      <c r="A3747">
        <f t="shared" si="10941"/>
        <v>3743</v>
      </c>
      <c r="B3747" s="9">
        <f t="shared" ref="B3747" si="10982">B3746+H3747+I3747+J3747</f>
        <v>31.659999999999968</v>
      </c>
      <c r="C3747" s="3" t="s">
        <v>4135</v>
      </c>
      <c r="D3747">
        <f t="shared" ref="D3747" si="10983">_xlfn.NUMBERVALUE(LEFT(C3747,2))</f>
        <v>6</v>
      </c>
      <c r="E3747">
        <f t="shared" ref="E3747" si="10984">_xlfn.NUMBERVALUE(MID(C3747,4,2))</f>
        <v>12</v>
      </c>
      <c r="F3747">
        <f t="shared" ref="F3747" si="10985">_xlfn.NUMBERVALUE(RIGHT(C3747,4))</f>
        <v>2024</v>
      </c>
      <c r="G3747" t="s">
        <v>1389</v>
      </c>
      <c r="H3747" s="9">
        <v>-10</v>
      </c>
      <c r="K3747" t="s">
        <v>9</v>
      </c>
      <c r="L3747" s="8">
        <f t="shared" si="10962"/>
        <v>-1</v>
      </c>
      <c r="M3747" t="s">
        <v>4139</v>
      </c>
    </row>
    <row r="3748" spans="1:13" x14ac:dyDescent="0.35">
      <c r="A3748">
        <f t="shared" si="10941"/>
        <v>3744</v>
      </c>
      <c r="B3748" s="9">
        <f t="shared" ref="B3748" si="10986">B3747+H3748+I3748+J3748</f>
        <v>36.879999999999967</v>
      </c>
      <c r="C3748" s="3" t="s">
        <v>4135</v>
      </c>
      <c r="D3748">
        <f t="shared" ref="D3748" si="10987">_xlfn.NUMBERVALUE(LEFT(C3748,2))</f>
        <v>6</v>
      </c>
      <c r="E3748">
        <f t="shared" ref="E3748" si="10988">_xlfn.NUMBERVALUE(MID(C3748,4,2))</f>
        <v>12</v>
      </c>
      <c r="F3748">
        <f t="shared" ref="F3748" si="10989">_xlfn.NUMBERVALUE(RIGHT(C3748,4))</f>
        <v>2024</v>
      </c>
      <c r="G3748" t="s">
        <v>1389</v>
      </c>
      <c r="H3748" s="9">
        <v>-10</v>
      </c>
      <c r="I3748">
        <v>15.22</v>
      </c>
      <c r="K3748" t="s">
        <v>10</v>
      </c>
      <c r="L3748" s="8">
        <f t="shared" si="10962"/>
        <v>0.52200000000000002</v>
      </c>
      <c r="M3748" t="s">
        <v>4140</v>
      </c>
    </row>
    <row r="3749" spans="1:13" x14ac:dyDescent="0.35">
      <c r="A3749">
        <f t="shared" si="10941"/>
        <v>3745</v>
      </c>
      <c r="B3749" s="9">
        <f t="shared" ref="B3749" si="10990">B3748+H3749+I3749+J3749</f>
        <v>26.879999999999967</v>
      </c>
      <c r="C3749" s="3" t="s">
        <v>4135</v>
      </c>
      <c r="D3749">
        <f t="shared" ref="D3749" si="10991">_xlfn.NUMBERVALUE(LEFT(C3749,2))</f>
        <v>6</v>
      </c>
      <c r="E3749">
        <f t="shared" ref="E3749" si="10992">_xlfn.NUMBERVALUE(MID(C3749,4,2))</f>
        <v>12</v>
      </c>
      <c r="F3749">
        <f t="shared" ref="F3749" si="10993">_xlfn.NUMBERVALUE(RIGHT(C3749,4))</f>
        <v>2024</v>
      </c>
      <c r="G3749" t="s">
        <v>1389</v>
      </c>
      <c r="H3749" s="9">
        <v>-10</v>
      </c>
      <c r="K3749" t="s">
        <v>9</v>
      </c>
      <c r="L3749" s="8">
        <f t="shared" si="10962"/>
        <v>-1</v>
      </c>
      <c r="M3749" t="s">
        <v>4141</v>
      </c>
    </row>
    <row r="3750" spans="1:13" x14ac:dyDescent="0.35">
      <c r="A3750">
        <f t="shared" si="10941"/>
        <v>3746</v>
      </c>
      <c r="B3750" s="9">
        <f t="shared" ref="B3750:B3751" si="10994">B3749+H3750+I3750+J3750</f>
        <v>34.909999999999968</v>
      </c>
      <c r="C3750" s="3" t="s">
        <v>4135</v>
      </c>
      <c r="D3750">
        <f t="shared" ref="D3750:D3751" si="10995">_xlfn.NUMBERVALUE(LEFT(C3750,2))</f>
        <v>6</v>
      </c>
      <c r="E3750">
        <f t="shared" ref="E3750:E3751" si="10996">_xlfn.NUMBERVALUE(MID(C3750,4,2))</f>
        <v>12</v>
      </c>
      <c r="F3750">
        <f t="shared" ref="F3750:F3751" si="10997">_xlfn.NUMBERVALUE(RIGHT(C3750,4))</f>
        <v>2024</v>
      </c>
      <c r="G3750" t="s">
        <v>1389</v>
      </c>
      <c r="H3750" s="9">
        <v>-10</v>
      </c>
      <c r="I3750">
        <v>18.03</v>
      </c>
      <c r="K3750" t="s">
        <v>10</v>
      </c>
      <c r="L3750" s="8">
        <f t="shared" si="10962"/>
        <v>0.80300000000000016</v>
      </c>
      <c r="M3750" t="s">
        <v>4142</v>
      </c>
    </row>
    <row r="3751" spans="1:13" x14ac:dyDescent="0.35">
      <c r="A3751">
        <f t="shared" si="10941"/>
        <v>3747</v>
      </c>
      <c r="B3751" s="9">
        <f t="shared" si="10994"/>
        <v>42.909999999999968</v>
      </c>
      <c r="C3751" s="3" t="s">
        <v>4143</v>
      </c>
      <c r="D3751">
        <f t="shared" si="10995"/>
        <v>7</v>
      </c>
      <c r="E3751">
        <f t="shared" si="10996"/>
        <v>12</v>
      </c>
      <c r="F3751">
        <f t="shared" si="10997"/>
        <v>2024</v>
      </c>
      <c r="G3751" t="s">
        <v>7</v>
      </c>
      <c r="H3751" s="9">
        <v>-2</v>
      </c>
      <c r="I3751">
        <v>10</v>
      </c>
      <c r="K3751" t="s">
        <v>10</v>
      </c>
      <c r="L3751" s="8">
        <f t="shared" si="10962"/>
        <v>4</v>
      </c>
      <c r="M3751" t="s">
        <v>4144</v>
      </c>
    </row>
    <row r="3752" spans="1:13" x14ac:dyDescent="0.35">
      <c r="A3752">
        <f t="shared" si="10941"/>
        <v>3748</v>
      </c>
      <c r="B3752" s="9">
        <f t="shared" ref="B3752:B3753" si="10998">B3751+H3752+I3752+J3752</f>
        <v>42.909999999999968</v>
      </c>
      <c r="C3752" s="3" t="s">
        <v>4143</v>
      </c>
      <c r="D3752">
        <f t="shared" ref="D3752:D3753" si="10999">_xlfn.NUMBERVALUE(LEFT(C3752,2))</f>
        <v>7</v>
      </c>
      <c r="E3752">
        <f t="shared" ref="E3752:E3753" si="11000">_xlfn.NUMBERVALUE(MID(C3752,4,2))</f>
        <v>12</v>
      </c>
      <c r="F3752">
        <f t="shared" ref="F3752:F3753" si="11001">_xlfn.NUMBERVALUE(RIGHT(C3752,4))</f>
        <v>2024</v>
      </c>
      <c r="G3752" t="s">
        <v>3039</v>
      </c>
      <c r="K3752" t="s">
        <v>9</v>
      </c>
      <c r="L3752" s="8">
        <f t="shared" si="10962"/>
        <v>0</v>
      </c>
      <c r="M3752" t="s">
        <v>4145</v>
      </c>
    </row>
    <row r="3753" spans="1:13" x14ac:dyDescent="0.35">
      <c r="A3753">
        <f t="shared" si="10941"/>
        <v>3749</v>
      </c>
      <c r="B3753" s="9">
        <f t="shared" si="10998"/>
        <v>40.909999999999968</v>
      </c>
      <c r="C3753" s="3" t="s">
        <v>4146</v>
      </c>
      <c r="D3753">
        <f t="shared" si="10999"/>
        <v>8</v>
      </c>
      <c r="E3753">
        <f t="shared" si="11000"/>
        <v>12</v>
      </c>
      <c r="F3753">
        <f t="shared" si="11001"/>
        <v>2024</v>
      </c>
      <c r="G3753" t="s">
        <v>7</v>
      </c>
      <c r="H3753" s="9">
        <v>-2</v>
      </c>
      <c r="K3753" t="s">
        <v>9</v>
      </c>
      <c r="L3753" s="8">
        <f t="shared" si="10962"/>
        <v>-1</v>
      </c>
      <c r="M3753" t="s">
        <v>4147</v>
      </c>
    </row>
    <row r="3754" spans="1:13" x14ac:dyDescent="0.35">
      <c r="A3754">
        <f t="shared" si="10941"/>
        <v>3750</v>
      </c>
      <c r="B3754" s="9">
        <f t="shared" ref="B3754:B3755" si="11002">B3753+H3754+I3754+J3754</f>
        <v>40.909999999999968</v>
      </c>
      <c r="C3754" s="3" t="s">
        <v>4146</v>
      </c>
      <c r="D3754">
        <f t="shared" ref="D3754:D3755" si="11003">_xlfn.NUMBERVALUE(LEFT(C3754,2))</f>
        <v>8</v>
      </c>
      <c r="E3754">
        <f t="shared" ref="E3754:E3755" si="11004">_xlfn.NUMBERVALUE(MID(C3754,4,2))</f>
        <v>12</v>
      </c>
      <c r="F3754">
        <f t="shared" ref="F3754:F3755" si="11005">_xlfn.NUMBERVALUE(RIGHT(C3754,4))</f>
        <v>2024</v>
      </c>
      <c r="G3754" t="s">
        <v>3039</v>
      </c>
      <c r="K3754" t="s">
        <v>9</v>
      </c>
      <c r="L3754" s="8">
        <f t="shared" si="10962"/>
        <v>0</v>
      </c>
      <c r="M3754" t="s">
        <v>4148</v>
      </c>
    </row>
    <row r="3755" spans="1:13" x14ac:dyDescent="0.35">
      <c r="A3755">
        <f t="shared" si="10941"/>
        <v>3751</v>
      </c>
      <c r="B3755" s="9">
        <f t="shared" si="11002"/>
        <v>42.909999999999968</v>
      </c>
      <c r="C3755" s="3" t="s">
        <v>4149</v>
      </c>
      <c r="D3755">
        <f t="shared" si="11003"/>
        <v>9</v>
      </c>
      <c r="E3755">
        <f t="shared" si="11004"/>
        <v>12</v>
      </c>
      <c r="F3755">
        <f t="shared" si="11005"/>
        <v>2024</v>
      </c>
      <c r="G3755" t="s">
        <v>7</v>
      </c>
      <c r="H3755" s="9">
        <v>-2</v>
      </c>
      <c r="I3755">
        <v>4</v>
      </c>
      <c r="K3755" t="s">
        <v>10</v>
      </c>
      <c r="L3755" s="8">
        <f t="shared" si="10962"/>
        <v>1</v>
      </c>
      <c r="M3755" t="s">
        <v>4150</v>
      </c>
    </row>
    <row r="3756" spans="1:13" x14ac:dyDescent="0.35">
      <c r="A3756">
        <f t="shared" si="10941"/>
        <v>3752</v>
      </c>
      <c r="B3756" s="9">
        <f t="shared" ref="B3756:B3757" si="11006">B3755+H3756+I3756+J3756</f>
        <v>42.909999999999968</v>
      </c>
      <c r="C3756" s="3" t="s">
        <v>4149</v>
      </c>
      <c r="D3756">
        <f t="shared" ref="D3756:D3757" si="11007">_xlfn.NUMBERVALUE(LEFT(C3756,2))</f>
        <v>9</v>
      </c>
      <c r="E3756">
        <f t="shared" ref="E3756:E3757" si="11008">_xlfn.NUMBERVALUE(MID(C3756,4,2))</f>
        <v>12</v>
      </c>
      <c r="F3756">
        <f t="shared" ref="F3756:F3757" si="11009">_xlfn.NUMBERVALUE(RIGHT(C3756,4))</f>
        <v>2024</v>
      </c>
      <c r="G3756" t="s">
        <v>3039</v>
      </c>
      <c r="K3756" t="s">
        <v>9</v>
      </c>
      <c r="L3756" s="8">
        <f t="shared" si="10962"/>
        <v>0</v>
      </c>
      <c r="M3756" t="s">
        <v>4151</v>
      </c>
    </row>
    <row r="3757" spans="1:13" x14ac:dyDescent="0.35">
      <c r="A3757">
        <f t="shared" si="10941"/>
        <v>3753</v>
      </c>
      <c r="B3757" s="9">
        <f t="shared" si="11006"/>
        <v>32.909999999999968</v>
      </c>
      <c r="C3757" s="3" t="s">
        <v>4149</v>
      </c>
      <c r="D3757">
        <f t="shared" si="11007"/>
        <v>9</v>
      </c>
      <c r="E3757">
        <f t="shared" si="11008"/>
        <v>12</v>
      </c>
      <c r="F3757">
        <f t="shared" si="11009"/>
        <v>2024</v>
      </c>
      <c r="G3757" t="s">
        <v>1389</v>
      </c>
      <c r="H3757" s="9">
        <v>-10</v>
      </c>
      <c r="K3757" t="s">
        <v>9</v>
      </c>
      <c r="L3757" s="8">
        <f t="shared" si="10962"/>
        <v>-1</v>
      </c>
      <c r="M3757" t="s">
        <v>4152</v>
      </c>
    </row>
    <row r="3758" spans="1:13" x14ac:dyDescent="0.35">
      <c r="A3758">
        <f t="shared" si="10941"/>
        <v>3754</v>
      </c>
      <c r="B3758" s="9">
        <f t="shared" ref="B3758" si="11010">B3757+H3758+I3758+J3758</f>
        <v>34.929999999999964</v>
      </c>
      <c r="C3758" s="3" t="s">
        <v>4149</v>
      </c>
      <c r="D3758">
        <f t="shared" ref="D3758" si="11011">_xlfn.NUMBERVALUE(LEFT(C3758,2))</f>
        <v>9</v>
      </c>
      <c r="E3758">
        <f t="shared" ref="E3758" si="11012">_xlfn.NUMBERVALUE(MID(C3758,4,2))</f>
        <v>12</v>
      </c>
      <c r="F3758">
        <f t="shared" ref="F3758" si="11013">_xlfn.NUMBERVALUE(RIGHT(C3758,4))</f>
        <v>2024</v>
      </c>
      <c r="G3758" t="s">
        <v>1389</v>
      </c>
      <c r="H3758" s="9">
        <v>-10</v>
      </c>
      <c r="I3758">
        <v>12.02</v>
      </c>
      <c r="K3758" t="s">
        <v>10</v>
      </c>
      <c r="L3758" s="8">
        <f t="shared" si="10962"/>
        <v>0.20199999999999996</v>
      </c>
      <c r="M3758" t="s">
        <v>4153</v>
      </c>
    </row>
    <row r="3759" spans="1:13" x14ac:dyDescent="0.35">
      <c r="A3759">
        <f t="shared" si="10941"/>
        <v>3755</v>
      </c>
      <c r="B3759" s="9">
        <f t="shared" ref="B3759" si="11014">B3758+H3759+I3759+J3759</f>
        <v>24.929999999999964</v>
      </c>
      <c r="C3759" s="3" t="s">
        <v>4149</v>
      </c>
      <c r="D3759">
        <f t="shared" ref="D3759" si="11015">_xlfn.NUMBERVALUE(LEFT(C3759,2))</f>
        <v>9</v>
      </c>
      <c r="E3759">
        <f t="shared" ref="E3759" si="11016">_xlfn.NUMBERVALUE(MID(C3759,4,2))</f>
        <v>12</v>
      </c>
      <c r="F3759">
        <f t="shared" ref="F3759" si="11017">_xlfn.NUMBERVALUE(RIGHT(C3759,4))</f>
        <v>2024</v>
      </c>
      <c r="G3759" t="s">
        <v>1389</v>
      </c>
      <c r="H3759" s="9">
        <v>-10</v>
      </c>
      <c r="K3759" t="s">
        <v>9</v>
      </c>
      <c r="L3759" s="8">
        <f t="shared" si="10962"/>
        <v>-1</v>
      </c>
      <c r="M3759" t="s">
        <v>4152</v>
      </c>
    </row>
    <row r="3760" spans="1:13" x14ac:dyDescent="0.35">
      <c r="A3760">
        <f t="shared" si="10941"/>
        <v>3756</v>
      </c>
      <c r="B3760" s="9">
        <f t="shared" ref="B3760:B3763" si="11018">B3759+H3760+I3760+J3760</f>
        <v>30.939999999999966</v>
      </c>
      <c r="C3760" s="3" t="s">
        <v>4149</v>
      </c>
      <c r="D3760">
        <f t="shared" ref="D3760:D3763" si="11019">_xlfn.NUMBERVALUE(LEFT(C3760,2))</f>
        <v>9</v>
      </c>
      <c r="E3760">
        <f t="shared" ref="E3760:E3763" si="11020">_xlfn.NUMBERVALUE(MID(C3760,4,2))</f>
        <v>12</v>
      </c>
      <c r="F3760">
        <f t="shared" ref="F3760:F3763" si="11021">_xlfn.NUMBERVALUE(RIGHT(C3760,4))</f>
        <v>2024</v>
      </c>
      <c r="G3760" t="s">
        <v>1389</v>
      </c>
      <c r="H3760" s="9">
        <v>-24.93</v>
      </c>
      <c r="I3760">
        <v>30.94</v>
      </c>
      <c r="K3760" t="s">
        <v>10</v>
      </c>
      <c r="L3760" s="8">
        <f t="shared" si="10962"/>
        <v>0.24107501002807874</v>
      </c>
      <c r="M3760" t="s">
        <v>4154</v>
      </c>
    </row>
    <row r="3761" spans="1:13" x14ac:dyDescent="0.35">
      <c r="A3761">
        <f t="shared" si="10941"/>
        <v>3757</v>
      </c>
      <c r="B3761" s="9">
        <f t="shared" si="11018"/>
        <v>34.939999999999969</v>
      </c>
      <c r="C3761" s="3" t="s">
        <v>4155</v>
      </c>
      <c r="D3761">
        <f t="shared" si="11019"/>
        <v>10</v>
      </c>
      <c r="E3761">
        <f t="shared" si="11020"/>
        <v>12</v>
      </c>
      <c r="F3761">
        <f t="shared" si="11021"/>
        <v>2024</v>
      </c>
      <c r="G3761" t="s">
        <v>7</v>
      </c>
      <c r="H3761" s="9">
        <v>-2</v>
      </c>
      <c r="I3761">
        <v>6</v>
      </c>
      <c r="K3761" t="s">
        <v>10</v>
      </c>
      <c r="L3761" s="8">
        <f t="shared" si="10962"/>
        <v>2</v>
      </c>
      <c r="M3761" t="s">
        <v>4156</v>
      </c>
    </row>
    <row r="3762" spans="1:13" x14ac:dyDescent="0.35">
      <c r="A3762">
        <f t="shared" si="10941"/>
        <v>3758</v>
      </c>
      <c r="B3762" s="9">
        <f t="shared" si="11018"/>
        <v>34.939999999999969</v>
      </c>
      <c r="C3762" s="3" t="s">
        <v>4155</v>
      </c>
      <c r="D3762">
        <f t="shared" si="11019"/>
        <v>10</v>
      </c>
      <c r="E3762">
        <f t="shared" si="11020"/>
        <v>12</v>
      </c>
      <c r="F3762">
        <f t="shared" si="11021"/>
        <v>2024</v>
      </c>
      <c r="G3762" t="s">
        <v>3039</v>
      </c>
      <c r="K3762" t="s">
        <v>9</v>
      </c>
      <c r="L3762" s="8">
        <f t="shared" si="10962"/>
        <v>0</v>
      </c>
      <c r="M3762" t="s">
        <v>4157</v>
      </c>
    </row>
    <row r="3763" spans="1:13" x14ac:dyDescent="0.35">
      <c r="A3763">
        <f t="shared" si="10941"/>
        <v>3759</v>
      </c>
      <c r="B3763" s="9">
        <f t="shared" si="11018"/>
        <v>38.699999999999967</v>
      </c>
      <c r="C3763" s="3" t="s">
        <v>4155</v>
      </c>
      <c r="D3763">
        <f t="shared" si="11019"/>
        <v>10</v>
      </c>
      <c r="E3763">
        <f t="shared" si="11020"/>
        <v>12</v>
      </c>
      <c r="F3763">
        <f t="shared" si="11021"/>
        <v>2024</v>
      </c>
      <c r="G3763" t="s">
        <v>1389</v>
      </c>
      <c r="H3763" s="9">
        <v>-10</v>
      </c>
      <c r="I3763">
        <v>13.76</v>
      </c>
      <c r="K3763" t="s">
        <v>10</v>
      </c>
      <c r="L3763" s="8">
        <f t="shared" si="10962"/>
        <v>0.37599999999999989</v>
      </c>
      <c r="M3763" t="s">
        <v>4158</v>
      </c>
    </row>
    <row r="3764" spans="1:13" x14ac:dyDescent="0.35">
      <c r="A3764">
        <f t="shared" si="10941"/>
        <v>3760</v>
      </c>
      <c r="B3764" s="9">
        <f t="shared" ref="B3764:B3766" si="11022">B3763+H3764+I3764+J3764</f>
        <v>44.369999999999969</v>
      </c>
      <c r="C3764" s="3" t="s">
        <v>4155</v>
      </c>
      <c r="D3764">
        <f t="shared" ref="D3764:D3766" si="11023">_xlfn.NUMBERVALUE(LEFT(C3764,2))</f>
        <v>10</v>
      </c>
      <c r="E3764">
        <f t="shared" ref="E3764:E3766" si="11024">_xlfn.NUMBERVALUE(MID(C3764,4,2))</f>
        <v>12</v>
      </c>
      <c r="F3764">
        <f t="shared" ref="F3764:F3766" si="11025">_xlfn.NUMBERVALUE(RIGHT(C3764,4))</f>
        <v>2024</v>
      </c>
      <c r="G3764" t="s">
        <v>1389</v>
      </c>
      <c r="H3764" s="9">
        <v>-10</v>
      </c>
      <c r="I3764">
        <v>15.67</v>
      </c>
      <c r="K3764" t="s">
        <v>10</v>
      </c>
      <c r="L3764" s="8">
        <f t="shared" si="10962"/>
        <v>0.56699999999999995</v>
      </c>
      <c r="M3764" t="s">
        <v>4159</v>
      </c>
    </row>
    <row r="3765" spans="1:13" x14ac:dyDescent="0.35">
      <c r="A3765">
        <f t="shared" si="10941"/>
        <v>3761</v>
      </c>
      <c r="B3765" s="9">
        <f t="shared" si="11022"/>
        <v>42.369999999999969</v>
      </c>
      <c r="C3765" s="3" t="s">
        <v>4160</v>
      </c>
      <c r="D3765">
        <f t="shared" si="11023"/>
        <v>11</v>
      </c>
      <c r="E3765">
        <f t="shared" si="11024"/>
        <v>12</v>
      </c>
      <c r="F3765">
        <f t="shared" si="11025"/>
        <v>2024</v>
      </c>
      <c r="G3765" t="s">
        <v>7</v>
      </c>
      <c r="H3765" s="9">
        <v>-2</v>
      </c>
      <c r="K3765" t="s">
        <v>9</v>
      </c>
      <c r="L3765" s="8">
        <f t="shared" si="10962"/>
        <v>-1</v>
      </c>
      <c r="M3765" t="s">
        <v>4161</v>
      </c>
    </row>
    <row r="3766" spans="1:13" x14ac:dyDescent="0.35">
      <c r="A3766">
        <f t="shared" si="10941"/>
        <v>3762</v>
      </c>
      <c r="B3766" s="9">
        <f t="shared" si="11022"/>
        <v>42.369999999999969</v>
      </c>
      <c r="C3766" s="3" t="s">
        <v>4160</v>
      </c>
      <c r="D3766">
        <f t="shared" si="11023"/>
        <v>11</v>
      </c>
      <c r="E3766">
        <f t="shared" si="11024"/>
        <v>12</v>
      </c>
      <c r="F3766">
        <f t="shared" si="11025"/>
        <v>2024</v>
      </c>
      <c r="G3766" t="s">
        <v>3039</v>
      </c>
      <c r="K3766" t="s">
        <v>9</v>
      </c>
      <c r="L3766" s="8">
        <f t="shared" ref="L3766:L3787" si="11026">IF(H3766="",0,(SUM(I3766:J3766)/-H3766)-1)</f>
        <v>0</v>
      </c>
      <c r="M3766" t="s">
        <v>4162</v>
      </c>
    </row>
    <row r="3767" spans="1:13" x14ac:dyDescent="0.35">
      <c r="A3767">
        <f t="shared" si="10941"/>
        <v>3763</v>
      </c>
      <c r="B3767" s="9">
        <f t="shared" ref="B3767:B3768" si="11027">B3766+H3767+I3767+J3767</f>
        <v>40.369999999999969</v>
      </c>
      <c r="C3767" s="3" t="s">
        <v>4163</v>
      </c>
      <c r="D3767">
        <f t="shared" ref="D3767:D3768" si="11028">_xlfn.NUMBERVALUE(LEFT(C3767,2))</f>
        <v>12</v>
      </c>
      <c r="E3767">
        <f t="shared" ref="E3767:E3768" si="11029">_xlfn.NUMBERVALUE(MID(C3767,4,2))</f>
        <v>12</v>
      </c>
      <c r="F3767">
        <f t="shared" ref="F3767:F3768" si="11030">_xlfn.NUMBERVALUE(RIGHT(C3767,4))</f>
        <v>2024</v>
      </c>
      <c r="G3767" t="s">
        <v>7</v>
      </c>
      <c r="H3767" s="9">
        <v>-2</v>
      </c>
      <c r="K3767" t="s">
        <v>9</v>
      </c>
      <c r="L3767" s="8">
        <f t="shared" si="11026"/>
        <v>-1</v>
      </c>
      <c r="M3767" t="s">
        <v>4164</v>
      </c>
    </row>
    <row r="3768" spans="1:13" x14ac:dyDescent="0.35">
      <c r="A3768">
        <f t="shared" si="10941"/>
        <v>3764</v>
      </c>
      <c r="B3768" s="9">
        <f t="shared" si="11027"/>
        <v>39.869999999999969</v>
      </c>
      <c r="C3768" s="3" t="s">
        <v>4163</v>
      </c>
      <c r="D3768">
        <f t="shared" si="11028"/>
        <v>12</v>
      </c>
      <c r="E3768">
        <f t="shared" si="11029"/>
        <v>12</v>
      </c>
      <c r="F3768">
        <f t="shared" si="11030"/>
        <v>2024</v>
      </c>
      <c r="G3768" t="s">
        <v>3039</v>
      </c>
      <c r="H3768" s="9">
        <v>-0.5</v>
      </c>
      <c r="K3768" t="s">
        <v>9</v>
      </c>
      <c r="L3768" s="8">
        <f t="shared" si="11026"/>
        <v>-1</v>
      </c>
      <c r="M3768" t="s">
        <v>4165</v>
      </c>
    </row>
    <row r="3769" spans="1:13" x14ac:dyDescent="0.35">
      <c r="A3769">
        <f t="shared" si="10941"/>
        <v>3765</v>
      </c>
      <c r="B3769" s="9">
        <f t="shared" ref="B3769" si="11031">B3768+H3769+I3769+J3769</f>
        <v>39.869999999999969</v>
      </c>
      <c r="C3769" s="3" t="s">
        <v>4163</v>
      </c>
      <c r="D3769">
        <f t="shared" ref="D3769" si="11032">_xlfn.NUMBERVALUE(LEFT(C3769,2))</f>
        <v>12</v>
      </c>
      <c r="E3769">
        <f t="shared" ref="E3769" si="11033">_xlfn.NUMBERVALUE(MID(C3769,4,2))</f>
        <v>12</v>
      </c>
      <c r="F3769">
        <f t="shared" ref="F3769" si="11034">_xlfn.NUMBERVALUE(RIGHT(C3769,4))</f>
        <v>2024</v>
      </c>
      <c r="G3769" t="s">
        <v>3039</v>
      </c>
      <c r="K3769" t="s">
        <v>10</v>
      </c>
      <c r="L3769" s="8">
        <f t="shared" si="11026"/>
        <v>0</v>
      </c>
      <c r="M3769" t="s">
        <v>4166</v>
      </c>
    </row>
    <row r="3770" spans="1:13" x14ac:dyDescent="0.35">
      <c r="A3770">
        <f t="shared" si="10941"/>
        <v>3766</v>
      </c>
      <c r="B3770" s="9">
        <f t="shared" ref="B3770:B3771" si="11035">B3769+H3770+I3770+J3770</f>
        <v>39.869999999999969</v>
      </c>
      <c r="C3770" s="3" t="s">
        <v>4163</v>
      </c>
      <c r="D3770">
        <f t="shared" ref="D3770:D3771" si="11036">_xlfn.NUMBERVALUE(LEFT(C3770,2))</f>
        <v>12</v>
      </c>
      <c r="E3770">
        <f t="shared" ref="E3770:E3771" si="11037">_xlfn.NUMBERVALUE(MID(C3770,4,2))</f>
        <v>12</v>
      </c>
      <c r="F3770">
        <f t="shared" ref="F3770:F3771" si="11038">_xlfn.NUMBERVALUE(RIGHT(C3770,4))</f>
        <v>2024</v>
      </c>
      <c r="G3770" t="s">
        <v>2969</v>
      </c>
      <c r="K3770" t="s">
        <v>9</v>
      </c>
      <c r="L3770" s="8">
        <f t="shared" si="11026"/>
        <v>0</v>
      </c>
      <c r="M3770" t="s">
        <v>4167</v>
      </c>
    </row>
    <row r="3771" spans="1:13" x14ac:dyDescent="0.35">
      <c r="A3771">
        <f t="shared" si="10941"/>
        <v>3767</v>
      </c>
      <c r="B3771" s="9">
        <f t="shared" si="11035"/>
        <v>41.869999999999969</v>
      </c>
      <c r="C3771" s="3" t="s">
        <v>4168</v>
      </c>
      <c r="D3771">
        <f t="shared" si="11036"/>
        <v>13</v>
      </c>
      <c r="E3771">
        <f t="shared" si="11037"/>
        <v>12</v>
      </c>
      <c r="F3771">
        <f t="shared" si="11038"/>
        <v>2024</v>
      </c>
      <c r="G3771" t="s">
        <v>7</v>
      </c>
      <c r="H3771" s="9">
        <v>-2</v>
      </c>
      <c r="I3771">
        <v>4</v>
      </c>
      <c r="K3771" t="s">
        <v>10</v>
      </c>
      <c r="L3771" s="8">
        <f t="shared" si="11026"/>
        <v>1</v>
      </c>
      <c r="M3771" t="s">
        <v>4169</v>
      </c>
    </row>
    <row r="3772" spans="1:13" x14ac:dyDescent="0.35">
      <c r="A3772">
        <f t="shared" si="10941"/>
        <v>3768</v>
      </c>
      <c r="B3772" s="9">
        <f t="shared" ref="B3772:B3773" si="11039">B3771+H3772+I3772+J3772</f>
        <v>41.869999999999969</v>
      </c>
      <c r="C3772" s="3" t="s">
        <v>4168</v>
      </c>
      <c r="D3772">
        <f t="shared" ref="D3772:D3773" si="11040">_xlfn.NUMBERVALUE(LEFT(C3772,2))</f>
        <v>13</v>
      </c>
      <c r="E3772">
        <f t="shared" ref="E3772:E3773" si="11041">_xlfn.NUMBERVALUE(MID(C3772,4,2))</f>
        <v>12</v>
      </c>
      <c r="F3772">
        <f t="shared" ref="F3772:F3773" si="11042">_xlfn.NUMBERVALUE(RIGHT(C3772,4))</f>
        <v>2024</v>
      </c>
      <c r="G3772" t="s">
        <v>3039</v>
      </c>
      <c r="H3772" s="9"/>
      <c r="K3772" t="s">
        <v>9</v>
      </c>
      <c r="L3772" s="8">
        <f t="shared" si="11026"/>
        <v>0</v>
      </c>
      <c r="M3772" t="s">
        <v>4170</v>
      </c>
    </row>
    <row r="3773" spans="1:13" x14ac:dyDescent="0.35">
      <c r="A3773">
        <f t="shared" si="10941"/>
        <v>3769</v>
      </c>
      <c r="B3773" s="9">
        <f t="shared" si="11039"/>
        <v>34.319999999999972</v>
      </c>
      <c r="C3773" s="3" t="s">
        <v>4168</v>
      </c>
      <c r="D3773">
        <f t="shared" si="11040"/>
        <v>13</v>
      </c>
      <c r="E3773">
        <f t="shared" si="11041"/>
        <v>12</v>
      </c>
      <c r="F3773">
        <f t="shared" si="11042"/>
        <v>2024</v>
      </c>
      <c r="G3773" t="s">
        <v>1389</v>
      </c>
      <c r="H3773" s="9">
        <v>-10</v>
      </c>
      <c r="I3773">
        <v>2.4500000000000002</v>
      </c>
      <c r="K3773" t="s">
        <v>9</v>
      </c>
      <c r="L3773" s="8">
        <f t="shared" si="11026"/>
        <v>-0.755</v>
      </c>
      <c r="M3773" t="s">
        <v>4171</v>
      </c>
    </row>
    <row r="3774" spans="1:13" x14ac:dyDescent="0.35">
      <c r="A3774">
        <f t="shared" si="10941"/>
        <v>3770</v>
      </c>
      <c r="B3774" s="9">
        <f t="shared" ref="B3774" si="11043">B3773+H3774+I3774+J3774</f>
        <v>38.159999999999968</v>
      </c>
      <c r="C3774" s="3" t="s">
        <v>4168</v>
      </c>
      <c r="D3774">
        <f t="shared" ref="D3774" si="11044">_xlfn.NUMBERVALUE(LEFT(C3774,2))</f>
        <v>13</v>
      </c>
      <c r="E3774">
        <f t="shared" ref="E3774" si="11045">_xlfn.NUMBERVALUE(MID(C3774,4,2))</f>
        <v>12</v>
      </c>
      <c r="F3774">
        <f t="shared" ref="F3774" si="11046">_xlfn.NUMBERVALUE(RIGHT(C3774,4))</f>
        <v>2024</v>
      </c>
      <c r="G3774" t="s">
        <v>1389</v>
      </c>
      <c r="H3774" s="9">
        <v>-10</v>
      </c>
      <c r="I3774">
        <v>13.84</v>
      </c>
      <c r="K3774" t="s">
        <v>10</v>
      </c>
      <c r="L3774" s="8">
        <f t="shared" si="11026"/>
        <v>0.3839999999999999</v>
      </c>
      <c r="M3774" t="s">
        <v>4172</v>
      </c>
    </row>
    <row r="3775" spans="1:13" x14ac:dyDescent="0.35">
      <c r="A3775">
        <f t="shared" si="10941"/>
        <v>3771</v>
      </c>
      <c r="B3775" s="9">
        <f t="shared" ref="B3775:B3776" si="11047">B3774+H3775+I3775+J3775</f>
        <v>44.449999999999967</v>
      </c>
      <c r="C3775" s="3" t="s">
        <v>4168</v>
      </c>
      <c r="D3775">
        <f t="shared" ref="D3775:D3776" si="11048">_xlfn.NUMBERVALUE(LEFT(C3775,2))</f>
        <v>13</v>
      </c>
      <c r="E3775">
        <f t="shared" ref="E3775:E3776" si="11049">_xlfn.NUMBERVALUE(MID(C3775,4,2))</f>
        <v>12</v>
      </c>
      <c r="F3775">
        <f t="shared" ref="F3775:F3776" si="11050">_xlfn.NUMBERVALUE(RIGHT(C3775,4))</f>
        <v>2024</v>
      </c>
      <c r="G3775" t="s">
        <v>1389</v>
      </c>
      <c r="H3775" s="9">
        <v>-10</v>
      </c>
      <c r="I3775">
        <v>16.29</v>
      </c>
      <c r="K3775" t="s">
        <v>10</v>
      </c>
      <c r="L3775" s="8">
        <f t="shared" si="11026"/>
        <v>0.629</v>
      </c>
      <c r="M3775" t="s">
        <v>4173</v>
      </c>
    </row>
    <row r="3776" spans="1:13" x14ac:dyDescent="0.35">
      <c r="A3776">
        <f t="shared" si="10941"/>
        <v>3772</v>
      </c>
      <c r="B3776" s="9">
        <f t="shared" si="11047"/>
        <v>42.449999999999967</v>
      </c>
      <c r="C3776" s="3" t="s">
        <v>4174</v>
      </c>
      <c r="D3776">
        <f t="shared" si="11048"/>
        <v>14</v>
      </c>
      <c r="E3776">
        <f t="shared" si="11049"/>
        <v>12</v>
      </c>
      <c r="F3776">
        <f t="shared" si="11050"/>
        <v>2024</v>
      </c>
      <c r="G3776" t="s">
        <v>7</v>
      </c>
      <c r="H3776" s="9">
        <v>-2</v>
      </c>
      <c r="K3776" t="s">
        <v>9</v>
      </c>
      <c r="L3776" s="8">
        <f t="shared" si="11026"/>
        <v>-1</v>
      </c>
      <c r="M3776" t="s">
        <v>4175</v>
      </c>
    </row>
    <row r="3777" spans="1:13" x14ac:dyDescent="0.35">
      <c r="A3777">
        <f t="shared" si="10941"/>
        <v>3773</v>
      </c>
      <c r="B3777" s="9">
        <f t="shared" ref="B3777" si="11051">B3776+H3777+I3777+J3777</f>
        <v>42.449999999999967</v>
      </c>
      <c r="C3777" s="3" t="s">
        <v>4174</v>
      </c>
      <c r="D3777">
        <f t="shared" ref="D3777" si="11052">_xlfn.NUMBERVALUE(LEFT(C3777,2))</f>
        <v>14</v>
      </c>
      <c r="E3777">
        <f t="shared" ref="E3777" si="11053">_xlfn.NUMBERVALUE(MID(C3777,4,2))</f>
        <v>12</v>
      </c>
      <c r="F3777">
        <f t="shared" ref="F3777" si="11054">_xlfn.NUMBERVALUE(RIGHT(C3777,4))</f>
        <v>2024</v>
      </c>
      <c r="G3777" t="s">
        <v>3039</v>
      </c>
      <c r="K3777" t="s">
        <v>10</v>
      </c>
      <c r="L3777" s="8">
        <f t="shared" si="11026"/>
        <v>0</v>
      </c>
      <c r="M3777" t="s">
        <v>4176</v>
      </c>
    </row>
    <row r="3778" spans="1:13" x14ac:dyDescent="0.35">
      <c r="A3778">
        <f t="shared" si="10941"/>
        <v>3774</v>
      </c>
      <c r="B3778" s="9">
        <f t="shared" ref="B3778:B3780" si="11055">B3777+H3778+I3778+J3778</f>
        <v>42.449999999999967</v>
      </c>
      <c r="C3778" s="3" t="s">
        <v>4174</v>
      </c>
      <c r="D3778">
        <f t="shared" ref="D3778:D3780" si="11056">_xlfn.NUMBERVALUE(LEFT(C3778,2))</f>
        <v>14</v>
      </c>
      <c r="E3778">
        <f t="shared" ref="E3778:E3780" si="11057">_xlfn.NUMBERVALUE(MID(C3778,4,2))</f>
        <v>12</v>
      </c>
      <c r="F3778">
        <f t="shared" ref="F3778:F3780" si="11058">_xlfn.NUMBERVALUE(RIGHT(C3778,4))</f>
        <v>2024</v>
      </c>
      <c r="G3778" t="s">
        <v>2969</v>
      </c>
      <c r="K3778" t="s">
        <v>9</v>
      </c>
      <c r="L3778" s="8">
        <f t="shared" si="11026"/>
        <v>0</v>
      </c>
      <c r="M3778" t="s">
        <v>4177</v>
      </c>
    </row>
    <row r="3779" spans="1:13" x14ac:dyDescent="0.35">
      <c r="A3779">
        <f t="shared" si="10941"/>
        <v>3775</v>
      </c>
      <c r="B3779" s="9">
        <f t="shared" si="11055"/>
        <v>32.449999999999967</v>
      </c>
      <c r="C3779" s="3" t="s">
        <v>4174</v>
      </c>
      <c r="D3779">
        <f t="shared" si="11056"/>
        <v>14</v>
      </c>
      <c r="E3779">
        <f t="shared" si="11057"/>
        <v>12</v>
      </c>
      <c r="F3779">
        <f t="shared" si="11058"/>
        <v>2024</v>
      </c>
      <c r="G3779" t="s">
        <v>1389</v>
      </c>
      <c r="H3779" s="9">
        <v>-10</v>
      </c>
      <c r="K3779" t="s">
        <v>9</v>
      </c>
      <c r="L3779" s="8">
        <f t="shared" si="11026"/>
        <v>-1</v>
      </c>
      <c r="M3779" t="s">
        <v>4178</v>
      </c>
    </row>
    <row r="3780" spans="1:13" x14ac:dyDescent="0.35">
      <c r="A3780">
        <f t="shared" si="10941"/>
        <v>3776</v>
      </c>
      <c r="B3780" s="9">
        <f t="shared" si="11055"/>
        <v>34.449999999999967</v>
      </c>
      <c r="C3780" s="3" t="s">
        <v>4174</v>
      </c>
      <c r="D3780">
        <f t="shared" si="11056"/>
        <v>14</v>
      </c>
      <c r="E3780">
        <f t="shared" si="11057"/>
        <v>12</v>
      </c>
      <c r="F3780">
        <f t="shared" si="11058"/>
        <v>2024</v>
      </c>
      <c r="G3780" t="s">
        <v>7</v>
      </c>
      <c r="H3780" s="9">
        <v>-2</v>
      </c>
      <c r="I3780">
        <v>4</v>
      </c>
      <c r="K3780" t="s">
        <v>10</v>
      </c>
      <c r="L3780" s="8">
        <f t="shared" si="11026"/>
        <v>1</v>
      </c>
      <c r="M3780" t="s">
        <v>4179</v>
      </c>
    </row>
    <row r="3781" spans="1:13" x14ac:dyDescent="0.35">
      <c r="A3781">
        <f t="shared" si="10941"/>
        <v>3777</v>
      </c>
      <c r="B3781" s="9">
        <f t="shared" ref="B3781:B3782" si="11059">B3780+H3781+I3781+J3781</f>
        <v>36.449999999999967</v>
      </c>
      <c r="C3781" s="3" t="s">
        <v>4174</v>
      </c>
      <c r="D3781">
        <f t="shared" ref="D3781:D3782" si="11060">_xlfn.NUMBERVALUE(LEFT(C3781,2))</f>
        <v>14</v>
      </c>
      <c r="E3781">
        <f t="shared" ref="E3781:E3782" si="11061">_xlfn.NUMBERVALUE(MID(C3781,4,2))</f>
        <v>12</v>
      </c>
      <c r="F3781">
        <f t="shared" ref="F3781:F3782" si="11062">_xlfn.NUMBERVALUE(RIGHT(C3781,4))</f>
        <v>2024</v>
      </c>
      <c r="G3781" t="s">
        <v>7</v>
      </c>
      <c r="H3781" s="9">
        <v>-2</v>
      </c>
      <c r="I3781">
        <v>4</v>
      </c>
      <c r="K3781" t="s">
        <v>10</v>
      </c>
      <c r="L3781" s="8">
        <f t="shared" si="11026"/>
        <v>1</v>
      </c>
      <c r="M3781" t="s">
        <v>4180</v>
      </c>
    </row>
    <row r="3782" spans="1:13" x14ac:dyDescent="0.35">
      <c r="A3782">
        <f t="shared" si="10941"/>
        <v>3778</v>
      </c>
      <c r="B3782" s="9">
        <f t="shared" si="11059"/>
        <v>36.519999999999968</v>
      </c>
      <c r="C3782" s="3" t="s">
        <v>4174</v>
      </c>
      <c r="D3782">
        <f t="shared" si="11060"/>
        <v>14</v>
      </c>
      <c r="E3782">
        <f t="shared" si="11061"/>
        <v>12</v>
      </c>
      <c r="F3782">
        <f t="shared" si="11062"/>
        <v>2024</v>
      </c>
      <c r="G3782" t="s">
        <v>1389</v>
      </c>
      <c r="H3782" s="9">
        <v>-10</v>
      </c>
      <c r="I3782">
        <v>10.07</v>
      </c>
      <c r="K3782" t="s">
        <v>10</v>
      </c>
      <c r="L3782" s="8">
        <f t="shared" si="11026"/>
        <v>7.0000000000001172E-3</v>
      </c>
      <c r="M3782" t="s">
        <v>4181</v>
      </c>
    </row>
    <row r="3783" spans="1:13" x14ac:dyDescent="0.35">
      <c r="A3783">
        <f t="shared" si="10941"/>
        <v>3779</v>
      </c>
      <c r="B3783" s="9">
        <f t="shared" ref="B3783:B3784" si="11063">B3782+H3783+I3783+J3783</f>
        <v>34.519999999999968</v>
      </c>
      <c r="C3783" s="3" t="s">
        <v>4174</v>
      </c>
      <c r="D3783">
        <f t="shared" ref="D3783:D3784" si="11064">_xlfn.NUMBERVALUE(LEFT(C3783,2))</f>
        <v>14</v>
      </c>
      <c r="E3783">
        <f t="shared" ref="E3783:E3784" si="11065">_xlfn.NUMBERVALUE(MID(C3783,4,2))</f>
        <v>12</v>
      </c>
      <c r="F3783">
        <f t="shared" ref="F3783:F3784" si="11066">_xlfn.NUMBERVALUE(RIGHT(C3783,4))</f>
        <v>2024</v>
      </c>
      <c r="G3783" t="s">
        <v>7</v>
      </c>
      <c r="H3783" s="9">
        <v>-2</v>
      </c>
      <c r="K3783" t="s">
        <v>9</v>
      </c>
      <c r="L3783" s="8">
        <f t="shared" si="11026"/>
        <v>-1</v>
      </c>
      <c r="M3783" t="s">
        <v>4182</v>
      </c>
    </row>
    <row r="3784" spans="1:13" x14ac:dyDescent="0.35">
      <c r="A3784">
        <f t="shared" si="10941"/>
        <v>3780</v>
      </c>
      <c r="B3784" s="9">
        <f t="shared" si="11063"/>
        <v>38.389999999999965</v>
      </c>
      <c r="C3784" s="3" t="s">
        <v>4174</v>
      </c>
      <c r="D3784">
        <f t="shared" si="11064"/>
        <v>14</v>
      </c>
      <c r="E3784">
        <f t="shared" si="11065"/>
        <v>12</v>
      </c>
      <c r="F3784">
        <f t="shared" si="11066"/>
        <v>2024</v>
      </c>
      <c r="G3784" t="s">
        <v>1389</v>
      </c>
      <c r="H3784" s="9">
        <v>-10</v>
      </c>
      <c r="I3784">
        <v>13.87</v>
      </c>
      <c r="K3784" t="s">
        <v>10</v>
      </c>
      <c r="L3784" s="8">
        <f t="shared" si="11026"/>
        <v>0.38700000000000001</v>
      </c>
      <c r="M3784" t="s">
        <v>4183</v>
      </c>
    </row>
    <row r="3785" spans="1:13" x14ac:dyDescent="0.35">
      <c r="A3785">
        <f t="shared" si="10941"/>
        <v>3781</v>
      </c>
      <c r="B3785" s="9">
        <f t="shared" ref="B3785" si="11067">B3784+H3785+I3785+J3785</f>
        <v>36.389999999999965</v>
      </c>
      <c r="C3785" s="3" t="s">
        <v>4184</v>
      </c>
      <c r="D3785">
        <f t="shared" ref="D3785" si="11068">_xlfn.NUMBERVALUE(LEFT(C3785,2))</f>
        <v>15</v>
      </c>
      <c r="E3785">
        <f t="shared" ref="E3785" si="11069">_xlfn.NUMBERVALUE(MID(C3785,4,2))</f>
        <v>12</v>
      </c>
      <c r="F3785">
        <f t="shared" ref="F3785" si="11070">_xlfn.NUMBERVALUE(RIGHT(C3785,4))</f>
        <v>2024</v>
      </c>
      <c r="G3785" t="s">
        <v>7</v>
      </c>
      <c r="H3785" s="9">
        <v>-2</v>
      </c>
      <c r="K3785" t="s">
        <v>9</v>
      </c>
      <c r="L3785" s="8">
        <f t="shared" si="11026"/>
        <v>-1</v>
      </c>
      <c r="M3785" t="s">
        <v>4185</v>
      </c>
    </row>
    <row r="3786" spans="1:13" x14ac:dyDescent="0.35">
      <c r="A3786">
        <f t="shared" si="10941"/>
        <v>3782</v>
      </c>
      <c r="B3786" s="9">
        <f t="shared" ref="B3786" si="11071">B3785+H3786+I3786+J3786</f>
        <v>36.389999999999965</v>
      </c>
      <c r="C3786" s="3" t="s">
        <v>4184</v>
      </c>
      <c r="D3786">
        <f t="shared" ref="D3786" si="11072">_xlfn.NUMBERVALUE(LEFT(C3786,2))</f>
        <v>15</v>
      </c>
      <c r="E3786">
        <f t="shared" ref="E3786" si="11073">_xlfn.NUMBERVALUE(MID(C3786,4,2))</f>
        <v>12</v>
      </c>
      <c r="F3786">
        <f t="shared" ref="F3786" si="11074">_xlfn.NUMBERVALUE(RIGHT(C3786,4))</f>
        <v>2024</v>
      </c>
      <c r="G3786" t="s">
        <v>3039</v>
      </c>
      <c r="H3786" s="9"/>
      <c r="K3786" t="s">
        <v>9</v>
      </c>
      <c r="L3786" s="8">
        <f t="shared" si="11026"/>
        <v>0</v>
      </c>
      <c r="M3786" t="s">
        <v>4187</v>
      </c>
    </row>
    <row r="3787" spans="1:13" x14ac:dyDescent="0.35">
      <c r="A3787">
        <f t="shared" si="10941"/>
        <v>3783</v>
      </c>
      <c r="B3787" s="9">
        <f t="shared" ref="B3787:B3791" si="11075">B3786+H3787+I3787+J3787</f>
        <v>36.389999999999965</v>
      </c>
      <c r="C3787" s="3" t="s">
        <v>4184</v>
      </c>
      <c r="D3787">
        <f t="shared" ref="D3787:D3791" si="11076">_xlfn.NUMBERVALUE(LEFT(C3787,2))</f>
        <v>15</v>
      </c>
      <c r="E3787">
        <f t="shared" ref="E3787:E3791" si="11077">_xlfn.NUMBERVALUE(MID(C3787,4,2))</f>
        <v>12</v>
      </c>
      <c r="F3787">
        <f t="shared" ref="F3787:F3791" si="11078">_xlfn.NUMBERVALUE(RIGHT(C3787,4))</f>
        <v>2024</v>
      </c>
      <c r="G3787" t="s">
        <v>2969</v>
      </c>
      <c r="K3787" t="s">
        <v>10</v>
      </c>
      <c r="L3787" s="8">
        <f t="shared" si="11026"/>
        <v>0</v>
      </c>
      <c r="M3787" t="s">
        <v>4189</v>
      </c>
    </row>
    <row r="3788" spans="1:13" x14ac:dyDescent="0.35">
      <c r="A3788">
        <f t="shared" si="10941"/>
        <v>3784</v>
      </c>
      <c r="B3788" s="9">
        <f t="shared" si="11075"/>
        <v>36.389999999999965</v>
      </c>
      <c r="C3788" s="3" t="s">
        <v>4184</v>
      </c>
      <c r="D3788">
        <f t="shared" si="11076"/>
        <v>15</v>
      </c>
      <c r="E3788">
        <f t="shared" si="11077"/>
        <v>12</v>
      </c>
      <c r="F3788">
        <f t="shared" si="11078"/>
        <v>2024</v>
      </c>
      <c r="G3788" t="s">
        <v>3040</v>
      </c>
      <c r="K3788" t="s">
        <v>9</v>
      </c>
      <c r="L3788" s="8">
        <f t="shared" ref="L3788:L3887" si="11079">IF(H3788="",0,(SUM(I3788:J3788)/-H3788)-1)</f>
        <v>0</v>
      </c>
      <c r="M3788" t="s">
        <v>4186</v>
      </c>
    </row>
    <row r="3789" spans="1:13" x14ac:dyDescent="0.35">
      <c r="A3789">
        <f t="shared" si="10941"/>
        <v>3785</v>
      </c>
      <c r="B3789" s="9">
        <f t="shared" si="11075"/>
        <v>37.779999999999966</v>
      </c>
      <c r="C3789" s="3" t="s">
        <v>4184</v>
      </c>
      <c r="D3789">
        <f t="shared" si="11076"/>
        <v>15</v>
      </c>
      <c r="E3789">
        <f t="shared" si="11077"/>
        <v>12</v>
      </c>
      <c r="F3789">
        <f t="shared" si="11078"/>
        <v>2024</v>
      </c>
      <c r="G3789" t="s">
        <v>1389</v>
      </c>
      <c r="H3789" s="9">
        <v>-10</v>
      </c>
      <c r="I3789">
        <v>11.39</v>
      </c>
      <c r="K3789" t="s">
        <v>10</v>
      </c>
      <c r="L3789" s="8">
        <f t="shared" si="11079"/>
        <v>0.13900000000000001</v>
      </c>
      <c r="M3789" t="s">
        <v>4188</v>
      </c>
    </row>
    <row r="3790" spans="1:13" x14ac:dyDescent="0.35">
      <c r="A3790">
        <f t="shared" si="10941"/>
        <v>3786</v>
      </c>
      <c r="B3790" s="9">
        <f t="shared" si="11075"/>
        <v>43.779999999999966</v>
      </c>
      <c r="C3790" s="3" t="s">
        <v>4190</v>
      </c>
      <c r="D3790">
        <f t="shared" si="11076"/>
        <v>16</v>
      </c>
      <c r="E3790">
        <f t="shared" si="11077"/>
        <v>12</v>
      </c>
      <c r="F3790">
        <f t="shared" si="11078"/>
        <v>2024</v>
      </c>
      <c r="G3790" t="s">
        <v>7</v>
      </c>
      <c r="H3790" s="9">
        <v>-2</v>
      </c>
      <c r="I3790">
        <v>8</v>
      </c>
      <c r="K3790" t="s">
        <v>10</v>
      </c>
      <c r="L3790" s="8">
        <f t="shared" si="11079"/>
        <v>3</v>
      </c>
      <c r="M3790" t="s">
        <v>4191</v>
      </c>
    </row>
    <row r="3791" spans="1:13" x14ac:dyDescent="0.35">
      <c r="A3791">
        <f t="shared" si="10941"/>
        <v>3787</v>
      </c>
      <c r="B3791" s="9">
        <f t="shared" si="11075"/>
        <v>43.779999999999966</v>
      </c>
      <c r="C3791" s="3" t="s">
        <v>4190</v>
      </c>
      <c r="D3791">
        <f t="shared" si="11076"/>
        <v>16</v>
      </c>
      <c r="E3791">
        <f t="shared" si="11077"/>
        <v>12</v>
      </c>
      <c r="F3791">
        <f t="shared" si="11078"/>
        <v>2024</v>
      </c>
      <c r="G3791" t="s">
        <v>3039</v>
      </c>
      <c r="K3791" t="s">
        <v>9</v>
      </c>
      <c r="L3791" s="8">
        <f t="shared" si="11079"/>
        <v>0</v>
      </c>
      <c r="M3791" t="s">
        <v>4192</v>
      </c>
    </row>
    <row r="3792" spans="1:13" x14ac:dyDescent="0.35">
      <c r="A3792">
        <f t="shared" si="10941"/>
        <v>3788</v>
      </c>
      <c r="B3792" s="9">
        <f t="shared" ref="B3792:B3793" si="11080">B3791+H3792+I3792+J3792</f>
        <v>41.779999999999966</v>
      </c>
      <c r="C3792" s="3" t="s">
        <v>4193</v>
      </c>
      <c r="D3792">
        <f t="shared" ref="D3792:D3793" si="11081">_xlfn.NUMBERVALUE(LEFT(C3792,2))</f>
        <v>17</v>
      </c>
      <c r="E3792">
        <f t="shared" ref="E3792:E3793" si="11082">_xlfn.NUMBERVALUE(MID(C3792,4,2))</f>
        <v>12</v>
      </c>
      <c r="F3792">
        <f t="shared" ref="F3792:F3793" si="11083">_xlfn.NUMBERVALUE(RIGHT(C3792,4))</f>
        <v>2024</v>
      </c>
      <c r="G3792" t="s">
        <v>7</v>
      </c>
      <c r="H3792" s="9">
        <v>-2</v>
      </c>
      <c r="K3792" t="s">
        <v>9</v>
      </c>
      <c r="L3792" s="8">
        <f t="shared" si="11079"/>
        <v>-1</v>
      </c>
      <c r="M3792" t="s">
        <v>4194</v>
      </c>
    </row>
    <row r="3793" spans="1:13" x14ac:dyDescent="0.35">
      <c r="A3793">
        <f t="shared" ref="A3793:A3870" si="11084">A3792+1</f>
        <v>3789</v>
      </c>
      <c r="B3793" s="9">
        <f t="shared" si="11080"/>
        <v>41.779999999999966</v>
      </c>
      <c r="C3793" s="3" t="s">
        <v>4193</v>
      </c>
      <c r="D3793">
        <f t="shared" si="11081"/>
        <v>17</v>
      </c>
      <c r="E3793">
        <f t="shared" si="11082"/>
        <v>12</v>
      </c>
      <c r="F3793">
        <f t="shared" si="11083"/>
        <v>2024</v>
      </c>
      <c r="G3793" t="s">
        <v>3039</v>
      </c>
      <c r="K3793" t="s">
        <v>10</v>
      </c>
      <c r="L3793" s="8">
        <f t="shared" si="11079"/>
        <v>0</v>
      </c>
      <c r="M3793" t="s">
        <v>4195</v>
      </c>
    </row>
    <row r="3794" spans="1:13" x14ac:dyDescent="0.35">
      <c r="A3794">
        <f t="shared" si="11084"/>
        <v>3790</v>
      </c>
      <c r="B3794" s="9">
        <f t="shared" ref="B3794:B3796" si="11085">B3793+H3794+I3794+J3794</f>
        <v>41.779999999999966</v>
      </c>
      <c r="C3794" s="3" t="s">
        <v>4193</v>
      </c>
      <c r="D3794">
        <f t="shared" ref="D3794:D3796" si="11086">_xlfn.NUMBERVALUE(LEFT(C3794,2))</f>
        <v>17</v>
      </c>
      <c r="E3794">
        <f t="shared" ref="E3794:E3796" si="11087">_xlfn.NUMBERVALUE(MID(C3794,4,2))</f>
        <v>12</v>
      </c>
      <c r="F3794">
        <f t="shared" ref="F3794:F3796" si="11088">_xlfn.NUMBERVALUE(RIGHT(C3794,4))</f>
        <v>2024</v>
      </c>
      <c r="G3794" t="s">
        <v>2969</v>
      </c>
      <c r="K3794" t="s">
        <v>9</v>
      </c>
      <c r="L3794" s="8">
        <f t="shared" si="11079"/>
        <v>0</v>
      </c>
      <c r="M3794" t="s">
        <v>4196</v>
      </c>
    </row>
    <row r="3795" spans="1:13" x14ac:dyDescent="0.35">
      <c r="A3795">
        <f t="shared" si="11084"/>
        <v>3791</v>
      </c>
      <c r="B3795" s="9">
        <f t="shared" si="11085"/>
        <v>39.779999999999966</v>
      </c>
      <c r="C3795" s="3" t="s">
        <v>4197</v>
      </c>
      <c r="D3795">
        <f t="shared" si="11086"/>
        <v>18</v>
      </c>
      <c r="E3795">
        <f t="shared" si="11087"/>
        <v>12</v>
      </c>
      <c r="F3795">
        <f t="shared" si="11088"/>
        <v>2024</v>
      </c>
      <c r="G3795" t="s">
        <v>7</v>
      </c>
      <c r="H3795" s="9">
        <v>-2</v>
      </c>
      <c r="K3795" t="s">
        <v>9</v>
      </c>
      <c r="L3795" s="8">
        <f t="shared" si="11079"/>
        <v>-1</v>
      </c>
      <c r="M3795" t="s">
        <v>4198</v>
      </c>
    </row>
    <row r="3796" spans="1:13" x14ac:dyDescent="0.35">
      <c r="A3796">
        <f t="shared" si="11084"/>
        <v>3792</v>
      </c>
      <c r="B3796" s="9">
        <f t="shared" si="11085"/>
        <v>39.779999999999966</v>
      </c>
      <c r="C3796" s="3" t="s">
        <v>4197</v>
      </c>
      <c r="D3796">
        <f t="shared" si="11086"/>
        <v>18</v>
      </c>
      <c r="E3796">
        <f t="shared" si="11087"/>
        <v>12</v>
      </c>
      <c r="F3796">
        <f t="shared" si="11088"/>
        <v>2024</v>
      </c>
      <c r="G3796" t="s">
        <v>3039</v>
      </c>
      <c r="K3796" t="s">
        <v>10</v>
      </c>
      <c r="L3796" s="8">
        <f t="shared" si="11079"/>
        <v>0</v>
      </c>
      <c r="M3796" t="s">
        <v>4199</v>
      </c>
    </row>
    <row r="3797" spans="1:13" x14ac:dyDescent="0.35">
      <c r="A3797">
        <f t="shared" si="11084"/>
        <v>3793</v>
      </c>
      <c r="B3797" s="9">
        <f t="shared" ref="B3797:B3798" si="11089">B3796+H3797+I3797+J3797</f>
        <v>39.779999999999966</v>
      </c>
      <c r="C3797" s="3" t="s">
        <v>4197</v>
      </c>
      <c r="D3797">
        <f t="shared" ref="D3797:D3798" si="11090">_xlfn.NUMBERVALUE(LEFT(C3797,2))</f>
        <v>18</v>
      </c>
      <c r="E3797">
        <f t="shared" ref="E3797:E3798" si="11091">_xlfn.NUMBERVALUE(MID(C3797,4,2))</f>
        <v>12</v>
      </c>
      <c r="F3797">
        <f t="shared" ref="F3797:F3798" si="11092">_xlfn.NUMBERVALUE(RIGHT(C3797,4))</f>
        <v>2024</v>
      </c>
      <c r="G3797" t="s">
        <v>2969</v>
      </c>
      <c r="K3797" t="s">
        <v>9</v>
      </c>
      <c r="L3797" s="8">
        <f t="shared" si="11079"/>
        <v>0</v>
      </c>
      <c r="M3797" t="s">
        <v>4200</v>
      </c>
    </row>
    <row r="3798" spans="1:13" x14ac:dyDescent="0.35">
      <c r="A3798">
        <f t="shared" si="11084"/>
        <v>3794</v>
      </c>
      <c r="B3798" s="9">
        <f t="shared" si="11089"/>
        <v>42.429999999999964</v>
      </c>
      <c r="C3798" s="3" t="s">
        <v>4197</v>
      </c>
      <c r="D3798">
        <f t="shared" si="11090"/>
        <v>18</v>
      </c>
      <c r="E3798">
        <f t="shared" si="11091"/>
        <v>12</v>
      </c>
      <c r="F3798">
        <f t="shared" si="11092"/>
        <v>2024</v>
      </c>
      <c r="G3798" t="s">
        <v>1389</v>
      </c>
      <c r="H3798" s="9">
        <v>-10</v>
      </c>
      <c r="I3798">
        <v>12.65</v>
      </c>
      <c r="K3798" t="s">
        <v>10</v>
      </c>
      <c r="L3798" s="8">
        <f t="shared" si="11079"/>
        <v>0.26500000000000012</v>
      </c>
      <c r="M3798" t="s">
        <v>4201</v>
      </c>
    </row>
    <row r="3799" spans="1:13" x14ac:dyDescent="0.35">
      <c r="A3799">
        <f t="shared" si="11084"/>
        <v>3795</v>
      </c>
      <c r="B3799" s="9">
        <f t="shared" ref="B3799" si="11093">B3798+H3799+I3799+J3799</f>
        <v>37.189999999999962</v>
      </c>
      <c r="C3799" s="3" t="s">
        <v>4197</v>
      </c>
      <c r="D3799">
        <f t="shared" ref="D3799" si="11094">_xlfn.NUMBERVALUE(LEFT(C3799,2))</f>
        <v>18</v>
      </c>
      <c r="E3799">
        <f t="shared" ref="E3799" si="11095">_xlfn.NUMBERVALUE(MID(C3799,4,2))</f>
        <v>12</v>
      </c>
      <c r="F3799">
        <f t="shared" ref="F3799" si="11096">_xlfn.NUMBERVALUE(RIGHT(C3799,4))</f>
        <v>2024</v>
      </c>
      <c r="G3799" t="s">
        <v>1389</v>
      </c>
      <c r="H3799" s="9">
        <v>-10</v>
      </c>
      <c r="I3799">
        <v>4.76</v>
      </c>
      <c r="K3799" t="s">
        <v>9</v>
      </c>
      <c r="L3799" s="8">
        <f t="shared" si="11079"/>
        <v>-0.52400000000000002</v>
      </c>
      <c r="M3799" t="s">
        <v>4202</v>
      </c>
    </row>
    <row r="3800" spans="1:13" x14ac:dyDescent="0.35">
      <c r="A3800">
        <f t="shared" si="11084"/>
        <v>3796</v>
      </c>
      <c r="B3800" s="9">
        <f t="shared" ref="B3800" si="11097">B3799+H3800+I3800+J3800</f>
        <v>43.369999999999962</v>
      </c>
      <c r="C3800" s="3" t="s">
        <v>4197</v>
      </c>
      <c r="D3800">
        <f t="shared" ref="D3800" si="11098">_xlfn.NUMBERVALUE(LEFT(C3800,2))</f>
        <v>18</v>
      </c>
      <c r="E3800">
        <f t="shared" ref="E3800" si="11099">_xlfn.NUMBERVALUE(MID(C3800,4,2))</f>
        <v>12</v>
      </c>
      <c r="F3800">
        <f t="shared" ref="F3800" si="11100">_xlfn.NUMBERVALUE(RIGHT(C3800,4))</f>
        <v>2024</v>
      </c>
      <c r="G3800" t="s">
        <v>1389</v>
      </c>
      <c r="H3800" s="9">
        <v>-10</v>
      </c>
      <c r="I3800">
        <v>16.18</v>
      </c>
      <c r="K3800" t="s">
        <v>10</v>
      </c>
      <c r="L3800" s="8">
        <f t="shared" si="11079"/>
        <v>0.61799999999999988</v>
      </c>
      <c r="M3800" t="s">
        <v>4203</v>
      </c>
    </row>
    <row r="3801" spans="1:13" x14ac:dyDescent="0.35">
      <c r="A3801">
        <f t="shared" si="11084"/>
        <v>3797</v>
      </c>
      <c r="B3801" s="9">
        <f t="shared" ref="B3801" si="11101">B3800+H3801+I3801+J3801</f>
        <v>38.05999999999996</v>
      </c>
      <c r="C3801" s="3" t="s">
        <v>4197</v>
      </c>
      <c r="D3801">
        <f t="shared" ref="D3801" si="11102">_xlfn.NUMBERVALUE(LEFT(C3801,2))</f>
        <v>18</v>
      </c>
      <c r="E3801">
        <f t="shared" ref="E3801" si="11103">_xlfn.NUMBERVALUE(MID(C3801,4,2))</f>
        <v>12</v>
      </c>
      <c r="F3801">
        <f t="shared" ref="F3801" si="11104">_xlfn.NUMBERVALUE(RIGHT(C3801,4))</f>
        <v>2024</v>
      </c>
      <c r="G3801" t="s">
        <v>1389</v>
      </c>
      <c r="H3801" s="9">
        <v>-10</v>
      </c>
      <c r="I3801">
        <v>4.6900000000000004</v>
      </c>
      <c r="K3801" t="s">
        <v>9</v>
      </c>
      <c r="L3801" s="8">
        <f t="shared" si="11079"/>
        <v>-0.53099999999999992</v>
      </c>
      <c r="M3801" t="s">
        <v>4204</v>
      </c>
    </row>
    <row r="3802" spans="1:13" x14ac:dyDescent="0.35">
      <c r="A3802">
        <f t="shared" si="11084"/>
        <v>3798</v>
      </c>
      <c r="B3802" s="9">
        <f t="shared" ref="B3802:B3803" si="11105">B3801+H3802+I3802+J3802</f>
        <v>41.649999999999963</v>
      </c>
      <c r="C3802" s="3" t="s">
        <v>4197</v>
      </c>
      <c r="D3802">
        <f t="shared" ref="D3802:D3803" si="11106">_xlfn.NUMBERVALUE(LEFT(C3802,2))</f>
        <v>18</v>
      </c>
      <c r="E3802">
        <f t="shared" ref="E3802:E3803" si="11107">_xlfn.NUMBERVALUE(MID(C3802,4,2))</f>
        <v>12</v>
      </c>
      <c r="F3802">
        <f t="shared" ref="F3802:F3803" si="11108">_xlfn.NUMBERVALUE(RIGHT(C3802,4))</f>
        <v>2024</v>
      </c>
      <c r="G3802" t="s">
        <v>1389</v>
      </c>
      <c r="H3802" s="9">
        <v>-10</v>
      </c>
      <c r="I3802">
        <v>13.59</v>
      </c>
      <c r="K3802" t="s">
        <v>10</v>
      </c>
      <c r="L3802" s="8">
        <f t="shared" si="11079"/>
        <v>0.35899999999999999</v>
      </c>
      <c r="M3802" t="s">
        <v>4205</v>
      </c>
    </row>
    <row r="3803" spans="1:13" x14ac:dyDescent="0.35">
      <c r="A3803">
        <f t="shared" si="11084"/>
        <v>3799</v>
      </c>
      <c r="B3803" s="9">
        <f t="shared" si="11105"/>
        <v>43.649999999999963</v>
      </c>
      <c r="C3803" s="3" t="s">
        <v>4218</v>
      </c>
      <c r="D3803">
        <f t="shared" si="11106"/>
        <v>20</v>
      </c>
      <c r="E3803">
        <f t="shared" si="11107"/>
        <v>12</v>
      </c>
      <c r="F3803">
        <f t="shared" si="11108"/>
        <v>2024</v>
      </c>
      <c r="G3803" t="s">
        <v>7</v>
      </c>
      <c r="H3803" s="9">
        <v>-2</v>
      </c>
      <c r="I3803">
        <v>4</v>
      </c>
      <c r="K3803" t="s">
        <v>10</v>
      </c>
      <c r="L3803" s="8">
        <f t="shared" si="11079"/>
        <v>1</v>
      </c>
      <c r="M3803" t="s">
        <v>4206</v>
      </c>
    </row>
    <row r="3804" spans="1:13" x14ac:dyDescent="0.35">
      <c r="A3804">
        <f t="shared" si="11084"/>
        <v>3800</v>
      </c>
      <c r="B3804" s="9">
        <f t="shared" ref="B3804" si="11109">B3803+H3804+I3804+J3804</f>
        <v>43.649999999999963</v>
      </c>
      <c r="C3804" s="3" t="s">
        <v>4218</v>
      </c>
      <c r="D3804">
        <f t="shared" ref="D3804" si="11110">_xlfn.NUMBERVALUE(LEFT(C3804,2))</f>
        <v>20</v>
      </c>
      <c r="E3804">
        <f t="shared" ref="E3804" si="11111">_xlfn.NUMBERVALUE(MID(C3804,4,2))</f>
        <v>12</v>
      </c>
      <c r="F3804">
        <f t="shared" ref="F3804" si="11112">_xlfn.NUMBERVALUE(RIGHT(C3804,4))</f>
        <v>2024</v>
      </c>
      <c r="G3804" t="s">
        <v>3039</v>
      </c>
      <c r="K3804" t="s">
        <v>10</v>
      </c>
      <c r="L3804" s="8">
        <f t="shared" si="11079"/>
        <v>0</v>
      </c>
      <c r="M3804" t="s">
        <v>4207</v>
      </c>
    </row>
    <row r="3805" spans="1:13" x14ac:dyDescent="0.35">
      <c r="A3805">
        <f t="shared" si="11084"/>
        <v>3801</v>
      </c>
      <c r="B3805" s="9">
        <f t="shared" ref="B3805:B3806" si="11113">B3804+H3805+I3805+J3805</f>
        <v>43.649999999999963</v>
      </c>
      <c r="C3805" s="3" t="s">
        <v>4218</v>
      </c>
      <c r="D3805">
        <f t="shared" ref="D3805:D3806" si="11114">_xlfn.NUMBERVALUE(LEFT(C3805,2))</f>
        <v>20</v>
      </c>
      <c r="E3805">
        <f t="shared" ref="E3805:E3806" si="11115">_xlfn.NUMBERVALUE(MID(C3805,4,2))</f>
        <v>12</v>
      </c>
      <c r="F3805">
        <f t="shared" ref="F3805:F3806" si="11116">_xlfn.NUMBERVALUE(RIGHT(C3805,4))</f>
        <v>2024</v>
      </c>
      <c r="G3805" t="s">
        <v>2969</v>
      </c>
      <c r="K3805" t="s">
        <v>9</v>
      </c>
      <c r="L3805" s="8">
        <f t="shared" si="11079"/>
        <v>0</v>
      </c>
      <c r="M3805" t="s">
        <v>4208</v>
      </c>
    </row>
    <row r="3806" spans="1:13" x14ac:dyDescent="0.35">
      <c r="A3806">
        <f t="shared" si="11084"/>
        <v>3802</v>
      </c>
      <c r="B3806" s="9">
        <f t="shared" si="11113"/>
        <v>36.989999999999966</v>
      </c>
      <c r="C3806" s="3" t="s">
        <v>4218</v>
      </c>
      <c r="D3806">
        <f t="shared" si="11114"/>
        <v>20</v>
      </c>
      <c r="E3806">
        <f t="shared" si="11115"/>
        <v>12</v>
      </c>
      <c r="F3806">
        <f t="shared" si="11116"/>
        <v>2024</v>
      </c>
      <c r="G3806" t="s">
        <v>1389</v>
      </c>
      <c r="H3806" s="9">
        <v>-10</v>
      </c>
      <c r="I3806">
        <v>3.34</v>
      </c>
      <c r="K3806" t="s">
        <v>9</v>
      </c>
      <c r="L3806" s="8">
        <f t="shared" si="11079"/>
        <v>-0.66600000000000004</v>
      </c>
      <c r="M3806" t="s">
        <v>4210</v>
      </c>
    </row>
    <row r="3807" spans="1:13" x14ac:dyDescent="0.35">
      <c r="A3807">
        <f t="shared" si="11084"/>
        <v>3803</v>
      </c>
      <c r="B3807" s="9">
        <f t="shared" ref="B3807:B3809" si="11117">B3806+H3807+I3807+J3807</f>
        <v>37.989999999999966</v>
      </c>
      <c r="C3807" s="3" t="s">
        <v>4218</v>
      </c>
      <c r="D3807">
        <f t="shared" ref="D3807:D3809" si="11118">_xlfn.NUMBERVALUE(LEFT(C3807,2))</f>
        <v>20</v>
      </c>
      <c r="E3807">
        <f t="shared" ref="E3807:E3809" si="11119">_xlfn.NUMBERVALUE(MID(C3807,4,2))</f>
        <v>12</v>
      </c>
      <c r="F3807">
        <f t="shared" ref="F3807:F3809" si="11120">_xlfn.NUMBERVALUE(RIGHT(C3807,4))</f>
        <v>2024</v>
      </c>
      <c r="G3807" t="s">
        <v>4209</v>
      </c>
      <c r="I3807">
        <v>1</v>
      </c>
      <c r="K3807" t="s">
        <v>10</v>
      </c>
    </row>
    <row r="3808" spans="1:13" x14ac:dyDescent="0.35">
      <c r="A3808">
        <f t="shared" si="11084"/>
        <v>3804</v>
      </c>
      <c r="B3808" s="9">
        <f t="shared" si="11117"/>
        <v>30.669999999999966</v>
      </c>
      <c r="C3808" s="3" t="s">
        <v>4218</v>
      </c>
      <c r="D3808">
        <f t="shared" si="11118"/>
        <v>20</v>
      </c>
      <c r="E3808">
        <f t="shared" si="11119"/>
        <v>12</v>
      </c>
      <c r="F3808">
        <f t="shared" si="11120"/>
        <v>2024</v>
      </c>
      <c r="G3808" t="s">
        <v>1389</v>
      </c>
      <c r="H3808" s="9">
        <v>-10</v>
      </c>
      <c r="I3808">
        <v>2.68</v>
      </c>
      <c r="K3808" t="s">
        <v>9</v>
      </c>
      <c r="L3808" s="8">
        <f t="shared" si="11079"/>
        <v>-0.73199999999999998</v>
      </c>
      <c r="M3808" t="s">
        <v>4211</v>
      </c>
    </row>
    <row r="3809" spans="1:13" x14ac:dyDescent="0.35">
      <c r="A3809">
        <f t="shared" si="11084"/>
        <v>3805</v>
      </c>
      <c r="B3809" s="9">
        <f t="shared" si="11117"/>
        <v>32.669999999999966</v>
      </c>
      <c r="C3809" s="3" t="s">
        <v>4218</v>
      </c>
      <c r="D3809">
        <f t="shared" si="11118"/>
        <v>20</v>
      </c>
      <c r="E3809">
        <f t="shared" si="11119"/>
        <v>12</v>
      </c>
      <c r="F3809">
        <f t="shared" si="11120"/>
        <v>2024</v>
      </c>
      <c r="G3809" t="s">
        <v>7</v>
      </c>
      <c r="H3809" s="9">
        <v>-2</v>
      </c>
      <c r="I3809">
        <v>4</v>
      </c>
      <c r="K3809" t="s">
        <v>10</v>
      </c>
      <c r="L3809" s="8">
        <f t="shared" si="11079"/>
        <v>1</v>
      </c>
      <c r="M3809" t="s">
        <v>4212</v>
      </c>
    </row>
    <row r="3810" spans="1:13" x14ac:dyDescent="0.35">
      <c r="A3810">
        <f t="shared" si="11084"/>
        <v>3806</v>
      </c>
      <c r="B3810" s="9">
        <f t="shared" ref="B3810" si="11121">B3809+H3810+I3810+J3810</f>
        <v>30.669999999999966</v>
      </c>
      <c r="C3810" s="3" t="s">
        <v>4218</v>
      </c>
      <c r="D3810">
        <f t="shared" ref="D3810" si="11122">_xlfn.NUMBERVALUE(LEFT(C3810,2))</f>
        <v>20</v>
      </c>
      <c r="E3810">
        <f t="shared" ref="E3810" si="11123">_xlfn.NUMBERVALUE(MID(C3810,4,2))</f>
        <v>12</v>
      </c>
      <c r="F3810">
        <f t="shared" ref="F3810" si="11124">_xlfn.NUMBERVALUE(RIGHT(C3810,4))</f>
        <v>2024</v>
      </c>
      <c r="G3810" t="s">
        <v>7</v>
      </c>
      <c r="H3810" s="9">
        <v>-2</v>
      </c>
      <c r="K3810" t="s">
        <v>9</v>
      </c>
      <c r="L3810" s="8">
        <f t="shared" si="11079"/>
        <v>-1</v>
      </c>
      <c r="M3810" t="s">
        <v>4213</v>
      </c>
    </row>
    <row r="3811" spans="1:13" x14ac:dyDescent="0.35">
      <c r="A3811">
        <f t="shared" si="11084"/>
        <v>3807</v>
      </c>
      <c r="B3811" s="9">
        <f t="shared" ref="B3811:B3812" si="11125">B3810+H3811+I3811+J3811</f>
        <v>34.669999999999966</v>
      </c>
      <c r="C3811" s="3" t="s">
        <v>4218</v>
      </c>
      <c r="D3811">
        <f t="shared" ref="D3811:D3812" si="11126">_xlfn.NUMBERVALUE(LEFT(C3811,2))</f>
        <v>20</v>
      </c>
      <c r="E3811">
        <f t="shared" ref="E3811:E3812" si="11127">_xlfn.NUMBERVALUE(MID(C3811,4,2))</f>
        <v>12</v>
      </c>
      <c r="F3811">
        <f t="shared" ref="F3811:F3812" si="11128">_xlfn.NUMBERVALUE(RIGHT(C3811,4))</f>
        <v>2024</v>
      </c>
      <c r="G3811" t="s">
        <v>7</v>
      </c>
      <c r="H3811" s="9">
        <v>-2</v>
      </c>
      <c r="I3811">
        <v>6</v>
      </c>
      <c r="K3811" t="s">
        <v>10</v>
      </c>
      <c r="L3811" s="8">
        <f t="shared" si="11079"/>
        <v>2</v>
      </c>
      <c r="M3811" t="s">
        <v>4214</v>
      </c>
    </row>
    <row r="3812" spans="1:13" x14ac:dyDescent="0.35">
      <c r="A3812">
        <f t="shared" si="11084"/>
        <v>3808</v>
      </c>
      <c r="B3812" s="9">
        <f t="shared" si="11125"/>
        <v>30.499999999999964</v>
      </c>
      <c r="C3812" s="3" t="s">
        <v>4218</v>
      </c>
      <c r="D3812">
        <f t="shared" si="11126"/>
        <v>20</v>
      </c>
      <c r="E3812">
        <f t="shared" si="11127"/>
        <v>12</v>
      </c>
      <c r="F3812">
        <f t="shared" si="11128"/>
        <v>2024</v>
      </c>
      <c r="G3812" t="s">
        <v>1389</v>
      </c>
      <c r="H3812" s="9">
        <v>-20</v>
      </c>
      <c r="I3812">
        <v>15.83</v>
      </c>
      <c r="K3812" t="s">
        <v>9</v>
      </c>
      <c r="L3812" s="8">
        <f t="shared" si="11079"/>
        <v>-0.20850000000000002</v>
      </c>
      <c r="M3812" t="s">
        <v>4215</v>
      </c>
    </row>
    <row r="3813" spans="1:13" x14ac:dyDescent="0.35">
      <c r="A3813">
        <f t="shared" si="11084"/>
        <v>3809</v>
      </c>
      <c r="B3813" s="9">
        <f t="shared" ref="B3813:B3814" si="11129">B3812+H3813+I3813+J3813</f>
        <v>28.499999999999964</v>
      </c>
      <c r="C3813" s="3" t="s">
        <v>4218</v>
      </c>
      <c r="D3813">
        <f t="shared" ref="D3813:D3814" si="11130">_xlfn.NUMBERVALUE(LEFT(C3813,2))</f>
        <v>20</v>
      </c>
      <c r="E3813">
        <f t="shared" ref="E3813:E3814" si="11131">_xlfn.NUMBERVALUE(MID(C3813,4,2))</f>
        <v>12</v>
      </c>
      <c r="F3813">
        <f t="shared" ref="F3813:F3814" si="11132">_xlfn.NUMBERVALUE(RIGHT(C3813,4))</f>
        <v>2024</v>
      </c>
      <c r="G3813" t="s">
        <v>7</v>
      </c>
      <c r="H3813" s="9">
        <v>-2</v>
      </c>
      <c r="K3813" t="s">
        <v>9</v>
      </c>
      <c r="L3813" s="8">
        <f t="shared" si="11079"/>
        <v>-1</v>
      </c>
      <c r="M3813" t="s">
        <v>4216</v>
      </c>
    </row>
    <row r="3814" spans="1:13" x14ac:dyDescent="0.35">
      <c r="A3814">
        <f t="shared" si="11084"/>
        <v>3810</v>
      </c>
      <c r="B3814" s="9">
        <f t="shared" si="11129"/>
        <v>29.439999999999962</v>
      </c>
      <c r="C3814" s="3" t="s">
        <v>4218</v>
      </c>
      <c r="D3814">
        <f t="shared" si="11130"/>
        <v>20</v>
      </c>
      <c r="E3814">
        <f t="shared" si="11131"/>
        <v>12</v>
      </c>
      <c r="F3814">
        <f t="shared" si="11132"/>
        <v>2024</v>
      </c>
      <c r="G3814" t="s">
        <v>1389</v>
      </c>
      <c r="H3814" s="9">
        <v>-10</v>
      </c>
      <c r="I3814">
        <v>10.94</v>
      </c>
      <c r="K3814" t="s">
        <v>10</v>
      </c>
      <c r="L3814" s="8">
        <f t="shared" si="11079"/>
        <v>9.3999999999999861E-2</v>
      </c>
      <c r="M3814" t="s">
        <v>4217</v>
      </c>
    </row>
    <row r="3815" spans="1:13" x14ac:dyDescent="0.35">
      <c r="A3815">
        <f t="shared" si="11084"/>
        <v>3811</v>
      </c>
      <c r="B3815" s="9">
        <f t="shared" ref="B3815:B3816" si="11133">B3814+H3815+I3815+J3815</f>
        <v>27.439999999999962</v>
      </c>
      <c r="C3815" s="3" t="s">
        <v>4220</v>
      </c>
      <c r="D3815">
        <f t="shared" ref="D3815:D3816" si="11134">_xlfn.NUMBERVALUE(LEFT(C3815,2))</f>
        <v>22</v>
      </c>
      <c r="E3815">
        <f t="shared" ref="E3815:E3816" si="11135">_xlfn.NUMBERVALUE(MID(C3815,4,2))</f>
        <v>12</v>
      </c>
      <c r="F3815">
        <f t="shared" ref="F3815:F3816" si="11136">_xlfn.NUMBERVALUE(RIGHT(C3815,4))</f>
        <v>2024</v>
      </c>
      <c r="G3815" t="s">
        <v>7</v>
      </c>
      <c r="H3815" s="9">
        <v>-2</v>
      </c>
      <c r="K3815" t="s">
        <v>9</v>
      </c>
      <c r="L3815" s="8">
        <f t="shared" si="11079"/>
        <v>-1</v>
      </c>
      <c r="M3815" t="s">
        <v>4219</v>
      </c>
    </row>
    <row r="3816" spans="1:13" x14ac:dyDescent="0.35">
      <c r="A3816">
        <f t="shared" si="11084"/>
        <v>3812</v>
      </c>
      <c r="B3816" s="9">
        <f t="shared" si="11133"/>
        <v>27.439999999999962</v>
      </c>
      <c r="C3816" s="3" t="s">
        <v>4220</v>
      </c>
      <c r="D3816">
        <f t="shared" si="11134"/>
        <v>22</v>
      </c>
      <c r="E3816">
        <f t="shared" si="11135"/>
        <v>12</v>
      </c>
      <c r="F3816">
        <f t="shared" si="11136"/>
        <v>2024</v>
      </c>
      <c r="G3816" t="s">
        <v>3039</v>
      </c>
      <c r="K3816" t="s">
        <v>9</v>
      </c>
      <c r="L3816" s="8">
        <f t="shared" si="11079"/>
        <v>0</v>
      </c>
      <c r="M3816" t="s">
        <v>4221</v>
      </c>
    </row>
    <row r="3817" spans="1:13" x14ac:dyDescent="0.35">
      <c r="A3817">
        <f t="shared" si="11084"/>
        <v>3813</v>
      </c>
      <c r="B3817" s="9">
        <f t="shared" ref="B3817:B3821" si="11137">B3816+H3817+I3817+J3817</f>
        <v>27.439999999999962</v>
      </c>
      <c r="C3817" s="3" t="s">
        <v>4220</v>
      </c>
      <c r="D3817">
        <f t="shared" ref="D3817:D3821" si="11138">_xlfn.NUMBERVALUE(LEFT(C3817,2))</f>
        <v>22</v>
      </c>
      <c r="E3817">
        <f t="shared" ref="E3817:E3821" si="11139">_xlfn.NUMBERVALUE(MID(C3817,4,2))</f>
        <v>12</v>
      </c>
      <c r="F3817">
        <f t="shared" ref="F3817:F3821" si="11140">_xlfn.NUMBERVALUE(RIGHT(C3817,4))</f>
        <v>2024</v>
      </c>
      <c r="G3817" t="s">
        <v>2969</v>
      </c>
      <c r="K3817" t="s">
        <v>9</v>
      </c>
      <c r="L3817" s="8">
        <f t="shared" si="11079"/>
        <v>0</v>
      </c>
      <c r="M3817" t="s">
        <v>4222</v>
      </c>
    </row>
    <row r="3818" spans="1:13" x14ac:dyDescent="0.35">
      <c r="A3818">
        <f t="shared" si="11084"/>
        <v>3814</v>
      </c>
      <c r="B3818" s="9">
        <f t="shared" si="11137"/>
        <v>29.439999999999962</v>
      </c>
      <c r="C3818" s="3" t="s">
        <v>4223</v>
      </c>
      <c r="D3818">
        <f t="shared" si="11138"/>
        <v>23</v>
      </c>
      <c r="E3818">
        <f t="shared" si="11139"/>
        <v>12</v>
      </c>
      <c r="F3818">
        <f t="shared" si="11140"/>
        <v>2024</v>
      </c>
      <c r="G3818" t="s">
        <v>7</v>
      </c>
      <c r="H3818" s="9">
        <v>-2</v>
      </c>
      <c r="I3818">
        <v>4</v>
      </c>
      <c r="K3818" t="s">
        <v>10</v>
      </c>
      <c r="L3818" s="8">
        <f t="shared" si="11079"/>
        <v>1</v>
      </c>
      <c r="M3818" t="s">
        <v>4224</v>
      </c>
    </row>
    <row r="3819" spans="1:13" x14ac:dyDescent="0.35">
      <c r="A3819">
        <f t="shared" si="11084"/>
        <v>3815</v>
      </c>
      <c r="B3819" s="9">
        <f t="shared" si="11137"/>
        <v>29.439999999999962</v>
      </c>
      <c r="C3819" s="3" t="s">
        <v>4223</v>
      </c>
      <c r="D3819">
        <f t="shared" si="11138"/>
        <v>23</v>
      </c>
      <c r="E3819">
        <f t="shared" si="11139"/>
        <v>12</v>
      </c>
      <c r="F3819">
        <f t="shared" si="11140"/>
        <v>2024</v>
      </c>
      <c r="G3819" t="s">
        <v>3039</v>
      </c>
      <c r="K3819" t="s">
        <v>9</v>
      </c>
      <c r="L3819" s="8">
        <f t="shared" si="11079"/>
        <v>0</v>
      </c>
      <c r="M3819" t="s">
        <v>4225</v>
      </c>
    </row>
    <row r="3820" spans="1:13" x14ac:dyDescent="0.35">
      <c r="A3820">
        <f t="shared" si="11084"/>
        <v>3816</v>
      </c>
      <c r="B3820" s="9">
        <f t="shared" si="11137"/>
        <v>21.029999999999962</v>
      </c>
      <c r="C3820" s="3" t="s">
        <v>4223</v>
      </c>
      <c r="D3820">
        <f t="shared" si="11138"/>
        <v>23</v>
      </c>
      <c r="E3820">
        <f t="shared" si="11139"/>
        <v>12</v>
      </c>
      <c r="F3820">
        <f t="shared" si="11140"/>
        <v>2024</v>
      </c>
      <c r="G3820" t="s">
        <v>1389</v>
      </c>
      <c r="H3820" s="9">
        <v>-20</v>
      </c>
      <c r="I3820">
        <v>11.59</v>
      </c>
      <c r="K3820" t="s">
        <v>9</v>
      </c>
      <c r="L3820" s="8">
        <f t="shared" si="11079"/>
        <v>-0.42049999999999998</v>
      </c>
      <c r="M3820" t="s">
        <v>4226</v>
      </c>
    </row>
    <row r="3821" spans="1:13" x14ac:dyDescent="0.35">
      <c r="A3821">
        <f t="shared" si="11084"/>
        <v>3817</v>
      </c>
      <c r="B3821" s="9">
        <f t="shared" si="11137"/>
        <v>22.029999999999962</v>
      </c>
      <c r="C3821" s="3" t="s">
        <v>4223</v>
      </c>
      <c r="D3821">
        <f t="shared" si="11138"/>
        <v>23</v>
      </c>
      <c r="E3821">
        <f t="shared" si="11139"/>
        <v>12</v>
      </c>
      <c r="F3821">
        <f t="shared" si="11140"/>
        <v>2024</v>
      </c>
      <c r="G3821" t="s">
        <v>4209</v>
      </c>
      <c r="I3821">
        <v>1</v>
      </c>
      <c r="K3821" t="s">
        <v>10</v>
      </c>
    </row>
    <row r="3822" spans="1:13" x14ac:dyDescent="0.35">
      <c r="A3822">
        <f t="shared" si="11084"/>
        <v>3818</v>
      </c>
      <c r="B3822" s="9">
        <f t="shared" ref="B3822:B3823" si="11141">B3821+H3822+I3822+J3822</f>
        <v>20.029999999999962</v>
      </c>
      <c r="C3822" s="3" t="s">
        <v>4227</v>
      </c>
      <c r="D3822">
        <f t="shared" ref="D3822:D3823" si="11142">_xlfn.NUMBERVALUE(LEFT(C3822,2))</f>
        <v>24</v>
      </c>
      <c r="E3822">
        <f t="shared" ref="E3822:E3823" si="11143">_xlfn.NUMBERVALUE(MID(C3822,4,2))</f>
        <v>12</v>
      </c>
      <c r="F3822">
        <f t="shared" ref="F3822:F3823" si="11144">_xlfn.NUMBERVALUE(RIGHT(C3822,4))</f>
        <v>2024</v>
      </c>
      <c r="G3822" t="s">
        <v>7</v>
      </c>
      <c r="H3822" s="9">
        <v>-2</v>
      </c>
      <c r="K3822" t="s">
        <v>9</v>
      </c>
      <c r="L3822" s="8">
        <f t="shared" si="11079"/>
        <v>-1</v>
      </c>
      <c r="M3822" t="s">
        <v>4228</v>
      </c>
    </row>
    <row r="3823" spans="1:13" x14ac:dyDescent="0.35">
      <c r="A3823">
        <f t="shared" si="11084"/>
        <v>3819</v>
      </c>
      <c r="B3823" s="9">
        <f t="shared" si="11141"/>
        <v>20.029999999999962</v>
      </c>
      <c r="C3823" s="3" t="s">
        <v>4227</v>
      </c>
      <c r="D3823">
        <f t="shared" si="11142"/>
        <v>24</v>
      </c>
      <c r="E3823">
        <f t="shared" si="11143"/>
        <v>12</v>
      </c>
      <c r="F3823">
        <f t="shared" si="11144"/>
        <v>2024</v>
      </c>
      <c r="G3823" t="s">
        <v>3039</v>
      </c>
      <c r="K3823" t="s">
        <v>9</v>
      </c>
      <c r="L3823" s="8">
        <f t="shared" si="11079"/>
        <v>0</v>
      </c>
      <c r="M3823" t="s">
        <v>4229</v>
      </c>
    </row>
    <row r="3824" spans="1:13" x14ac:dyDescent="0.35">
      <c r="A3824">
        <f t="shared" si="11084"/>
        <v>3820</v>
      </c>
      <c r="B3824" s="9">
        <f t="shared" ref="B3824:B3825" si="11145">B3823+H3824+I3824+J3824</f>
        <v>22.029999999999962</v>
      </c>
      <c r="C3824" s="3" t="s">
        <v>4230</v>
      </c>
      <c r="D3824">
        <f t="shared" ref="D3824:D3825" si="11146">_xlfn.NUMBERVALUE(LEFT(C3824,2))</f>
        <v>25</v>
      </c>
      <c r="E3824">
        <f t="shared" ref="E3824:E3825" si="11147">_xlfn.NUMBERVALUE(MID(C3824,4,2))</f>
        <v>12</v>
      </c>
      <c r="F3824">
        <f t="shared" ref="F3824:F3825" si="11148">_xlfn.NUMBERVALUE(RIGHT(C3824,4))</f>
        <v>2024</v>
      </c>
      <c r="G3824" t="s">
        <v>7</v>
      </c>
      <c r="H3824" s="9">
        <v>-2</v>
      </c>
      <c r="I3824">
        <v>4</v>
      </c>
      <c r="K3824" t="s">
        <v>10</v>
      </c>
      <c r="L3824" s="8">
        <f t="shared" si="11079"/>
        <v>1</v>
      </c>
      <c r="M3824" t="s">
        <v>4231</v>
      </c>
    </row>
    <row r="3825" spans="1:13" x14ac:dyDescent="0.35">
      <c r="A3825">
        <f t="shared" si="11084"/>
        <v>3821</v>
      </c>
      <c r="B3825" s="9">
        <f t="shared" si="11145"/>
        <v>22.029999999999962</v>
      </c>
      <c r="C3825" s="3" t="s">
        <v>4230</v>
      </c>
      <c r="D3825">
        <f t="shared" si="11146"/>
        <v>25</v>
      </c>
      <c r="E3825">
        <f t="shared" si="11147"/>
        <v>12</v>
      </c>
      <c r="F3825">
        <f t="shared" si="11148"/>
        <v>2024</v>
      </c>
      <c r="G3825" t="s">
        <v>3039</v>
      </c>
      <c r="K3825" t="s">
        <v>10</v>
      </c>
      <c r="L3825" s="8">
        <f t="shared" si="11079"/>
        <v>0</v>
      </c>
      <c r="M3825" t="s">
        <v>4232</v>
      </c>
    </row>
    <row r="3826" spans="1:13" x14ac:dyDescent="0.35">
      <c r="A3826">
        <f t="shared" si="11084"/>
        <v>3822</v>
      </c>
      <c r="B3826" s="9">
        <f t="shared" ref="B3826:B3828" si="11149">B3825+H3826+I3826+J3826</f>
        <v>23.389999999999961</v>
      </c>
      <c r="C3826" s="3" t="s">
        <v>4230</v>
      </c>
      <c r="D3826">
        <f t="shared" ref="D3826:D3828" si="11150">_xlfn.NUMBERVALUE(LEFT(C3826,2))</f>
        <v>25</v>
      </c>
      <c r="E3826">
        <f t="shared" ref="E3826:E3828" si="11151">_xlfn.NUMBERVALUE(MID(C3826,4,2))</f>
        <v>12</v>
      </c>
      <c r="F3826">
        <f t="shared" ref="F3826:F3828" si="11152">_xlfn.NUMBERVALUE(RIGHT(C3826,4))</f>
        <v>2024</v>
      </c>
      <c r="G3826" t="s">
        <v>2969</v>
      </c>
      <c r="I3826">
        <v>1.36</v>
      </c>
      <c r="K3826" t="s">
        <v>10</v>
      </c>
      <c r="L3826" s="8">
        <f t="shared" si="11079"/>
        <v>0</v>
      </c>
      <c r="M3826" t="s">
        <v>4233</v>
      </c>
    </row>
    <row r="3827" spans="1:13" x14ac:dyDescent="0.35">
      <c r="A3827">
        <f t="shared" si="11084"/>
        <v>3823</v>
      </c>
      <c r="B3827" s="9">
        <f t="shared" si="11149"/>
        <v>21.389999999999961</v>
      </c>
      <c r="C3827" s="3" t="s">
        <v>4234</v>
      </c>
      <c r="D3827">
        <f t="shared" si="11150"/>
        <v>26</v>
      </c>
      <c r="E3827">
        <f t="shared" si="11151"/>
        <v>12</v>
      </c>
      <c r="F3827">
        <f t="shared" si="11152"/>
        <v>2024</v>
      </c>
      <c r="G3827" t="s">
        <v>7</v>
      </c>
      <c r="H3827" s="9">
        <v>-2</v>
      </c>
      <c r="K3827" t="s">
        <v>9</v>
      </c>
      <c r="L3827" s="8">
        <f t="shared" si="11079"/>
        <v>-1</v>
      </c>
      <c r="M3827" t="s">
        <v>4235</v>
      </c>
    </row>
    <row r="3828" spans="1:13" x14ac:dyDescent="0.35">
      <c r="A3828">
        <f t="shared" si="11084"/>
        <v>3824</v>
      </c>
      <c r="B3828" s="9">
        <f t="shared" si="11149"/>
        <v>21.389999999999961</v>
      </c>
      <c r="C3828" s="3" t="s">
        <v>4234</v>
      </c>
      <c r="D3828">
        <f t="shared" si="11150"/>
        <v>26</v>
      </c>
      <c r="E3828">
        <f t="shared" si="11151"/>
        <v>12</v>
      </c>
      <c r="F3828">
        <f t="shared" si="11152"/>
        <v>2024</v>
      </c>
      <c r="G3828" t="s">
        <v>3039</v>
      </c>
      <c r="K3828" t="s">
        <v>10</v>
      </c>
      <c r="L3828" s="8">
        <f t="shared" si="11079"/>
        <v>0</v>
      </c>
      <c r="M3828" t="s">
        <v>4236</v>
      </c>
    </row>
    <row r="3829" spans="1:13" x14ac:dyDescent="0.35">
      <c r="A3829">
        <f t="shared" si="11084"/>
        <v>3825</v>
      </c>
      <c r="B3829" s="9">
        <f t="shared" ref="B3829:B3830" si="11153">B3828+H3829+I3829+J3829</f>
        <v>21.389999999999961</v>
      </c>
      <c r="C3829" s="3" t="s">
        <v>4234</v>
      </c>
      <c r="D3829">
        <f t="shared" ref="D3829:D3830" si="11154">_xlfn.NUMBERVALUE(LEFT(C3829,2))</f>
        <v>26</v>
      </c>
      <c r="E3829">
        <f t="shared" ref="E3829:E3830" si="11155">_xlfn.NUMBERVALUE(MID(C3829,4,2))</f>
        <v>12</v>
      </c>
      <c r="F3829">
        <f t="shared" ref="F3829:F3830" si="11156">_xlfn.NUMBERVALUE(RIGHT(C3829,4))</f>
        <v>2024</v>
      </c>
      <c r="G3829" t="s">
        <v>2969</v>
      </c>
      <c r="K3829" t="s">
        <v>9</v>
      </c>
      <c r="L3829" s="8">
        <f t="shared" si="11079"/>
        <v>0</v>
      </c>
      <c r="M3829" t="s">
        <v>4237</v>
      </c>
    </row>
    <row r="3830" spans="1:13" x14ac:dyDescent="0.35">
      <c r="A3830">
        <f t="shared" si="11084"/>
        <v>3826</v>
      </c>
      <c r="B3830" s="9">
        <f t="shared" si="11153"/>
        <v>24.829999999999963</v>
      </c>
      <c r="C3830" s="3" t="s">
        <v>4234</v>
      </c>
      <c r="D3830">
        <f t="shared" si="11154"/>
        <v>26</v>
      </c>
      <c r="E3830">
        <f t="shared" si="11155"/>
        <v>12</v>
      </c>
      <c r="F3830">
        <f t="shared" si="11156"/>
        <v>2024</v>
      </c>
      <c r="G3830" t="s">
        <v>1389</v>
      </c>
      <c r="H3830">
        <v>-10</v>
      </c>
      <c r="I3830">
        <v>13.44</v>
      </c>
      <c r="K3830" t="s">
        <v>10</v>
      </c>
      <c r="L3830" s="8">
        <f t="shared" si="11079"/>
        <v>0.34399999999999986</v>
      </c>
      <c r="M3830" t="s">
        <v>4238</v>
      </c>
    </row>
    <row r="3831" spans="1:13" x14ac:dyDescent="0.35">
      <c r="A3831">
        <f t="shared" si="11084"/>
        <v>3827</v>
      </c>
      <c r="B3831" s="9">
        <f t="shared" ref="B3831" si="11157">B3830+H3831+I3831+J3831</f>
        <v>27.809999999999963</v>
      </c>
      <c r="C3831" s="3" t="s">
        <v>4234</v>
      </c>
      <c r="D3831">
        <f t="shared" ref="D3831" si="11158">_xlfn.NUMBERVALUE(LEFT(C3831,2))</f>
        <v>26</v>
      </c>
      <c r="E3831">
        <f t="shared" ref="E3831" si="11159">_xlfn.NUMBERVALUE(MID(C3831,4,2))</f>
        <v>12</v>
      </c>
      <c r="F3831">
        <f t="shared" ref="F3831" si="11160">_xlfn.NUMBERVALUE(RIGHT(C3831,4))</f>
        <v>2024</v>
      </c>
      <c r="G3831" t="s">
        <v>1389</v>
      </c>
      <c r="H3831">
        <v>-10</v>
      </c>
      <c r="I3831">
        <v>12.98</v>
      </c>
      <c r="K3831" t="s">
        <v>10</v>
      </c>
      <c r="L3831" s="8">
        <f t="shared" si="11079"/>
        <v>0.29800000000000004</v>
      </c>
      <c r="M3831" t="s">
        <v>4239</v>
      </c>
    </row>
    <row r="3832" spans="1:13" x14ac:dyDescent="0.35">
      <c r="A3832">
        <f t="shared" si="11084"/>
        <v>3828</v>
      </c>
      <c r="B3832" s="9">
        <f t="shared" ref="B3832:B3833" si="11161">B3831+H3832+I3832+J3832</f>
        <v>27.319999999999965</v>
      </c>
      <c r="C3832" s="3" t="s">
        <v>4234</v>
      </c>
      <c r="D3832">
        <f t="shared" ref="D3832:D3833" si="11162">_xlfn.NUMBERVALUE(LEFT(C3832,2))</f>
        <v>26</v>
      </c>
      <c r="E3832">
        <f t="shared" ref="E3832:E3833" si="11163">_xlfn.NUMBERVALUE(MID(C3832,4,2))</f>
        <v>12</v>
      </c>
      <c r="F3832">
        <f t="shared" ref="F3832:F3833" si="11164">_xlfn.NUMBERVALUE(RIGHT(C3832,4))</f>
        <v>2024</v>
      </c>
      <c r="G3832" t="s">
        <v>1389</v>
      </c>
      <c r="H3832">
        <v>-10</v>
      </c>
      <c r="I3832">
        <v>9.51</v>
      </c>
      <c r="K3832" t="s">
        <v>9</v>
      </c>
      <c r="L3832" s="8">
        <f t="shared" si="11079"/>
        <v>-4.9000000000000044E-2</v>
      </c>
      <c r="M3832" t="s">
        <v>4240</v>
      </c>
    </row>
    <row r="3833" spans="1:13" x14ac:dyDescent="0.35">
      <c r="A3833">
        <f t="shared" si="11084"/>
        <v>3829</v>
      </c>
      <c r="B3833" s="9">
        <f t="shared" si="11161"/>
        <v>28.319999999999965</v>
      </c>
      <c r="C3833" s="3" t="s">
        <v>4234</v>
      </c>
      <c r="D3833">
        <f t="shared" si="11162"/>
        <v>26</v>
      </c>
      <c r="E3833">
        <f t="shared" si="11163"/>
        <v>12</v>
      </c>
      <c r="F3833">
        <f t="shared" si="11164"/>
        <v>2024</v>
      </c>
      <c r="G3833" t="s">
        <v>4209</v>
      </c>
      <c r="I3833">
        <v>1</v>
      </c>
      <c r="K3833" t="s">
        <v>10</v>
      </c>
    </row>
    <row r="3834" spans="1:13" x14ac:dyDescent="0.35">
      <c r="A3834">
        <f t="shared" si="11084"/>
        <v>3830</v>
      </c>
      <c r="B3834" s="9">
        <f t="shared" ref="B3834" si="11165">B3833+H3834+I3834+J3834</f>
        <v>20.749999999999964</v>
      </c>
      <c r="C3834" s="3" t="s">
        <v>4234</v>
      </c>
      <c r="D3834">
        <f t="shared" ref="D3834" si="11166">_xlfn.NUMBERVALUE(LEFT(C3834,2))</f>
        <v>26</v>
      </c>
      <c r="E3834">
        <f t="shared" ref="E3834" si="11167">_xlfn.NUMBERVALUE(MID(C3834,4,2))</f>
        <v>12</v>
      </c>
      <c r="F3834">
        <f t="shared" ref="F3834" si="11168">_xlfn.NUMBERVALUE(RIGHT(C3834,4))</f>
        <v>2024</v>
      </c>
      <c r="G3834" t="s">
        <v>1389</v>
      </c>
      <c r="H3834">
        <v>-10</v>
      </c>
      <c r="I3834">
        <v>2.4300000000000002</v>
      </c>
      <c r="K3834" t="s">
        <v>9</v>
      </c>
      <c r="L3834" s="8">
        <f t="shared" si="11079"/>
        <v>-0.75700000000000001</v>
      </c>
      <c r="M3834" t="s">
        <v>4241</v>
      </c>
    </row>
    <row r="3835" spans="1:13" x14ac:dyDescent="0.35">
      <c r="A3835">
        <f t="shared" si="11084"/>
        <v>3831</v>
      </c>
      <c r="B3835" s="9">
        <f t="shared" ref="B3835" si="11169">B3834+H3835+I3835+J3835</f>
        <v>8.5099999999999643</v>
      </c>
      <c r="C3835" s="3" t="s">
        <v>4234</v>
      </c>
      <c r="D3835">
        <f t="shared" ref="D3835" si="11170">_xlfn.NUMBERVALUE(LEFT(C3835,2))</f>
        <v>26</v>
      </c>
      <c r="E3835">
        <f t="shared" ref="E3835" si="11171">_xlfn.NUMBERVALUE(MID(C3835,4,2))</f>
        <v>12</v>
      </c>
      <c r="F3835">
        <f t="shared" ref="F3835" si="11172">_xlfn.NUMBERVALUE(RIGHT(C3835,4))</f>
        <v>2024</v>
      </c>
      <c r="G3835" t="s">
        <v>1389</v>
      </c>
      <c r="H3835">
        <v>-15</v>
      </c>
      <c r="I3835">
        <v>2.76</v>
      </c>
      <c r="K3835" t="s">
        <v>9</v>
      </c>
      <c r="L3835" s="8">
        <f t="shared" si="11079"/>
        <v>-0.81600000000000006</v>
      </c>
      <c r="M3835" t="s">
        <v>4242</v>
      </c>
    </row>
    <row r="3836" spans="1:13" x14ac:dyDescent="0.35">
      <c r="A3836">
        <f t="shared" si="11084"/>
        <v>3832</v>
      </c>
      <c r="B3836" s="9">
        <f t="shared" ref="B3836:B3839" si="11173">B3835+H3836+I3836+J3836</f>
        <v>119.77</v>
      </c>
      <c r="C3836" s="3" t="s">
        <v>4234</v>
      </c>
      <c r="D3836">
        <f t="shared" ref="D3836:D3839" si="11174">_xlfn.NUMBERVALUE(LEFT(C3836,2))</f>
        <v>26</v>
      </c>
      <c r="E3836">
        <f t="shared" ref="E3836:E3839" si="11175">_xlfn.NUMBERVALUE(MID(C3836,4,2))</f>
        <v>12</v>
      </c>
      <c r="F3836">
        <f t="shared" ref="F3836:F3839" si="11176">_xlfn.NUMBERVALUE(RIGHT(C3836,4))</f>
        <v>2024</v>
      </c>
      <c r="G3836" t="s">
        <v>3362</v>
      </c>
      <c r="I3836">
        <v>111.26000000000003</v>
      </c>
    </row>
    <row r="3837" spans="1:13" x14ac:dyDescent="0.35">
      <c r="A3837">
        <f t="shared" si="11084"/>
        <v>3833</v>
      </c>
      <c r="B3837" s="9">
        <f t="shared" si="11173"/>
        <v>117.77</v>
      </c>
      <c r="C3837" s="3" t="s">
        <v>4243</v>
      </c>
      <c r="D3837">
        <f t="shared" si="11174"/>
        <v>27</v>
      </c>
      <c r="E3837">
        <f t="shared" si="11175"/>
        <v>12</v>
      </c>
      <c r="F3837">
        <f t="shared" si="11176"/>
        <v>2024</v>
      </c>
      <c r="G3837" t="s">
        <v>7</v>
      </c>
      <c r="H3837">
        <v>-2</v>
      </c>
      <c r="I3837" s="9"/>
      <c r="K3837" t="s">
        <v>9</v>
      </c>
      <c r="L3837" s="8">
        <f t="shared" si="11079"/>
        <v>-1</v>
      </c>
      <c r="M3837" t="s">
        <v>4244</v>
      </c>
    </row>
    <row r="3838" spans="1:13" x14ac:dyDescent="0.35">
      <c r="A3838">
        <f t="shared" si="11084"/>
        <v>3834</v>
      </c>
      <c r="B3838" s="9">
        <f t="shared" si="11173"/>
        <v>117.77</v>
      </c>
      <c r="C3838" s="3" t="s">
        <v>4243</v>
      </c>
      <c r="D3838">
        <f t="shared" si="11174"/>
        <v>27</v>
      </c>
      <c r="E3838">
        <f t="shared" si="11175"/>
        <v>12</v>
      </c>
      <c r="F3838">
        <f t="shared" si="11176"/>
        <v>2024</v>
      </c>
      <c r="G3838" t="s">
        <v>3039</v>
      </c>
      <c r="K3838" t="s">
        <v>10</v>
      </c>
      <c r="L3838" s="8">
        <f t="shared" si="11079"/>
        <v>0</v>
      </c>
      <c r="M3838" t="s">
        <v>4245</v>
      </c>
    </row>
    <row r="3839" spans="1:13" x14ac:dyDescent="0.35">
      <c r="A3839">
        <f t="shared" si="11084"/>
        <v>3835</v>
      </c>
      <c r="B3839" s="9">
        <f t="shared" si="11173"/>
        <v>121.63</v>
      </c>
      <c r="C3839" s="3" t="s">
        <v>4243</v>
      </c>
      <c r="D3839">
        <f t="shared" si="11174"/>
        <v>27</v>
      </c>
      <c r="E3839">
        <f t="shared" si="11175"/>
        <v>12</v>
      </c>
      <c r="F3839">
        <f t="shared" si="11176"/>
        <v>2024</v>
      </c>
      <c r="G3839" t="s">
        <v>1389</v>
      </c>
      <c r="H3839">
        <v>-10</v>
      </c>
      <c r="I3839">
        <v>13.86</v>
      </c>
      <c r="K3839" t="s">
        <v>10</v>
      </c>
      <c r="L3839" s="8">
        <f t="shared" si="11079"/>
        <v>0.3859999999999999</v>
      </c>
      <c r="M3839" t="s">
        <v>4246</v>
      </c>
    </row>
    <row r="3840" spans="1:13" x14ac:dyDescent="0.35">
      <c r="A3840">
        <f t="shared" si="11084"/>
        <v>3836</v>
      </c>
      <c r="B3840" s="9">
        <f t="shared" ref="B3840" si="11177">B3839+H3840+I3840+J3840</f>
        <v>121.63</v>
      </c>
      <c r="C3840" s="3" t="s">
        <v>4243</v>
      </c>
      <c r="D3840">
        <f t="shared" ref="D3840" si="11178">_xlfn.NUMBERVALUE(LEFT(C3840,2))</f>
        <v>27</v>
      </c>
      <c r="E3840">
        <f t="shared" ref="E3840" si="11179">_xlfn.NUMBERVALUE(MID(C3840,4,2))</f>
        <v>12</v>
      </c>
      <c r="F3840">
        <f t="shared" ref="F3840" si="11180">_xlfn.NUMBERVALUE(RIGHT(C3840,4))</f>
        <v>2024</v>
      </c>
      <c r="G3840" t="s">
        <v>2969</v>
      </c>
      <c r="K3840" t="s">
        <v>9</v>
      </c>
      <c r="L3840" s="8">
        <f t="shared" si="11079"/>
        <v>0</v>
      </c>
      <c r="M3840" t="s">
        <v>4247</v>
      </c>
    </row>
    <row r="3841" spans="1:13" x14ac:dyDescent="0.35">
      <c r="A3841">
        <f t="shared" si="11084"/>
        <v>3837</v>
      </c>
      <c r="B3841" s="9">
        <f t="shared" ref="B3841:B3846" si="11181">B3840+H3841+I3841+J3841</f>
        <v>121.63</v>
      </c>
      <c r="C3841" s="3" t="s">
        <v>4243</v>
      </c>
      <c r="D3841">
        <f t="shared" ref="D3841:D3846" si="11182">_xlfn.NUMBERVALUE(LEFT(C3841,2))</f>
        <v>27</v>
      </c>
      <c r="E3841">
        <f t="shared" ref="E3841:E3846" si="11183">_xlfn.NUMBERVALUE(MID(C3841,4,2))</f>
        <v>12</v>
      </c>
      <c r="F3841">
        <f t="shared" ref="F3841:F3846" si="11184">_xlfn.NUMBERVALUE(RIGHT(C3841,4))</f>
        <v>2024</v>
      </c>
      <c r="G3841" t="s">
        <v>3040</v>
      </c>
      <c r="K3841" t="s">
        <v>9</v>
      </c>
      <c r="L3841" s="8">
        <f t="shared" si="11079"/>
        <v>0</v>
      </c>
      <c r="M3841" t="s">
        <v>4248</v>
      </c>
    </row>
    <row r="3842" spans="1:13" x14ac:dyDescent="0.35">
      <c r="A3842">
        <f t="shared" si="11084"/>
        <v>3838</v>
      </c>
      <c r="B3842" s="9">
        <f t="shared" si="11181"/>
        <v>103.78999999999999</v>
      </c>
      <c r="C3842" s="3" t="s">
        <v>4243</v>
      </c>
      <c r="D3842">
        <f t="shared" si="11182"/>
        <v>27</v>
      </c>
      <c r="E3842">
        <f t="shared" si="11183"/>
        <v>12</v>
      </c>
      <c r="F3842">
        <f t="shared" si="11184"/>
        <v>2024</v>
      </c>
      <c r="G3842" t="s">
        <v>1389</v>
      </c>
      <c r="H3842">
        <v>-30</v>
      </c>
      <c r="I3842">
        <v>12.16</v>
      </c>
      <c r="K3842" t="s">
        <v>9</v>
      </c>
      <c r="L3842" s="8">
        <f t="shared" si="11079"/>
        <v>-0.59466666666666668</v>
      </c>
      <c r="M3842" t="s">
        <v>4249</v>
      </c>
    </row>
    <row r="3843" spans="1:13" x14ac:dyDescent="0.35">
      <c r="A3843">
        <f t="shared" si="11084"/>
        <v>3839</v>
      </c>
      <c r="B3843" s="9">
        <f t="shared" si="11181"/>
        <v>104.78999999999999</v>
      </c>
      <c r="C3843" s="3" t="s">
        <v>4243</v>
      </c>
      <c r="D3843">
        <f t="shared" si="11182"/>
        <v>27</v>
      </c>
      <c r="E3843">
        <f t="shared" si="11183"/>
        <v>12</v>
      </c>
      <c r="F3843">
        <f t="shared" si="11184"/>
        <v>2024</v>
      </c>
      <c r="G3843" t="s">
        <v>4209</v>
      </c>
      <c r="I3843">
        <v>1</v>
      </c>
      <c r="K3843" t="s">
        <v>10</v>
      </c>
    </row>
    <row r="3844" spans="1:13" x14ac:dyDescent="0.35">
      <c r="A3844">
        <f t="shared" si="11084"/>
        <v>3840</v>
      </c>
      <c r="B3844" s="9">
        <f t="shared" si="11181"/>
        <v>102.78999999999999</v>
      </c>
      <c r="C3844" s="3" t="s">
        <v>4250</v>
      </c>
      <c r="D3844">
        <f t="shared" si="11182"/>
        <v>28</v>
      </c>
      <c r="E3844">
        <f t="shared" si="11183"/>
        <v>12</v>
      </c>
      <c r="F3844">
        <f t="shared" si="11184"/>
        <v>2024</v>
      </c>
      <c r="G3844" t="s">
        <v>7</v>
      </c>
      <c r="H3844">
        <v>-2</v>
      </c>
      <c r="K3844" t="s">
        <v>9</v>
      </c>
      <c r="L3844" s="8">
        <f t="shared" si="11079"/>
        <v>-1</v>
      </c>
      <c r="M3844" t="s">
        <v>4251</v>
      </c>
    </row>
    <row r="3845" spans="1:13" x14ac:dyDescent="0.35">
      <c r="A3845">
        <f t="shared" si="11084"/>
        <v>3841</v>
      </c>
      <c r="B3845" s="9">
        <f t="shared" si="11181"/>
        <v>102.78999999999999</v>
      </c>
      <c r="C3845" s="3" t="s">
        <v>4250</v>
      </c>
      <c r="D3845">
        <f t="shared" si="11182"/>
        <v>28</v>
      </c>
      <c r="E3845">
        <f t="shared" si="11183"/>
        <v>12</v>
      </c>
      <c r="F3845">
        <f t="shared" si="11184"/>
        <v>2024</v>
      </c>
      <c r="G3845" t="s">
        <v>3039</v>
      </c>
      <c r="K3845" t="s">
        <v>9</v>
      </c>
      <c r="L3845" s="8">
        <f t="shared" si="11079"/>
        <v>0</v>
      </c>
      <c r="M3845" t="s">
        <v>4252</v>
      </c>
    </row>
    <row r="3846" spans="1:13" x14ac:dyDescent="0.35">
      <c r="A3846">
        <f t="shared" si="11084"/>
        <v>3842</v>
      </c>
      <c r="B3846" s="9">
        <f t="shared" si="11181"/>
        <v>102.92999999999999</v>
      </c>
      <c r="C3846" s="3" t="s">
        <v>4250</v>
      </c>
      <c r="D3846">
        <f t="shared" si="11182"/>
        <v>28</v>
      </c>
      <c r="E3846">
        <f t="shared" si="11183"/>
        <v>12</v>
      </c>
      <c r="F3846">
        <f t="shared" si="11184"/>
        <v>2024</v>
      </c>
      <c r="G3846" t="s">
        <v>1389</v>
      </c>
      <c r="H3846">
        <v>-10</v>
      </c>
      <c r="I3846">
        <v>10.14</v>
      </c>
      <c r="K3846" t="s">
        <v>10</v>
      </c>
      <c r="L3846" s="8">
        <f t="shared" si="11079"/>
        <v>1.4000000000000012E-2</v>
      </c>
      <c r="M3846" t="s">
        <v>4253</v>
      </c>
    </row>
    <row r="3847" spans="1:13" x14ac:dyDescent="0.35">
      <c r="A3847">
        <f t="shared" si="11084"/>
        <v>3843</v>
      </c>
      <c r="B3847" s="9">
        <f t="shared" ref="B3847:B3850" si="11185">B3846+H3847+I3847+J3847</f>
        <v>105.14999999999999</v>
      </c>
      <c r="C3847" s="3" t="s">
        <v>4250</v>
      </c>
      <c r="D3847">
        <f t="shared" ref="D3847:D3850" si="11186">_xlfn.NUMBERVALUE(LEFT(C3847,2))</f>
        <v>28</v>
      </c>
      <c r="E3847">
        <f t="shared" ref="E3847:E3850" si="11187">_xlfn.NUMBERVALUE(MID(C3847,4,2))</f>
        <v>12</v>
      </c>
      <c r="F3847">
        <f t="shared" ref="F3847:F3850" si="11188">_xlfn.NUMBERVALUE(RIGHT(C3847,4))</f>
        <v>2024</v>
      </c>
      <c r="G3847" t="s">
        <v>1389</v>
      </c>
      <c r="H3847">
        <v>-15</v>
      </c>
      <c r="I3847">
        <v>17.22</v>
      </c>
      <c r="K3847" t="s">
        <v>10</v>
      </c>
      <c r="L3847" s="8">
        <f t="shared" si="11079"/>
        <v>0.14799999999999991</v>
      </c>
      <c r="M3847" t="s">
        <v>4254</v>
      </c>
    </row>
    <row r="3848" spans="1:13" x14ac:dyDescent="0.35">
      <c r="A3848">
        <f t="shared" si="11084"/>
        <v>3844</v>
      </c>
      <c r="B3848" s="9">
        <f t="shared" si="11185"/>
        <v>108.14999999999999</v>
      </c>
      <c r="C3848" s="3" t="s">
        <v>4250</v>
      </c>
      <c r="D3848">
        <f t="shared" si="11186"/>
        <v>28</v>
      </c>
      <c r="E3848">
        <f t="shared" si="11187"/>
        <v>12</v>
      </c>
      <c r="F3848">
        <f t="shared" si="11188"/>
        <v>2024</v>
      </c>
      <c r="G3848" t="s">
        <v>4209</v>
      </c>
      <c r="I3848">
        <v>3</v>
      </c>
      <c r="K3848" t="s">
        <v>10</v>
      </c>
    </row>
    <row r="3849" spans="1:13" x14ac:dyDescent="0.35">
      <c r="A3849">
        <f t="shared" si="11084"/>
        <v>3845</v>
      </c>
      <c r="B3849" s="9">
        <f t="shared" si="11185"/>
        <v>93.149999999999991</v>
      </c>
      <c r="C3849" s="3" t="s">
        <v>4250</v>
      </c>
      <c r="D3849">
        <f t="shared" si="11186"/>
        <v>28</v>
      </c>
      <c r="E3849">
        <f t="shared" si="11187"/>
        <v>12</v>
      </c>
      <c r="F3849">
        <f t="shared" si="11188"/>
        <v>2024</v>
      </c>
      <c r="G3849" t="s">
        <v>1389</v>
      </c>
      <c r="H3849">
        <v>-15</v>
      </c>
      <c r="K3849" t="s">
        <v>9</v>
      </c>
      <c r="L3849" s="8">
        <f t="shared" si="11079"/>
        <v>-1</v>
      </c>
      <c r="M3849" t="s">
        <v>4255</v>
      </c>
    </row>
    <row r="3850" spans="1:13" x14ac:dyDescent="0.35">
      <c r="A3850">
        <f t="shared" si="11084"/>
        <v>3846</v>
      </c>
      <c r="B3850" s="9">
        <f t="shared" si="11185"/>
        <v>85.69</v>
      </c>
      <c r="C3850" s="3" t="s">
        <v>4250</v>
      </c>
      <c r="D3850">
        <f t="shared" si="11186"/>
        <v>28</v>
      </c>
      <c r="E3850">
        <f t="shared" si="11187"/>
        <v>12</v>
      </c>
      <c r="F3850">
        <f t="shared" si="11188"/>
        <v>2024</v>
      </c>
      <c r="G3850" t="s">
        <v>1389</v>
      </c>
      <c r="H3850">
        <v>-10</v>
      </c>
      <c r="I3850">
        <v>2.54</v>
      </c>
      <c r="K3850" t="s">
        <v>9</v>
      </c>
      <c r="L3850" s="8">
        <f t="shared" si="11079"/>
        <v>-0.746</v>
      </c>
      <c r="M3850" t="s">
        <v>4256</v>
      </c>
    </row>
    <row r="3851" spans="1:13" x14ac:dyDescent="0.35">
      <c r="A3851">
        <f t="shared" si="11084"/>
        <v>3847</v>
      </c>
      <c r="B3851" s="9">
        <f t="shared" ref="B3851:B3853" si="11189">B3850+H3851+I3851+J3851</f>
        <v>86.78</v>
      </c>
      <c r="C3851" s="3" t="s">
        <v>4250</v>
      </c>
      <c r="D3851">
        <f t="shared" ref="D3851:D3853" si="11190">_xlfn.NUMBERVALUE(LEFT(C3851,2))</f>
        <v>28</v>
      </c>
      <c r="E3851">
        <f t="shared" ref="E3851:E3853" si="11191">_xlfn.NUMBERVALUE(MID(C3851,4,2))</f>
        <v>12</v>
      </c>
      <c r="F3851">
        <f t="shared" ref="F3851:F3853" si="11192">_xlfn.NUMBERVALUE(RIGHT(C3851,4))</f>
        <v>2024</v>
      </c>
      <c r="G3851" t="s">
        <v>1389</v>
      </c>
      <c r="H3851">
        <v>-15</v>
      </c>
      <c r="I3851">
        <v>16.09</v>
      </c>
      <c r="K3851" t="s">
        <v>10</v>
      </c>
      <c r="L3851" s="8">
        <f t="shared" si="11079"/>
        <v>7.2666666666666657E-2</v>
      </c>
      <c r="M3851" t="s">
        <v>4257</v>
      </c>
    </row>
    <row r="3852" spans="1:13" x14ac:dyDescent="0.35">
      <c r="A3852">
        <f t="shared" si="11084"/>
        <v>3848</v>
      </c>
      <c r="B3852" s="9">
        <f t="shared" si="11189"/>
        <v>71.78</v>
      </c>
      <c r="C3852" s="3" t="s">
        <v>4250</v>
      </c>
      <c r="D3852">
        <f t="shared" si="11190"/>
        <v>28</v>
      </c>
      <c r="E3852">
        <f t="shared" si="11191"/>
        <v>12</v>
      </c>
      <c r="F3852">
        <f t="shared" si="11192"/>
        <v>2024</v>
      </c>
      <c r="G3852" t="s">
        <v>1389</v>
      </c>
      <c r="H3852">
        <v>-15</v>
      </c>
      <c r="K3852" t="s">
        <v>9</v>
      </c>
      <c r="L3852" s="8">
        <f t="shared" si="11079"/>
        <v>-1</v>
      </c>
      <c r="M3852" t="s">
        <v>4258</v>
      </c>
    </row>
    <row r="3853" spans="1:13" x14ac:dyDescent="0.35">
      <c r="A3853">
        <f t="shared" si="11084"/>
        <v>3849</v>
      </c>
      <c r="B3853" s="9">
        <f t="shared" si="11189"/>
        <v>74.06</v>
      </c>
      <c r="C3853" s="3" t="s">
        <v>4250</v>
      </c>
      <c r="D3853">
        <f t="shared" si="11190"/>
        <v>28</v>
      </c>
      <c r="E3853">
        <f t="shared" si="11191"/>
        <v>12</v>
      </c>
      <c r="F3853">
        <f t="shared" si="11192"/>
        <v>2024</v>
      </c>
      <c r="G3853" t="s">
        <v>1389</v>
      </c>
      <c r="H3853">
        <v>-10</v>
      </c>
      <c r="I3853">
        <v>12.28</v>
      </c>
      <c r="K3853" t="s">
        <v>10</v>
      </c>
      <c r="L3853" s="8">
        <f t="shared" si="11079"/>
        <v>0.22799999999999998</v>
      </c>
      <c r="M3853" t="s">
        <v>4259</v>
      </c>
    </row>
    <row r="3854" spans="1:13" x14ac:dyDescent="0.35">
      <c r="A3854">
        <f t="shared" si="11084"/>
        <v>3850</v>
      </c>
      <c r="B3854" s="9">
        <f t="shared" ref="B3854" si="11193">B3853+H3854+I3854+J3854</f>
        <v>79</v>
      </c>
      <c r="C3854" s="3" t="s">
        <v>4250</v>
      </c>
      <c r="D3854">
        <f t="shared" ref="D3854" si="11194">_xlfn.NUMBERVALUE(LEFT(C3854,2))</f>
        <v>28</v>
      </c>
      <c r="E3854">
        <f t="shared" ref="E3854" si="11195">_xlfn.NUMBERVALUE(MID(C3854,4,2))</f>
        <v>12</v>
      </c>
      <c r="F3854">
        <f t="shared" ref="F3854" si="11196">_xlfn.NUMBERVALUE(RIGHT(C3854,4))</f>
        <v>2024</v>
      </c>
      <c r="G3854" t="s">
        <v>1389</v>
      </c>
      <c r="H3854">
        <v>-10</v>
      </c>
      <c r="I3854">
        <v>14.94</v>
      </c>
      <c r="K3854" t="s">
        <v>10</v>
      </c>
      <c r="L3854" s="8">
        <f t="shared" si="11079"/>
        <v>0.49399999999999999</v>
      </c>
      <c r="M3854" t="s">
        <v>4260</v>
      </c>
    </row>
    <row r="3855" spans="1:13" x14ac:dyDescent="0.35">
      <c r="A3855">
        <f t="shared" si="11084"/>
        <v>3851</v>
      </c>
      <c r="B3855" s="9">
        <f t="shared" ref="B3855:B3857" si="11197">B3854+H3855+I3855+J3855</f>
        <v>78.37</v>
      </c>
      <c r="C3855" s="3" t="s">
        <v>4250</v>
      </c>
      <c r="D3855">
        <f t="shared" ref="D3855:D3857" si="11198">_xlfn.NUMBERVALUE(LEFT(C3855,2))</f>
        <v>28</v>
      </c>
      <c r="E3855">
        <f t="shared" ref="E3855:E3857" si="11199">_xlfn.NUMBERVALUE(MID(C3855,4,2))</f>
        <v>12</v>
      </c>
      <c r="F3855">
        <f t="shared" ref="F3855:F3857" si="11200">_xlfn.NUMBERVALUE(RIGHT(C3855,4))</f>
        <v>2024</v>
      </c>
      <c r="G3855" t="s">
        <v>1389</v>
      </c>
      <c r="H3855">
        <v>-10</v>
      </c>
      <c r="I3855">
        <v>9.3699999999999992</v>
      </c>
      <c r="K3855" t="s">
        <v>9</v>
      </c>
      <c r="L3855" s="8">
        <f t="shared" si="11079"/>
        <v>-6.3000000000000056E-2</v>
      </c>
      <c r="M3855" t="s">
        <v>4261</v>
      </c>
    </row>
    <row r="3856" spans="1:13" x14ac:dyDescent="0.35">
      <c r="A3856">
        <f t="shared" si="11084"/>
        <v>3852</v>
      </c>
      <c r="B3856" s="9">
        <f t="shared" si="11197"/>
        <v>80.37</v>
      </c>
      <c r="C3856" s="3" t="s">
        <v>4262</v>
      </c>
      <c r="D3856">
        <f t="shared" si="11198"/>
        <v>29</v>
      </c>
      <c r="E3856">
        <f t="shared" si="11199"/>
        <v>12</v>
      </c>
      <c r="F3856">
        <f t="shared" si="11200"/>
        <v>2024</v>
      </c>
      <c r="G3856" t="s">
        <v>7</v>
      </c>
      <c r="H3856">
        <v>-2</v>
      </c>
      <c r="I3856">
        <v>4</v>
      </c>
      <c r="K3856" t="s">
        <v>10</v>
      </c>
      <c r="L3856" s="8">
        <f t="shared" si="11079"/>
        <v>1</v>
      </c>
      <c r="M3856" t="s">
        <v>4263</v>
      </c>
    </row>
    <row r="3857" spans="1:13" x14ac:dyDescent="0.35">
      <c r="A3857">
        <f t="shared" ref="A3857" si="11201">A3856+1</f>
        <v>3853</v>
      </c>
      <c r="B3857" s="9">
        <f t="shared" si="11197"/>
        <v>80.37</v>
      </c>
      <c r="C3857" s="3" t="s">
        <v>4262</v>
      </c>
      <c r="D3857">
        <f t="shared" si="11198"/>
        <v>29</v>
      </c>
      <c r="E3857">
        <f t="shared" si="11199"/>
        <v>12</v>
      </c>
      <c r="F3857">
        <f t="shared" si="11200"/>
        <v>2024</v>
      </c>
      <c r="G3857" t="s">
        <v>3039</v>
      </c>
      <c r="K3857" t="s">
        <v>9</v>
      </c>
      <c r="L3857" s="8">
        <f t="shared" si="11079"/>
        <v>0</v>
      </c>
      <c r="M3857" t="s">
        <v>4264</v>
      </c>
    </row>
    <row r="3858" spans="1:13" x14ac:dyDescent="0.35">
      <c r="A3858">
        <f t="shared" si="11084"/>
        <v>3854</v>
      </c>
      <c r="B3858" s="9">
        <f t="shared" ref="B3858:B3859" si="11202">B3857+H3858+I3858+J3858</f>
        <v>84.2</v>
      </c>
      <c r="C3858" s="3" t="s">
        <v>4262</v>
      </c>
      <c r="D3858">
        <f t="shared" ref="D3858:D3859" si="11203">_xlfn.NUMBERVALUE(LEFT(C3858,2))</f>
        <v>29</v>
      </c>
      <c r="E3858">
        <f t="shared" ref="E3858:E3859" si="11204">_xlfn.NUMBERVALUE(MID(C3858,4,2))</f>
        <v>12</v>
      </c>
      <c r="F3858">
        <f t="shared" ref="F3858:F3859" si="11205">_xlfn.NUMBERVALUE(RIGHT(C3858,4))</f>
        <v>2024</v>
      </c>
      <c r="G3858" t="s">
        <v>1389</v>
      </c>
      <c r="H3858">
        <v>-10</v>
      </c>
      <c r="I3858">
        <v>13.83</v>
      </c>
      <c r="K3858" t="s">
        <v>10</v>
      </c>
      <c r="L3858" s="8">
        <f t="shared" si="11079"/>
        <v>0.38300000000000001</v>
      </c>
      <c r="M3858" t="s">
        <v>4265</v>
      </c>
    </row>
    <row r="3859" spans="1:13" x14ac:dyDescent="0.35">
      <c r="A3859">
        <f t="shared" si="11084"/>
        <v>3855</v>
      </c>
      <c r="B3859" s="9">
        <f t="shared" si="11202"/>
        <v>87.2</v>
      </c>
      <c r="C3859" s="3" t="s">
        <v>4262</v>
      </c>
      <c r="D3859">
        <f t="shared" si="11203"/>
        <v>29</v>
      </c>
      <c r="E3859">
        <f t="shared" si="11204"/>
        <v>12</v>
      </c>
      <c r="F3859">
        <f t="shared" si="11205"/>
        <v>2024</v>
      </c>
      <c r="G3859" t="s">
        <v>4209</v>
      </c>
      <c r="I3859">
        <v>3</v>
      </c>
      <c r="K3859" t="s">
        <v>10</v>
      </c>
    </row>
    <row r="3860" spans="1:13" x14ac:dyDescent="0.35">
      <c r="A3860">
        <f t="shared" si="11084"/>
        <v>3856</v>
      </c>
      <c r="B3860" s="9">
        <f t="shared" ref="B3860:B3861" si="11206">B3859+H3860+I3860+J3860</f>
        <v>78.66</v>
      </c>
      <c r="C3860" s="3" t="s">
        <v>4262</v>
      </c>
      <c r="D3860">
        <f t="shared" ref="D3860:D3861" si="11207">_xlfn.NUMBERVALUE(LEFT(C3860,2))</f>
        <v>29</v>
      </c>
      <c r="E3860">
        <f t="shared" ref="E3860:E3861" si="11208">_xlfn.NUMBERVALUE(MID(C3860,4,2))</f>
        <v>12</v>
      </c>
      <c r="F3860">
        <f t="shared" ref="F3860:F3861" si="11209">_xlfn.NUMBERVALUE(RIGHT(C3860,4))</f>
        <v>2024</v>
      </c>
      <c r="G3860" t="s">
        <v>1389</v>
      </c>
      <c r="H3860">
        <v>-20</v>
      </c>
      <c r="I3860">
        <v>11.46</v>
      </c>
      <c r="K3860" t="s">
        <v>9</v>
      </c>
      <c r="L3860" s="8">
        <f t="shared" si="11079"/>
        <v>-0.42699999999999994</v>
      </c>
      <c r="M3860" t="s">
        <v>4266</v>
      </c>
    </row>
    <row r="3861" spans="1:13" x14ac:dyDescent="0.35">
      <c r="A3861">
        <f t="shared" si="11084"/>
        <v>3857</v>
      </c>
      <c r="B3861" s="9">
        <f t="shared" si="11206"/>
        <v>87.899999999999991</v>
      </c>
      <c r="C3861" s="3" t="s">
        <v>4262</v>
      </c>
      <c r="D3861">
        <f t="shared" si="11207"/>
        <v>29</v>
      </c>
      <c r="E3861">
        <f t="shared" si="11208"/>
        <v>12</v>
      </c>
      <c r="F3861">
        <f t="shared" si="11209"/>
        <v>2024</v>
      </c>
      <c r="G3861" t="s">
        <v>1389</v>
      </c>
      <c r="H3861">
        <v>-10</v>
      </c>
      <c r="I3861">
        <v>19.239999999999998</v>
      </c>
      <c r="K3861" t="s">
        <v>10</v>
      </c>
      <c r="L3861" s="8">
        <f t="shared" si="11079"/>
        <v>0.92399999999999993</v>
      </c>
      <c r="M3861" t="s">
        <v>4267</v>
      </c>
    </row>
    <row r="3862" spans="1:13" x14ac:dyDescent="0.35">
      <c r="A3862">
        <f t="shared" si="11084"/>
        <v>3858</v>
      </c>
      <c r="B3862" s="9">
        <f t="shared" ref="B3862" si="11210">B3861+H3862+I3862+J3862</f>
        <v>96.949999999999989</v>
      </c>
      <c r="C3862" s="3" t="s">
        <v>4262</v>
      </c>
      <c r="D3862">
        <f t="shared" ref="D3862" si="11211">_xlfn.NUMBERVALUE(LEFT(C3862,2))</f>
        <v>29</v>
      </c>
      <c r="E3862">
        <f t="shared" ref="E3862" si="11212">_xlfn.NUMBERVALUE(MID(C3862,4,2))</f>
        <v>12</v>
      </c>
      <c r="F3862">
        <f t="shared" ref="F3862" si="11213">_xlfn.NUMBERVALUE(RIGHT(C3862,4))</f>
        <v>2024</v>
      </c>
      <c r="G3862" t="s">
        <v>1389</v>
      </c>
      <c r="H3862">
        <v>-10</v>
      </c>
      <c r="I3862">
        <v>19.05</v>
      </c>
      <c r="K3862" t="s">
        <v>10</v>
      </c>
      <c r="L3862" s="8">
        <f t="shared" si="11079"/>
        <v>0.90500000000000003</v>
      </c>
      <c r="M3862" t="s">
        <v>4268</v>
      </c>
    </row>
    <row r="3863" spans="1:13" x14ac:dyDescent="0.35">
      <c r="A3863">
        <f t="shared" si="11084"/>
        <v>3859</v>
      </c>
      <c r="B3863" s="9">
        <f t="shared" ref="B3863:B3866" si="11214">B3862+H3863+I3863+J3863</f>
        <v>103.07</v>
      </c>
      <c r="C3863" s="3" t="s">
        <v>4262</v>
      </c>
      <c r="D3863">
        <f t="shared" ref="D3863:D3866" si="11215">_xlfn.NUMBERVALUE(LEFT(C3863,2))</f>
        <v>29</v>
      </c>
      <c r="E3863">
        <f t="shared" ref="E3863:E3866" si="11216">_xlfn.NUMBERVALUE(MID(C3863,4,2))</f>
        <v>12</v>
      </c>
      <c r="F3863">
        <f t="shared" ref="F3863:F3866" si="11217">_xlfn.NUMBERVALUE(RIGHT(C3863,4))</f>
        <v>2024</v>
      </c>
      <c r="G3863" t="s">
        <v>1389</v>
      </c>
      <c r="H3863">
        <v>-15</v>
      </c>
      <c r="I3863">
        <v>21.12</v>
      </c>
      <c r="K3863" t="s">
        <v>10</v>
      </c>
      <c r="L3863" s="8">
        <f t="shared" si="11079"/>
        <v>0.40800000000000014</v>
      </c>
      <c r="M3863" t="s">
        <v>4269</v>
      </c>
    </row>
    <row r="3864" spans="1:13" x14ac:dyDescent="0.35">
      <c r="A3864">
        <f t="shared" si="11084"/>
        <v>3860</v>
      </c>
      <c r="B3864" s="9">
        <f t="shared" si="11214"/>
        <v>101.07</v>
      </c>
      <c r="C3864" s="3" t="s">
        <v>4270</v>
      </c>
      <c r="D3864">
        <f t="shared" si="11215"/>
        <v>30</v>
      </c>
      <c r="E3864">
        <f t="shared" si="11216"/>
        <v>12</v>
      </c>
      <c r="F3864">
        <f t="shared" si="11217"/>
        <v>2024</v>
      </c>
      <c r="G3864" t="s">
        <v>7</v>
      </c>
      <c r="H3864">
        <v>-2</v>
      </c>
      <c r="K3864" t="s">
        <v>9</v>
      </c>
      <c r="L3864" s="8">
        <f t="shared" si="11079"/>
        <v>-1</v>
      </c>
      <c r="M3864" t="s">
        <v>4271</v>
      </c>
    </row>
    <row r="3865" spans="1:13" x14ac:dyDescent="0.35">
      <c r="A3865">
        <f t="shared" ref="A3865" si="11218">A3864+1</f>
        <v>3861</v>
      </c>
      <c r="B3865" s="9">
        <f t="shared" si="11214"/>
        <v>101.07</v>
      </c>
      <c r="C3865" s="3" t="s">
        <v>4270</v>
      </c>
      <c r="D3865">
        <f t="shared" si="11215"/>
        <v>30</v>
      </c>
      <c r="E3865">
        <f t="shared" si="11216"/>
        <v>12</v>
      </c>
      <c r="F3865">
        <f t="shared" si="11217"/>
        <v>2024</v>
      </c>
      <c r="G3865" t="s">
        <v>3039</v>
      </c>
      <c r="K3865" t="s">
        <v>9</v>
      </c>
      <c r="L3865" s="8">
        <f t="shared" si="11079"/>
        <v>0</v>
      </c>
      <c r="M3865" t="s">
        <v>4272</v>
      </c>
    </row>
    <row r="3866" spans="1:13" x14ac:dyDescent="0.35">
      <c r="A3866">
        <f t="shared" si="11084"/>
        <v>3862</v>
      </c>
      <c r="B3866" s="9">
        <f t="shared" si="11214"/>
        <v>104.08999999999999</v>
      </c>
      <c r="C3866" s="3" t="s">
        <v>4270</v>
      </c>
      <c r="D3866">
        <f t="shared" si="11215"/>
        <v>30</v>
      </c>
      <c r="E3866">
        <f t="shared" si="11216"/>
        <v>12</v>
      </c>
      <c r="F3866">
        <f t="shared" si="11217"/>
        <v>2024</v>
      </c>
      <c r="G3866" t="s">
        <v>1389</v>
      </c>
      <c r="H3866">
        <v>-10</v>
      </c>
      <c r="I3866">
        <v>13.02</v>
      </c>
      <c r="K3866" t="s">
        <v>10</v>
      </c>
      <c r="L3866" s="8">
        <f t="shared" si="11079"/>
        <v>0.30200000000000005</v>
      </c>
      <c r="M3866" t="s">
        <v>4273</v>
      </c>
    </row>
    <row r="3867" spans="1:13" x14ac:dyDescent="0.35">
      <c r="A3867">
        <f t="shared" si="11084"/>
        <v>3863</v>
      </c>
      <c r="B3867" s="9">
        <f t="shared" ref="B3867:B3868" si="11219">B3866+H3867+I3867+J3867</f>
        <v>96.97999999999999</v>
      </c>
      <c r="C3867" s="3" t="s">
        <v>4270</v>
      </c>
      <c r="D3867">
        <f t="shared" ref="D3867:D3868" si="11220">_xlfn.NUMBERVALUE(LEFT(C3867,2))</f>
        <v>30</v>
      </c>
      <c r="E3867">
        <f t="shared" ref="E3867:E3868" si="11221">_xlfn.NUMBERVALUE(MID(C3867,4,2))</f>
        <v>12</v>
      </c>
      <c r="F3867">
        <f t="shared" ref="F3867:F3868" si="11222">_xlfn.NUMBERVALUE(RIGHT(C3867,4))</f>
        <v>2024</v>
      </c>
      <c r="G3867" t="s">
        <v>1389</v>
      </c>
      <c r="H3867">
        <v>-10</v>
      </c>
      <c r="I3867">
        <v>2.89</v>
      </c>
      <c r="K3867" t="s">
        <v>9</v>
      </c>
      <c r="L3867" s="8">
        <f t="shared" si="11079"/>
        <v>-0.71099999999999997</v>
      </c>
      <c r="M3867" t="s">
        <v>4274</v>
      </c>
    </row>
    <row r="3868" spans="1:13" x14ac:dyDescent="0.35">
      <c r="A3868">
        <f t="shared" si="11084"/>
        <v>3864</v>
      </c>
      <c r="B3868" s="9">
        <f t="shared" si="11219"/>
        <v>97.97999999999999</v>
      </c>
      <c r="C3868" s="3" t="s">
        <v>4270</v>
      </c>
      <c r="D3868">
        <f t="shared" si="11220"/>
        <v>30</v>
      </c>
      <c r="E3868">
        <f t="shared" si="11221"/>
        <v>12</v>
      </c>
      <c r="F3868">
        <f t="shared" si="11222"/>
        <v>2024</v>
      </c>
      <c r="G3868" t="s">
        <v>4209</v>
      </c>
      <c r="I3868">
        <v>1</v>
      </c>
      <c r="K3868" t="s">
        <v>10</v>
      </c>
    </row>
    <row r="3869" spans="1:13" x14ac:dyDescent="0.35">
      <c r="A3869">
        <f t="shared" si="11084"/>
        <v>3865</v>
      </c>
      <c r="B3869" s="9">
        <f t="shared" ref="B3869:B3871" si="11223">B3868+H3869+I3869+J3869</f>
        <v>93.059999999999988</v>
      </c>
      <c r="C3869" s="3" t="s">
        <v>4270</v>
      </c>
      <c r="D3869">
        <f t="shared" ref="D3869:D3871" si="11224">_xlfn.NUMBERVALUE(LEFT(C3869,2))</f>
        <v>30</v>
      </c>
      <c r="E3869">
        <f t="shared" ref="E3869:E3871" si="11225">_xlfn.NUMBERVALUE(MID(C3869,4,2))</f>
        <v>12</v>
      </c>
      <c r="F3869">
        <f t="shared" ref="F3869:F3871" si="11226">_xlfn.NUMBERVALUE(RIGHT(C3869,4))</f>
        <v>2024</v>
      </c>
      <c r="G3869" t="s">
        <v>1389</v>
      </c>
      <c r="H3869">
        <v>-10</v>
      </c>
      <c r="I3869">
        <v>5.08</v>
      </c>
      <c r="K3869" t="s">
        <v>9</v>
      </c>
      <c r="L3869" s="8">
        <f t="shared" si="11079"/>
        <v>-0.49199999999999999</v>
      </c>
      <c r="M3869" t="s">
        <v>4275</v>
      </c>
    </row>
    <row r="3870" spans="1:13" x14ac:dyDescent="0.35">
      <c r="A3870">
        <f t="shared" si="11084"/>
        <v>3866</v>
      </c>
      <c r="B3870" s="9">
        <f t="shared" si="11223"/>
        <v>91.059999999999988</v>
      </c>
      <c r="C3870" s="3" t="s">
        <v>4276</v>
      </c>
      <c r="D3870">
        <f t="shared" si="11224"/>
        <v>31</v>
      </c>
      <c r="E3870">
        <f t="shared" si="11225"/>
        <v>12</v>
      </c>
      <c r="F3870">
        <f t="shared" si="11226"/>
        <v>2024</v>
      </c>
      <c r="G3870" t="s">
        <v>7</v>
      </c>
      <c r="H3870">
        <v>-2</v>
      </c>
      <c r="K3870" t="s">
        <v>9</v>
      </c>
      <c r="L3870" s="8">
        <f t="shared" si="11079"/>
        <v>-1</v>
      </c>
      <c r="M3870" t="s">
        <v>4277</v>
      </c>
    </row>
    <row r="3871" spans="1:13" x14ac:dyDescent="0.35">
      <c r="A3871">
        <f t="shared" ref="A3871:A4130" si="11227">A3870+1</f>
        <v>3867</v>
      </c>
      <c r="B3871" s="9">
        <f t="shared" si="11223"/>
        <v>91.059999999999988</v>
      </c>
      <c r="C3871" s="3" t="s">
        <v>4276</v>
      </c>
      <c r="D3871">
        <f t="shared" si="11224"/>
        <v>31</v>
      </c>
      <c r="E3871">
        <f t="shared" si="11225"/>
        <v>12</v>
      </c>
      <c r="F3871">
        <f t="shared" si="11226"/>
        <v>2024</v>
      </c>
      <c r="G3871" t="s">
        <v>3039</v>
      </c>
      <c r="K3871" t="s">
        <v>10</v>
      </c>
      <c r="L3871" s="8">
        <f t="shared" si="11079"/>
        <v>0</v>
      </c>
      <c r="M3871" t="s">
        <v>4278</v>
      </c>
    </row>
    <row r="3872" spans="1:13" x14ac:dyDescent="0.35">
      <c r="A3872">
        <f t="shared" si="11227"/>
        <v>3868</v>
      </c>
      <c r="B3872" s="9">
        <f t="shared" ref="B3872:B3873" si="11228">B3871+H3872+I3872+J3872</f>
        <v>91.059999999999988</v>
      </c>
      <c r="C3872" s="3" t="s">
        <v>4276</v>
      </c>
      <c r="D3872">
        <f t="shared" ref="D3872:D3873" si="11229">_xlfn.NUMBERVALUE(LEFT(C3872,2))</f>
        <v>31</v>
      </c>
      <c r="E3872">
        <f t="shared" ref="E3872:E3873" si="11230">_xlfn.NUMBERVALUE(MID(C3872,4,2))</f>
        <v>12</v>
      </c>
      <c r="F3872">
        <f t="shared" ref="F3872:F3873" si="11231">_xlfn.NUMBERVALUE(RIGHT(C3872,4))</f>
        <v>2024</v>
      </c>
      <c r="G3872" t="s">
        <v>2969</v>
      </c>
      <c r="K3872" t="s">
        <v>9</v>
      </c>
      <c r="L3872" s="8">
        <f t="shared" si="11079"/>
        <v>0</v>
      </c>
      <c r="M3872" t="s">
        <v>4279</v>
      </c>
    </row>
    <row r="3873" spans="1:13" x14ac:dyDescent="0.35">
      <c r="A3873">
        <f t="shared" si="11227"/>
        <v>3869</v>
      </c>
      <c r="B3873" s="9">
        <f t="shared" si="11228"/>
        <v>93.059999999999988</v>
      </c>
      <c r="C3873" s="3" t="s">
        <v>4280</v>
      </c>
      <c r="D3873">
        <f t="shared" si="11229"/>
        <v>1</v>
      </c>
      <c r="E3873">
        <f t="shared" si="11230"/>
        <v>1</v>
      </c>
      <c r="F3873">
        <f t="shared" si="11231"/>
        <v>2025</v>
      </c>
      <c r="G3873" t="s">
        <v>7</v>
      </c>
      <c r="H3873">
        <v>-2</v>
      </c>
      <c r="I3873">
        <v>4</v>
      </c>
      <c r="K3873" t="s">
        <v>10</v>
      </c>
      <c r="L3873" s="8">
        <f t="shared" si="11079"/>
        <v>1</v>
      </c>
      <c r="M3873" t="s">
        <v>4281</v>
      </c>
    </row>
    <row r="3874" spans="1:13" x14ac:dyDescent="0.35">
      <c r="A3874">
        <f t="shared" si="11227"/>
        <v>3870</v>
      </c>
      <c r="B3874" s="9">
        <f t="shared" ref="B3874:B3877" si="11232">B3873+H3874+I3874+J3874</f>
        <v>91.059999999999988</v>
      </c>
      <c r="C3874" s="3" t="s">
        <v>4280</v>
      </c>
      <c r="D3874">
        <f t="shared" ref="D3874:D3877" si="11233">_xlfn.NUMBERVALUE(LEFT(C3874,2))</f>
        <v>1</v>
      </c>
      <c r="E3874">
        <f t="shared" ref="E3874:E3877" si="11234">_xlfn.NUMBERVALUE(MID(C3874,4,2))</f>
        <v>1</v>
      </c>
      <c r="F3874">
        <f t="shared" ref="F3874:F3877" si="11235">_xlfn.NUMBERVALUE(RIGHT(C3874,4))</f>
        <v>2025</v>
      </c>
      <c r="G3874" t="s">
        <v>7</v>
      </c>
      <c r="H3874">
        <v>-2</v>
      </c>
      <c r="K3874" t="s">
        <v>9</v>
      </c>
      <c r="L3874" s="8">
        <f t="shared" si="11079"/>
        <v>-1</v>
      </c>
      <c r="M3874" t="s">
        <v>4282</v>
      </c>
    </row>
    <row r="3875" spans="1:13" x14ac:dyDescent="0.35">
      <c r="A3875">
        <f t="shared" si="11227"/>
        <v>3871</v>
      </c>
      <c r="B3875" s="9">
        <f t="shared" si="11232"/>
        <v>91.059999999999988</v>
      </c>
      <c r="C3875" s="3" t="s">
        <v>4280</v>
      </c>
      <c r="D3875">
        <f t="shared" si="11233"/>
        <v>1</v>
      </c>
      <c r="E3875">
        <f t="shared" si="11234"/>
        <v>1</v>
      </c>
      <c r="F3875">
        <f t="shared" si="11235"/>
        <v>2025</v>
      </c>
      <c r="G3875" t="s">
        <v>3039</v>
      </c>
      <c r="K3875" t="s">
        <v>9</v>
      </c>
      <c r="L3875" s="8">
        <f t="shared" si="11079"/>
        <v>0</v>
      </c>
      <c r="M3875" t="s">
        <v>4283</v>
      </c>
    </row>
    <row r="3876" spans="1:13" x14ac:dyDescent="0.35">
      <c r="A3876">
        <f t="shared" si="11227"/>
        <v>3872</v>
      </c>
      <c r="B3876" s="9">
        <f t="shared" si="11232"/>
        <v>92.1</v>
      </c>
      <c r="C3876" s="3" t="s">
        <v>4280</v>
      </c>
      <c r="D3876">
        <f t="shared" si="11233"/>
        <v>1</v>
      </c>
      <c r="E3876">
        <f t="shared" si="11234"/>
        <v>1</v>
      </c>
      <c r="F3876">
        <f t="shared" si="11235"/>
        <v>2025</v>
      </c>
      <c r="G3876" t="s">
        <v>1389</v>
      </c>
      <c r="H3876">
        <v>-15</v>
      </c>
      <c r="I3876">
        <v>16.04</v>
      </c>
      <c r="K3876" t="s">
        <v>10</v>
      </c>
      <c r="L3876" s="8">
        <f t="shared" si="11079"/>
        <v>6.9333333333333247E-2</v>
      </c>
      <c r="M3876" t="s">
        <v>4284</v>
      </c>
    </row>
    <row r="3877" spans="1:13" x14ac:dyDescent="0.35">
      <c r="A3877">
        <f t="shared" si="11227"/>
        <v>3873</v>
      </c>
      <c r="B3877" s="9">
        <f t="shared" si="11232"/>
        <v>96.1</v>
      </c>
      <c r="C3877" s="3" t="s">
        <v>4280</v>
      </c>
      <c r="D3877">
        <f t="shared" si="11233"/>
        <v>1</v>
      </c>
      <c r="E3877">
        <f t="shared" si="11234"/>
        <v>1</v>
      </c>
      <c r="F3877">
        <f t="shared" si="11235"/>
        <v>2025</v>
      </c>
      <c r="G3877" t="s">
        <v>4209</v>
      </c>
      <c r="I3877">
        <v>4</v>
      </c>
      <c r="K3877" t="s">
        <v>10</v>
      </c>
    </row>
    <row r="3878" spans="1:13" x14ac:dyDescent="0.35">
      <c r="A3878">
        <f t="shared" si="11227"/>
        <v>3874</v>
      </c>
      <c r="B3878" s="9">
        <f t="shared" ref="B3878" si="11236">B3877+H3878+I3878+J3878</f>
        <v>99.38</v>
      </c>
      <c r="C3878" s="3" t="s">
        <v>4280</v>
      </c>
      <c r="D3878">
        <f t="shared" ref="D3878" si="11237">_xlfn.NUMBERVALUE(LEFT(C3878,2))</f>
        <v>1</v>
      </c>
      <c r="E3878">
        <f t="shared" ref="E3878" si="11238">_xlfn.NUMBERVALUE(MID(C3878,4,2))</f>
        <v>1</v>
      </c>
      <c r="F3878">
        <f t="shared" ref="F3878" si="11239">_xlfn.NUMBERVALUE(RIGHT(C3878,4))</f>
        <v>2025</v>
      </c>
      <c r="G3878" t="s">
        <v>1389</v>
      </c>
      <c r="H3878">
        <v>-10</v>
      </c>
      <c r="I3878">
        <v>13.28</v>
      </c>
      <c r="K3878" t="s">
        <v>10</v>
      </c>
      <c r="L3878" s="8">
        <f t="shared" si="11079"/>
        <v>0.32799999999999985</v>
      </c>
      <c r="M3878" t="s">
        <v>4285</v>
      </c>
    </row>
    <row r="3879" spans="1:13" x14ac:dyDescent="0.35">
      <c r="A3879">
        <f t="shared" si="11227"/>
        <v>3875</v>
      </c>
      <c r="B3879" s="9">
        <f t="shared" ref="B3879:B3881" si="11240">B3878+H3879+I3879+J3879</f>
        <v>108.07</v>
      </c>
      <c r="C3879" s="3" t="s">
        <v>4280</v>
      </c>
      <c r="D3879">
        <f t="shared" ref="D3879:D3881" si="11241">_xlfn.NUMBERVALUE(LEFT(C3879,2))</f>
        <v>1</v>
      </c>
      <c r="E3879">
        <f t="shared" ref="E3879:E3881" si="11242">_xlfn.NUMBERVALUE(MID(C3879,4,2))</f>
        <v>1</v>
      </c>
      <c r="F3879">
        <f t="shared" ref="F3879:F3881" si="11243">_xlfn.NUMBERVALUE(RIGHT(C3879,4))</f>
        <v>2025</v>
      </c>
      <c r="G3879" t="s">
        <v>1389</v>
      </c>
      <c r="H3879">
        <v>-10</v>
      </c>
      <c r="I3879">
        <v>18.690000000000001</v>
      </c>
      <c r="K3879" t="s">
        <v>10</v>
      </c>
      <c r="L3879" s="8">
        <f t="shared" si="11079"/>
        <v>0.86900000000000022</v>
      </c>
      <c r="M3879" t="s">
        <v>4286</v>
      </c>
    </row>
    <row r="3880" spans="1:13" x14ac:dyDescent="0.35">
      <c r="A3880">
        <f t="shared" si="11227"/>
        <v>3876</v>
      </c>
      <c r="B3880" s="9">
        <f t="shared" si="11240"/>
        <v>106.07</v>
      </c>
      <c r="C3880" s="3" t="s">
        <v>4287</v>
      </c>
      <c r="D3880">
        <f t="shared" si="11241"/>
        <v>2</v>
      </c>
      <c r="E3880">
        <f t="shared" si="11242"/>
        <v>1</v>
      </c>
      <c r="F3880">
        <f t="shared" si="11243"/>
        <v>2025</v>
      </c>
      <c r="G3880" t="s">
        <v>7</v>
      </c>
      <c r="H3880">
        <v>-2</v>
      </c>
      <c r="K3880" t="s">
        <v>9</v>
      </c>
      <c r="L3880" s="8">
        <f t="shared" si="11079"/>
        <v>-1</v>
      </c>
      <c r="M3880" t="s">
        <v>4288</v>
      </c>
    </row>
    <row r="3881" spans="1:13" x14ac:dyDescent="0.35">
      <c r="A3881">
        <f t="shared" si="11227"/>
        <v>3877</v>
      </c>
      <c r="B3881" s="9">
        <f t="shared" si="11240"/>
        <v>106.07</v>
      </c>
      <c r="C3881" s="3" t="s">
        <v>4287</v>
      </c>
      <c r="D3881">
        <f t="shared" si="11241"/>
        <v>2</v>
      </c>
      <c r="E3881">
        <f t="shared" si="11242"/>
        <v>1</v>
      </c>
      <c r="F3881">
        <f t="shared" si="11243"/>
        <v>2025</v>
      </c>
      <c r="G3881" t="s">
        <v>3039</v>
      </c>
      <c r="K3881" t="s">
        <v>10</v>
      </c>
      <c r="L3881" s="8">
        <f t="shared" si="11079"/>
        <v>0</v>
      </c>
      <c r="M3881" t="s">
        <v>4289</v>
      </c>
    </row>
    <row r="3882" spans="1:13" x14ac:dyDescent="0.35">
      <c r="A3882">
        <f t="shared" si="11227"/>
        <v>3878</v>
      </c>
      <c r="B3882" s="9">
        <f t="shared" ref="B3882:B3883" si="11244">B3881+H3882+I3882+J3882</f>
        <v>106.07</v>
      </c>
      <c r="C3882" s="3" t="s">
        <v>4287</v>
      </c>
      <c r="D3882">
        <f t="shared" ref="D3882:D3883" si="11245">_xlfn.NUMBERVALUE(LEFT(C3882,2))</f>
        <v>2</v>
      </c>
      <c r="E3882">
        <f t="shared" ref="E3882:E3883" si="11246">_xlfn.NUMBERVALUE(MID(C3882,4,2))</f>
        <v>1</v>
      </c>
      <c r="F3882">
        <f t="shared" ref="F3882:F3883" si="11247">_xlfn.NUMBERVALUE(RIGHT(C3882,4))</f>
        <v>2025</v>
      </c>
      <c r="G3882" t="s">
        <v>2969</v>
      </c>
      <c r="K3882" t="s">
        <v>10</v>
      </c>
      <c r="L3882" s="8">
        <f t="shared" si="11079"/>
        <v>0</v>
      </c>
      <c r="M3882" t="s">
        <v>4290</v>
      </c>
    </row>
    <row r="3883" spans="1:13" x14ac:dyDescent="0.35">
      <c r="A3883">
        <f t="shared" si="11227"/>
        <v>3879</v>
      </c>
      <c r="B3883" s="9">
        <f t="shared" si="11244"/>
        <v>108.69999999999999</v>
      </c>
      <c r="C3883" s="3" t="s">
        <v>4287</v>
      </c>
      <c r="D3883">
        <f t="shared" si="11245"/>
        <v>2</v>
      </c>
      <c r="E3883">
        <f t="shared" si="11246"/>
        <v>1</v>
      </c>
      <c r="F3883">
        <f t="shared" si="11247"/>
        <v>2025</v>
      </c>
      <c r="G3883" t="s">
        <v>1389</v>
      </c>
      <c r="H3883">
        <v>-10</v>
      </c>
      <c r="I3883">
        <v>12.63</v>
      </c>
      <c r="K3883" t="s">
        <v>10</v>
      </c>
      <c r="L3883" s="8">
        <f t="shared" si="11079"/>
        <v>0.26300000000000012</v>
      </c>
      <c r="M3883" t="s">
        <v>4291</v>
      </c>
    </row>
    <row r="3884" spans="1:13" x14ac:dyDescent="0.35">
      <c r="A3884">
        <f t="shared" si="11227"/>
        <v>3880</v>
      </c>
      <c r="B3884" s="9">
        <f t="shared" ref="B3884" si="11248">B3883+H3884+I3884+J3884</f>
        <v>119.58999999999999</v>
      </c>
      <c r="C3884" s="3" t="s">
        <v>4287</v>
      </c>
      <c r="D3884">
        <f t="shared" ref="D3884" si="11249">_xlfn.NUMBERVALUE(LEFT(C3884,2))</f>
        <v>2</v>
      </c>
      <c r="E3884">
        <f t="shared" ref="E3884" si="11250">_xlfn.NUMBERVALUE(MID(C3884,4,2))</f>
        <v>1</v>
      </c>
      <c r="F3884">
        <f t="shared" ref="F3884" si="11251">_xlfn.NUMBERVALUE(RIGHT(C3884,4))</f>
        <v>2025</v>
      </c>
      <c r="G3884" t="s">
        <v>1389</v>
      </c>
      <c r="H3884">
        <v>-10</v>
      </c>
      <c r="I3884">
        <v>20.89</v>
      </c>
      <c r="K3884" t="s">
        <v>10</v>
      </c>
      <c r="L3884" s="8">
        <f t="shared" si="11079"/>
        <v>1.089</v>
      </c>
      <c r="M3884" t="s">
        <v>4292</v>
      </c>
    </row>
    <row r="3885" spans="1:13" x14ac:dyDescent="0.35">
      <c r="A3885">
        <f t="shared" si="11227"/>
        <v>3881</v>
      </c>
      <c r="B3885" s="9">
        <f t="shared" ref="B3885:B3888" si="11252">B3884+H3885+I3885+J3885</f>
        <v>120.66</v>
      </c>
      <c r="C3885" s="3" t="s">
        <v>4287</v>
      </c>
      <c r="D3885">
        <f t="shared" ref="D3885:D3888" si="11253">_xlfn.NUMBERVALUE(LEFT(C3885,2))</f>
        <v>2</v>
      </c>
      <c r="E3885">
        <f t="shared" ref="E3885:E3888" si="11254">_xlfn.NUMBERVALUE(MID(C3885,4,2))</f>
        <v>1</v>
      </c>
      <c r="F3885">
        <f t="shared" ref="F3885:F3888" si="11255">_xlfn.NUMBERVALUE(RIGHT(C3885,4))</f>
        <v>2025</v>
      </c>
      <c r="G3885" t="s">
        <v>1389</v>
      </c>
      <c r="H3885">
        <v>-10</v>
      </c>
      <c r="I3885">
        <v>11.07</v>
      </c>
      <c r="K3885" t="s">
        <v>10</v>
      </c>
      <c r="L3885" s="8">
        <f t="shared" si="11079"/>
        <v>0.10699999999999998</v>
      </c>
      <c r="M3885" t="s">
        <v>4293</v>
      </c>
    </row>
    <row r="3886" spans="1:13" x14ac:dyDescent="0.35">
      <c r="A3886">
        <f t="shared" si="11227"/>
        <v>3882</v>
      </c>
      <c r="B3886" s="9">
        <f t="shared" si="11252"/>
        <v>120.66</v>
      </c>
      <c r="C3886" s="3" t="s">
        <v>4287</v>
      </c>
      <c r="D3886">
        <f t="shared" si="11253"/>
        <v>2</v>
      </c>
      <c r="E3886">
        <f t="shared" si="11254"/>
        <v>1</v>
      </c>
      <c r="F3886">
        <f t="shared" si="11255"/>
        <v>2025</v>
      </c>
      <c r="G3886" t="s">
        <v>3040</v>
      </c>
      <c r="K3886" t="s">
        <v>9</v>
      </c>
      <c r="L3886" s="8">
        <f t="shared" si="11079"/>
        <v>0</v>
      </c>
      <c r="M3886" t="s">
        <v>4294</v>
      </c>
    </row>
    <row r="3887" spans="1:13" x14ac:dyDescent="0.35">
      <c r="A3887">
        <f t="shared" si="11227"/>
        <v>3883</v>
      </c>
      <c r="B3887" s="9">
        <f t="shared" si="11252"/>
        <v>118.66</v>
      </c>
      <c r="C3887" s="3" t="s">
        <v>4295</v>
      </c>
      <c r="D3887">
        <f t="shared" si="11253"/>
        <v>3</v>
      </c>
      <c r="E3887">
        <f t="shared" si="11254"/>
        <v>1</v>
      </c>
      <c r="F3887">
        <f t="shared" si="11255"/>
        <v>2025</v>
      </c>
      <c r="G3887" t="s">
        <v>7</v>
      </c>
      <c r="H3887">
        <v>-2</v>
      </c>
      <c r="K3887" t="s">
        <v>9</v>
      </c>
      <c r="L3887" s="8">
        <f t="shared" si="11079"/>
        <v>-1</v>
      </c>
      <c r="M3887" t="s">
        <v>4296</v>
      </c>
    </row>
    <row r="3888" spans="1:13" x14ac:dyDescent="0.35">
      <c r="A3888">
        <f t="shared" si="11227"/>
        <v>3884</v>
      </c>
      <c r="B3888" s="9">
        <f t="shared" si="11252"/>
        <v>118.66</v>
      </c>
      <c r="C3888" s="3" t="s">
        <v>4295</v>
      </c>
      <c r="D3888">
        <f t="shared" si="11253"/>
        <v>3</v>
      </c>
      <c r="E3888">
        <f t="shared" si="11254"/>
        <v>1</v>
      </c>
      <c r="F3888">
        <f t="shared" si="11255"/>
        <v>2025</v>
      </c>
      <c r="G3888" t="s">
        <v>3039</v>
      </c>
      <c r="K3888" t="s">
        <v>9</v>
      </c>
      <c r="L3888" s="8">
        <f t="shared" ref="L3888:L3921" si="11256">IF(H3888="",0,(SUM(I3888:J3888)/-H3888)-1)</f>
        <v>0</v>
      </c>
      <c r="M3888" t="s">
        <v>4297</v>
      </c>
    </row>
    <row r="3889" spans="1:13" x14ac:dyDescent="0.35">
      <c r="A3889">
        <f t="shared" si="11227"/>
        <v>3885</v>
      </c>
      <c r="B3889" s="9">
        <f t="shared" ref="B3889" si="11257">B3888+H3889+I3889+J3889</f>
        <v>108.66</v>
      </c>
      <c r="C3889" s="3" t="s">
        <v>4295</v>
      </c>
      <c r="D3889">
        <f t="shared" ref="D3889" si="11258">_xlfn.NUMBERVALUE(LEFT(C3889,2))</f>
        <v>3</v>
      </c>
      <c r="E3889">
        <f t="shared" ref="E3889" si="11259">_xlfn.NUMBERVALUE(MID(C3889,4,2))</f>
        <v>1</v>
      </c>
      <c r="F3889">
        <f t="shared" ref="F3889" si="11260">_xlfn.NUMBERVALUE(RIGHT(C3889,4))</f>
        <v>2025</v>
      </c>
      <c r="G3889" t="s">
        <v>1389</v>
      </c>
      <c r="H3889">
        <v>-10</v>
      </c>
      <c r="K3889" t="s">
        <v>9</v>
      </c>
      <c r="L3889" s="8">
        <f t="shared" si="11256"/>
        <v>-1</v>
      </c>
      <c r="M3889" t="s">
        <v>4298</v>
      </c>
    </row>
    <row r="3890" spans="1:13" x14ac:dyDescent="0.35">
      <c r="A3890">
        <f t="shared" si="11227"/>
        <v>3886</v>
      </c>
      <c r="B3890" s="9">
        <f t="shared" ref="B3890" si="11261">B3889+H3890+I3890+J3890</f>
        <v>113.75999999999999</v>
      </c>
      <c r="C3890" s="3" t="s">
        <v>4295</v>
      </c>
      <c r="D3890">
        <f t="shared" ref="D3890" si="11262">_xlfn.NUMBERVALUE(LEFT(C3890,2))</f>
        <v>3</v>
      </c>
      <c r="E3890">
        <f t="shared" ref="E3890" si="11263">_xlfn.NUMBERVALUE(MID(C3890,4,2))</f>
        <v>1</v>
      </c>
      <c r="F3890">
        <f t="shared" ref="F3890" si="11264">_xlfn.NUMBERVALUE(RIGHT(C3890,4))</f>
        <v>2025</v>
      </c>
      <c r="G3890" t="s">
        <v>1389</v>
      </c>
      <c r="H3890">
        <v>-10</v>
      </c>
      <c r="I3890" s="9">
        <v>15.1</v>
      </c>
      <c r="K3890" t="s">
        <v>10</v>
      </c>
      <c r="L3890" s="8">
        <f t="shared" si="11256"/>
        <v>0.51</v>
      </c>
      <c r="M3890" t="s">
        <v>4299</v>
      </c>
    </row>
    <row r="3891" spans="1:13" x14ac:dyDescent="0.35">
      <c r="A3891">
        <f t="shared" si="11227"/>
        <v>3887</v>
      </c>
      <c r="B3891" s="9">
        <f t="shared" ref="B3891" si="11265">B3890+H3891+I3891+J3891</f>
        <v>107.07999999999998</v>
      </c>
      <c r="C3891" s="3" t="s">
        <v>4295</v>
      </c>
      <c r="D3891">
        <f t="shared" ref="D3891" si="11266">_xlfn.NUMBERVALUE(LEFT(C3891,2))</f>
        <v>3</v>
      </c>
      <c r="E3891">
        <f t="shared" ref="E3891" si="11267">_xlfn.NUMBERVALUE(MID(C3891,4,2))</f>
        <v>1</v>
      </c>
      <c r="F3891">
        <f t="shared" ref="F3891" si="11268">_xlfn.NUMBERVALUE(RIGHT(C3891,4))</f>
        <v>2025</v>
      </c>
      <c r="G3891" t="s">
        <v>1389</v>
      </c>
      <c r="H3891">
        <v>-10</v>
      </c>
      <c r="I3891">
        <v>3.32</v>
      </c>
      <c r="K3891" t="s">
        <v>9</v>
      </c>
      <c r="L3891" s="8">
        <f t="shared" si="11256"/>
        <v>-0.66800000000000004</v>
      </c>
      <c r="M3891" t="s">
        <v>4300</v>
      </c>
    </row>
    <row r="3892" spans="1:13" x14ac:dyDescent="0.35">
      <c r="A3892">
        <f t="shared" si="11227"/>
        <v>3888</v>
      </c>
      <c r="B3892" s="9">
        <f t="shared" ref="B3892" si="11269">B3891+H3892+I3892+J3892</f>
        <v>102.35999999999999</v>
      </c>
      <c r="C3892" s="3" t="s">
        <v>4295</v>
      </c>
      <c r="D3892">
        <f t="shared" ref="D3892" si="11270">_xlfn.NUMBERVALUE(LEFT(C3892,2))</f>
        <v>3</v>
      </c>
      <c r="E3892">
        <f t="shared" ref="E3892" si="11271">_xlfn.NUMBERVALUE(MID(C3892,4,2))</f>
        <v>1</v>
      </c>
      <c r="F3892">
        <f t="shared" ref="F3892" si="11272">_xlfn.NUMBERVALUE(RIGHT(C3892,4))</f>
        <v>2025</v>
      </c>
      <c r="G3892" t="s">
        <v>1389</v>
      </c>
      <c r="H3892">
        <v>-10</v>
      </c>
      <c r="I3892">
        <v>5.28</v>
      </c>
      <c r="K3892" t="s">
        <v>9</v>
      </c>
      <c r="L3892" s="8">
        <f t="shared" si="11256"/>
        <v>-0.47199999999999998</v>
      </c>
      <c r="M3892" t="s">
        <v>4301</v>
      </c>
    </row>
    <row r="3893" spans="1:13" x14ac:dyDescent="0.35">
      <c r="A3893">
        <f t="shared" si="11227"/>
        <v>3889</v>
      </c>
      <c r="B3893" s="9">
        <f t="shared" ref="B3893" si="11273">B3892+H3893+I3893+J3893</f>
        <v>107.28999999999999</v>
      </c>
      <c r="C3893" s="3" t="s">
        <v>4295</v>
      </c>
      <c r="D3893">
        <f t="shared" ref="D3893" si="11274">_xlfn.NUMBERVALUE(LEFT(C3893,2))</f>
        <v>3</v>
      </c>
      <c r="E3893">
        <f t="shared" ref="E3893" si="11275">_xlfn.NUMBERVALUE(MID(C3893,4,2))</f>
        <v>1</v>
      </c>
      <c r="F3893">
        <f t="shared" ref="F3893" si="11276">_xlfn.NUMBERVALUE(RIGHT(C3893,4))</f>
        <v>2025</v>
      </c>
      <c r="G3893" t="s">
        <v>1389</v>
      </c>
      <c r="H3893">
        <v>-10</v>
      </c>
      <c r="I3893">
        <v>14.93</v>
      </c>
      <c r="K3893" t="s">
        <v>10</v>
      </c>
      <c r="L3893" s="8">
        <f t="shared" si="11256"/>
        <v>0.49299999999999988</v>
      </c>
      <c r="M3893" t="s">
        <v>4302</v>
      </c>
    </row>
    <row r="3894" spans="1:13" x14ac:dyDescent="0.35">
      <c r="A3894">
        <f t="shared" si="11227"/>
        <v>3890</v>
      </c>
      <c r="B3894" s="9">
        <f t="shared" ref="B3894" si="11277">B3893+H3894+I3894+J3894</f>
        <v>112.47999999999999</v>
      </c>
      <c r="C3894" s="3" t="s">
        <v>4295</v>
      </c>
      <c r="D3894">
        <f t="shared" ref="D3894" si="11278">_xlfn.NUMBERVALUE(LEFT(C3894,2))</f>
        <v>3</v>
      </c>
      <c r="E3894">
        <f t="shared" ref="E3894" si="11279">_xlfn.NUMBERVALUE(MID(C3894,4,2))</f>
        <v>1</v>
      </c>
      <c r="F3894">
        <f t="shared" ref="F3894" si="11280">_xlfn.NUMBERVALUE(RIGHT(C3894,4))</f>
        <v>2025</v>
      </c>
      <c r="G3894" t="s">
        <v>1389</v>
      </c>
      <c r="H3894">
        <v>-10</v>
      </c>
      <c r="I3894">
        <v>15.19</v>
      </c>
      <c r="K3894" t="s">
        <v>10</v>
      </c>
      <c r="L3894" s="8">
        <f t="shared" si="11256"/>
        <v>0.51899999999999991</v>
      </c>
      <c r="M3894" t="s">
        <v>4303</v>
      </c>
    </row>
    <row r="3895" spans="1:13" x14ac:dyDescent="0.35">
      <c r="A3895">
        <f t="shared" si="11227"/>
        <v>3891</v>
      </c>
      <c r="B3895" s="9">
        <f t="shared" ref="B3895:B3898" si="11281">B3894+H3895+I3895+J3895</f>
        <v>97.47999999999999</v>
      </c>
      <c r="C3895" s="3" t="s">
        <v>4295</v>
      </c>
      <c r="D3895">
        <f t="shared" ref="D3895:D3898" si="11282">_xlfn.NUMBERVALUE(LEFT(C3895,2))</f>
        <v>3</v>
      </c>
      <c r="E3895">
        <f t="shared" ref="E3895:E3898" si="11283">_xlfn.NUMBERVALUE(MID(C3895,4,2))</f>
        <v>1</v>
      </c>
      <c r="F3895">
        <f t="shared" ref="F3895:F3898" si="11284">_xlfn.NUMBERVALUE(RIGHT(C3895,4))</f>
        <v>2025</v>
      </c>
      <c r="G3895" t="s">
        <v>1389</v>
      </c>
      <c r="H3895">
        <v>-15</v>
      </c>
      <c r="K3895" t="s">
        <v>9</v>
      </c>
      <c r="L3895" s="8">
        <f t="shared" si="11256"/>
        <v>-1</v>
      </c>
      <c r="M3895" t="s">
        <v>4304</v>
      </c>
    </row>
    <row r="3896" spans="1:13" x14ac:dyDescent="0.35">
      <c r="A3896">
        <f t="shared" si="11227"/>
        <v>3892</v>
      </c>
      <c r="B3896" s="9">
        <f t="shared" si="11281"/>
        <v>77.549999999999983</v>
      </c>
      <c r="C3896" s="3" t="s">
        <v>4295</v>
      </c>
      <c r="D3896">
        <f t="shared" si="11282"/>
        <v>3</v>
      </c>
      <c r="E3896">
        <f t="shared" si="11283"/>
        <v>1</v>
      </c>
      <c r="F3896">
        <f t="shared" si="11284"/>
        <v>2025</v>
      </c>
      <c r="G3896" t="s">
        <v>1389</v>
      </c>
      <c r="H3896">
        <v>-19.93</v>
      </c>
      <c r="K3896" t="s">
        <v>9</v>
      </c>
      <c r="L3896" s="8">
        <f t="shared" si="11256"/>
        <v>-1</v>
      </c>
      <c r="M3896" t="s">
        <v>4305</v>
      </c>
    </row>
    <row r="3897" spans="1:13" x14ac:dyDescent="0.35">
      <c r="A3897">
        <f t="shared" si="11227"/>
        <v>3893</v>
      </c>
      <c r="B3897" s="9">
        <f t="shared" si="11281"/>
        <v>81.799999999999983</v>
      </c>
      <c r="C3897" s="3" t="s">
        <v>4295</v>
      </c>
      <c r="D3897">
        <f t="shared" si="11282"/>
        <v>3</v>
      </c>
      <c r="E3897">
        <f t="shared" si="11283"/>
        <v>1</v>
      </c>
      <c r="F3897">
        <f t="shared" si="11284"/>
        <v>2025</v>
      </c>
      <c r="G3897" t="s">
        <v>1389</v>
      </c>
      <c r="H3897">
        <v>-10</v>
      </c>
      <c r="I3897">
        <v>14.25</v>
      </c>
      <c r="K3897" t="s">
        <v>10</v>
      </c>
      <c r="L3897" s="8">
        <f t="shared" si="11256"/>
        <v>0.42500000000000004</v>
      </c>
      <c r="M3897" t="s">
        <v>4306</v>
      </c>
    </row>
    <row r="3898" spans="1:13" x14ac:dyDescent="0.35">
      <c r="A3898">
        <f t="shared" si="11227"/>
        <v>3894</v>
      </c>
      <c r="B3898" s="9">
        <f t="shared" si="11281"/>
        <v>83.799999999999983</v>
      </c>
      <c r="C3898" s="3" t="s">
        <v>4295</v>
      </c>
      <c r="D3898">
        <f t="shared" si="11282"/>
        <v>3</v>
      </c>
      <c r="E3898">
        <f t="shared" si="11283"/>
        <v>1</v>
      </c>
      <c r="F3898">
        <f t="shared" si="11284"/>
        <v>2025</v>
      </c>
      <c r="G3898" t="s">
        <v>4209</v>
      </c>
      <c r="I3898">
        <v>2</v>
      </c>
      <c r="K3898" t="s">
        <v>10</v>
      </c>
    </row>
    <row r="3899" spans="1:13" x14ac:dyDescent="0.35">
      <c r="A3899">
        <f t="shared" si="11227"/>
        <v>3895</v>
      </c>
      <c r="B3899" s="9">
        <f t="shared" ref="B3899:B3902" si="11285">B3898+H3899+I3899+J3899</f>
        <v>97.779999999999987</v>
      </c>
      <c r="C3899" s="3" t="s">
        <v>4295</v>
      </c>
      <c r="D3899">
        <f t="shared" ref="D3899:D3902" si="11286">_xlfn.NUMBERVALUE(LEFT(C3899,2))</f>
        <v>3</v>
      </c>
      <c r="E3899">
        <f t="shared" ref="E3899:E3902" si="11287">_xlfn.NUMBERVALUE(MID(C3899,4,2))</f>
        <v>1</v>
      </c>
      <c r="F3899">
        <f t="shared" ref="F3899:F3902" si="11288">_xlfn.NUMBERVALUE(RIGHT(C3899,4))</f>
        <v>2025</v>
      </c>
      <c r="G3899" t="s">
        <v>1389</v>
      </c>
      <c r="H3899">
        <v>-83.8</v>
      </c>
      <c r="I3899">
        <v>97.78</v>
      </c>
      <c r="K3899" t="s">
        <v>10</v>
      </c>
      <c r="L3899" s="8">
        <f t="shared" si="11256"/>
        <v>0.16682577565632473</v>
      </c>
      <c r="M3899" t="s">
        <v>4307</v>
      </c>
    </row>
    <row r="3900" spans="1:13" x14ac:dyDescent="0.35">
      <c r="A3900">
        <f t="shared" si="11227"/>
        <v>3896</v>
      </c>
      <c r="B3900" s="9">
        <f t="shared" si="11285"/>
        <v>101.77999999999999</v>
      </c>
      <c r="C3900" s="3" t="s">
        <v>4308</v>
      </c>
      <c r="D3900">
        <f t="shared" si="11286"/>
        <v>4</v>
      </c>
      <c r="E3900">
        <f t="shared" si="11287"/>
        <v>1</v>
      </c>
      <c r="F3900">
        <f t="shared" si="11288"/>
        <v>2025</v>
      </c>
      <c r="G3900" t="s">
        <v>7</v>
      </c>
      <c r="H3900">
        <v>-2</v>
      </c>
      <c r="I3900">
        <v>6</v>
      </c>
      <c r="K3900" t="s">
        <v>10</v>
      </c>
      <c r="L3900" s="8">
        <f t="shared" si="11256"/>
        <v>2</v>
      </c>
      <c r="M3900" t="s">
        <v>4309</v>
      </c>
    </row>
    <row r="3901" spans="1:13" x14ac:dyDescent="0.35">
      <c r="A3901">
        <f t="shared" si="11227"/>
        <v>3897</v>
      </c>
      <c r="B3901" s="9">
        <f t="shared" si="11285"/>
        <v>101.77999999999999</v>
      </c>
      <c r="C3901" s="3" t="s">
        <v>4308</v>
      </c>
      <c r="D3901">
        <f t="shared" si="11286"/>
        <v>4</v>
      </c>
      <c r="E3901">
        <f t="shared" si="11287"/>
        <v>1</v>
      </c>
      <c r="F3901">
        <f t="shared" si="11288"/>
        <v>2025</v>
      </c>
      <c r="G3901" t="s">
        <v>3039</v>
      </c>
      <c r="K3901" t="s">
        <v>9</v>
      </c>
      <c r="L3901" s="8">
        <f t="shared" si="11256"/>
        <v>0</v>
      </c>
      <c r="M3901" t="s">
        <v>4310</v>
      </c>
    </row>
    <row r="3902" spans="1:13" x14ac:dyDescent="0.35">
      <c r="A3902">
        <f t="shared" si="11227"/>
        <v>3898</v>
      </c>
      <c r="B3902" s="9">
        <f t="shared" si="11285"/>
        <v>93.659999999999982</v>
      </c>
      <c r="C3902" s="3" t="s">
        <v>4308</v>
      </c>
      <c r="D3902">
        <f t="shared" si="11286"/>
        <v>4</v>
      </c>
      <c r="E3902">
        <f t="shared" si="11287"/>
        <v>1</v>
      </c>
      <c r="F3902">
        <f t="shared" si="11288"/>
        <v>2025</v>
      </c>
      <c r="G3902" t="s">
        <v>1389</v>
      </c>
      <c r="H3902">
        <v>-10</v>
      </c>
      <c r="I3902">
        <v>1.88</v>
      </c>
      <c r="K3902" t="s">
        <v>9</v>
      </c>
      <c r="L3902" s="8">
        <f t="shared" si="11256"/>
        <v>-0.81200000000000006</v>
      </c>
      <c r="M3902" t="s">
        <v>4311</v>
      </c>
    </row>
    <row r="3903" spans="1:13" x14ac:dyDescent="0.35">
      <c r="A3903">
        <f t="shared" si="11227"/>
        <v>3899</v>
      </c>
      <c r="B3903" s="9">
        <f t="shared" ref="B3903" si="11289">B3902+H3903+I3903+J3903</f>
        <v>89.569999999999979</v>
      </c>
      <c r="C3903" s="3" t="s">
        <v>4308</v>
      </c>
      <c r="D3903">
        <f t="shared" ref="D3903" si="11290">_xlfn.NUMBERVALUE(LEFT(C3903,2))</f>
        <v>4</v>
      </c>
      <c r="E3903">
        <f t="shared" ref="E3903" si="11291">_xlfn.NUMBERVALUE(MID(C3903,4,2))</f>
        <v>1</v>
      </c>
      <c r="F3903">
        <f t="shared" ref="F3903" si="11292">_xlfn.NUMBERVALUE(RIGHT(C3903,4))</f>
        <v>2025</v>
      </c>
      <c r="G3903" t="s">
        <v>1389</v>
      </c>
      <c r="H3903">
        <v>-10</v>
      </c>
      <c r="I3903">
        <v>5.91</v>
      </c>
      <c r="K3903" t="s">
        <v>9</v>
      </c>
      <c r="L3903" s="8">
        <f t="shared" si="11256"/>
        <v>-0.40900000000000003</v>
      </c>
      <c r="M3903" t="s">
        <v>4312</v>
      </c>
    </row>
    <row r="3904" spans="1:13" x14ac:dyDescent="0.35">
      <c r="A3904">
        <f t="shared" si="11227"/>
        <v>3900</v>
      </c>
      <c r="B3904" s="9">
        <f t="shared" ref="B3904" si="11293">B3903+H3904+I3904+J3904</f>
        <v>-1.4210854715202004E-14</v>
      </c>
      <c r="C3904" s="3" t="s">
        <v>4308</v>
      </c>
      <c r="D3904">
        <f t="shared" ref="D3904" si="11294">_xlfn.NUMBERVALUE(LEFT(C3904,2))</f>
        <v>4</v>
      </c>
      <c r="E3904">
        <f t="shared" ref="E3904" si="11295">_xlfn.NUMBERVALUE(MID(C3904,4,2))</f>
        <v>1</v>
      </c>
      <c r="F3904">
        <f t="shared" ref="F3904" si="11296">_xlfn.NUMBERVALUE(RIGHT(C3904,4))</f>
        <v>2025</v>
      </c>
      <c r="G3904" t="s">
        <v>1389</v>
      </c>
      <c r="H3904">
        <v>-89.57</v>
      </c>
      <c r="K3904" t="s">
        <v>9</v>
      </c>
      <c r="L3904" s="8">
        <f t="shared" si="11256"/>
        <v>-1</v>
      </c>
      <c r="M3904" t="s">
        <v>4313</v>
      </c>
    </row>
    <row r="3905" spans="1:13" x14ac:dyDescent="0.35">
      <c r="A3905">
        <f t="shared" si="11227"/>
        <v>3901</v>
      </c>
      <c r="B3905" s="9">
        <f t="shared" ref="B3905:B3906" si="11297">B3904+H3905+I3905+J3905</f>
        <v>110.06999999999998</v>
      </c>
      <c r="C3905" s="3" t="s">
        <v>4308</v>
      </c>
      <c r="D3905">
        <f t="shared" ref="D3905:D3906" si="11298">_xlfn.NUMBERVALUE(LEFT(C3905,2))</f>
        <v>4</v>
      </c>
      <c r="E3905">
        <f t="shared" ref="E3905:E3906" si="11299">_xlfn.NUMBERVALUE(MID(C3905,4,2))</f>
        <v>1</v>
      </c>
      <c r="F3905">
        <f t="shared" ref="F3905:F3906" si="11300">_xlfn.NUMBERVALUE(RIGHT(C3905,4))</f>
        <v>2025</v>
      </c>
      <c r="G3905" t="s">
        <v>3362</v>
      </c>
      <c r="I3905">
        <v>110.07</v>
      </c>
    </row>
    <row r="3906" spans="1:13" x14ac:dyDescent="0.35">
      <c r="A3906">
        <f t="shared" si="11227"/>
        <v>3902</v>
      </c>
      <c r="B3906" s="9">
        <f t="shared" si="11297"/>
        <v>108.06999999999998</v>
      </c>
      <c r="C3906" s="3" t="s">
        <v>4308</v>
      </c>
      <c r="D3906">
        <f t="shared" si="11298"/>
        <v>4</v>
      </c>
      <c r="E3906">
        <f t="shared" si="11299"/>
        <v>1</v>
      </c>
      <c r="F3906">
        <f t="shared" si="11300"/>
        <v>2025</v>
      </c>
      <c r="G3906" t="s">
        <v>7</v>
      </c>
      <c r="H3906">
        <v>-2</v>
      </c>
      <c r="K3906" t="s">
        <v>9</v>
      </c>
      <c r="L3906" s="8">
        <f t="shared" si="11256"/>
        <v>-1</v>
      </c>
      <c r="M3906" t="s">
        <v>4314</v>
      </c>
    </row>
    <row r="3907" spans="1:13" x14ac:dyDescent="0.35">
      <c r="A3907">
        <f t="shared" si="11227"/>
        <v>3903</v>
      </c>
      <c r="B3907" s="9">
        <f t="shared" ref="B3907" si="11301">B3906+H3907+I3907+J3907</f>
        <v>110.06999999999998</v>
      </c>
      <c r="C3907" s="3" t="s">
        <v>4308</v>
      </c>
      <c r="D3907">
        <f t="shared" ref="D3907" si="11302">_xlfn.NUMBERVALUE(LEFT(C3907,2))</f>
        <v>4</v>
      </c>
      <c r="E3907">
        <f t="shared" ref="E3907" si="11303">_xlfn.NUMBERVALUE(MID(C3907,4,2))</f>
        <v>1</v>
      </c>
      <c r="F3907">
        <f t="shared" ref="F3907" si="11304">_xlfn.NUMBERVALUE(RIGHT(C3907,4))</f>
        <v>2025</v>
      </c>
      <c r="G3907" t="s">
        <v>7</v>
      </c>
      <c r="H3907">
        <v>-2</v>
      </c>
      <c r="I3907">
        <v>4</v>
      </c>
      <c r="K3907" t="s">
        <v>10</v>
      </c>
      <c r="L3907" s="8">
        <f t="shared" si="11256"/>
        <v>1</v>
      </c>
      <c r="M3907" t="s">
        <v>4315</v>
      </c>
    </row>
    <row r="3908" spans="1:13" x14ac:dyDescent="0.35">
      <c r="A3908">
        <f t="shared" si="11227"/>
        <v>3904</v>
      </c>
      <c r="B3908" s="9">
        <f t="shared" ref="B3908" si="11305">B3907+H3908+I3908+J3908</f>
        <v>120.06999999999998</v>
      </c>
      <c r="C3908" s="3" t="s">
        <v>4308</v>
      </c>
      <c r="D3908">
        <f t="shared" ref="D3908" si="11306">_xlfn.NUMBERVALUE(LEFT(C3908,2))</f>
        <v>4</v>
      </c>
      <c r="E3908">
        <f t="shared" ref="E3908" si="11307">_xlfn.NUMBERVALUE(MID(C3908,4,2))</f>
        <v>1</v>
      </c>
      <c r="F3908">
        <f t="shared" ref="F3908" si="11308">_xlfn.NUMBERVALUE(RIGHT(C3908,4))</f>
        <v>2025</v>
      </c>
      <c r="G3908" t="s">
        <v>7</v>
      </c>
      <c r="H3908">
        <v>-5</v>
      </c>
      <c r="I3908">
        <v>15</v>
      </c>
      <c r="K3908" t="s">
        <v>10</v>
      </c>
      <c r="L3908" s="8">
        <f t="shared" si="11256"/>
        <v>2</v>
      </c>
      <c r="M3908" t="s">
        <v>4316</v>
      </c>
    </row>
    <row r="3909" spans="1:13" x14ac:dyDescent="0.35">
      <c r="A3909">
        <f t="shared" si="11227"/>
        <v>3905</v>
      </c>
      <c r="B3909" s="9">
        <f t="shared" ref="B3909:B3910" si="11309">B3908+H3909+I3909+J3909</f>
        <v>130.07</v>
      </c>
      <c r="C3909" s="3" t="s">
        <v>4308</v>
      </c>
      <c r="D3909">
        <f t="shared" ref="D3909:D3910" si="11310">_xlfn.NUMBERVALUE(LEFT(C3909,2))</f>
        <v>4</v>
      </c>
      <c r="E3909">
        <f t="shared" ref="E3909:E3910" si="11311">_xlfn.NUMBERVALUE(MID(C3909,4,2))</f>
        <v>1</v>
      </c>
      <c r="F3909">
        <f t="shared" ref="F3909:F3910" si="11312">_xlfn.NUMBERVALUE(RIGHT(C3909,4))</f>
        <v>2025</v>
      </c>
      <c r="G3909" t="s">
        <v>7</v>
      </c>
      <c r="H3909">
        <v>-5</v>
      </c>
      <c r="I3909">
        <v>15</v>
      </c>
      <c r="K3909" t="s">
        <v>10</v>
      </c>
      <c r="L3909" s="8">
        <f t="shared" si="11256"/>
        <v>2</v>
      </c>
      <c r="M3909" t="s">
        <v>4317</v>
      </c>
    </row>
    <row r="3910" spans="1:13" x14ac:dyDescent="0.35">
      <c r="A3910">
        <f t="shared" si="11227"/>
        <v>3906</v>
      </c>
      <c r="B3910" s="9">
        <f t="shared" si="11309"/>
        <v>135.07999999999998</v>
      </c>
      <c r="C3910" s="3" t="s">
        <v>4308</v>
      </c>
      <c r="D3910">
        <f t="shared" si="11310"/>
        <v>4</v>
      </c>
      <c r="E3910">
        <f t="shared" si="11311"/>
        <v>1</v>
      </c>
      <c r="F3910">
        <f t="shared" si="11312"/>
        <v>2025</v>
      </c>
      <c r="G3910" t="s">
        <v>1389</v>
      </c>
      <c r="H3910">
        <v>-10</v>
      </c>
      <c r="I3910">
        <v>15.01</v>
      </c>
      <c r="K3910" t="s">
        <v>10</v>
      </c>
      <c r="L3910" s="8">
        <f t="shared" si="11256"/>
        <v>0.50099999999999989</v>
      </c>
      <c r="M3910" t="s">
        <v>4318</v>
      </c>
    </row>
    <row r="3911" spans="1:13" x14ac:dyDescent="0.35">
      <c r="A3911">
        <f t="shared" si="11227"/>
        <v>3907</v>
      </c>
      <c r="B3911" s="9">
        <f t="shared" ref="B3911" si="11313">B3910+H3911+I3911+J3911</f>
        <v>130.07999999999998</v>
      </c>
      <c r="C3911" s="3" t="s">
        <v>4319</v>
      </c>
      <c r="D3911">
        <f t="shared" ref="D3911" si="11314">_xlfn.NUMBERVALUE(LEFT(C3911,2))</f>
        <v>5</v>
      </c>
      <c r="E3911">
        <f t="shared" ref="E3911" si="11315">_xlfn.NUMBERVALUE(MID(C3911,4,2))</f>
        <v>1</v>
      </c>
      <c r="F3911">
        <f t="shared" ref="F3911" si="11316">_xlfn.NUMBERVALUE(RIGHT(C3911,4))</f>
        <v>2025</v>
      </c>
      <c r="G3911" t="s">
        <v>7</v>
      </c>
      <c r="H3911">
        <v>-5</v>
      </c>
      <c r="K3911" t="s">
        <v>9</v>
      </c>
      <c r="L3911" s="8">
        <f t="shared" si="11256"/>
        <v>-1</v>
      </c>
      <c r="M3911" t="s">
        <v>4320</v>
      </c>
    </row>
    <row r="3912" spans="1:13" x14ac:dyDescent="0.35">
      <c r="A3912">
        <f t="shared" si="11227"/>
        <v>3908</v>
      </c>
      <c r="B3912" s="9">
        <f t="shared" ref="B3912:B3914" si="11317">B3911+H3912+I3912+J3912</f>
        <v>130.07999999999998</v>
      </c>
      <c r="C3912" s="3" t="s">
        <v>4319</v>
      </c>
      <c r="D3912">
        <f t="shared" ref="D3912:D3914" si="11318">_xlfn.NUMBERVALUE(LEFT(C3912,2))</f>
        <v>5</v>
      </c>
      <c r="E3912">
        <f t="shared" ref="E3912:E3914" si="11319">_xlfn.NUMBERVALUE(MID(C3912,4,2))</f>
        <v>1</v>
      </c>
      <c r="F3912">
        <f t="shared" ref="F3912:F3914" si="11320">_xlfn.NUMBERVALUE(RIGHT(C3912,4))</f>
        <v>2025</v>
      </c>
      <c r="G3912" t="s">
        <v>3039</v>
      </c>
      <c r="K3912" t="s">
        <v>9</v>
      </c>
      <c r="L3912" s="8">
        <f t="shared" si="11256"/>
        <v>0</v>
      </c>
      <c r="M3912" t="s">
        <v>4321</v>
      </c>
    </row>
    <row r="3913" spans="1:13" x14ac:dyDescent="0.35">
      <c r="A3913">
        <f t="shared" si="11227"/>
        <v>3909</v>
      </c>
      <c r="B3913" s="9">
        <f t="shared" si="11317"/>
        <v>124.33999999999999</v>
      </c>
      <c r="C3913" s="3" t="s">
        <v>4319</v>
      </c>
      <c r="D3913">
        <f t="shared" si="11318"/>
        <v>5</v>
      </c>
      <c r="E3913">
        <f t="shared" si="11319"/>
        <v>1</v>
      </c>
      <c r="F3913">
        <f t="shared" si="11320"/>
        <v>2025</v>
      </c>
      <c r="G3913" t="s">
        <v>1389</v>
      </c>
      <c r="H3913">
        <v>-10</v>
      </c>
      <c r="I3913">
        <v>4.26</v>
      </c>
      <c r="K3913" t="s">
        <v>9</v>
      </c>
      <c r="L3913" s="8">
        <f t="shared" si="11256"/>
        <v>-0.57400000000000007</v>
      </c>
      <c r="M3913" t="s">
        <v>4322</v>
      </c>
    </row>
    <row r="3914" spans="1:13" x14ac:dyDescent="0.35">
      <c r="A3914">
        <f t="shared" si="11227"/>
        <v>3910</v>
      </c>
      <c r="B3914" s="9">
        <f t="shared" si="11317"/>
        <v>126.33999999999999</v>
      </c>
      <c r="C3914" s="3" t="s">
        <v>4319</v>
      </c>
      <c r="D3914">
        <f t="shared" si="11318"/>
        <v>5</v>
      </c>
      <c r="E3914">
        <f t="shared" si="11319"/>
        <v>1</v>
      </c>
      <c r="F3914">
        <f t="shared" si="11320"/>
        <v>2025</v>
      </c>
      <c r="G3914" t="s">
        <v>4209</v>
      </c>
      <c r="I3914">
        <v>2</v>
      </c>
      <c r="K3914" t="s">
        <v>10</v>
      </c>
    </row>
    <row r="3915" spans="1:13" x14ac:dyDescent="0.35">
      <c r="A3915">
        <f t="shared" si="11227"/>
        <v>3911</v>
      </c>
      <c r="B3915" s="9">
        <f t="shared" ref="B3915" si="11321">B3914+H3915+I3915+J3915</f>
        <v>128.97999999999999</v>
      </c>
      <c r="C3915" s="3" t="s">
        <v>4319</v>
      </c>
      <c r="D3915">
        <f t="shared" ref="D3915" si="11322">_xlfn.NUMBERVALUE(LEFT(C3915,2))</f>
        <v>5</v>
      </c>
      <c r="E3915">
        <f t="shared" ref="E3915" si="11323">_xlfn.NUMBERVALUE(MID(C3915,4,2))</f>
        <v>1</v>
      </c>
      <c r="F3915">
        <f t="shared" ref="F3915" si="11324">_xlfn.NUMBERVALUE(RIGHT(C3915,4))</f>
        <v>2025</v>
      </c>
      <c r="G3915" t="s">
        <v>1389</v>
      </c>
      <c r="H3915">
        <v>-10</v>
      </c>
      <c r="I3915">
        <v>12.64</v>
      </c>
      <c r="K3915" t="s">
        <v>10</v>
      </c>
      <c r="L3915" s="8">
        <f t="shared" si="11256"/>
        <v>0.26400000000000001</v>
      </c>
      <c r="M3915" t="s">
        <v>4323</v>
      </c>
    </row>
    <row r="3916" spans="1:13" x14ac:dyDescent="0.35">
      <c r="A3916">
        <f t="shared" si="11227"/>
        <v>3912</v>
      </c>
      <c r="B3916" s="9">
        <f t="shared" ref="B3916" si="11325">B3915+H3916+I3916+J3916</f>
        <v>122.52999999999999</v>
      </c>
      <c r="C3916" s="3" t="s">
        <v>4319</v>
      </c>
      <c r="D3916">
        <f t="shared" ref="D3916" si="11326">_xlfn.NUMBERVALUE(LEFT(C3916,2))</f>
        <v>5</v>
      </c>
      <c r="E3916">
        <f t="shared" ref="E3916" si="11327">_xlfn.NUMBERVALUE(MID(C3916,4,2))</f>
        <v>1</v>
      </c>
      <c r="F3916">
        <f t="shared" ref="F3916" si="11328">_xlfn.NUMBERVALUE(RIGHT(C3916,4))</f>
        <v>2025</v>
      </c>
      <c r="G3916" t="s">
        <v>1389</v>
      </c>
      <c r="H3916">
        <v>-10</v>
      </c>
      <c r="I3916">
        <v>3.55</v>
      </c>
      <c r="K3916" t="s">
        <v>9</v>
      </c>
      <c r="L3916" s="8">
        <f t="shared" si="11256"/>
        <v>-0.64500000000000002</v>
      </c>
      <c r="M3916" t="s">
        <v>4324</v>
      </c>
    </row>
    <row r="3917" spans="1:13" x14ac:dyDescent="0.35">
      <c r="A3917">
        <f t="shared" si="11227"/>
        <v>3913</v>
      </c>
      <c r="B3917" s="9">
        <f t="shared" ref="B3917" si="11329">B3916+H3917+I3917+J3917</f>
        <v>116.76999999999998</v>
      </c>
      <c r="C3917" s="3" t="s">
        <v>4319</v>
      </c>
      <c r="D3917">
        <f t="shared" ref="D3917" si="11330">_xlfn.NUMBERVALUE(LEFT(C3917,2))</f>
        <v>5</v>
      </c>
      <c r="E3917">
        <f t="shared" ref="E3917" si="11331">_xlfn.NUMBERVALUE(MID(C3917,4,2))</f>
        <v>1</v>
      </c>
      <c r="F3917">
        <f t="shared" ref="F3917" si="11332">_xlfn.NUMBERVALUE(RIGHT(C3917,4))</f>
        <v>2025</v>
      </c>
      <c r="G3917" t="s">
        <v>1389</v>
      </c>
      <c r="H3917">
        <v>-10</v>
      </c>
      <c r="I3917">
        <v>4.24</v>
      </c>
      <c r="K3917" t="s">
        <v>9</v>
      </c>
      <c r="L3917" s="8">
        <f t="shared" si="11256"/>
        <v>-0.57599999999999996</v>
      </c>
      <c r="M3917" t="s">
        <v>4325</v>
      </c>
    </row>
    <row r="3918" spans="1:13" x14ac:dyDescent="0.35">
      <c r="A3918">
        <f t="shared" si="11227"/>
        <v>3914</v>
      </c>
      <c r="B3918" s="9">
        <f t="shared" ref="B3918" si="11333">B3917+H3918+I3918+J3918</f>
        <v>106.76999999999998</v>
      </c>
      <c r="C3918" s="3" t="s">
        <v>4319</v>
      </c>
      <c r="D3918">
        <f t="shared" ref="D3918" si="11334">_xlfn.NUMBERVALUE(LEFT(C3918,2))</f>
        <v>5</v>
      </c>
      <c r="E3918">
        <f t="shared" ref="E3918" si="11335">_xlfn.NUMBERVALUE(MID(C3918,4,2))</f>
        <v>1</v>
      </c>
      <c r="F3918">
        <f t="shared" ref="F3918" si="11336">_xlfn.NUMBERVALUE(RIGHT(C3918,4))</f>
        <v>2025</v>
      </c>
      <c r="G3918" t="s">
        <v>1389</v>
      </c>
      <c r="H3918">
        <v>-10</v>
      </c>
      <c r="K3918" t="s">
        <v>9</v>
      </c>
      <c r="L3918" s="8">
        <f t="shared" si="11256"/>
        <v>-1</v>
      </c>
      <c r="M3918" t="s">
        <v>4326</v>
      </c>
    </row>
    <row r="3919" spans="1:13" x14ac:dyDescent="0.35">
      <c r="A3919">
        <f t="shared" si="11227"/>
        <v>3915</v>
      </c>
      <c r="B3919" s="9">
        <f t="shared" ref="B3919" si="11337">B3918+H3919+I3919+J3919</f>
        <v>101.76999999999998</v>
      </c>
      <c r="C3919" s="3" t="s">
        <v>4327</v>
      </c>
      <c r="D3919">
        <f t="shared" ref="D3919" si="11338">_xlfn.NUMBERVALUE(LEFT(C3919,2))</f>
        <v>11</v>
      </c>
      <c r="E3919">
        <f t="shared" ref="E3919" si="11339">_xlfn.NUMBERVALUE(MID(C3919,4,2))</f>
        <v>1</v>
      </c>
      <c r="F3919">
        <f t="shared" ref="F3919" si="11340">_xlfn.NUMBERVALUE(RIGHT(C3919,4))</f>
        <v>2025</v>
      </c>
      <c r="G3919" t="s">
        <v>7</v>
      </c>
      <c r="H3919">
        <v>-5</v>
      </c>
      <c r="K3919" t="s">
        <v>9</v>
      </c>
      <c r="L3919" s="8">
        <f t="shared" si="11256"/>
        <v>-1</v>
      </c>
      <c r="M3919" t="s">
        <v>4328</v>
      </c>
    </row>
    <row r="3920" spans="1:13" x14ac:dyDescent="0.35">
      <c r="A3920">
        <f t="shared" si="11227"/>
        <v>3916</v>
      </c>
      <c r="B3920" s="9">
        <f t="shared" ref="B3920" si="11341">B3919+H3920+I3920+J3920</f>
        <v>96.769999999999982</v>
      </c>
      <c r="C3920" s="3" t="s">
        <v>4329</v>
      </c>
      <c r="D3920">
        <f t="shared" ref="D3920" si="11342">_xlfn.NUMBERVALUE(LEFT(C3920,2))</f>
        <v>12</v>
      </c>
      <c r="E3920">
        <f t="shared" ref="E3920" si="11343">_xlfn.NUMBERVALUE(MID(C3920,4,2))</f>
        <v>1</v>
      </c>
      <c r="F3920">
        <f t="shared" ref="F3920" si="11344">_xlfn.NUMBERVALUE(RIGHT(C3920,4))</f>
        <v>2025</v>
      </c>
      <c r="G3920" t="s">
        <v>7</v>
      </c>
      <c r="H3920">
        <v>-5</v>
      </c>
      <c r="K3920" t="s">
        <v>9</v>
      </c>
      <c r="L3920" s="8">
        <f t="shared" si="11256"/>
        <v>-1</v>
      </c>
      <c r="M3920" t="s">
        <v>4331</v>
      </c>
    </row>
    <row r="3921" spans="1:13" x14ac:dyDescent="0.35">
      <c r="A3921">
        <f t="shared" si="11227"/>
        <v>3917</v>
      </c>
      <c r="B3921" s="9">
        <f t="shared" ref="B3921" si="11345">B3920+H3921+I3921+J3921</f>
        <v>96.769999999999982</v>
      </c>
      <c r="C3921" s="3" t="s">
        <v>4329</v>
      </c>
      <c r="D3921">
        <f t="shared" ref="D3921" si="11346">_xlfn.NUMBERVALUE(LEFT(C3921,2))</f>
        <v>12</v>
      </c>
      <c r="E3921">
        <f t="shared" ref="E3921" si="11347">_xlfn.NUMBERVALUE(MID(C3921,4,2))</f>
        <v>1</v>
      </c>
      <c r="F3921">
        <f t="shared" ref="F3921" si="11348">_xlfn.NUMBERVALUE(RIGHT(C3921,4))</f>
        <v>2025</v>
      </c>
      <c r="G3921" t="s">
        <v>3039</v>
      </c>
      <c r="K3921" t="s">
        <v>9</v>
      </c>
      <c r="L3921" s="8">
        <f t="shared" si="11256"/>
        <v>0</v>
      </c>
      <c r="M3921" t="s">
        <v>4330</v>
      </c>
    </row>
    <row r="3922" spans="1:13" x14ac:dyDescent="0.35">
      <c r="A3922">
        <f t="shared" si="11227"/>
        <v>3918</v>
      </c>
      <c r="B3922" s="9">
        <f t="shared" ref="B3922:B3924" si="11349">B3921+H3922+I3922+J3922</f>
        <v>96.769999999999982</v>
      </c>
      <c r="C3922" s="3" t="s">
        <v>4329</v>
      </c>
      <c r="D3922">
        <f t="shared" ref="D3922:D3924" si="11350">_xlfn.NUMBERVALUE(LEFT(C3922,2))</f>
        <v>12</v>
      </c>
      <c r="E3922">
        <f t="shared" ref="E3922:E3924" si="11351">_xlfn.NUMBERVALUE(MID(C3922,4,2))</f>
        <v>1</v>
      </c>
      <c r="F3922">
        <f t="shared" ref="F3922:F3924" si="11352">_xlfn.NUMBERVALUE(RIGHT(C3922,4))</f>
        <v>2025</v>
      </c>
      <c r="G3922" t="s">
        <v>3039</v>
      </c>
      <c r="K3922" t="s">
        <v>9</v>
      </c>
      <c r="L3922" s="8">
        <f t="shared" ref="L3922:L4004" si="11353">IF(H3922="",0,(SUM(I3922:J3922)/-H3922)-1)</f>
        <v>0</v>
      </c>
      <c r="M3922" t="s">
        <v>4332</v>
      </c>
    </row>
    <row r="3923" spans="1:13" x14ac:dyDescent="0.35">
      <c r="A3923">
        <f t="shared" si="11227"/>
        <v>3919</v>
      </c>
      <c r="B3923" s="9">
        <f t="shared" si="11349"/>
        <v>106.76999999999998</v>
      </c>
      <c r="C3923" s="3" t="s">
        <v>4333</v>
      </c>
      <c r="D3923">
        <f t="shared" si="11350"/>
        <v>14</v>
      </c>
      <c r="E3923">
        <f t="shared" si="11351"/>
        <v>1</v>
      </c>
      <c r="F3923">
        <f t="shared" si="11352"/>
        <v>2025</v>
      </c>
      <c r="G3923" t="s">
        <v>7</v>
      </c>
      <c r="H3923">
        <v>-5</v>
      </c>
      <c r="I3923">
        <v>15</v>
      </c>
      <c r="K3923" t="s">
        <v>10</v>
      </c>
      <c r="L3923" s="8">
        <f t="shared" si="11353"/>
        <v>2</v>
      </c>
      <c r="M3923" t="s">
        <v>4334</v>
      </c>
    </row>
    <row r="3924" spans="1:13" x14ac:dyDescent="0.35">
      <c r="A3924">
        <f t="shared" si="11227"/>
        <v>3920</v>
      </c>
      <c r="B3924" s="9">
        <f t="shared" si="11349"/>
        <v>106.76999999999998</v>
      </c>
      <c r="C3924" s="3" t="s">
        <v>4333</v>
      </c>
      <c r="D3924">
        <f t="shared" si="11350"/>
        <v>14</v>
      </c>
      <c r="E3924">
        <f t="shared" si="11351"/>
        <v>1</v>
      </c>
      <c r="F3924">
        <f t="shared" si="11352"/>
        <v>2025</v>
      </c>
      <c r="G3924" t="s">
        <v>3039</v>
      </c>
      <c r="K3924" t="s">
        <v>10</v>
      </c>
      <c r="L3924" s="8">
        <f t="shared" si="11353"/>
        <v>0</v>
      </c>
      <c r="M3924" t="s">
        <v>4335</v>
      </c>
    </row>
    <row r="3925" spans="1:13" x14ac:dyDescent="0.35">
      <c r="A3925">
        <f t="shared" si="11227"/>
        <v>3921</v>
      </c>
      <c r="B3925" s="9">
        <f t="shared" ref="B3925:B3926" si="11354">B3924+H3925+I3925+J3925</f>
        <v>106.76999999999998</v>
      </c>
      <c r="C3925" s="3" t="s">
        <v>4333</v>
      </c>
      <c r="D3925">
        <f t="shared" ref="D3925:D3926" si="11355">_xlfn.NUMBERVALUE(LEFT(C3925,2))</f>
        <v>14</v>
      </c>
      <c r="E3925">
        <f t="shared" ref="E3925:E3926" si="11356">_xlfn.NUMBERVALUE(MID(C3925,4,2))</f>
        <v>1</v>
      </c>
      <c r="F3925">
        <f t="shared" ref="F3925:F3926" si="11357">_xlfn.NUMBERVALUE(RIGHT(C3925,4))</f>
        <v>2025</v>
      </c>
      <c r="G3925" t="s">
        <v>2969</v>
      </c>
      <c r="K3925" t="s">
        <v>10</v>
      </c>
      <c r="L3925" s="8">
        <f t="shared" si="11353"/>
        <v>0</v>
      </c>
      <c r="M3925" t="s">
        <v>4336</v>
      </c>
    </row>
    <row r="3926" spans="1:13" x14ac:dyDescent="0.35">
      <c r="A3926">
        <f t="shared" si="11227"/>
        <v>3922</v>
      </c>
      <c r="B3926" s="9">
        <f t="shared" si="11354"/>
        <v>108.55999999999997</v>
      </c>
      <c r="C3926" s="3" t="s">
        <v>4333</v>
      </c>
      <c r="D3926">
        <f t="shared" si="11355"/>
        <v>14</v>
      </c>
      <c r="E3926">
        <f t="shared" si="11356"/>
        <v>1</v>
      </c>
      <c r="F3926">
        <f t="shared" si="11357"/>
        <v>2025</v>
      </c>
      <c r="G3926" t="s">
        <v>1389</v>
      </c>
      <c r="H3926">
        <v>-10</v>
      </c>
      <c r="I3926">
        <v>11.79</v>
      </c>
      <c r="K3926" t="s">
        <v>10</v>
      </c>
      <c r="L3926" s="8">
        <f t="shared" si="11353"/>
        <v>0.17899999999999983</v>
      </c>
      <c r="M3926" t="s">
        <v>4337</v>
      </c>
    </row>
    <row r="3927" spans="1:13" x14ac:dyDescent="0.35">
      <c r="A3927">
        <f t="shared" si="11227"/>
        <v>3923</v>
      </c>
      <c r="B3927" s="9">
        <f t="shared" ref="B3927" si="11358">B3926+H3927+I3927+J3927</f>
        <v>108.84999999999997</v>
      </c>
      <c r="C3927" s="3" t="s">
        <v>4333</v>
      </c>
      <c r="D3927">
        <f t="shared" ref="D3927" si="11359">_xlfn.NUMBERVALUE(LEFT(C3927,2))</f>
        <v>14</v>
      </c>
      <c r="E3927">
        <f t="shared" ref="E3927" si="11360">_xlfn.NUMBERVALUE(MID(C3927,4,2))</f>
        <v>1</v>
      </c>
      <c r="F3927">
        <f t="shared" ref="F3927" si="11361">_xlfn.NUMBERVALUE(RIGHT(C3927,4))</f>
        <v>2025</v>
      </c>
      <c r="G3927" t="s">
        <v>1389</v>
      </c>
      <c r="H3927">
        <v>-10</v>
      </c>
      <c r="I3927">
        <v>10.29</v>
      </c>
      <c r="K3927" t="s">
        <v>10</v>
      </c>
      <c r="L3927" s="8">
        <f t="shared" si="11353"/>
        <v>2.8999999999999915E-2</v>
      </c>
      <c r="M3927" t="s">
        <v>4338</v>
      </c>
    </row>
    <row r="3928" spans="1:13" x14ac:dyDescent="0.35">
      <c r="A3928">
        <f t="shared" si="11227"/>
        <v>3924</v>
      </c>
      <c r="B3928" s="9">
        <f t="shared" ref="B3928" si="11362">B3927+H3928+I3928+J3928</f>
        <v>110.06999999999996</v>
      </c>
      <c r="C3928" s="3" t="s">
        <v>4333</v>
      </c>
      <c r="D3928">
        <f t="shared" ref="D3928" si="11363">_xlfn.NUMBERVALUE(LEFT(C3928,2))</f>
        <v>14</v>
      </c>
      <c r="E3928">
        <f t="shared" ref="E3928" si="11364">_xlfn.NUMBERVALUE(MID(C3928,4,2))</f>
        <v>1</v>
      </c>
      <c r="F3928">
        <f t="shared" ref="F3928" si="11365">_xlfn.NUMBERVALUE(RIGHT(C3928,4))</f>
        <v>2025</v>
      </c>
      <c r="G3928" t="s">
        <v>1389</v>
      </c>
      <c r="H3928">
        <v>-10</v>
      </c>
      <c r="I3928">
        <v>11.22</v>
      </c>
      <c r="K3928" t="s">
        <v>10</v>
      </c>
      <c r="L3928" s="8">
        <f t="shared" si="11353"/>
        <v>0.12200000000000011</v>
      </c>
      <c r="M3928" t="s">
        <v>4339</v>
      </c>
    </row>
    <row r="3929" spans="1:13" x14ac:dyDescent="0.35">
      <c r="A3929">
        <f t="shared" si="11227"/>
        <v>3925</v>
      </c>
      <c r="B3929" s="9">
        <f t="shared" ref="B3929" si="11366">B3928+H3929+I3929+J3929</f>
        <v>101.57999999999997</v>
      </c>
      <c r="C3929" s="3" t="s">
        <v>4333</v>
      </c>
      <c r="D3929">
        <f t="shared" ref="D3929" si="11367">_xlfn.NUMBERVALUE(LEFT(C3929,2))</f>
        <v>14</v>
      </c>
      <c r="E3929">
        <f t="shared" ref="E3929" si="11368">_xlfn.NUMBERVALUE(MID(C3929,4,2))</f>
        <v>1</v>
      </c>
      <c r="F3929">
        <f t="shared" ref="F3929" si="11369">_xlfn.NUMBERVALUE(RIGHT(C3929,4))</f>
        <v>2025</v>
      </c>
      <c r="G3929" t="s">
        <v>1389</v>
      </c>
      <c r="H3929">
        <v>-10</v>
      </c>
      <c r="I3929">
        <v>1.51</v>
      </c>
      <c r="K3929" t="s">
        <v>9</v>
      </c>
      <c r="L3929" s="8">
        <f t="shared" si="11353"/>
        <v>-0.84899999999999998</v>
      </c>
      <c r="M3929" t="s">
        <v>4340</v>
      </c>
    </row>
    <row r="3930" spans="1:13" x14ac:dyDescent="0.35">
      <c r="A3930">
        <f t="shared" si="11227"/>
        <v>3926</v>
      </c>
      <c r="B3930" s="9">
        <f t="shared" ref="B3930" si="11370">B3929+H3930+I3930+J3930</f>
        <v>103.62999999999997</v>
      </c>
      <c r="C3930" s="3" t="s">
        <v>4333</v>
      </c>
      <c r="D3930">
        <f t="shared" ref="D3930" si="11371">_xlfn.NUMBERVALUE(LEFT(C3930,2))</f>
        <v>14</v>
      </c>
      <c r="E3930">
        <f t="shared" ref="E3930" si="11372">_xlfn.NUMBERVALUE(MID(C3930,4,2))</f>
        <v>1</v>
      </c>
      <c r="F3930">
        <f t="shared" ref="F3930" si="11373">_xlfn.NUMBERVALUE(RIGHT(C3930,4))</f>
        <v>2025</v>
      </c>
      <c r="G3930" t="s">
        <v>1389</v>
      </c>
      <c r="H3930">
        <v>-10</v>
      </c>
      <c r="I3930">
        <v>12.05</v>
      </c>
      <c r="K3930" t="s">
        <v>10</v>
      </c>
      <c r="L3930" s="8">
        <f t="shared" si="11353"/>
        <v>0.20500000000000007</v>
      </c>
      <c r="M3930" t="s">
        <v>4341</v>
      </c>
    </row>
    <row r="3931" spans="1:13" x14ac:dyDescent="0.35">
      <c r="A3931">
        <f t="shared" si="11227"/>
        <v>3927</v>
      </c>
      <c r="B3931" s="9">
        <f t="shared" ref="B3931" si="11374">B3930+H3931+I3931+J3931</f>
        <v>106.90999999999997</v>
      </c>
      <c r="C3931" s="3" t="s">
        <v>4333</v>
      </c>
      <c r="D3931">
        <f t="shared" ref="D3931" si="11375">_xlfn.NUMBERVALUE(LEFT(C3931,2))</f>
        <v>14</v>
      </c>
      <c r="E3931">
        <f t="shared" ref="E3931" si="11376">_xlfn.NUMBERVALUE(MID(C3931,4,2))</f>
        <v>1</v>
      </c>
      <c r="F3931">
        <f t="shared" ref="F3931" si="11377">_xlfn.NUMBERVALUE(RIGHT(C3931,4))</f>
        <v>2025</v>
      </c>
      <c r="G3931" t="s">
        <v>1389</v>
      </c>
      <c r="H3931">
        <v>-10</v>
      </c>
      <c r="I3931">
        <v>13.28</v>
      </c>
      <c r="K3931" t="s">
        <v>10</v>
      </c>
      <c r="L3931" s="8">
        <f t="shared" si="11353"/>
        <v>0.32799999999999985</v>
      </c>
      <c r="M3931" t="s">
        <v>4342</v>
      </c>
    </row>
    <row r="3932" spans="1:13" x14ac:dyDescent="0.35">
      <c r="A3932">
        <f t="shared" si="11227"/>
        <v>3928</v>
      </c>
      <c r="B3932" s="9">
        <f t="shared" ref="B3932" si="11378">B3931+H3932+I3932+J3932</f>
        <v>115.80999999999997</v>
      </c>
      <c r="C3932" s="3" t="s">
        <v>4333</v>
      </c>
      <c r="D3932">
        <f t="shared" ref="D3932" si="11379">_xlfn.NUMBERVALUE(LEFT(C3932,2))</f>
        <v>14</v>
      </c>
      <c r="E3932">
        <f t="shared" ref="E3932" si="11380">_xlfn.NUMBERVALUE(MID(C3932,4,2))</f>
        <v>1</v>
      </c>
      <c r="F3932">
        <f t="shared" ref="F3932" si="11381">_xlfn.NUMBERVALUE(RIGHT(C3932,4))</f>
        <v>2025</v>
      </c>
      <c r="G3932" t="s">
        <v>1389</v>
      </c>
      <c r="H3932">
        <v>-10</v>
      </c>
      <c r="I3932">
        <v>18.899999999999999</v>
      </c>
      <c r="K3932" t="s">
        <v>10</v>
      </c>
      <c r="L3932" s="8">
        <f t="shared" si="11353"/>
        <v>0.8899999999999999</v>
      </c>
      <c r="M3932" t="s">
        <v>4343</v>
      </c>
    </row>
    <row r="3933" spans="1:13" x14ac:dyDescent="0.35">
      <c r="A3933">
        <f t="shared" si="11227"/>
        <v>3929</v>
      </c>
      <c r="B3933" s="9">
        <f t="shared" ref="B3933" si="11382">B3932+H3933+I3933+J3933</f>
        <v>105.80999999999997</v>
      </c>
      <c r="C3933" s="3" t="s">
        <v>4333</v>
      </c>
      <c r="D3933">
        <f t="shared" ref="D3933" si="11383">_xlfn.NUMBERVALUE(LEFT(C3933,2))</f>
        <v>14</v>
      </c>
      <c r="E3933">
        <f t="shared" ref="E3933" si="11384">_xlfn.NUMBERVALUE(MID(C3933,4,2))</f>
        <v>1</v>
      </c>
      <c r="F3933">
        <f t="shared" ref="F3933" si="11385">_xlfn.NUMBERVALUE(RIGHT(C3933,4))</f>
        <v>2025</v>
      </c>
      <c r="G3933" t="s">
        <v>1389</v>
      </c>
      <c r="H3933">
        <v>-10</v>
      </c>
      <c r="K3933" t="s">
        <v>9</v>
      </c>
      <c r="L3933" s="8">
        <f t="shared" si="11353"/>
        <v>-1</v>
      </c>
      <c r="M3933" t="s">
        <v>4344</v>
      </c>
    </row>
    <row r="3934" spans="1:13" x14ac:dyDescent="0.35">
      <c r="A3934">
        <f t="shared" si="11227"/>
        <v>3930</v>
      </c>
      <c r="B3934" s="9">
        <f t="shared" ref="B3934" si="11386">B3933+H3934+I3934+J3934</f>
        <v>108.42999999999998</v>
      </c>
      <c r="C3934" s="3" t="s">
        <v>4333</v>
      </c>
      <c r="D3934">
        <f t="shared" ref="D3934" si="11387">_xlfn.NUMBERVALUE(LEFT(C3934,2))</f>
        <v>14</v>
      </c>
      <c r="E3934">
        <f t="shared" ref="E3934" si="11388">_xlfn.NUMBERVALUE(MID(C3934,4,2))</f>
        <v>1</v>
      </c>
      <c r="F3934">
        <f t="shared" ref="F3934" si="11389">_xlfn.NUMBERVALUE(RIGHT(C3934,4))</f>
        <v>2025</v>
      </c>
      <c r="G3934" t="s">
        <v>1389</v>
      </c>
      <c r="H3934">
        <v>-10</v>
      </c>
      <c r="I3934">
        <v>12.62</v>
      </c>
      <c r="K3934" t="s">
        <v>10</v>
      </c>
      <c r="L3934" s="8">
        <f t="shared" si="11353"/>
        <v>0.26200000000000001</v>
      </c>
      <c r="M3934" t="s">
        <v>4345</v>
      </c>
    </row>
    <row r="3935" spans="1:13" x14ac:dyDescent="0.35">
      <c r="A3935">
        <f t="shared" si="11227"/>
        <v>3931</v>
      </c>
      <c r="B3935" s="9">
        <f t="shared" ref="B3935" si="11390">B3934+H3935+I3935+J3935</f>
        <v>111.31999999999998</v>
      </c>
      <c r="C3935" s="3" t="s">
        <v>4333</v>
      </c>
      <c r="D3935">
        <f t="shared" ref="D3935" si="11391">_xlfn.NUMBERVALUE(LEFT(C3935,2))</f>
        <v>14</v>
      </c>
      <c r="E3935">
        <f t="shared" ref="E3935" si="11392">_xlfn.NUMBERVALUE(MID(C3935,4,2))</f>
        <v>1</v>
      </c>
      <c r="F3935">
        <f t="shared" ref="F3935" si="11393">_xlfn.NUMBERVALUE(RIGHT(C3935,4))</f>
        <v>2025</v>
      </c>
      <c r="G3935" t="s">
        <v>1389</v>
      </c>
      <c r="H3935">
        <v>-10</v>
      </c>
      <c r="I3935">
        <v>12.89</v>
      </c>
      <c r="K3935" t="s">
        <v>10</v>
      </c>
      <c r="L3935" s="8">
        <f t="shared" si="11353"/>
        <v>0.28900000000000015</v>
      </c>
      <c r="M3935" t="s">
        <v>4346</v>
      </c>
    </row>
    <row r="3936" spans="1:13" x14ac:dyDescent="0.35">
      <c r="A3936">
        <f t="shared" si="11227"/>
        <v>3932</v>
      </c>
      <c r="B3936" s="9">
        <f t="shared" ref="B3936" si="11394">B3935+H3936+I3936+J3936</f>
        <v>114.57999999999998</v>
      </c>
      <c r="C3936" s="3" t="s">
        <v>4333</v>
      </c>
      <c r="D3936">
        <f t="shared" ref="D3936" si="11395">_xlfn.NUMBERVALUE(LEFT(C3936,2))</f>
        <v>14</v>
      </c>
      <c r="E3936">
        <f t="shared" ref="E3936" si="11396">_xlfn.NUMBERVALUE(MID(C3936,4,2))</f>
        <v>1</v>
      </c>
      <c r="F3936">
        <f t="shared" ref="F3936" si="11397">_xlfn.NUMBERVALUE(RIGHT(C3936,4))</f>
        <v>2025</v>
      </c>
      <c r="G3936" t="s">
        <v>1389</v>
      </c>
      <c r="H3936">
        <v>-10</v>
      </c>
      <c r="I3936">
        <v>13.26</v>
      </c>
      <c r="K3936" t="s">
        <v>10</v>
      </c>
      <c r="L3936" s="8">
        <f t="shared" si="11353"/>
        <v>0.32600000000000007</v>
      </c>
      <c r="M3936" t="s">
        <v>4347</v>
      </c>
    </row>
    <row r="3937" spans="1:13" x14ac:dyDescent="0.35">
      <c r="A3937">
        <f t="shared" si="11227"/>
        <v>3933</v>
      </c>
      <c r="B3937" s="9">
        <f t="shared" ref="B3937" si="11398">B3936+H3937+I3937+J3937</f>
        <v>104.57999999999998</v>
      </c>
      <c r="C3937" s="3" t="s">
        <v>4333</v>
      </c>
      <c r="D3937">
        <f t="shared" ref="D3937" si="11399">_xlfn.NUMBERVALUE(LEFT(C3937,2))</f>
        <v>14</v>
      </c>
      <c r="E3937">
        <f t="shared" ref="E3937" si="11400">_xlfn.NUMBERVALUE(MID(C3937,4,2))</f>
        <v>1</v>
      </c>
      <c r="F3937">
        <f t="shared" ref="F3937" si="11401">_xlfn.NUMBERVALUE(RIGHT(C3937,4))</f>
        <v>2025</v>
      </c>
      <c r="G3937" t="s">
        <v>1389</v>
      </c>
      <c r="H3937">
        <v>-10</v>
      </c>
      <c r="K3937" t="s">
        <v>9</v>
      </c>
      <c r="L3937" s="8">
        <f t="shared" si="11353"/>
        <v>-1</v>
      </c>
      <c r="M3937" t="s">
        <v>4348</v>
      </c>
    </row>
    <row r="3938" spans="1:13" x14ac:dyDescent="0.35">
      <c r="A3938">
        <f t="shared" si="11227"/>
        <v>3934</v>
      </c>
      <c r="B3938" s="9">
        <f t="shared" ref="B3938" si="11402">B3937+H3938+I3938+J3938</f>
        <v>114.57999999999998</v>
      </c>
      <c r="C3938" s="3" t="s">
        <v>4349</v>
      </c>
      <c r="D3938">
        <f t="shared" ref="D3938" si="11403">_xlfn.NUMBERVALUE(LEFT(C3938,2))</f>
        <v>15</v>
      </c>
      <c r="E3938">
        <f t="shared" ref="E3938" si="11404">_xlfn.NUMBERVALUE(MID(C3938,4,2))</f>
        <v>1</v>
      </c>
      <c r="F3938">
        <f t="shared" ref="F3938" si="11405">_xlfn.NUMBERVALUE(RIGHT(C3938,4))</f>
        <v>2025</v>
      </c>
      <c r="G3938" t="s">
        <v>1389</v>
      </c>
      <c r="H3938">
        <v>-5</v>
      </c>
      <c r="I3938">
        <v>15</v>
      </c>
      <c r="K3938" t="s">
        <v>10</v>
      </c>
      <c r="L3938" s="8">
        <f t="shared" si="11353"/>
        <v>2</v>
      </c>
      <c r="M3938" t="s">
        <v>4350</v>
      </c>
    </row>
    <row r="3939" spans="1:13" x14ac:dyDescent="0.35">
      <c r="A3939">
        <f t="shared" si="11227"/>
        <v>3935</v>
      </c>
      <c r="B3939" s="9">
        <f t="shared" ref="B3939" si="11406">B3938+H3939+I3939+J3939</f>
        <v>114.57999999999998</v>
      </c>
      <c r="C3939" s="3" t="s">
        <v>4349</v>
      </c>
      <c r="D3939">
        <f t="shared" ref="D3939" si="11407">_xlfn.NUMBERVALUE(LEFT(C3939,2))</f>
        <v>15</v>
      </c>
      <c r="E3939">
        <f t="shared" ref="E3939" si="11408">_xlfn.NUMBERVALUE(MID(C3939,4,2))</f>
        <v>1</v>
      </c>
      <c r="F3939">
        <f t="shared" ref="F3939" si="11409">_xlfn.NUMBERVALUE(RIGHT(C3939,4))</f>
        <v>2025</v>
      </c>
      <c r="G3939" t="s">
        <v>3039</v>
      </c>
      <c r="K3939" t="s">
        <v>10</v>
      </c>
      <c r="L3939" s="8">
        <f t="shared" si="11353"/>
        <v>0</v>
      </c>
      <c r="M3939" t="s">
        <v>4351</v>
      </c>
    </row>
    <row r="3940" spans="1:13" x14ac:dyDescent="0.35">
      <c r="A3940">
        <f t="shared" si="11227"/>
        <v>3936</v>
      </c>
      <c r="B3940" s="9">
        <f t="shared" ref="B3940:B3941" si="11410">B3939+H3940+I3940+J3940</f>
        <v>114.57999999999998</v>
      </c>
      <c r="C3940" s="3" t="s">
        <v>4349</v>
      </c>
      <c r="D3940">
        <f t="shared" ref="D3940:D3941" si="11411">_xlfn.NUMBERVALUE(LEFT(C3940,2))</f>
        <v>15</v>
      </c>
      <c r="E3940">
        <f t="shared" ref="E3940:E3941" si="11412">_xlfn.NUMBERVALUE(MID(C3940,4,2))</f>
        <v>1</v>
      </c>
      <c r="F3940">
        <f t="shared" ref="F3940:F3941" si="11413">_xlfn.NUMBERVALUE(RIGHT(C3940,4))</f>
        <v>2025</v>
      </c>
      <c r="G3940" t="s">
        <v>2969</v>
      </c>
      <c r="K3940" t="s">
        <v>9</v>
      </c>
      <c r="L3940" s="8">
        <f t="shared" si="11353"/>
        <v>0</v>
      </c>
      <c r="M3940" t="s">
        <v>4352</v>
      </c>
    </row>
    <row r="3941" spans="1:13" x14ac:dyDescent="0.35">
      <c r="A3941">
        <f t="shared" si="11227"/>
        <v>3937</v>
      </c>
      <c r="B3941" s="9">
        <f t="shared" si="11410"/>
        <v>105.42999999999998</v>
      </c>
      <c r="C3941" s="3" t="s">
        <v>4349</v>
      </c>
      <c r="D3941">
        <f t="shared" si="11411"/>
        <v>15</v>
      </c>
      <c r="E3941">
        <f t="shared" si="11412"/>
        <v>1</v>
      </c>
      <c r="F3941">
        <f t="shared" si="11413"/>
        <v>2025</v>
      </c>
      <c r="G3941" t="s">
        <v>1389</v>
      </c>
      <c r="H3941">
        <v>-10</v>
      </c>
      <c r="I3941">
        <v>0.85</v>
      </c>
      <c r="K3941" t="s">
        <v>9</v>
      </c>
      <c r="L3941" s="8">
        <f t="shared" si="11353"/>
        <v>-0.91500000000000004</v>
      </c>
      <c r="M3941" t="s">
        <v>4353</v>
      </c>
    </row>
    <row r="3942" spans="1:13" x14ac:dyDescent="0.35">
      <c r="A3942">
        <f t="shared" si="11227"/>
        <v>3938</v>
      </c>
      <c r="B3942" s="9">
        <f t="shared" ref="B3942" si="11414">B3941+H3942+I3942+J3942</f>
        <v>108.33999999999997</v>
      </c>
      <c r="C3942" s="3" t="s">
        <v>4349</v>
      </c>
      <c r="D3942">
        <f t="shared" ref="D3942" si="11415">_xlfn.NUMBERVALUE(LEFT(C3942,2))</f>
        <v>15</v>
      </c>
      <c r="E3942">
        <f t="shared" ref="E3942" si="11416">_xlfn.NUMBERVALUE(MID(C3942,4,2))</f>
        <v>1</v>
      </c>
      <c r="F3942">
        <f t="shared" ref="F3942" si="11417">_xlfn.NUMBERVALUE(RIGHT(C3942,4))</f>
        <v>2025</v>
      </c>
      <c r="G3942" t="s">
        <v>1389</v>
      </c>
      <c r="H3942">
        <v>-10</v>
      </c>
      <c r="I3942">
        <v>12.91</v>
      </c>
      <c r="K3942" t="s">
        <v>10</v>
      </c>
      <c r="L3942" s="8">
        <f t="shared" si="11353"/>
        <v>0.29099999999999993</v>
      </c>
      <c r="M3942" t="s">
        <v>4354</v>
      </c>
    </row>
    <row r="3943" spans="1:13" x14ac:dyDescent="0.35">
      <c r="A3943">
        <f t="shared" si="11227"/>
        <v>3939</v>
      </c>
      <c r="B3943" s="9">
        <f t="shared" ref="B3943" si="11418">B3942+H3943+I3943+J3943</f>
        <v>111.80999999999997</v>
      </c>
      <c r="C3943" s="3" t="s">
        <v>4349</v>
      </c>
      <c r="D3943">
        <f t="shared" ref="D3943" si="11419">_xlfn.NUMBERVALUE(LEFT(C3943,2))</f>
        <v>15</v>
      </c>
      <c r="E3943">
        <f t="shared" ref="E3943" si="11420">_xlfn.NUMBERVALUE(MID(C3943,4,2))</f>
        <v>1</v>
      </c>
      <c r="F3943">
        <f t="shared" ref="F3943" si="11421">_xlfn.NUMBERVALUE(RIGHT(C3943,4))</f>
        <v>2025</v>
      </c>
      <c r="G3943" t="s">
        <v>1389</v>
      </c>
      <c r="H3943">
        <v>-10</v>
      </c>
      <c r="I3943">
        <v>13.47</v>
      </c>
      <c r="K3943" t="s">
        <v>10</v>
      </c>
      <c r="L3943" s="8">
        <f t="shared" si="11353"/>
        <v>0.34699999999999998</v>
      </c>
      <c r="M3943" t="s">
        <v>4355</v>
      </c>
    </row>
    <row r="3944" spans="1:13" x14ac:dyDescent="0.35">
      <c r="A3944">
        <f t="shared" si="11227"/>
        <v>3940</v>
      </c>
      <c r="B3944" s="9">
        <f t="shared" ref="B3944" si="11422">B3943+H3944+I3944+J3944</f>
        <v>103.53999999999998</v>
      </c>
      <c r="C3944" s="3" t="s">
        <v>4349</v>
      </c>
      <c r="D3944">
        <f t="shared" ref="D3944" si="11423">_xlfn.NUMBERVALUE(LEFT(C3944,2))</f>
        <v>15</v>
      </c>
      <c r="E3944">
        <f t="shared" ref="E3944" si="11424">_xlfn.NUMBERVALUE(MID(C3944,4,2))</f>
        <v>1</v>
      </c>
      <c r="F3944">
        <f t="shared" ref="F3944" si="11425">_xlfn.NUMBERVALUE(RIGHT(C3944,4))</f>
        <v>2025</v>
      </c>
      <c r="G3944" t="s">
        <v>1389</v>
      </c>
      <c r="H3944">
        <v>-20</v>
      </c>
      <c r="I3944">
        <v>11.73</v>
      </c>
      <c r="K3944" t="s">
        <v>9</v>
      </c>
      <c r="L3944" s="8">
        <f t="shared" si="11353"/>
        <v>-0.41349999999999998</v>
      </c>
      <c r="M3944" t="s">
        <v>4356</v>
      </c>
    </row>
    <row r="3945" spans="1:13" x14ac:dyDescent="0.35">
      <c r="A3945">
        <f t="shared" si="11227"/>
        <v>3941</v>
      </c>
      <c r="B3945" s="9">
        <f t="shared" ref="B3945:B3948" si="11426">B3944+H3945+I3945+J3945</f>
        <v>105.53999999999998</v>
      </c>
      <c r="C3945" s="3" t="s">
        <v>4349</v>
      </c>
      <c r="D3945">
        <f t="shared" ref="D3945:D3948" si="11427">_xlfn.NUMBERVALUE(LEFT(C3945,2))</f>
        <v>15</v>
      </c>
      <c r="E3945">
        <f t="shared" ref="E3945:E3948" si="11428">_xlfn.NUMBERVALUE(MID(C3945,4,2))</f>
        <v>1</v>
      </c>
      <c r="F3945">
        <f t="shared" ref="F3945:F3948" si="11429">_xlfn.NUMBERVALUE(RIGHT(C3945,4))</f>
        <v>2025</v>
      </c>
      <c r="G3945" t="s">
        <v>4209</v>
      </c>
      <c r="I3945">
        <v>2</v>
      </c>
      <c r="K3945" t="s">
        <v>10</v>
      </c>
    </row>
    <row r="3946" spans="1:13" x14ac:dyDescent="0.35">
      <c r="A3946">
        <f t="shared" si="11227"/>
        <v>3942</v>
      </c>
      <c r="B3946" s="9">
        <f t="shared" si="11426"/>
        <v>100.53999999999998</v>
      </c>
      <c r="C3946" s="3" t="s">
        <v>4357</v>
      </c>
      <c r="D3946">
        <f t="shared" si="11427"/>
        <v>16</v>
      </c>
      <c r="E3946">
        <f t="shared" si="11428"/>
        <v>1</v>
      </c>
      <c r="F3946">
        <f t="shared" si="11429"/>
        <v>2025</v>
      </c>
      <c r="G3946" t="s">
        <v>7</v>
      </c>
      <c r="H3946">
        <v>-5</v>
      </c>
      <c r="K3946" t="s">
        <v>9</v>
      </c>
      <c r="L3946" s="8">
        <f t="shared" si="11353"/>
        <v>-1</v>
      </c>
      <c r="M3946" t="s">
        <v>4358</v>
      </c>
    </row>
    <row r="3947" spans="1:13" x14ac:dyDescent="0.35">
      <c r="A3947">
        <f t="shared" si="11227"/>
        <v>3943</v>
      </c>
      <c r="B3947" s="9">
        <f t="shared" si="11426"/>
        <v>100.53999999999998</v>
      </c>
      <c r="C3947" s="3" t="s">
        <v>4357</v>
      </c>
      <c r="D3947">
        <f t="shared" si="11427"/>
        <v>16</v>
      </c>
      <c r="E3947">
        <f t="shared" si="11428"/>
        <v>1</v>
      </c>
      <c r="F3947">
        <f t="shared" si="11429"/>
        <v>2025</v>
      </c>
      <c r="G3947" t="s">
        <v>3039</v>
      </c>
      <c r="K3947" t="s">
        <v>9</v>
      </c>
      <c r="L3947" s="8">
        <f t="shared" si="11353"/>
        <v>0</v>
      </c>
      <c r="M3947" t="s">
        <v>4359</v>
      </c>
    </row>
    <row r="3948" spans="1:13" x14ac:dyDescent="0.35">
      <c r="A3948">
        <f t="shared" si="11227"/>
        <v>3944</v>
      </c>
      <c r="B3948" s="9">
        <f t="shared" si="11426"/>
        <v>102.68999999999998</v>
      </c>
      <c r="C3948" s="3" t="s">
        <v>4357</v>
      </c>
      <c r="D3948">
        <f t="shared" si="11427"/>
        <v>16</v>
      </c>
      <c r="E3948">
        <f t="shared" si="11428"/>
        <v>1</v>
      </c>
      <c r="F3948">
        <f t="shared" si="11429"/>
        <v>2025</v>
      </c>
      <c r="G3948" t="s">
        <v>1389</v>
      </c>
      <c r="H3948">
        <v>-10</v>
      </c>
      <c r="I3948">
        <v>12.15</v>
      </c>
      <c r="K3948" t="s">
        <v>10</v>
      </c>
      <c r="L3948" s="8">
        <f t="shared" si="11353"/>
        <v>0.21500000000000008</v>
      </c>
      <c r="M3948" t="s">
        <v>4360</v>
      </c>
    </row>
    <row r="3949" spans="1:13" x14ac:dyDescent="0.35">
      <c r="A3949">
        <f t="shared" si="11227"/>
        <v>3945</v>
      </c>
      <c r="B3949" s="9">
        <f t="shared" ref="B3949" si="11430">B3948+H3949+I3949+J3949</f>
        <v>92.689999999999984</v>
      </c>
      <c r="C3949" s="3" t="s">
        <v>4357</v>
      </c>
      <c r="D3949">
        <f t="shared" ref="D3949" si="11431">_xlfn.NUMBERVALUE(LEFT(C3949,2))</f>
        <v>16</v>
      </c>
      <c r="E3949">
        <f t="shared" ref="E3949" si="11432">_xlfn.NUMBERVALUE(MID(C3949,4,2))</f>
        <v>1</v>
      </c>
      <c r="F3949">
        <f t="shared" ref="F3949" si="11433">_xlfn.NUMBERVALUE(RIGHT(C3949,4))</f>
        <v>2025</v>
      </c>
      <c r="G3949" t="s">
        <v>1389</v>
      </c>
      <c r="H3949">
        <v>-10</v>
      </c>
      <c r="K3949" t="s">
        <v>9</v>
      </c>
      <c r="L3949" s="8">
        <f t="shared" si="11353"/>
        <v>-1</v>
      </c>
      <c r="M3949" t="s">
        <v>4361</v>
      </c>
    </row>
    <row r="3950" spans="1:13" x14ac:dyDescent="0.35">
      <c r="A3950">
        <f t="shared" si="11227"/>
        <v>3946</v>
      </c>
      <c r="B3950" s="9">
        <f t="shared" ref="B3950:B3951" si="11434">B3949+H3950+I3950+J3950</f>
        <v>93.689999999999984</v>
      </c>
      <c r="C3950" s="3" t="s">
        <v>4357</v>
      </c>
      <c r="D3950">
        <f t="shared" ref="D3950:D3951" si="11435">_xlfn.NUMBERVALUE(LEFT(C3950,2))</f>
        <v>16</v>
      </c>
      <c r="E3950">
        <f t="shared" ref="E3950:E3951" si="11436">_xlfn.NUMBERVALUE(MID(C3950,4,2))</f>
        <v>1</v>
      </c>
      <c r="F3950">
        <f t="shared" ref="F3950:F3951" si="11437">_xlfn.NUMBERVALUE(RIGHT(C3950,4))</f>
        <v>2025</v>
      </c>
      <c r="G3950" t="s">
        <v>4209</v>
      </c>
      <c r="I3950">
        <v>1</v>
      </c>
      <c r="K3950" t="s">
        <v>10</v>
      </c>
    </row>
    <row r="3951" spans="1:13" x14ac:dyDescent="0.35">
      <c r="A3951">
        <f t="shared" si="11227"/>
        <v>3947</v>
      </c>
      <c r="B3951" s="9">
        <f t="shared" si="11434"/>
        <v>96.259999999999991</v>
      </c>
      <c r="C3951" s="3" t="s">
        <v>4357</v>
      </c>
      <c r="D3951">
        <f t="shared" si="11435"/>
        <v>16</v>
      </c>
      <c r="E3951">
        <f t="shared" si="11436"/>
        <v>1</v>
      </c>
      <c r="F3951">
        <f t="shared" si="11437"/>
        <v>2025</v>
      </c>
      <c r="G3951" t="s">
        <v>1389</v>
      </c>
      <c r="H3951">
        <v>-10</v>
      </c>
      <c r="I3951">
        <v>12.57</v>
      </c>
      <c r="K3951" t="s">
        <v>10</v>
      </c>
      <c r="L3951" s="8">
        <f t="shared" si="11353"/>
        <v>0.25700000000000012</v>
      </c>
      <c r="M3951" t="s">
        <v>4362</v>
      </c>
    </row>
    <row r="3952" spans="1:13" x14ac:dyDescent="0.35">
      <c r="A3952">
        <f t="shared" si="11227"/>
        <v>3948</v>
      </c>
      <c r="B3952" s="9">
        <f t="shared" ref="B3952" si="11438">B3951+H3952+I3952+J3952</f>
        <v>98.889999999999986</v>
      </c>
      <c r="C3952" s="3" t="s">
        <v>4357</v>
      </c>
      <c r="D3952">
        <f t="shared" ref="D3952" si="11439">_xlfn.NUMBERVALUE(LEFT(C3952,2))</f>
        <v>16</v>
      </c>
      <c r="E3952">
        <f t="shared" ref="E3952" si="11440">_xlfn.NUMBERVALUE(MID(C3952,4,2))</f>
        <v>1</v>
      </c>
      <c r="F3952">
        <f t="shared" ref="F3952" si="11441">_xlfn.NUMBERVALUE(RIGHT(C3952,4))</f>
        <v>2025</v>
      </c>
      <c r="G3952" t="s">
        <v>1389</v>
      </c>
      <c r="H3952">
        <v>-10</v>
      </c>
      <c r="I3952">
        <v>12.63</v>
      </c>
      <c r="K3952" t="s">
        <v>10</v>
      </c>
      <c r="L3952" s="8">
        <f t="shared" si="11353"/>
        <v>0.26300000000000012</v>
      </c>
      <c r="M3952" t="s">
        <v>4363</v>
      </c>
    </row>
    <row r="3953" spans="1:13" x14ac:dyDescent="0.35">
      <c r="A3953">
        <f t="shared" si="11227"/>
        <v>3949</v>
      </c>
      <c r="B3953" s="9">
        <f t="shared" ref="B3953" si="11442">B3952+H3953+I3953+J3953</f>
        <v>92.34999999999998</v>
      </c>
      <c r="C3953" s="3" t="s">
        <v>4357</v>
      </c>
      <c r="D3953">
        <f t="shared" ref="D3953" si="11443">_xlfn.NUMBERVALUE(LEFT(C3953,2))</f>
        <v>16</v>
      </c>
      <c r="E3953">
        <f t="shared" ref="E3953" si="11444">_xlfn.NUMBERVALUE(MID(C3953,4,2))</f>
        <v>1</v>
      </c>
      <c r="F3953">
        <f t="shared" ref="F3953" si="11445">_xlfn.NUMBERVALUE(RIGHT(C3953,4))</f>
        <v>2025</v>
      </c>
      <c r="G3953" t="s">
        <v>1389</v>
      </c>
      <c r="H3953">
        <v>-10</v>
      </c>
      <c r="I3953">
        <v>3.46</v>
      </c>
      <c r="K3953" t="s">
        <v>9</v>
      </c>
      <c r="L3953" s="8">
        <f t="shared" si="11353"/>
        <v>-0.65400000000000003</v>
      </c>
      <c r="M3953" t="s">
        <v>4364</v>
      </c>
    </row>
    <row r="3954" spans="1:13" x14ac:dyDescent="0.35">
      <c r="A3954">
        <f t="shared" si="11227"/>
        <v>3950</v>
      </c>
      <c r="B3954" s="9">
        <f t="shared" ref="B3954" si="11446">B3953+H3954+I3954+J3954</f>
        <v>96.70999999999998</v>
      </c>
      <c r="C3954" s="3" t="s">
        <v>4357</v>
      </c>
      <c r="D3954">
        <f t="shared" ref="D3954" si="11447">_xlfn.NUMBERVALUE(LEFT(C3954,2))</f>
        <v>16</v>
      </c>
      <c r="E3954">
        <f t="shared" ref="E3954" si="11448">_xlfn.NUMBERVALUE(MID(C3954,4,2))</f>
        <v>1</v>
      </c>
      <c r="F3954">
        <f t="shared" ref="F3954" si="11449">_xlfn.NUMBERVALUE(RIGHT(C3954,4))</f>
        <v>2025</v>
      </c>
      <c r="G3954" t="s">
        <v>1389</v>
      </c>
      <c r="H3954">
        <v>-10</v>
      </c>
      <c r="I3954">
        <v>14.36</v>
      </c>
      <c r="K3954" t="s">
        <v>10</v>
      </c>
      <c r="L3954" s="8">
        <f t="shared" si="11353"/>
        <v>0.43599999999999994</v>
      </c>
      <c r="M3954" t="s">
        <v>4365</v>
      </c>
    </row>
    <row r="3955" spans="1:13" x14ac:dyDescent="0.35">
      <c r="A3955">
        <f t="shared" si="11227"/>
        <v>3951</v>
      </c>
      <c r="B3955" s="9">
        <f t="shared" ref="B3955" si="11450">B3954+H3955+I3955+J3955</f>
        <v>99.249999999999972</v>
      </c>
      <c r="C3955" s="3" t="s">
        <v>4357</v>
      </c>
      <c r="D3955">
        <f t="shared" ref="D3955" si="11451">_xlfn.NUMBERVALUE(LEFT(C3955,2))</f>
        <v>16</v>
      </c>
      <c r="E3955">
        <f t="shared" ref="E3955" si="11452">_xlfn.NUMBERVALUE(MID(C3955,4,2))</f>
        <v>1</v>
      </c>
      <c r="F3955">
        <f t="shared" ref="F3955" si="11453">_xlfn.NUMBERVALUE(RIGHT(C3955,4))</f>
        <v>2025</v>
      </c>
      <c r="G3955" t="s">
        <v>1389</v>
      </c>
      <c r="H3955">
        <v>-10</v>
      </c>
      <c r="I3955">
        <v>12.54</v>
      </c>
      <c r="K3955" t="s">
        <v>10</v>
      </c>
      <c r="L3955" s="8">
        <f t="shared" si="11353"/>
        <v>0.254</v>
      </c>
      <c r="M3955" t="s">
        <v>4366</v>
      </c>
    </row>
    <row r="3956" spans="1:13" x14ac:dyDescent="0.35">
      <c r="A3956">
        <f t="shared" si="11227"/>
        <v>3952</v>
      </c>
      <c r="B3956" s="9">
        <f t="shared" ref="B3956" si="11454">B3955+H3956+I3956+J3956</f>
        <v>91.249999999999972</v>
      </c>
      <c r="C3956" s="3" t="s">
        <v>4357</v>
      </c>
      <c r="D3956">
        <f t="shared" ref="D3956" si="11455">_xlfn.NUMBERVALUE(LEFT(C3956,2))</f>
        <v>16</v>
      </c>
      <c r="E3956">
        <f t="shared" ref="E3956" si="11456">_xlfn.NUMBERVALUE(MID(C3956,4,2))</f>
        <v>1</v>
      </c>
      <c r="F3956">
        <f t="shared" ref="F3956" si="11457">_xlfn.NUMBERVALUE(RIGHT(C3956,4))</f>
        <v>2025</v>
      </c>
      <c r="G3956" t="s">
        <v>1389</v>
      </c>
      <c r="H3956">
        <v>-10</v>
      </c>
      <c r="I3956">
        <v>2</v>
      </c>
      <c r="K3956" t="s">
        <v>9</v>
      </c>
      <c r="L3956" s="8">
        <f t="shared" si="11353"/>
        <v>-0.8</v>
      </c>
      <c r="M3956" t="s">
        <v>4367</v>
      </c>
    </row>
    <row r="3957" spans="1:13" x14ac:dyDescent="0.35">
      <c r="A3957">
        <f t="shared" si="11227"/>
        <v>3953</v>
      </c>
      <c r="B3957" s="9">
        <f t="shared" ref="B3957" si="11458">B3956+H3957+I3957+J3957</f>
        <v>97.669999999999973</v>
      </c>
      <c r="C3957" s="3" t="s">
        <v>4357</v>
      </c>
      <c r="D3957">
        <f t="shared" ref="D3957" si="11459">_xlfn.NUMBERVALUE(LEFT(C3957,2))</f>
        <v>16</v>
      </c>
      <c r="E3957">
        <f t="shared" ref="E3957" si="11460">_xlfn.NUMBERVALUE(MID(C3957,4,2))</f>
        <v>1</v>
      </c>
      <c r="F3957">
        <f t="shared" ref="F3957" si="11461">_xlfn.NUMBERVALUE(RIGHT(C3957,4))</f>
        <v>2025</v>
      </c>
      <c r="G3957" t="s">
        <v>1389</v>
      </c>
      <c r="H3957">
        <v>-10</v>
      </c>
      <c r="I3957">
        <v>16.420000000000002</v>
      </c>
      <c r="K3957" t="s">
        <v>10</v>
      </c>
      <c r="L3957" s="8">
        <f t="shared" si="11353"/>
        <v>0.64200000000000013</v>
      </c>
      <c r="M3957" t="s">
        <v>4368</v>
      </c>
    </row>
    <row r="3958" spans="1:13" x14ac:dyDescent="0.35">
      <c r="A3958">
        <f t="shared" si="11227"/>
        <v>3954</v>
      </c>
      <c r="B3958" s="9">
        <f t="shared" ref="B3958:B3960" si="11462">B3957+H3958+I3958+J3958</f>
        <v>103.96999999999997</v>
      </c>
      <c r="C3958" s="3" t="s">
        <v>4357</v>
      </c>
      <c r="D3958">
        <f t="shared" ref="D3958:D3960" si="11463">_xlfn.NUMBERVALUE(LEFT(C3958,2))</f>
        <v>16</v>
      </c>
      <c r="E3958">
        <f t="shared" ref="E3958:E3960" si="11464">_xlfn.NUMBERVALUE(MID(C3958,4,2))</f>
        <v>1</v>
      </c>
      <c r="F3958">
        <f t="shared" ref="F3958:F3960" si="11465">_xlfn.NUMBERVALUE(RIGHT(C3958,4))</f>
        <v>2025</v>
      </c>
      <c r="G3958" t="s">
        <v>1389</v>
      </c>
      <c r="H3958">
        <v>-10</v>
      </c>
      <c r="I3958">
        <v>16.3</v>
      </c>
      <c r="K3958" t="s">
        <v>10</v>
      </c>
      <c r="L3958" s="8">
        <f t="shared" si="11353"/>
        <v>0.63000000000000012</v>
      </c>
      <c r="M3958" t="s">
        <v>4369</v>
      </c>
    </row>
    <row r="3959" spans="1:13" x14ac:dyDescent="0.35">
      <c r="A3959">
        <f t="shared" si="11227"/>
        <v>3955</v>
      </c>
      <c r="B3959" s="9">
        <f t="shared" si="11462"/>
        <v>98.96999999999997</v>
      </c>
      <c r="C3959" s="3" t="s">
        <v>4370</v>
      </c>
      <c r="D3959">
        <f t="shared" si="11463"/>
        <v>17</v>
      </c>
      <c r="E3959">
        <f t="shared" si="11464"/>
        <v>1</v>
      </c>
      <c r="F3959">
        <f t="shared" si="11465"/>
        <v>2025</v>
      </c>
      <c r="G3959" t="s">
        <v>7</v>
      </c>
      <c r="H3959">
        <v>-5</v>
      </c>
      <c r="K3959" t="s">
        <v>9</v>
      </c>
      <c r="L3959" s="8">
        <f t="shared" si="11353"/>
        <v>-1</v>
      </c>
      <c r="M3959" t="s">
        <v>4371</v>
      </c>
    </row>
    <row r="3960" spans="1:13" x14ac:dyDescent="0.35">
      <c r="A3960">
        <f t="shared" si="11227"/>
        <v>3956</v>
      </c>
      <c r="B3960" s="9">
        <f t="shared" si="11462"/>
        <v>98.96999999999997</v>
      </c>
      <c r="C3960" s="3" t="s">
        <v>4370</v>
      </c>
      <c r="D3960">
        <f t="shared" si="11463"/>
        <v>17</v>
      </c>
      <c r="E3960">
        <f t="shared" si="11464"/>
        <v>1</v>
      </c>
      <c r="F3960">
        <f t="shared" si="11465"/>
        <v>2025</v>
      </c>
      <c r="G3960" t="s">
        <v>3039</v>
      </c>
      <c r="K3960" t="s">
        <v>9</v>
      </c>
      <c r="L3960" s="8">
        <f t="shared" si="11353"/>
        <v>0</v>
      </c>
      <c r="M3960" t="s">
        <v>4372</v>
      </c>
    </row>
    <row r="3961" spans="1:13" x14ac:dyDescent="0.35">
      <c r="A3961">
        <f t="shared" si="11227"/>
        <v>3957</v>
      </c>
      <c r="B3961" s="9">
        <f t="shared" ref="B3961:B3965" si="11466">B3960+H3961+I3961+J3961</f>
        <v>93.96999999999997</v>
      </c>
      <c r="C3961" s="3" t="s">
        <v>4370</v>
      </c>
      <c r="D3961">
        <f t="shared" ref="D3961:D3965" si="11467">_xlfn.NUMBERVALUE(LEFT(C3961,2))</f>
        <v>17</v>
      </c>
      <c r="E3961">
        <f t="shared" ref="E3961:E3965" si="11468">_xlfn.NUMBERVALUE(MID(C3961,4,2))</f>
        <v>1</v>
      </c>
      <c r="F3961">
        <f t="shared" ref="F3961:F3965" si="11469">_xlfn.NUMBERVALUE(RIGHT(C3961,4))</f>
        <v>2025</v>
      </c>
      <c r="G3961" t="s">
        <v>7</v>
      </c>
      <c r="H3961">
        <v>-5</v>
      </c>
      <c r="K3961" t="s">
        <v>9</v>
      </c>
      <c r="L3961" s="8">
        <f t="shared" si="11353"/>
        <v>-1</v>
      </c>
      <c r="M3961" t="s">
        <v>4373</v>
      </c>
    </row>
    <row r="3962" spans="1:13" x14ac:dyDescent="0.35">
      <c r="A3962">
        <f t="shared" si="11227"/>
        <v>3958</v>
      </c>
      <c r="B3962" s="9">
        <f t="shared" si="11466"/>
        <v>94.479999999999976</v>
      </c>
      <c r="C3962" s="3" t="s">
        <v>4370</v>
      </c>
      <c r="D3962">
        <f t="shared" si="11467"/>
        <v>17</v>
      </c>
      <c r="E3962">
        <f t="shared" si="11468"/>
        <v>1</v>
      </c>
      <c r="F3962">
        <f t="shared" si="11469"/>
        <v>2025</v>
      </c>
      <c r="G3962" t="s">
        <v>1389</v>
      </c>
      <c r="H3962">
        <v>-10</v>
      </c>
      <c r="I3962">
        <v>10.51</v>
      </c>
      <c r="K3962" t="s">
        <v>10</v>
      </c>
      <c r="L3962" s="8">
        <f t="shared" si="11353"/>
        <v>5.0999999999999934E-2</v>
      </c>
      <c r="M3962" t="s">
        <v>4374</v>
      </c>
    </row>
    <row r="3963" spans="1:13" x14ac:dyDescent="0.35">
      <c r="A3963">
        <f t="shared" si="11227"/>
        <v>3959</v>
      </c>
      <c r="B3963" s="9">
        <f t="shared" si="11466"/>
        <v>96.479999999999976</v>
      </c>
      <c r="C3963" s="3" t="s">
        <v>4370</v>
      </c>
      <c r="D3963">
        <f t="shared" si="11467"/>
        <v>17</v>
      </c>
      <c r="E3963">
        <f t="shared" si="11468"/>
        <v>1</v>
      </c>
      <c r="F3963">
        <f t="shared" si="11469"/>
        <v>2025</v>
      </c>
      <c r="G3963" t="s">
        <v>4209</v>
      </c>
      <c r="I3963">
        <v>2</v>
      </c>
      <c r="K3963" t="s">
        <v>10</v>
      </c>
    </row>
    <row r="3964" spans="1:13" x14ac:dyDescent="0.35">
      <c r="A3964">
        <f t="shared" si="11227"/>
        <v>3960</v>
      </c>
      <c r="B3964" s="9">
        <f t="shared" si="11466"/>
        <v>106.47999999999998</v>
      </c>
      <c r="C3964" s="3" t="s">
        <v>4375</v>
      </c>
      <c r="D3964">
        <f t="shared" si="11467"/>
        <v>18</v>
      </c>
      <c r="E3964">
        <f t="shared" si="11468"/>
        <v>1</v>
      </c>
      <c r="F3964">
        <f t="shared" si="11469"/>
        <v>2025</v>
      </c>
      <c r="G3964" t="s">
        <v>7</v>
      </c>
      <c r="H3964">
        <v>-5</v>
      </c>
      <c r="I3964">
        <v>15</v>
      </c>
      <c r="K3964" t="s">
        <v>10</v>
      </c>
      <c r="L3964" s="8">
        <f t="shared" si="11353"/>
        <v>2</v>
      </c>
      <c r="M3964" t="s">
        <v>4376</v>
      </c>
    </row>
    <row r="3965" spans="1:13" x14ac:dyDescent="0.35">
      <c r="A3965">
        <f t="shared" si="11227"/>
        <v>3961</v>
      </c>
      <c r="B3965" s="9">
        <f t="shared" si="11466"/>
        <v>106.47999999999998</v>
      </c>
      <c r="C3965" s="3" t="s">
        <v>4375</v>
      </c>
      <c r="D3965">
        <f t="shared" si="11467"/>
        <v>18</v>
      </c>
      <c r="E3965">
        <f t="shared" si="11468"/>
        <v>1</v>
      </c>
      <c r="F3965">
        <f t="shared" si="11469"/>
        <v>2025</v>
      </c>
      <c r="G3965" t="s">
        <v>3039</v>
      </c>
      <c r="K3965" t="s">
        <v>10</v>
      </c>
      <c r="L3965" s="8">
        <f t="shared" si="11353"/>
        <v>0</v>
      </c>
      <c r="M3965" t="s">
        <v>4377</v>
      </c>
    </row>
    <row r="3966" spans="1:13" x14ac:dyDescent="0.35">
      <c r="A3966">
        <f t="shared" si="11227"/>
        <v>3962</v>
      </c>
      <c r="B3966" s="9">
        <f t="shared" ref="B3966:B3967" si="11470">B3965+H3966+I3966+J3966</f>
        <v>107.83999999999997</v>
      </c>
      <c r="C3966" s="3" t="s">
        <v>4375</v>
      </c>
      <c r="D3966">
        <f t="shared" ref="D3966:D3967" si="11471">_xlfn.NUMBERVALUE(LEFT(C3966,2))</f>
        <v>18</v>
      </c>
      <c r="E3966">
        <f t="shared" ref="E3966:E3967" si="11472">_xlfn.NUMBERVALUE(MID(C3966,4,2))</f>
        <v>1</v>
      </c>
      <c r="F3966">
        <f t="shared" ref="F3966:F3967" si="11473">_xlfn.NUMBERVALUE(RIGHT(C3966,4))</f>
        <v>2025</v>
      </c>
      <c r="G3966" t="s">
        <v>2969</v>
      </c>
      <c r="I3966">
        <v>1.36</v>
      </c>
      <c r="K3966" t="s">
        <v>10</v>
      </c>
      <c r="L3966" s="8">
        <f t="shared" si="11353"/>
        <v>0</v>
      </c>
      <c r="M3966" t="s">
        <v>4378</v>
      </c>
    </row>
    <row r="3967" spans="1:13" x14ac:dyDescent="0.35">
      <c r="A3967">
        <f t="shared" si="11227"/>
        <v>3963</v>
      </c>
      <c r="B3967" s="9">
        <f t="shared" si="11470"/>
        <v>110.61999999999998</v>
      </c>
      <c r="C3967" s="3" t="s">
        <v>4375</v>
      </c>
      <c r="D3967">
        <f t="shared" si="11471"/>
        <v>18</v>
      </c>
      <c r="E3967">
        <f t="shared" si="11472"/>
        <v>1</v>
      </c>
      <c r="F3967">
        <f t="shared" si="11473"/>
        <v>2025</v>
      </c>
      <c r="G3967" t="s">
        <v>1389</v>
      </c>
      <c r="H3967">
        <v>-10</v>
      </c>
      <c r="I3967">
        <v>12.78</v>
      </c>
      <c r="K3967" t="s">
        <v>10</v>
      </c>
      <c r="L3967" s="8">
        <f t="shared" si="11353"/>
        <v>0.27800000000000002</v>
      </c>
      <c r="M3967" t="s">
        <v>4379</v>
      </c>
    </row>
    <row r="3968" spans="1:13" x14ac:dyDescent="0.35">
      <c r="A3968">
        <f t="shared" si="11227"/>
        <v>3964</v>
      </c>
      <c r="B3968" s="9">
        <f t="shared" ref="B3968:B3969" si="11474">B3967+H3968+I3968+J3968</f>
        <v>110.61999999999998</v>
      </c>
      <c r="C3968" s="3" t="s">
        <v>4375</v>
      </c>
      <c r="D3968">
        <f t="shared" ref="D3968:D3969" si="11475">_xlfn.NUMBERVALUE(LEFT(C3968,2))</f>
        <v>18</v>
      </c>
      <c r="E3968">
        <f t="shared" ref="E3968:E3969" si="11476">_xlfn.NUMBERVALUE(MID(C3968,4,2))</f>
        <v>1</v>
      </c>
      <c r="F3968">
        <f t="shared" ref="F3968:F3969" si="11477">_xlfn.NUMBERVALUE(RIGHT(C3968,4))</f>
        <v>2025</v>
      </c>
      <c r="G3968" t="s">
        <v>2969</v>
      </c>
      <c r="K3968" t="s">
        <v>9</v>
      </c>
      <c r="L3968" s="8">
        <f t="shared" si="11353"/>
        <v>0</v>
      </c>
      <c r="M3968" t="s">
        <v>4380</v>
      </c>
    </row>
    <row r="3969" spans="1:13" x14ac:dyDescent="0.35">
      <c r="A3969">
        <f t="shared" si="11227"/>
        <v>3965</v>
      </c>
      <c r="B3969" s="9">
        <f t="shared" si="11474"/>
        <v>113.40999999999997</v>
      </c>
      <c r="C3969" s="3" t="s">
        <v>4375</v>
      </c>
      <c r="D3969">
        <f t="shared" si="11475"/>
        <v>18</v>
      </c>
      <c r="E3969">
        <f t="shared" si="11476"/>
        <v>1</v>
      </c>
      <c r="F3969">
        <f t="shared" si="11477"/>
        <v>2025</v>
      </c>
      <c r="G3969" t="s">
        <v>1389</v>
      </c>
      <c r="H3969">
        <v>-10</v>
      </c>
      <c r="I3969">
        <v>12.79</v>
      </c>
      <c r="K3969" t="s">
        <v>10</v>
      </c>
      <c r="L3969" s="8">
        <f t="shared" si="11353"/>
        <v>0.27899999999999991</v>
      </c>
      <c r="M3969" t="s">
        <v>4381</v>
      </c>
    </row>
    <row r="3970" spans="1:13" x14ac:dyDescent="0.35">
      <c r="A3970">
        <f t="shared" si="11227"/>
        <v>3966</v>
      </c>
      <c r="B3970" s="9">
        <f t="shared" ref="B3970:B3971" si="11478">B3969+H3970+I3970+J3970</f>
        <v>108.53999999999996</v>
      </c>
      <c r="C3970" s="3" t="s">
        <v>4375</v>
      </c>
      <c r="D3970">
        <f t="shared" ref="D3970:D3971" si="11479">_xlfn.NUMBERVALUE(LEFT(C3970,2))</f>
        <v>18</v>
      </c>
      <c r="E3970">
        <f t="shared" ref="E3970:E3971" si="11480">_xlfn.NUMBERVALUE(MID(C3970,4,2))</f>
        <v>1</v>
      </c>
      <c r="F3970">
        <f t="shared" ref="F3970:F3971" si="11481">_xlfn.NUMBERVALUE(RIGHT(C3970,4))</f>
        <v>2025</v>
      </c>
      <c r="G3970" t="s">
        <v>1389</v>
      </c>
      <c r="H3970">
        <v>-10</v>
      </c>
      <c r="I3970">
        <v>5.13</v>
      </c>
      <c r="K3970" t="s">
        <v>9</v>
      </c>
      <c r="L3970" s="8">
        <f t="shared" si="11353"/>
        <v>-0.48699999999999999</v>
      </c>
      <c r="M3970" t="s">
        <v>4382</v>
      </c>
    </row>
    <row r="3971" spans="1:13" x14ac:dyDescent="0.35">
      <c r="A3971">
        <f t="shared" si="11227"/>
        <v>3967</v>
      </c>
      <c r="B3971" s="9">
        <f t="shared" si="11478"/>
        <v>109.53999999999996</v>
      </c>
      <c r="C3971" s="3" t="s">
        <v>4375</v>
      </c>
      <c r="D3971">
        <f t="shared" si="11479"/>
        <v>18</v>
      </c>
      <c r="E3971">
        <f t="shared" si="11480"/>
        <v>1</v>
      </c>
      <c r="F3971">
        <f t="shared" si="11481"/>
        <v>2025</v>
      </c>
      <c r="G3971" t="s">
        <v>4209</v>
      </c>
      <c r="I3971">
        <v>1</v>
      </c>
      <c r="K3971" t="s">
        <v>10</v>
      </c>
    </row>
    <row r="3972" spans="1:13" x14ac:dyDescent="0.35">
      <c r="A3972">
        <f t="shared" si="11227"/>
        <v>3968</v>
      </c>
      <c r="B3972" s="9">
        <f t="shared" ref="B3972:B3974" si="11482">B3971+H3972+I3972+J3972</f>
        <v>103.95999999999997</v>
      </c>
      <c r="C3972" s="3" t="s">
        <v>4375</v>
      </c>
      <c r="D3972">
        <f t="shared" ref="D3972:D3974" si="11483">_xlfn.NUMBERVALUE(LEFT(C3972,2))</f>
        <v>18</v>
      </c>
      <c r="E3972">
        <f t="shared" ref="E3972:E3974" si="11484">_xlfn.NUMBERVALUE(MID(C3972,4,2))</f>
        <v>1</v>
      </c>
      <c r="F3972">
        <f t="shared" ref="F3972:F3974" si="11485">_xlfn.NUMBERVALUE(RIGHT(C3972,4))</f>
        <v>2025</v>
      </c>
      <c r="G3972" t="s">
        <v>1389</v>
      </c>
      <c r="H3972">
        <v>-10</v>
      </c>
      <c r="I3972">
        <v>4.42</v>
      </c>
      <c r="K3972" t="s">
        <v>9</v>
      </c>
      <c r="L3972" s="8">
        <f t="shared" si="11353"/>
        <v>-0.55800000000000005</v>
      </c>
      <c r="M3972" t="s">
        <v>4383</v>
      </c>
    </row>
    <row r="3973" spans="1:13" x14ac:dyDescent="0.35">
      <c r="A3973">
        <f t="shared" si="11227"/>
        <v>3969</v>
      </c>
      <c r="B3973" s="9">
        <f t="shared" si="11482"/>
        <v>98.959999999999965</v>
      </c>
      <c r="C3973" s="3" t="s">
        <v>4384</v>
      </c>
      <c r="D3973">
        <f t="shared" si="11483"/>
        <v>19</v>
      </c>
      <c r="E3973">
        <f t="shared" si="11484"/>
        <v>1</v>
      </c>
      <c r="F3973">
        <f t="shared" si="11485"/>
        <v>2025</v>
      </c>
      <c r="G3973" t="s">
        <v>7</v>
      </c>
      <c r="H3973">
        <v>-5</v>
      </c>
      <c r="K3973" t="s">
        <v>9</v>
      </c>
      <c r="L3973" s="8">
        <f t="shared" si="11353"/>
        <v>-1</v>
      </c>
      <c r="M3973" t="s">
        <v>4385</v>
      </c>
    </row>
    <row r="3974" spans="1:13" x14ac:dyDescent="0.35">
      <c r="A3974">
        <f t="shared" si="11227"/>
        <v>3970</v>
      </c>
      <c r="B3974" s="9">
        <f t="shared" si="11482"/>
        <v>98.959999999999965</v>
      </c>
      <c r="C3974" s="3" t="s">
        <v>4384</v>
      </c>
      <c r="D3974">
        <f t="shared" si="11483"/>
        <v>19</v>
      </c>
      <c r="E3974">
        <f t="shared" si="11484"/>
        <v>1</v>
      </c>
      <c r="F3974">
        <f t="shared" si="11485"/>
        <v>2025</v>
      </c>
      <c r="G3974" t="s">
        <v>3039</v>
      </c>
      <c r="K3974" t="s">
        <v>9</v>
      </c>
      <c r="L3974" s="8">
        <f t="shared" si="11353"/>
        <v>0</v>
      </c>
      <c r="M3974" t="s">
        <v>4386</v>
      </c>
    </row>
    <row r="3975" spans="1:13" x14ac:dyDescent="0.35">
      <c r="A3975">
        <f t="shared" si="11227"/>
        <v>3971</v>
      </c>
      <c r="B3975" s="9">
        <f t="shared" ref="B3975:B3976" si="11486">B3974+H3975+I3975+J3975</f>
        <v>94.499999999999972</v>
      </c>
      <c r="C3975" s="3" t="s">
        <v>4384</v>
      </c>
      <c r="D3975">
        <f t="shared" ref="D3975:D3976" si="11487">_xlfn.NUMBERVALUE(LEFT(C3975,2))</f>
        <v>19</v>
      </c>
      <c r="E3975">
        <f t="shared" ref="E3975:E3976" si="11488">_xlfn.NUMBERVALUE(MID(C3975,4,2))</f>
        <v>1</v>
      </c>
      <c r="F3975">
        <f t="shared" ref="F3975:F3976" si="11489">_xlfn.NUMBERVALUE(RIGHT(C3975,4))</f>
        <v>2025</v>
      </c>
      <c r="G3975" t="s">
        <v>1389</v>
      </c>
      <c r="H3975">
        <v>-10</v>
      </c>
      <c r="I3975">
        <v>5.54</v>
      </c>
      <c r="K3975" t="s">
        <v>9</v>
      </c>
      <c r="L3975" s="8">
        <f t="shared" si="11353"/>
        <v>-0.44599999999999995</v>
      </c>
      <c r="M3975" t="s">
        <v>4387</v>
      </c>
    </row>
    <row r="3976" spans="1:13" x14ac:dyDescent="0.35">
      <c r="A3976">
        <f t="shared" si="11227"/>
        <v>3972</v>
      </c>
      <c r="B3976" s="9">
        <f t="shared" si="11486"/>
        <v>95.499999999999972</v>
      </c>
      <c r="C3976" s="3" t="s">
        <v>4384</v>
      </c>
      <c r="D3976">
        <f t="shared" si="11487"/>
        <v>19</v>
      </c>
      <c r="E3976">
        <f t="shared" si="11488"/>
        <v>1</v>
      </c>
      <c r="F3976">
        <f t="shared" si="11489"/>
        <v>2025</v>
      </c>
      <c r="G3976" t="s">
        <v>4209</v>
      </c>
      <c r="I3976">
        <v>1</v>
      </c>
      <c r="K3976" t="s">
        <v>10</v>
      </c>
      <c r="L3976" s="8"/>
    </row>
    <row r="3977" spans="1:13" x14ac:dyDescent="0.35">
      <c r="A3977">
        <f t="shared" si="11227"/>
        <v>3973</v>
      </c>
      <c r="B3977" s="9">
        <f t="shared" ref="B3977" si="11490">B3976+H3977+I3977+J3977</f>
        <v>87.639999999999972</v>
      </c>
      <c r="C3977" s="3" t="s">
        <v>4384</v>
      </c>
      <c r="D3977">
        <f t="shared" ref="D3977" si="11491">_xlfn.NUMBERVALUE(LEFT(C3977,2))</f>
        <v>19</v>
      </c>
      <c r="E3977">
        <f t="shared" ref="E3977" si="11492">_xlfn.NUMBERVALUE(MID(C3977,4,2))</f>
        <v>1</v>
      </c>
      <c r="F3977">
        <f t="shared" ref="F3977" si="11493">_xlfn.NUMBERVALUE(RIGHT(C3977,4))</f>
        <v>2025</v>
      </c>
      <c r="G3977" t="s">
        <v>1389</v>
      </c>
      <c r="H3977">
        <v>-10</v>
      </c>
      <c r="I3977">
        <v>2.14</v>
      </c>
      <c r="K3977" t="s">
        <v>9</v>
      </c>
      <c r="L3977" s="8">
        <f t="shared" si="11353"/>
        <v>-0.78600000000000003</v>
      </c>
      <c r="M3977" t="s">
        <v>4388</v>
      </c>
    </row>
    <row r="3978" spans="1:13" x14ac:dyDescent="0.35">
      <c r="A3978">
        <f t="shared" si="11227"/>
        <v>3974</v>
      </c>
      <c r="B3978" s="9">
        <f t="shared" ref="B3978" si="11494">B3977+H3978+I3978+J3978</f>
        <v>91.379999999999967</v>
      </c>
      <c r="C3978" s="3" t="s">
        <v>4384</v>
      </c>
      <c r="D3978">
        <f t="shared" ref="D3978" si="11495">_xlfn.NUMBERVALUE(LEFT(C3978,2))</f>
        <v>19</v>
      </c>
      <c r="E3978">
        <f t="shared" ref="E3978" si="11496">_xlfn.NUMBERVALUE(MID(C3978,4,2))</f>
        <v>1</v>
      </c>
      <c r="F3978">
        <f t="shared" ref="F3978" si="11497">_xlfn.NUMBERVALUE(RIGHT(C3978,4))</f>
        <v>2025</v>
      </c>
      <c r="G3978" t="s">
        <v>1389</v>
      </c>
      <c r="H3978">
        <v>-10</v>
      </c>
      <c r="I3978">
        <v>13.74</v>
      </c>
      <c r="K3978" t="s">
        <v>10</v>
      </c>
      <c r="L3978" s="8">
        <f t="shared" si="11353"/>
        <v>0.37400000000000011</v>
      </c>
      <c r="M3978" t="s">
        <v>4389</v>
      </c>
    </row>
    <row r="3979" spans="1:13" x14ac:dyDescent="0.35">
      <c r="A3979">
        <f t="shared" si="11227"/>
        <v>3975</v>
      </c>
      <c r="B3979" s="9">
        <f t="shared" ref="B3979" si="11498">B3978+H3979+I3979+J3979</f>
        <v>96.07999999999997</v>
      </c>
      <c r="C3979" s="3" t="s">
        <v>4384</v>
      </c>
      <c r="D3979">
        <f t="shared" ref="D3979" si="11499">_xlfn.NUMBERVALUE(LEFT(C3979,2))</f>
        <v>19</v>
      </c>
      <c r="E3979">
        <f t="shared" ref="E3979" si="11500">_xlfn.NUMBERVALUE(MID(C3979,4,2))</f>
        <v>1</v>
      </c>
      <c r="F3979">
        <f t="shared" ref="F3979" si="11501">_xlfn.NUMBERVALUE(RIGHT(C3979,4))</f>
        <v>2025</v>
      </c>
      <c r="G3979" t="s">
        <v>1389</v>
      </c>
      <c r="H3979">
        <v>-10</v>
      </c>
      <c r="I3979">
        <v>14.7</v>
      </c>
      <c r="K3979" t="s">
        <v>10</v>
      </c>
      <c r="L3979" s="8">
        <f t="shared" si="11353"/>
        <v>0.47</v>
      </c>
      <c r="M3979" t="s">
        <v>4390</v>
      </c>
    </row>
    <row r="3980" spans="1:13" x14ac:dyDescent="0.35">
      <c r="A3980">
        <f t="shared" si="11227"/>
        <v>3976</v>
      </c>
      <c r="B3980" s="9">
        <f t="shared" ref="B3980" si="11502">B3979+H3980+I3980+J3980</f>
        <v>91.069999999999965</v>
      </c>
      <c r="C3980" s="3" t="s">
        <v>4384</v>
      </c>
      <c r="D3980">
        <f t="shared" ref="D3980" si="11503">_xlfn.NUMBERVALUE(LEFT(C3980,2))</f>
        <v>19</v>
      </c>
      <c r="E3980">
        <f t="shared" ref="E3980" si="11504">_xlfn.NUMBERVALUE(MID(C3980,4,2))</f>
        <v>1</v>
      </c>
      <c r="F3980">
        <f t="shared" ref="F3980" si="11505">_xlfn.NUMBERVALUE(RIGHT(C3980,4))</f>
        <v>2025</v>
      </c>
      <c r="G3980" t="s">
        <v>1389</v>
      </c>
      <c r="H3980">
        <v>-10</v>
      </c>
      <c r="I3980">
        <v>4.99</v>
      </c>
      <c r="K3980" t="s">
        <v>9</v>
      </c>
      <c r="L3980" s="8">
        <f t="shared" si="11353"/>
        <v>-0.501</v>
      </c>
      <c r="M3980" t="s">
        <v>4391</v>
      </c>
    </row>
    <row r="3981" spans="1:13" x14ac:dyDescent="0.35">
      <c r="A3981">
        <f t="shared" si="11227"/>
        <v>3977</v>
      </c>
      <c r="B3981" s="9">
        <f t="shared" ref="B3981" si="11506">B3980+H3981+I3981+J3981</f>
        <v>81.069999999999965</v>
      </c>
      <c r="C3981" s="3" t="s">
        <v>4384</v>
      </c>
      <c r="D3981">
        <f t="shared" ref="D3981" si="11507">_xlfn.NUMBERVALUE(LEFT(C3981,2))</f>
        <v>19</v>
      </c>
      <c r="E3981">
        <f t="shared" ref="E3981" si="11508">_xlfn.NUMBERVALUE(MID(C3981,4,2))</f>
        <v>1</v>
      </c>
      <c r="F3981">
        <f t="shared" ref="F3981" si="11509">_xlfn.NUMBERVALUE(RIGHT(C3981,4))</f>
        <v>2025</v>
      </c>
      <c r="G3981" t="s">
        <v>1389</v>
      </c>
      <c r="H3981">
        <v>-10</v>
      </c>
      <c r="K3981" t="s">
        <v>9</v>
      </c>
      <c r="L3981" s="8">
        <f t="shared" si="11353"/>
        <v>-1</v>
      </c>
      <c r="M3981" t="s">
        <v>4392</v>
      </c>
    </row>
    <row r="3982" spans="1:13" x14ac:dyDescent="0.35">
      <c r="A3982">
        <f t="shared" si="11227"/>
        <v>3978</v>
      </c>
      <c r="B3982" s="9">
        <f t="shared" ref="B3982" si="11510">B3981+H3982+I3982+J3982</f>
        <v>71.069999999999965</v>
      </c>
      <c r="C3982" s="3" t="s">
        <v>4384</v>
      </c>
      <c r="D3982">
        <f t="shared" ref="D3982" si="11511">_xlfn.NUMBERVALUE(LEFT(C3982,2))</f>
        <v>19</v>
      </c>
      <c r="E3982">
        <f t="shared" ref="E3982" si="11512">_xlfn.NUMBERVALUE(MID(C3982,4,2))</f>
        <v>1</v>
      </c>
      <c r="F3982">
        <f t="shared" ref="F3982" si="11513">_xlfn.NUMBERVALUE(RIGHT(C3982,4))</f>
        <v>2025</v>
      </c>
      <c r="G3982" t="s">
        <v>1389</v>
      </c>
      <c r="H3982">
        <v>-10</v>
      </c>
      <c r="K3982" t="s">
        <v>9</v>
      </c>
      <c r="L3982" s="8">
        <f t="shared" si="11353"/>
        <v>-1</v>
      </c>
      <c r="M3982" t="s">
        <v>4393</v>
      </c>
    </row>
    <row r="3983" spans="1:13" x14ac:dyDescent="0.35">
      <c r="A3983">
        <f t="shared" si="11227"/>
        <v>3979</v>
      </c>
      <c r="B3983" s="9">
        <f t="shared" ref="B3983" si="11514">B3982+H3983+I3983+J3983</f>
        <v>28.419999999999973</v>
      </c>
      <c r="C3983" s="3" t="s">
        <v>4384</v>
      </c>
      <c r="D3983">
        <f t="shared" ref="D3983" si="11515">_xlfn.NUMBERVALUE(LEFT(C3983,2))</f>
        <v>19</v>
      </c>
      <c r="E3983">
        <f t="shared" ref="E3983" si="11516">_xlfn.NUMBERVALUE(MID(C3983,4,2))</f>
        <v>1</v>
      </c>
      <c r="F3983">
        <f t="shared" ref="F3983" si="11517">_xlfn.NUMBERVALUE(RIGHT(C3983,4))</f>
        <v>2025</v>
      </c>
      <c r="G3983" t="s">
        <v>1389</v>
      </c>
      <c r="H3983">
        <v>-71.069999999999993</v>
      </c>
      <c r="I3983">
        <v>28.42</v>
      </c>
      <c r="K3983" t="s">
        <v>9</v>
      </c>
      <c r="L3983" s="8">
        <f t="shared" si="11353"/>
        <v>-0.60011256507668498</v>
      </c>
      <c r="M3983" t="s">
        <v>4394</v>
      </c>
    </row>
    <row r="3984" spans="1:13" x14ac:dyDescent="0.35">
      <c r="A3984">
        <f t="shared" si="11227"/>
        <v>3980</v>
      </c>
      <c r="B3984" s="9">
        <f t="shared" ref="B3984" si="11518">B3983+H3984+I3984+J3984</f>
        <v>18.179999999999971</v>
      </c>
      <c r="C3984" s="3" t="s">
        <v>4384</v>
      </c>
      <c r="D3984">
        <f t="shared" ref="D3984" si="11519">_xlfn.NUMBERVALUE(LEFT(C3984,2))</f>
        <v>19</v>
      </c>
      <c r="E3984">
        <f t="shared" ref="E3984" si="11520">_xlfn.NUMBERVALUE(MID(C3984,4,2))</f>
        <v>1</v>
      </c>
      <c r="F3984">
        <f t="shared" ref="F3984" si="11521">_xlfn.NUMBERVALUE(RIGHT(C3984,4))</f>
        <v>2025</v>
      </c>
      <c r="G3984" t="s">
        <v>1389</v>
      </c>
      <c r="H3984">
        <v>-28.42</v>
      </c>
      <c r="I3984">
        <v>18.18</v>
      </c>
      <c r="K3984" t="s">
        <v>9</v>
      </c>
      <c r="L3984" s="8">
        <f t="shared" si="11353"/>
        <v>-0.36030964109781849</v>
      </c>
      <c r="M3984" t="s">
        <v>4395</v>
      </c>
    </row>
    <row r="3985" spans="1:13" x14ac:dyDescent="0.35">
      <c r="A3985">
        <f t="shared" si="11227"/>
        <v>3981</v>
      </c>
      <c r="B3985" s="9">
        <f t="shared" ref="B3985" si="11522">B3984+H3985+I3985+J3985</f>
        <v>24.73999999999997</v>
      </c>
      <c r="C3985" s="3" t="s">
        <v>4384</v>
      </c>
      <c r="D3985">
        <f t="shared" ref="D3985" si="11523">_xlfn.NUMBERVALUE(LEFT(C3985,2))</f>
        <v>19</v>
      </c>
      <c r="E3985">
        <f t="shared" ref="E3985" si="11524">_xlfn.NUMBERVALUE(MID(C3985,4,2))</f>
        <v>1</v>
      </c>
      <c r="F3985">
        <f t="shared" ref="F3985" si="11525">_xlfn.NUMBERVALUE(RIGHT(C3985,4))</f>
        <v>2025</v>
      </c>
      <c r="G3985" t="s">
        <v>1389</v>
      </c>
      <c r="H3985">
        <v>-18.18</v>
      </c>
      <c r="I3985">
        <v>24.74</v>
      </c>
      <c r="K3985" t="s">
        <v>10</v>
      </c>
      <c r="L3985" s="8">
        <f t="shared" si="11353"/>
        <v>0.36083608360836084</v>
      </c>
      <c r="M3985" t="s">
        <v>4396</v>
      </c>
    </row>
    <row r="3986" spans="1:13" x14ac:dyDescent="0.35">
      <c r="A3986">
        <f t="shared" si="11227"/>
        <v>3982</v>
      </c>
      <c r="B3986" s="9">
        <f t="shared" ref="B3986" si="11526">B3985+H3986+I3986+J3986</f>
        <v>7.6999999999999718</v>
      </c>
      <c r="C3986" s="3" t="s">
        <v>4384</v>
      </c>
      <c r="D3986">
        <f t="shared" ref="D3986" si="11527">_xlfn.NUMBERVALUE(LEFT(C3986,2))</f>
        <v>19</v>
      </c>
      <c r="E3986">
        <f t="shared" ref="E3986" si="11528">_xlfn.NUMBERVALUE(MID(C3986,4,2))</f>
        <v>1</v>
      </c>
      <c r="F3986">
        <f t="shared" ref="F3986" si="11529">_xlfn.NUMBERVALUE(RIGHT(C3986,4))</f>
        <v>2025</v>
      </c>
      <c r="G3986" t="s">
        <v>1389</v>
      </c>
      <c r="H3986">
        <v>-24.74</v>
      </c>
      <c r="I3986">
        <v>7.7</v>
      </c>
      <c r="K3986" t="s">
        <v>9</v>
      </c>
      <c r="L3986" s="8">
        <f t="shared" si="11353"/>
        <v>-0.68876313662085686</v>
      </c>
      <c r="M3986" t="s">
        <v>4397</v>
      </c>
    </row>
    <row r="3987" spans="1:13" x14ac:dyDescent="0.35">
      <c r="A3987">
        <f t="shared" si="11227"/>
        <v>3983</v>
      </c>
      <c r="B3987" s="9">
        <f t="shared" ref="B3987:B3988" si="11530">B3986+H3987+I3987+J3987</f>
        <v>116.96</v>
      </c>
      <c r="C3987" s="3" t="s">
        <v>4384</v>
      </c>
      <c r="D3987">
        <f t="shared" ref="D3987:D3988" si="11531">_xlfn.NUMBERVALUE(LEFT(C3987,2))</f>
        <v>19</v>
      </c>
      <c r="E3987">
        <f t="shared" ref="E3987:E3988" si="11532">_xlfn.NUMBERVALUE(MID(C3987,4,2))</f>
        <v>1</v>
      </c>
      <c r="F3987">
        <f t="shared" ref="F3987:F3988" si="11533">_xlfn.NUMBERVALUE(RIGHT(C3987,4))</f>
        <v>2025</v>
      </c>
      <c r="G3987" t="s">
        <v>3362</v>
      </c>
      <c r="I3987">
        <v>109.26000000000002</v>
      </c>
    </row>
    <row r="3988" spans="1:13" x14ac:dyDescent="0.35">
      <c r="A3988">
        <f t="shared" si="11227"/>
        <v>3984</v>
      </c>
      <c r="B3988" s="9">
        <f t="shared" si="11530"/>
        <v>16.959999999999994</v>
      </c>
      <c r="C3988" s="3" t="s">
        <v>4384</v>
      </c>
      <c r="D3988">
        <f t="shared" si="11531"/>
        <v>19</v>
      </c>
      <c r="E3988">
        <f t="shared" si="11532"/>
        <v>1</v>
      </c>
      <c r="F3988">
        <f t="shared" si="11533"/>
        <v>2025</v>
      </c>
      <c r="G3988" t="s">
        <v>1389</v>
      </c>
      <c r="H3988">
        <v>-100</v>
      </c>
      <c r="K3988" t="s">
        <v>9</v>
      </c>
      <c r="L3988" s="8">
        <f t="shared" si="11353"/>
        <v>-1</v>
      </c>
      <c r="M3988" t="s">
        <v>4398</v>
      </c>
    </row>
    <row r="3989" spans="1:13" x14ac:dyDescent="0.35">
      <c r="A3989">
        <f t="shared" si="11227"/>
        <v>3985</v>
      </c>
      <c r="B3989" s="9">
        <f t="shared" ref="B3989:B3991" si="11534">B3988+H3989+I3989+J3989</f>
        <v>-7.1054273576010019E-15</v>
      </c>
      <c r="C3989" s="3" t="s">
        <v>4384</v>
      </c>
      <c r="D3989">
        <f t="shared" ref="D3989:D3991" si="11535">_xlfn.NUMBERVALUE(LEFT(C3989,2))</f>
        <v>19</v>
      </c>
      <c r="E3989">
        <f t="shared" ref="E3989:E3991" si="11536">_xlfn.NUMBERVALUE(MID(C3989,4,2))</f>
        <v>1</v>
      </c>
      <c r="F3989">
        <f t="shared" ref="F3989:F3991" si="11537">_xlfn.NUMBERVALUE(RIGHT(C3989,4))</f>
        <v>2025</v>
      </c>
      <c r="G3989" t="s">
        <v>1389</v>
      </c>
      <c r="H3989" s="9">
        <v>-16.96</v>
      </c>
      <c r="K3989" t="s">
        <v>9</v>
      </c>
      <c r="L3989" s="8">
        <f t="shared" si="11353"/>
        <v>-1</v>
      </c>
      <c r="M3989" t="s">
        <v>4399</v>
      </c>
    </row>
    <row r="3990" spans="1:13" x14ac:dyDescent="0.35">
      <c r="A3990">
        <f t="shared" si="11227"/>
        <v>3986</v>
      </c>
      <c r="B3990" s="9">
        <f t="shared" si="11534"/>
        <v>109.26000000000002</v>
      </c>
      <c r="C3990" s="3" t="s">
        <v>4384</v>
      </c>
      <c r="D3990">
        <f t="shared" si="11535"/>
        <v>19</v>
      </c>
      <c r="E3990">
        <f t="shared" si="11536"/>
        <v>1</v>
      </c>
      <c r="F3990">
        <f t="shared" si="11537"/>
        <v>2025</v>
      </c>
      <c r="G3990" t="s">
        <v>3362</v>
      </c>
      <c r="I3990">
        <v>109.26000000000002</v>
      </c>
    </row>
    <row r="3991" spans="1:13" x14ac:dyDescent="0.35">
      <c r="A3991">
        <f t="shared" si="11227"/>
        <v>3987</v>
      </c>
      <c r="B3991" s="9">
        <f t="shared" si="11534"/>
        <v>117.16000000000003</v>
      </c>
      <c r="C3991" s="3" t="s">
        <v>4384</v>
      </c>
      <c r="D3991">
        <f t="shared" si="11535"/>
        <v>19</v>
      </c>
      <c r="E3991">
        <f t="shared" si="11536"/>
        <v>1</v>
      </c>
      <c r="F3991">
        <f t="shared" si="11537"/>
        <v>2025</v>
      </c>
      <c r="G3991" t="s">
        <v>1389</v>
      </c>
      <c r="H3991">
        <v>-100</v>
      </c>
      <c r="I3991">
        <v>107.9</v>
      </c>
      <c r="K3991" t="s">
        <v>10</v>
      </c>
      <c r="L3991" s="8">
        <f t="shared" si="11353"/>
        <v>7.8999999999999959E-2</v>
      </c>
      <c r="M3991" t="s">
        <v>4400</v>
      </c>
    </row>
    <row r="3992" spans="1:13" x14ac:dyDescent="0.35">
      <c r="A3992">
        <f t="shared" si="11227"/>
        <v>3988</v>
      </c>
      <c r="B3992" s="9">
        <f t="shared" ref="B3992" si="11538">B3991+H3992+I3992+J3992</f>
        <v>140.44000000000003</v>
      </c>
      <c r="C3992" s="3" t="s">
        <v>4384</v>
      </c>
      <c r="D3992">
        <f t="shared" ref="D3992" si="11539">_xlfn.NUMBERVALUE(LEFT(C3992,2))</f>
        <v>19</v>
      </c>
      <c r="E3992">
        <f t="shared" ref="E3992" si="11540">_xlfn.NUMBERVALUE(MID(C3992,4,2))</f>
        <v>1</v>
      </c>
      <c r="F3992">
        <f t="shared" ref="F3992" si="11541">_xlfn.NUMBERVALUE(RIGHT(C3992,4))</f>
        <v>2025</v>
      </c>
      <c r="G3992" t="s">
        <v>1389</v>
      </c>
      <c r="H3992">
        <v>-100</v>
      </c>
      <c r="I3992">
        <v>123.28</v>
      </c>
      <c r="K3992" t="s">
        <v>10</v>
      </c>
      <c r="L3992" s="8">
        <f t="shared" si="11353"/>
        <v>0.23280000000000012</v>
      </c>
      <c r="M3992" t="s">
        <v>4401</v>
      </c>
    </row>
    <row r="3993" spans="1:13" x14ac:dyDescent="0.35">
      <c r="A3993">
        <f t="shared" si="11227"/>
        <v>3989</v>
      </c>
      <c r="B3993" s="9">
        <f t="shared" ref="B3993" si="11542">B3992+H3993+I3993+J3993</f>
        <v>151.09000000000003</v>
      </c>
      <c r="C3993" s="3" t="s">
        <v>4384</v>
      </c>
      <c r="D3993">
        <f t="shared" ref="D3993" si="11543">_xlfn.NUMBERVALUE(LEFT(C3993,2))</f>
        <v>19</v>
      </c>
      <c r="E3993">
        <f t="shared" ref="E3993" si="11544">_xlfn.NUMBERVALUE(MID(C3993,4,2))</f>
        <v>1</v>
      </c>
      <c r="F3993">
        <f t="shared" ref="F3993" si="11545">_xlfn.NUMBERVALUE(RIGHT(C3993,4))</f>
        <v>2025</v>
      </c>
      <c r="G3993" t="s">
        <v>1389</v>
      </c>
      <c r="H3993">
        <v>-100</v>
      </c>
      <c r="I3993">
        <v>110.65</v>
      </c>
      <c r="K3993" t="s">
        <v>10</v>
      </c>
      <c r="L3993" s="8">
        <f t="shared" si="11353"/>
        <v>0.10650000000000004</v>
      </c>
      <c r="M3993" t="s">
        <v>4402</v>
      </c>
    </row>
    <row r="3994" spans="1:13" x14ac:dyDescent="0.35">
      <c r="A3994">
        <f t="shared" si="11227"/>
        <v>3990</v>
      </c>
      <c r="B3994" s="9">
        <f t="shared" ref="B3994:B3995" si="11546">B3993+H3994+I3994+J3994</f>
        <v>96.450000000000031</v>
      </c>
      <c r="C3994" s="3" t="s">
        <v>4384</v>
      </c>
      <c r="D3994">
        <f t="shared" ref="D3994:D3995" si="11547">_xlfn.NUMBERVALUE(LEFT(C3994,2))</f>
        <v>19</v>
      </c>
      <c r="E3994">
        <f t="shared" ref="E3994:E3995" si="11548">_xlfn.NUMBERVALUE(MID(C3994,4,2))</f>
        <v>1</v>
      </c>
      <c r="F3994">
        <f t="shared" ref="F3994:F3995" si="11549">_xlfn.NUMBERVALUE(RIGHT(C3994,4))</f>
        <v>2025</v>
      </c>
      <c r="G3994" t="s">
        <v>208</v>
      </c>
      <c r="H3994">
        <v>-54.64</v>
      </c>
    </row>
    <row r="3995" spans="1:13" x14ac:dyDescent="0.35">
      <c r="A3995">
        <f t="shared" si="11227"/>
        <v>3991</v>
      </c>
      <c r="B3995" s="9">
        <f t="shared" si="11546"/>
        <v>45.830000000000027</v>
      </c>
      <c r="C3995" s="3" t="s">
        <v>4384</v>
      </c>
      <c r="D3995">
        <f t="shared" si="11547"/>
        <v>19</v>
      </c>
      <c r="E3995">
        <f t="shared" si="11548"/>
        <v>1</v>
      </c>
      <c r="F3995">
        <f t="shared" si="11549"/>
        <v>2025</v>
      </c>
      <c r="G3995" t="s">
        <v>1389</v>
      </c>
      <c r="H3995">
        <v>-96.45</v>
      </c>
      <c r="I3995">
        <v>45.83</v>
      </c>
      <c r="K3995" t="s">
        <v>9</v>
      </c>
      <c r="L3995" s="8">
        <f t="shared" si="11353"/>
        <v>-0.5248315189217212</v>
      </c>
      <c r="M3995" t="s">
        <v>4403</v>
      </c>
    </row>
    <row r="3996" spans="1:13" x14ac:dyDescent="0.35">
      <c r="A3996">
        <f t="shared" si="11227"/>
        <v>3992</v>
      </c>
      <c r="B3996" s="9">
        <f t="shared" ref="B3996" si="11550">B3995+H3996+I3996+J3996</f>
        <v>70.570000000000022</v>
      </c>
      <c r="C3996" s="3" t="s">
        <v>4384</v>
      </c>
      <c r="D3996">
        <f t="shared" ref="D3996" si="11551">_xlfn.NUMBERVALUE(LEFT(C3996,2))</f>
        <v>19</v>
      </c>
      <c r="E3996">
        <f t="shared" ref="E3996" si="11552">_xlfn.NUMBERVALUE(MID(C3996,4,2))</f>
        <v>1</v>
      </c>
      <c r="F3996">
        <f t="shared" ref="F3996" si="11553">_xlfn.NUMBERVALUE(RIGHT(C3996,4))</f>
        <v>2025</v>
      </c>
      <c r="G3996" t="s">
        <v>1389</v>
      </c>
      <c r="H3996">
        <v>-45.83</v>
      </c>
      <c r="I3996">
        <v>70.569999999999993</v>
      </c>
      <c r="K3996" t="s">
        <v>10</v>
      </c>
      <c r="L3996" s="8">
        <f t="shared" si="11353"/>
        <v>0.53982107789657419</v>
      </c>
      <c r="M3996" t="s">
        <v>4404</v>
      </c>
    </row>
    <row r="3997" spans="1:13" x14ac:dyDescent="0.35">
      <c r="A3997">
        <f t="shared" si="11227"/>
        <v>3993</v>
      </c>
      <c r="B3997" s="9">
        <f t="shared" ref="B3997:B4000" si="11554">B3996+H3997+I3997+J3997</f>
        <v>59.570000000000022</v>
      </c>
      <c r="C3997" s="3" t="s">
        <v>4384</v>
      </c>
      <c r="D3997">
        <f t="shared" ref="D3997:D4000" si="11555">_xlfn.NUMBERVALUE(LEFT(C3997,2))</f>
        <v>19</v>
      </c>
      <c r="E3997">
        <f t="shared" ref="E3997:E4000" si="11556">_xlfn.NUMBERVALUE(MID(C3997,4,2))</f>
        <v>1</v>
      </c>
      <c r="F3997">
        <f t="shared" ref="F3997:F4000" si="11557">_xlfn.NUMBERVALUE(RIGHT(C3997,4))</f>
        <v>2025</v>
      </c>
      <c r="G3997" t="s">
        <v>154</v>
      </c>
      <c r="H3997">
        <v>-11</v>
      </c>
      <c r="K3997" t="s">
        <v>9</v>
      </c>
      <c r="L3997" s="8">
        <f t="shared" si="11353"/>
        <v>-1</v>
      </c>
      <c r="M3997" t="s">
        <v>4405</v>
      </c>
    </row>
    <row r="3998" spans="1:13" x14ac:dyDescent="0.35">
      <c r="A3998">
        <f t="shared" si="11227"/>
        <v>3994</v>
      </c>
      <c r="B3998" s="9">
        <f t="shared" si="11554"/>
        <v>9.5700000000000216</v>
      </c>
      <c r="C3998" s="3" t="s">
        <v>4384</v>
      </c>
      <c r="D3998">
        <f t="shared" si="11555"/>
        <v>19</v>
      </c>
      <c r="E3998">
        <f t="shared" si="11556"/>
        <v>1</v>
      </c>
      <c r="F3998">
        <f t="shared" si="11557"/>
        <v>2025</v>
      </c>
      <c r="G3998" t="s">
        <v>1389</v>
      </c>
      <c r="H3998">
        <v>-50</v>
      </c>
      <c r="K3998" t="s">
        <v>9</v>
      </c>
      <c r="L3998" s="8">
        <f t="shared" si="11353"/>
        <v>-1</v>
      </c>
      <c r="M3998" t="s">
        <v>4406</v>
      </c>
    </row>
    <row r="3999" spans="1:13" x14ac:dyDescent="0.35">
      <c r="A3999">
        <f t="shared" si="11227"/>
        <v>3995</v>
      </c>
      <c r="B3999" s="9">
        <f t="shared" si="11554"/>
        <v>4.5700000000000216</v>
      </c>
      <c r="C3999" s="3" t="s">
        <v>4384</v>
      </c>
      <c r="D3999">
        <f t="shared" si="11555"/>
        <v>19</v>
      </c>
      <c r="E3999">
        <f t="shared" si="11556"/>
        <v>1</v>
      </c>
      <c r="F3999">
        <f t="shared" si="11557"/>
        <v>2025</v>
      </c>
      <c r="G3999" t="s">
        <v>7</v>
      </c>
      <c r="H3999">
        <v>-5</v>
      </c>
      <c r="K3999" t="s">
        <v>9</v>
      </c>
      <c r="L3999" s="8">
        <f t="shared" si="11353"/>
        <v>-1</v>
      </c>
      <c r="M3999" t="s">
        <v>4407</v>
      </c>
    </row>
    <row r="4000" spans="1:13" x14ac:dyDescent="0.35">
      <c r="A4000">
        <f t="shared" si="11227"/>
        <v>3996</v>
      </c>
      <c r="B4000" s="9">
        <f t="shared" si="11554"/>
        <v>114.55000000000003</v>
      </c>
      <c r="C4000" s="3" t="s">
        <v>4408</v>
      </c>
      <c r="D4000">
        <f t="shared" si="11555"/>
        <v>20</v>
      </c>
      <c r="E4000">
        <f t="shared" si="11556"/>
        <v>1</v>
      </c>
      <c r="F4000">
        <f t="shared" si="11557"/>
        <v>2025</v>
      </c>
      <c r="G4000" t="s">
        <v>3362</v>
      </c>
      <c r="I4000">
        <v>109.98</v>
      </c>
    </row>
    <row r="4001" spans="1:13" x14ac:dyDescent="0.35">
      <c r="A4001">
        <f t="shared" si="11227"/>
        <v>3997</v>
      </c>
      <c r="B4001" s="9">
        <f t="shared" ref="B4001" si="11558">B4000+H4001+I4001+J4001</f>
        <v>124.55000000000003</v>
      </c>
      <c r="C4001" s="3" t="s">
        <v>4408</v>
      </c>
      <c r="D4001">
        <f t="shared" ref="D4001" si="11559">_xlfn.NUMBERVALUE(LEFT(C4001,2))</f>
        <v>20</v>
      </c>
      <c r="E4001">
        <f t="shared" ref="E4001" si="11560">_xlfn.NUMBERVALUE(MID(C4001,4,2))</f>
        <v>1</v>
      </c>
      <c r="F4001">
        <f t="shared" ref="F4001" si="11561">_xlfn.NUMBERVALUE(RIGHT(C4001,4))</f>
        <v>2025</v>
      </c>
      <c r="G4001" t="s">
        <v>7</v>
      </c>
      <c r="H4001">
        <v>-5</v>
      </c>
      <c r="I4001">
        <v>15</v>
      </c>
      <c r="K4001" t="s">
        <v>10</v>
      </c>
      <c r="L4001" s="8">
        <f t="shared" si="11353"/>
        <v>2</v>
      </c>
      <c r="M4001" t="s">
        <v>4409</v>
      </c>
    </row>
    <row r="4002" spans="1:13" x14ac:dyDescent="0.35">
      <c r="A4002">
        <f t="shared" si="11227"/>
        <v>3998</v>
      </c>
      <c r="B4002" s="9">
        <f t="shared" ref="B4002:B4003" si="11562">B4001+H4002+I4002+J4002</f>
        <v>119.55000000000003</v>
      </c>
      <c r="C4002" s="3" t="s">
        <v>4410</v>
      </c>
      <c r="D4002">
        <f t="shared" ref="D4002:D4003" si="11563">_xlfn.NUMBERVALUE(LEFT(C4002,2))</f>
        <v>21</v>
      </c>
      <c r="E4002">
        <f t="shared" ref="E4002:E4003" si="11564">_xlfn.NUMBERVALUE(MID(C4002,4,2))</f>
        <v>1</v>
      </c>
      <c r="F4002">
        <f t="shared" ref="F4002:F4003" si="11565">_xlfn.NUMBERVALUE(RIGHT(C4002,4))</f>
        <v>2025</v>
      </c>
      <c r="G4002" t="s">
        <v>7</v>
      </c>
      <c r="H4002">
        <v>-5</v>
      </c>
      <c r="K4002" t="s">
        <v>9</v>
      </c>
      <c r="L4002" s="8">
        <f t="shared" si="11353"/>
        <v>-1</v>
      </c>
      <c r="M4002" t="s">
        <v>4411</v>
      </c>
    </row>
    <row r="4003" spans="1:13" x14ac:dyDescent="0.35">
      <c r="A4003">
        <f t="shared" si="11227"/>
        <v>3999</v>
      </c>
      <c r="B4003" s="9">
        <f t="shared" si="11562"/>
        <v>119.55000000000003</v>
      </c>
      <c r="C4003" s="3" t="s">
        <v>4410</v>
      </c>
      <c r="D4003">
        <f t="shared" si="11563"/>
        <v>21</v>
      </c>
      <c r="E4003">
        <f t="shared" si="11564"/>
        <v>1</v>
      </c>
      <c r="F4003">
        <f t="shared" si="11565"/>
        <v>2025</v>
      </c>
      <c r="G4003" t="s">
        <v>3039</v>
      </c>
      <c r="K4003" t="s">
        <v>10</v>
      </c>
      <c r="L4003" s="8">
        <f t="shared" si="11353"/>
        <v>0</v>
      </c>
      <c r="M4003" t="s">
        <v>4412</v>
      </c>
    </row>
    <row r="4004" spans="1:13" x14ac:dyDescent="0.35">
      <c r="A4004">
        <f t="shared" si="11227"/>
        <v>4000</v>
      </c>
      <c r="B4004" s="9">
        <f t="shared" ref="B4004:B4006" si="11566">B4003+H4004+I4004+J4004</f>
        <v>119.55000000000003</v>
      </c>
      <c r="C4004" s="3" t="s">
        <v>4410</v>
      </c>
      <c r="D4004">
        <f t="shared" ref="D4004:D4006" si="11567">_xlfn.NUMBERVALUE(LEFT(C4004,2))</f>
        <v>21</v>
      </c>
      <c r="E4004">
        <f t="shared" ref="E4004:E4006" si="11568">_xlfn.NUMBERVALUE(MID(C4004,4,2))</f>
        <v>1</v>
      </c>
      <c r="F4004">
        <f t="shared" ref="F4004:F4006" si="11569">_xlfn.NUMBERVALUE(RIGHT(C4004,4))</f>
        <v>2025</v>
      </c>
      <c r="G4004" t="s">
        <v>2969</v>
      </c>
      <c r="K4004" t="s">
        <v>9</v>
      </c>
      <c r="L4004" s="8">
        <f t="shared" si="11353"/>
        <v>0</v>
      </c>
      <c r="M4004" t="s">
        <v>4413</v>
      </c>
    </row>
    <row r="4005" spans="1:13" x14ac:dyDescent="0.35">
      <c r="A4005">
        <f t="shared" si="11227"/>
        <v>4001</v>
      </c>
      <c r="B4005" s="9">
        <f t="shared" si="11566"/>
        <v>114.55000000000003</v>
      </c>
      <c r="C4005" s="3" t="s">
        <v>4417</v>
      </c>
      <c r="D4005">
        <f t="shared" si="11567"/>
        <v>22</v>
      </c>
      <c r="E4005">
        <f t="shared" si="11568"/>
        <v>1</v>
      </c>
      <c r="F4005">
        <f t="shared" si="11569"/>
        <v>2025</v>
      </c>
      <c r="G4005" t="s">
        <v>7</v>
      </c>
      <c r="H4005">
        <v>-5</v>
      </c>
      <c r="K4005" t="s">
        <v>9</v>
      </c>
      <c r="L4005" s="8">
        <f t="shared" ref="L4005:L4007" si="11570">IF(H4005="",0,(SUM(I4005:J4005)/-H4005)-1)</f>
        <v>-1</v>
      </c>
      <c r="M4005" t="s">
        <v>4414</v>
      </c>
    </row>
    <row r="4006" spans="1:13" x14ac:dyDescent="0.35">
      <c r="A4006">
        <f t="shared" ref="A4006" si="11571">A4005+1</f>
        <v>4002</v>
      </c>
      <c r="B4006" s="9">
        <f t="shared" si="11566"/>
        <v>114.55000000000003</v>
      </c>
      <c r="C4006" s="3" t="s">
        <v>4417</v>
      </c>
      <c r="D4006">
        <f t="shared" si="11567"/>
        <v>22</v>
      </c>
      <c r="E4006">
        <f t="shared" si="11568"/>
        <v>1</v>
      </c>
      <c r="F4006">
        <f t="shared" si="11569"/>
        <v>2025</v>
      </c>
      <c r="G4006" t="s">
        <v>3039</v>
      </c>
      <c r="K4006" t="s">
        <v>9</v>
      </c>
      <c r="L4006" s="8">
        <f t="shared" si="11570"/>
        <v>0</v>
      </c>
      <c r="M4006" t="s">
        <v>4415</v>
      </c>
    </row>
    <row r="4007" spans="1:13" x14ac:dyDescent="0.35">
      <c r="A4007">
        <f t="shared" si="11227"/>
        <v>4003</v>
      </c>
      <c r="B4007" s="9">
        <f t="shared" ref="B4007" si="11572">B4006+H4007+I4007+J4007</f>
        <v>109.55000000000003</v>
      </c>
      <c r="C4007" s="3" t="s">
        <v>4417</v>
      </c>
      <c r="D4007">
        <f t="shared" ref="D4007" si="11573">_xlfn.NUMBERVALUE(LEFT(C4007,2))</f>
        <v>22</v>
      </c>
      <c r="E4007">
        <f t="shared" ref="E4007" si="11574">_xlfn.NUMBERVALUE(MID(C4007,4,2))</f>
        <v>1</v>
      </c>
      <c r="F4007">
        <f t="shared" ref="F4007" si="11575">_xlfn.NUMBERVALUE(RIGHT(C4007,4))</f>
        <v>2025</v>
      </c>
      <c r="G4007" t="s">
        <v>7</v>
      </c>
      <c r="H4007">
        <v>-5</v>
      </c>
      <c r="K4007" t="s">
        <v>9</v>
      </c>
      <c r="L4007" s="8">
        <f t="shared" si="11570"/>
        <v>-1</v>
      </c>
      <c r="M4007" t="s">
        <v>4416</v>
      </c>
    </row>
    <row r="4008" spans="1:13" x14ac:dyDescent="0.35">
      <c r="A4008">
        <f t="shared" si="11227"/>
        <v>4004</v>
      </c>
      <c r="B4008" s="9">
        <f t="shared" ref="B4008:B4009" si="11576">B4007+H4008+I4008+J4008</f>
        <v>104.55000000000003</v>
      </c>
      <c r="C4008" s="3" t="s">
        <v>4417</v>
      </c>
      <c r="D4008">
        <f t="shared" ref="D4008:D4009" si="11577">_xlfn.NUMBERVALUE(LEFT(C4008,2))</f>
        <v>22</v>
      </c>
      <c r="E4008">
        <f t="shared" ref="E4008:E4009" si="11578">_xlfn.NUMBERVALUE(MID(C4008,4,2))</f>
        <v>1</v>
      </c>
      <c r="F4008">
        <f t="shared" ref="F4008:F4009" si="11579">_xlfn.NUMBERVALUE(RIGHT(C4008,4))</f>
        <v>2025</v>
      </c>
      <c r="G4008" t="s">
        <v>7</v>
      </c>
      <c r="H4008">
        <v>-5</v>
      </c>
      <c r="K4008" t="s">
        <v>9</v>
      </c>
      <c r="L4008" s="8">
        <f t="shared" ref="L4008:L4017" si="11580">IF(H4008="",0,(SUM(I4008:J4008)/-H4008)-1)</f>
        <v>-1</v>
      </c>
      <c r="M4008" t="s">
        <v>4418</v>
      </c>
    </row>
    <row r="4009" spans="1:13" x14ac:dyDescent="0.35">
      <c r="A4009">
        <f t="shared" si="11227"/>
        <v>4005</v>
      </c>
      <c r="B4009" s="9">
        <f t="shared" si="11576"/>
        <v>97.380000000000024</v>
      </c>
      <c r="C4009" s="3" t="s">
        <v>4417</v>
      </c>
      <c r="D4009">
        <f t="shared" si="11577"/>
        <v>22</v>
      </c>
      <c r="E4009">
        <f t="shared" si="11578"/>
        <v>1</v>
      </c>
      <c r="F4009">
        <f t="shared" si="11579"/>
        <v>2025</v>
      </c>
      <c r="G4009" t="s">
        <v>1389</v>
      </c>
      <c r="H4009">
        <v>-10</v>
      </c>
      <c r="I4009">
        <v>2.83</v>
      </c>
      <c r="K4009" t="s">
        <v>9</v>
      </c>
      <c r="L4009" s="8">
        <f t="shared" si="11580"/>
        <v>-0.71699999999999997</v>
      </c>
      <c r="M4009" t="s">
        <v>4419</v>
      </c>
    </row>
    <row r="4010" spans="1:13" x14ac:dyDescent="0.35">
      <c r="A4010">
        <f t="shared" si="11227"/>
        <v>4006</v>
      </c>
      <c r="B4010" s="9">
        <f t="shared" ref="B4010:B4012" si="11581">B4009+H4010+I4010+J4010</f>
        <v>98.380000000000024</v>
      </c>
      <c r="C4010" s="3" t="s">
        <v>4417</v>
      </c>
      <c r="D4010">
        <f t="shared" ref="D4010:D4012" si="11582">_xlfn.NUMBERVALUE(LEFT(C4010,2))</f>
        <v>22</v>
      </c>
      <c r="E4010">
        <f t="shared" ref="E4010:E4012" si="11583">_xlfn.NUMBERVALUE(MID(C4010,4,2))</f>
        <v>1</v>
      </c>
      <c r="F4010">
        <f t="shared" ref="F4010:F4012" si="11584">_xlfn.NUMBERVALUE(RIGHT(C4010,4))</f>
        <v>2025</v>
      </c>
      <c r="G4010" t="s">
        <v>4209</v>
      </c>
      <c r="I4010">
        <v>1</v>
      </c>
      <c r="K4010" t="s">
        <v>10</v>
      </c>
    </row>
    <row r="4011" spans="1:13" x14ac:dyDescent="0.35">
      <c r="A4011">
        <f t="shared" si="11227"/>
        <v>4007</v>
      </c>
      <c r="B4011" s="9">
        <f t="shared" si="11581"/>
        <v>93.660000000000025</v>
      </c>
      <c r="C4011" s="3" t="s">
        <v>4417</v>
      </c>
      <c r="D4011">
        <f t="shared" si="11582"/>
        <v>22</v>
      </c>
      <c r="E4011">
        <f t="shared" si="11583"/>
        <v>1</v>
      </c>
      <c r="F4011">
        <f t="shared" si="11584"/>
        <v>2025</v>
      </c>
      <c r="G4011" t="s">
        <v>1389</v>
      </c>
      <c r="H4011">
        <v>-10</v>
      </c>
      <c r="I4011">
        <v>5.28</v>
      </c>
      <c r="K4011" t="s">
        <v>9</v>
      </c>
      <c r="L4011" s="8">
        <f t="shared" si="11580"/>
        <v>-0.47199999999999998</v>
      </c>
      <c r="M4011" t="s">
        <v>4420</v>
      </c>
    </row>
    <row r="4012" spans="1:13" x14ac:dyDescent="0.35">
      <c r="A4012">
        <f t="shared" si="11227"/>
        <v>4008</v>
      </c>
      <c r="B4012" s="9">
        <f t="shared" si="11581"/>
        <v>103.66000000000003</v>
      </c>
      <c r="C4012" s="3" t="s">
        <v>4417</v>
      </c>
      <c r="D4012">
        <f t="shared" si="11582"/>
        <v>22</v>
      </c>
      <c r="E4012">
        <f t="shared" si="11583"/>
        <v>1</v>
      </c>
      <c r="F4012">
        <f t="shared" si="11584"/>
        <v>2025</v>
      </c>
      <c r="G4012" t="s">
        <v>7</v>
      </c>
      <c r="H4012">
        <v>-5</v>
      </c>
      <c r="I4012">
        <v>15</v>
      </c>
      <c r="K4012" t="s">
        <v>10</v>
      </c>
      <c r="L4012" s="8">
        <f t="shared" si="11580"/>
        <v>2</v>
      </c>
      <c r="M4012" t="s">
        <v>4421</v>
      </c>
    </row>
    <row r="4013" spans="1:13" x14ac:dyDescent="0.35">
      <c r="A4013">
        <f t="shared" si="11227"/>
        <v>4009</v>
      </c>
      <c r="B4013" s="9">
        <f t="shared" ref="B4013:B4014" si="11585">B4012+H4013+I4013+J4013</f>
        <v>95.820000000000022</v>
      </c>
      <c r="C4013" s="3" t="s">
        <v>4417</v>
      </c>
      <c r="D4013">
        <f t="shared" ref="D4013:D4014" si="11586">_xlfn.NUMBERVALUE(LEFT(C4013,2))</f>
        <v>22</v>
      </c>
      <c r="E4013">
        <f t="shared" ref="E4013:E4014" si="11587">_xlfn.NUMBERVALUE(MID(C4013,4,2))</f>
        <v>1</v>
      </c>
      <c r="F4013">
        <f t="shared" ref="F4013:F4014" si="11588">_xlfn.NUMBERVALUE(RIGHT(C4013,4))</f>
        <v>2025</v>
      </c>
      <c r="G4013" t="s">
        <v>1389</v>
      </c>
      <c r="H4013">
        <v>-10</v>
      </c>
      <c r="I4013">
        <v>2.16</v>
      </c>
      <c r="K4013" t="s">
        <v>9</v>
      </c>
      <c r="L4013" s="8">
        <f t="shared" si="11580"/>
        <v>-0.78400000000000003</v>
      </c>
      <c r="M4013" t="s">
        <v>4422</v>
      </c>
    </row>
    <row r="4014" spans="1:13" x14ac:dyDescent="0.35">
      <c r="A4014">
        <f t="shared" si="11227"/>
        <v>4010</v>
      </c>
      <c r="B4014" s="9">
        <f t="shared" si="11585"/>
        <v>90.820000000000022</v>
      </c>
      <c r="C4014" s="3" t="s">
        <v>4417</v>
      </c>
      <c r="D4014">
        <f t="shared" si="11586"/>
        <v>22</v>
      </c>
      <c r="E4014">
        <f t="shared" si="11587"/>
        <v>1</v>
      </c>
      <c r="F4014">
        <f t="shared" si="11588"/>
        <v>2025</v>
      </c>
      <c r="G4014" t="s">
        <v>7</v>
      </c>
      <c r="H4014">
        <v>-5</v>
      </c>
      <c r="K4014" t="s">
        <v>9</v>
      </c>
      <c r="L4014" s="8">
        <f t="shared" si="11580"/>
        <v>-1</v>
      </c>
      <c r="M4014" t="s">
        <v>4423</v>
      </c>
    </row>
    <row r="4015" spans="1:13" x14ac:dyDescent="0.35">
      <c r="A4015">
        <f t="shared" si="11227"/>
        <v>4011</v>
      </c>
      <c r="B4015" s="9">
        <f t="shared" ref="B4015" si="11589">B4014+H4015+I4015+J4015</f>
        <v>85.510000000000019</v>
      </c>
      <c r="C4015" s="3" t="s">
        <v>4417</v>
      </c>
      <c r="D4015">
        <f t="shared" ref="D4015" si="11590">_xlfn.NUMBERVALUE(LEFT(C4015,2))</f>
        <v>22</v>
      </c>
      <c r="E4015">
        <f t="shared" ref="E4015" si="11591">_xlfn.NUMBERVALUE(MID(C4015,4,2))</f>
        <v>1</v>
      </c>
      <c r="F4015">
        <f t="shared" ref="F4015" si="11592">_xlfn.NUMBERVALUE(RIGHT(C4015,4))</f>
        <v>2025</v>
      </c>
      <c r="G4015" t="s">
        <v>1389</v>
      </c>
      <c r="H4015">
        <v>-10</v>
      </c>
      <c r="I4015">
        <v>4.6900000000000004</v>
      </c>
      <c r="K4015" t="s">
        <v>9</v>
      </c>
      <c r="L4015" s="8">
        <f t="shared" si="11580"/>
        <v>-0.53099999999999992</v>
      </c>
      <c r="M4015" t="s">
        <v>4424</v>
      </c>
    </row>
    <row r="4016" spans="1:13" x14ac:dyDescent="0.35">
      <c r="A4016">
        <f t="shared" si="11227"/>
        <v>4012</v>
      </c>
      <c r="B4016" s="9">
        <f t="shared" ref="B4016:B4017" si="11593">B4015+H4016+I4016+J4016</f>
        <v>75.510000000000019</v>
      </c>
      <c r="C4016" s="3" t="s">
        <v>4417</v>
      </c>
      <c r="D4016">
        <f t="shared" ref="D4016:D4017" si="11594">_xlfn.NUMBERVALUE(LEFT(C4016,2))</f>
        <v>22</v>
      </c>
      <c r="E4016">
        <f t="shared" ref="E4016:E4017" si="11595">_xlfn.NUMBERVALUE(MID(C4016,4,2))</f>
        <v>1</v>
      </c>
      <c r="F4016">
        <f t="shared" ref="F4016:F4017" si="11596">_xlfn.NUMBERVALUE(RIGHT(C4016,4))</f>
        <v>2025</v>
      </c>
      <c r="G4016" t="s">
        <v>1389</v>
      </c>
      <c r="H4016">
        <v>-10</v>
      </c>
      <c r="K4016" t="s">
        <v>9</v>
      </c>
      <c r="L4016" s="8">
        <f t="shared" si="11580"/>
        <v>-1</v>
      </c>
      <c r="M4016" t="s">
        <v>4425</v>
      </c>
    </row>
    <row r="4017" spans="1:13" x14ac:dyDescent="0.35">
      <c r="A4017">
        <f t="shared" si="11227"/>
        <v>4013</v>
      </c>
      <c r="B4017" s="9">
        <f t="shared" si="11593"/>
        <v>70.510000000000019</v>
      </c>
      <c r="C4017" s="3" t="s">
        <v>4417</v>
      </c>
      <c r="D4017">
        <f t="shared" si="11594"/>
        <v>22</v>
      </c>
      <c r="E4017">
        <f t="shared" si="11595"/>
        <v>1</v>
      </c>
      <c r="F4017">
        <f t="shared" si="11596"/>
        <v>2025</v>
      </c>
      <c r="G4017" t="s">
        <v>7</v>
      </c>
      <c r="H4017">
        <v>-5</v>
      </c>
      <c r="K4017" t="s">
        <v>9</v>
      </c>
      <c r="L4017" s="8">
        <f t="shared" si="11580"/>
        <v>-1</v>
      </c>
      <c r="M4017" t="s">
        <v>4426</v>
      </c>
    </row>
    <row r="4018" spans="1:13" x14ac:dyDescent="0.35">
      <c r="A4018">
        <f t="shared" si="11227"/>
        <v>4014</v>
      </c>
      <c r="B4018" s="9">
        <f t="shared" ref="B4018" si="11597">B4017+H4018+I4018+J4018</f>
        <v>65.510000000000019</v>
      </c>
      <c r="C4018" s="3" t="s">
        <v>4417</v>
      </c>
      <c r="D4018">
        <f t="shared" ref="D4018" si="11598">_xlfn.NUMBERVALUE(LEFT(C4018,2))</f>
        <v>22</v>
      </c>
      <c r="E4018">
        <f t="shared" ref="E4018" si="11599">_xlfn.NUMBERVALUE(MID(C4018,4,2))</f>
        <v>1</v>
      </c>
      <c r="F4018">
        <f t="shared" ref="F4018" si="11600">_xlfn.NUMBERVALUE(RIGHT(C4018,4))</f>
        <v>2025</v>
      </c>
      <c r="G4018" t="s">
        <v>7</v>
      </c>
      <c r="H4018">
        <v>-5</v>
      </c>
      <c r="K4018" t="s">
        <v>9</v>
      </c>
      <c r="L4018" s="8">
        <f t="shared" ref="L4018:L4022" si="11601">IF(H4018="",0,(SUM(I4018:J4018)/-H4018)-1)</f>
        <v>-1</v>
      </c>
      <c r="M4018" t="s">
        <v>4427</v>
      </c>
    </row>
    <row r="4019" spans="1:13" x14ac:dyDescent="0.35">
      <c r="A4019">
        <f t="shared" si="11227"/>
        <v>4015</v>
      </c>
      <c r="B4019" s="9">
        <f t="shared" ref="B4019" si="11602">B4018+H4019+I4019+J4019</f>
        <v>60.510000000000019</v>
      </c>
      <c r="C4019" s="3" t="s">
        <v>4417</v>
      </c>
      <c r="D4019">
        <f t="shared" ref="D4019" si="11603">_xlfn.NUMBERVALUE(LEFT(C4019,2))</f>
        <v>22</v>
      </c>
      <c r="E4019">
        <f t="shared" ref="E4019" si="11604">_xlfn.NUMBERVALUE(MID(C4019,4,2))</f>
        <v>1</v>
      </c>
      <c r="F4019">
        <f t="shared" ref="F4019" si="11605">_xlfn.NUMBERVALUE(RIGHT(C4019,4))</f>
        <v>2025</v>
      </c>
      <c r="G4019" t="s">
        <v>7</v>
      </c>
      <c r="H4019">
        <v>-5</v>
      </c>
      <c r="K4019" t="s">
        <v>9</v>
      </c>
      <c r="L4019" s="8">
        <f t="shared" si="11601"/>
        <v>-1</v>
      </c>
      <c r="M4019" t="s">
        <v>4428</v>
      </c>
    </row>
    <row r="4020" spans="1:13" x14ac:dyDescent="0.35">
      <c r="A4020">
        <f t="shared" si="11227"/>
        <v>4016</v>
      </c>
      <c r="B4020" s="9">
        <f t="shared" ref="B4020" si="11606">B4019+H4020+I4020+J4020</f>
        <v>65.510000000000019</v>
      </c>
      <c r="C4020" s="3" t="s">
        <v>4417</v>
      </c>
      <c r="D4020">
        <f t="shared" ref="D4020" si="11607">_xlfn.NUMBERVALUE(LEFT(C4020,2))</f>
        <v>22</v>
      </c>
      <c r="E4020">
        <f t="shared" ref="E4020" si="11608">_xlfn.NUMBERVALUE(MID(C4020,4,2))</f>
        <v>1</v>
      </c>
      <c r="F4020">
        <f t="shared" ref="F4020" si="11609">_xlfn.NUMBERVALUE(RIGHT(C4020,4))</f>
        <v>2025</v>
      </c>
      <c r="G4020" t="s">
        <v>7</v>
      </c>
      <c r="H4020">
        <v>-5</v>
      </c>
      <c r="I4020">
        <v>10</v>
      </c>
      <c r="K4020" t="s">
        <v>10</v>
      </c>
      <c r="L4020" s="8">
        <f t="shared" si="11601"/>
        <v>1</v>
      </c>
      <c r="M4020" t="s">
        <v>4429</v>
      </c>
    </row>
    <row r="4021" spans="1:13" x14ac:dyDescent="0.35">
      <c r="A4021">
        <f t="shared" si="11227"/>
        <v>4017</v>
      </c>
      <c r="B4021" s="9">
        <f t="shared" ref="B4021" si="11610">B4020+H4021+I4021+J4021</f>
        <v>75.510000000000019</v>
      </c>
      <c r="C4021" s="3" t="s">
        <v>4417</v>
      </c>
      <c r="D4021">
        <f t="shared" ref="D4021" si="11611">_xlfn.NUMBERVALUE(LEFT(C4021,2))</f>
        <v>22</v>
      </c>
      <c r="E4021">
        <f t="shared" ref="E4021" si="11612">_xlfn.NUMBERVALUE(MID(C4021,4,2))</f>
        <v>1</v>
      </c>
      <c r="F4021">
        <f t="shared" ref="F4021" si="11613">_xlfn.NUMBERVALUE(RIGHT(C4021,4))</f>
        <v>2025</v>
      </c>
      <c r="G4021" t="s">
        <v>7</v>
      </c>
      <c r="H4021">
        <v>-5</v>
      </c>
      <c r="I4021">
        <v>15</v>
      </c>
      <c r="K4021" t="s">
        <v>10</v>
      </c>
      <c r="L4021" s="8">
        <f t="shared" si="11601"/>
        <v>2</v>
      </c>
      <c r="M4021" t="s">
        <v>4430</v>
      </c>
    </row>
    <row r="4022" spans="1:13" x14ac:dyDescent="0.35">
      <c r="A4022">
        <f t="shared" si="11227"/>
        <v>4018</v>
      </c>
      <c r="B4022" s="9">
        <f t="shared" ref="B4022" si="11614">B4021+H4022+I4022+J4022</f>
        <v>70.510000000000019</v>
      </c>
      <c r="C4022" s="3" t="s">
        <v>4417</v>
      </c>
      <c r="D4022">
        <f t="shared" ref="D4022" si="11615">_xlfn.NUMBERVALUE(LEFT(C4022,2))</f>
        <v>22</v>
      </c>
      <c r="E4022">
        <f t="shared" ref="E4022" si="11616">_xlfn.NUMBERVALUE(MID(C4022,4,2))</f>
        <v>1</v>
      </c>
      <c r="F4022">
        <f t="shared" ref="F4022" si="11617">_xlfn.NUMBERVALUE(RIGHT(C4022,4))</f>
        <v>2025</v>
      </c>
      <c r="G4022" t="s">
        <v>7</v>
      </c>
      <c r="H4022">
        <v>-5</v>
      </c>
      <c r="K4022" t="s">
        <v>9</v>
      </c>
      <c r="L4022" s="8">
        <f t="shared" si="11601"/>
        <v>-1</v>
      </c>
      <c r="M4022" t="s">
        <v>4431</v>
      </c>
    </row>
    <row r="4023" spans="1:13" x14ac:dyDescent="0.35">
      <c r="A4023">
        <f t="shared" si="11227"/>
        <v>4019</v>
      </c>
      <c r="B4023" s="9">
        <f t="shared" ref="B4023" si="11618">B4022+H4023+I4023+J4023</f>
        <v>65.510000000000019</v>
      </c>
      <c r="C4023" s="3" t="s">
        <v>4417</v>
      </c>
      <c r="D4023">
        <f t="shared" ref="D4023" si="11619">_xlfn.NUMBERVALUE(LEFT(C4023,2))</f>
        <v>22</v>
      </c>
      <c r="E4023">
        <f t="shared" ref="E4023" si="11620">_xlfn.NUMBERVALUE(MID(C4023,4,2))</f>
        <v>1</v>
      </c>
      <c r="F4023">
        <f t="shared" ref="F4023" si="11621">_xlfn.NUMBERVALUE(RIGHT(C4023,4))</f>
        <v>2025</v>
      </c>
      <c r="G4023" t="s">
        <v>7</v>
      </c>
      <c r="H4023">
        <v>-5</v>
      </c>
      <c r="K4023" t="s">
        <v>9</v>
      </c>
      <c r="L4023" s="8">
        <f t="shared" ref="L4023" si="11622">IF(H4023="",0,(SUM(I4023:J4023)/-H4023)-1)</f>
        <v>-1</v>
      </c>
      <c r="M4023" t="s">
        <v>4432</v>
      </c>
    </row>
    <row r="4024" spans="1:13" x14ac:dyDescent="0.35">
      <c r="A4024">
        <f t="shared" si="11227"/>
        <v>4020</v>
      </c>
      <c r="B4024" s="9">
        <f t="shared" ref="B4024:B4026" si="11623">B4023+H4024+I4024+J4024</f>
        <v>60.510000000000019</v>
      </c>
      <c r="C4024" s="3" t="s">
        <v>4433</v>
      </c>
      <c r="D4024">
        <f t="shared" ref="D4024:D4026" si="11624">_xlfn.NUMBERVALUE(LEFT(C4024,2))</f>
        <v>23</v>
      </c>
      <c r="E4024">
        <f t="shared" ref="E4024:E4026" si="11625">_xlfn.NUMBERVALUE(MID(C4024,4,2))</f>
        <v>1</v>
      </c>
      <c r="F4024">
        <f t="shared" ref="F4024:F4026" si="11626">_xlfn.NUMBERVALUE(RIGHT(C4024,4))</f>
        <v>2025</v>
      </c>
      <c r="G4024" t="s">
        <v>7</v>
      </c>
      <c r="H4024">
        <v>-5</v>
      </c>
      <c r="K4024" t="s">
        <v>9</v>
      </c>
      <c r="L4024" s="8">
        <f t="shared" ref="L4024" si="11627">IF(H4024="",0,(SUM(I4024:J4024)/-H4024)-1)</f>
        <v>-1</v>
      </c>
      <c r="M4024" t="s">
        <v>4434</v>
      </c>
    </row>
    <row r="4025" spans="1:13" x14ac:dyDescent="0.35">
      <c r="A4025">
        <f t="shared" ref="A4025" si="11628">A4024+1</f>
        <v>4021</v>
      </c>
      <c r="B4025" s="9">
        <f t="shared" si="11623"/>
        <v>60.510000000000019</v>
      </c>
      <c r="C4025" s="3" t="s">
        <v>4433</v>
      </c>
      <c r="D4025">
        <f t="shared" si="11624"/>
        <v>23</v>
      </c>
      <c r="E4025">
        <f t="shared" si="11625"/>
        <v>1</v>
      </c>
      <c r="F4025">
        <f t="shared" si="11626"/>
        <v>2025</v>
      </c>
      <c r="G4025" t="s">
        <v>3039</v>
      </c>
      <c r="K4025" t="s">
        <v>9</v>
      </c>
      <c r="L4025" s="8">
        <f t="shared" ref="L4025:L4034" si="11629">IF(H4025="",0,(SUM(I4025:J4025)/-H4025)-1)</f>
        <v>0</v>
      </c>
      <c r="M4025" t="s">
        <v>4435</v>
      </c>
    </row>
    <row r="4026" spans="1:13" x14ac:dyDescent="0.35">
      <c r="A4026">
        <f t="shared" si="11227"/>
        <v>4022</v>
      </c>
      <c r="B4026" s="9">
        <f t="shared" si="11623"/>
        <v>63.760000000000019</v>
      </c>
      <c r="C4026" s="3" t="s">
        <v>4433</v>
      </c>
      <c r="D4026">
        <f t="shared" si="11624"/>
        <v>23</v>
      </c>
      <c r="E4026">
        <f t="shared" si="11625"/>
        <v>1</v>
      </c>
      <c r="F4026">
        <f t="shared" si="11626"/>
        <v>2025</v>
      </c>
      <c r="G4026" t="s">
        <v>1389</v>
      </c>
      <c r="H4026">
        <v>-10</v>
      </c>
      <c r="I4026">
        <v>13.25</v>
      </c>
      <c r="K4026" t="s">
        <v>10</v>
      </c>
      <c r="L4026" s="8">
        <f t="shared" si="11629"/>
        <v>0.32499999999999996</v>
      </c>
      <c r="M4026" t="s">
        <v>4436</v>
      </c>
    </row>
    <row r="4027" spans="1:13" x14ac:dyDescent="0.35">
      <c r="A4027">
        <f t="shared" si="11227"/>
        <v>4023</v>
      </c>
      <c r="B4027" s="9">
        <f t="shared" ref="B4027:B4028" si="11630">B4026+H4027+I4027+J4027</f>
        <v>64.580000000000013</v>
      </c>
      <c r="C4027" s="3" t="s">
        <v>4433</v>
      </c>
      <c r="D4027">
        <f t="shared" ref="D4027:D4028" si="11631">_xlfn.NUMBERVALUE(LEFT(C4027,2))</f>
        <v>23</v>
      </c>
      <c r="E4027">
        <f t="shared" ref="E4027:E4028" si="11632">_xlfn.NUMBERVALUE(MID(C4027,4,2))</f>
        <v>1</v>
      </c>
      <c r="F4027">
        <f t="shared" ref="F4027:F4028" si="11633">_xlfn.NUMBERVALUE(RIGHT(C4027,4))</f>
        <v>2025</v>
      </c>
      <c r="G4027" t="s">
        <v>1389</v>
      </c>
      <c r="H4027">
        <v>-10</v>
      </c>
      <c r="I4027">
        <v>10.82</v>
      </c>
      <c r="K4027" t="s">
        <v>10</v>
      </c>
      <c r="L4027" s="8">
        <f t="shared" si="11629"/>
        <v>8.2000000000000073E-2</v>
      </c>
      <c r="M4027" t="s">
        <v>4437</v>
      </c>
    </row>
    <row r="4028" spans="1:13" x14ac:dyDescent="0.35">
      <c r="A4028">
        <f t="shared" si="11227"/>
        <v>4024</v>
      </c>
      <c r="B4028" s="9">
        <f t="shared" si="11630"/>
        <v>59.580000000000013</v>
      </c>
      <c r="C4028" s="3" t="s">
        <v>4438</v>
      </c>
      <c r="D4028">
        <f t="shared" si="11631"/>
        <v>24</v>
      </c>
      <c r="E4028">
        <f t="shared" si="11632"/>
        <v>1</v>
      </c>
      <c r="F4028">
        <f t="shared" si="11633"/>
        <v>2025</v>
      </c>
      <c r="G4028" t="s">
        <v>7</v>
      </c>
      <c r="H4028">
        <v>-5</v>
      </c>
      <c r="K4028" t="s">
        <v>9</v>
      </c>
      <c r="L4028" s="8">
        <f t="shared" si="11629"/>
        <v>-1</v>
      </c>
      <c r="M4028" t="s">
        <v>4439</v>
      </c>
    </row>
    <row r="4029" spans="1:13" x14ac:dyDescent="0.35">
      <c r="A4029">
        <f t="shared" si="11227"/>
        <v>4025</v>
      </c>
      <c r="B4029" s="9">
        <f t="shared" ref="B4029:B4030" si="11634">B4028+H4029+I4029+J4029</f>
        <v>59.580000000000013</v>
      </c>
      <c r="C4029" s="3" t="s">
        <v>4438</v>
      </c>
      <c r="D4029">
        <f t="shared" ref="D4029:D4030" si="11635">_xlfn.NUMBERVALUE(LEFT(C4029,2))</f>
        <v>24</v>
      </c>
      <c r="E4029">
        <f t="shared" ref="E4029:E4030" si="11636">_xlfn.NUMBERVALUE(MID(C4029,4,2))</f>
        <v>1</v>
      </c>
      <c r="F4029">
        <f t="shared" ref="F4029:F4030" si="11637">_xlfn.NUMBERVALUE(RIGHT(C4029,4))</f>
        <v>2025</v>
      </c>
      <c r="G4029" t="s">
        <v>3039</v>
      </c>
      <c r="K4029" t="s">
        <v>9</v>
      </c>
      <c r="L4029" s="8">
        <f t="shared" si="11629"/>
        <v>0</v>
      </c>
      <c r="M4029" t="s">
        <v>4440</v>
      </c>
    </row>
    <row r="4030" spans="1:13" x14ac:dyDescent="0.35">
      <c r="A4030">
        <f t="shared" si="11227"/>
        <v>4026</v>
      </c>
      <c r="B4030" s="9">
        <f t="shared" si="11634"/>
        <v>61.760000000000012</v>
      </c>
      <c r="C4030" s="3" t="s">
        <v>4438</v>
      </c>
      <c r="D4030">
        <f t="shared" si="11635"/>
        <v>24</v>
      </c>
      <c r="E4030">
        <f t="shared" si="11636"/>
        <v>1</v>
      </c>
      <c r="F4030">
        <f t="shared" si="11637"/>
        <v>2025</v>
      </c>
      <c r="G4030" t="s">
        <v>1389</v>
      </c>
      <c r="H4030">
        <v>-10</v>
      </c>
      <c r="I4030">
        <v>12.18</v>
      </c>
      <c r="K4030" t="s">
        <v>10</v>
      </c>
      <c r="L4030" s="8">
        <f t="shared" si="11629"/>
        <v>0.21799999999999997</v>
      </c>
      <c r="M4030" t="s">
        <v>4441</v>
      </c>
    </row>
    <row r="4031" spans="1:13" x14ac:dyDescent="0.35">
      <c r="A4031">
        <f t="shared" si="11227"/>
        <v>4027</v>
      </c>
      <c r="B4031" s="9">
        <f t="shared" ref="B4031" si="11638">B4030+H4031+I4031+J4031</f>
        <v>63.850000000000009</v>
      </c>
      <c r="C4031" s="3" t="s">
        <v>4438</v>
      </c>
      <c r="D4031">
        <f t="shared" ref="D4031" si="11639">_xlfn.NUMBERVALUE(LEFT(C4031,2))</f>
        <v>24</v>
      </c>
      <c r="E4031">
        <f t="shared" ref="E4031" si="11640">_xlfn.NUMBERVALUE(MID(C4031,4,2))</f>
        <v>1</v>
      </c>
      <c r="F4031">
        <f t="shared" ref="F4031" si="11641">_xlfn.NUMBERVALUE(RIGHT(C4031,4))</f>
        <v>2025</v>
      </c>
      <c r="G4031" t="s">
        <v>1389</v>
      </c>
      <c r="H4031">
        <v>-10</v>
      </c>
      <c r="I4031">
        <v>12.09</v>
      </c>
      <c r="K4031" t="s">
        <v>10</v>
      </c>
      <c r="L4031" s="8">
        <f t="shared" si="11629"/>
        <v>0.20900000000000007</v>
      </c>
      <c r="M4031" t="s">
        <v>4442</v>
      </c>
    </row>
    <row r="4032" spans="1:13" x14ac:dyDescent="0.35">
      <c r="A4032">
        <f t="shared" si="11227"/>
        <v>4028</v>
      </c>
      <c r="B4032" s="9">
        <f t="shared" ref="B4032" si="11642">B4031+H4032+I4032+J4032</f>
        <v>66.59</v>
      </c>
      <c r="C4032" s="3" t="s">
        <v>4438</v>
      </c>
      <c r="D4032">
        <f t="shared" ref="D4032" si="11643">_xlfn.NUMBERVALUE(LEFT(C4032,2))</f>
        <v>24</v>
      </c>
      <c r="E4032">
        <f t="shared" ref="E4032" si="11644">_xlfn.NUMBERVALUE(MID(C4032,4,2))</f>
        <v>1</v>
      </c>
      <c r="F4032">
        <f t="shared" ref="F4032" si="11645">_xlfn.NUMBERVALUE(RIGHT(C4032,4))</f>
        <v>2025</v>
      </c>
      <c r="G4032" t="s">
        <v>1389</v>
      </c>
      <c r="H4032">
        <v>-10</v>
      </c>
      <c r="I4032">
        <v>12.74</v>
      </c>
      <c r="K4032" t="s">
        <v>10</v>
      </c>
      <c r="L4032" s="8">
        <f t="shared" si="11629"/>
        <v>0.27400000000000002</v>
      </c>
      <c r="M4032" t="s">
        <v>4443</v>
      </c>
    </row>
    <row r="4033" spans="1:13" x14ac:dyDescent="0.35">
      <c r="A4033">
        <f t="shared" si="11227"/>
        <v>4029</v>
      </c>
      <c r="B4033" s="9">
        <f t="shared" ref="B4033" si="11646">B4032+H4033+I4033+J4033</f>
        <v>68.67</v>
      </c>
      <c r="C4033" s="3" t="s">
        <v>4438</v>
      </c>
      <c r="D4033">
        <f t="shared" ref="D4033" si="11647">_xlfn.NUMBERVALUE(LEFT(C4033,2))</f>
        <v>24</v>
      </c>
      <c r="E4033">
        <f t="shared" ref="E4033" si="11648">_xlfn.NUMBERVALUE(MID(C4033,4,2))</f>
        <v>1</v>
      </c>
      <c r="F4033">
        <f t="shared" ref="F4033" si="11649">_xlfn.NUMBERVALUE(RIGHT(C4033,4))</f>
        <v>2025</v>
      </c>
      <c r="G4033" t="s">
        <v>1389</v>
      </c>
      <c r="H4033">
        <v>-10</v>
      </c>
      <c r="I4033">
        <v>12.08</v>
      </c>
      <c r="K4033" t="s">
        <v>10</v>
      </c>
      <c r="L4033" s="8">
        <f t="shared" si="11629"/>
        <v>0.20799999999999996</v>
      </c>
      <c r="M4033" t="s">
        <v>4444</v>
      </c>
    </row>
    <row r="4034" spans="1:13" x14ac:dyDescent="0.35">
      <c r="A4034">
        <f t="shared" si="11227"/>
        <v>4030</v>
      </c>
      <c r="B4034" s="9">
        <f t="shared" ref="B4034:B4035" si="11650">B4033+H4034+I4034+J4034</f>
        <v>53.67</v>
      </c>
      <c r="C4034" s="3" t="s">
        <v>4438</v>
      </c>
      <c r="D4034">
        <f t="shared" ref="D4034:D4035" si="11651">_xlfn.NUMBERVALUE(LEFT(C4034,2))</f>
        <v>24</v>
      </c>
      <c r="E4034">
        <f t="shared" ref="E4034:E4035" si="11652">_xlfn.NUMBERVALUE(MID(C4034,4,2))</f>
        <v>1</v>
      </c>
      <c r="F4034">
        <f t="shared" ref="F4034:F4035" si="11653">_xlfn.NUMBERVALUE(RIGHT(C4034,4))</f>
        <v>2025</v>
      </c>
      <c r="G4034" t="s">
        <v>1389</v>
      </c>
      <c r="H4034">
        <v>-15</v>
      </c>
      <c r="K4034" t="s">
        <v>9</v>
      </c>
      <c r="L4034" s="8">
        <f t="shared" si="11629"/>
        <v>-1</v>
      </c>
      <c r="M4034" t="s">
        <v>4445</v>
      </c>
    </row>
    <row r="4035" spans="1:13" x14ac:dyDescent="0.35">
      <c r="A4035">
        <f t="shared" si="11227"/>
        <v>4031</v>
      </c>
      <c r="B4035" s="9">
        <f t="shared" si="11650"/>
        <v>48.67</v>
      </c>
      <c r="C4035" s="3" t="s">
        <v>4438</v>
      </c>
      <c r="D4035">
        <f t="shared" si="11651"/>
        <v>24</v>
      </c>
      <c r="E4035">
        <f t="shared" si="11652"/>
        <v>1</v>
      </c>
      <c r="F4035">
        <f t="shared" si="11653"/>
        <v>2025</v>
      </c>
      <c r="G4035" t="s">
        <v>7</v>
      </c>
      <c r="H4035">
        <v>-5</v>
      </c>
      <c r="K4035" t="s">
        <v>9</v>
      </c>
      <c r="L4035" s="8">
        <f t="shared" ref="L4035:L4052" si="11654">IF(H4035="",0,(SUM(I4035:J4035)/-H4035)-1)</f>
        <v>-1</v>
      </c>
      <c r="M4035" t="s">
        <v>4446</v>
      </c>
    </row>
    <row r="4036" spans="1:13" x14ac:dyDescent="0.35">
      <c r="A4036">
        <f t="shared" si="11227"/>
        <v>4032</v>
      </c>
      <c r="B4036" s="9">
        <f t="shared" ref="B4036" si="11655">B4035+H4036+I4036+J4036</f>
        <v>53.67</v>
      </c>
      <c r="C4036" s="3" t="s">
        <v>4438</v>
      </c>
      <c r="D4036">
        <f t="shared" ref="D4036" si="11656">_xlfn.NUMBERVALUE(LEFT(C4036,2))</f>
        <v>24</v>
      </c>
      <c r="E4036">
        <f t="shared" ref="E4036" si="11657">_xlfn.NUMBERVALUE(MID(C4036,4,2))</f>
        <v>1</v>
      </c>
      <c r="F4036">
        <f t="shared" ref="F4036" si="11658">_xlfn.NUMBERVALUE(RIGHT(C4036,4))</f>
        <v>2025</v>
      </c>
      <c r="G4036" t="s">
        <v>7</v>
      </c>
      <c r="H4036">
        <v>-5</v>
      </c>
      <c r="I4036">
        <v>10</v>
      </c>
      <c r="K4036" t="s">
        <v>10</v>
      </c>
      <c r="L4036" s="8">
        <f t="shared" si="11654"/>
        <v>1</v>
      </c>
      <c r="M4036" t="s">
        <v>4447</v>
      </c>
    </row>
    <row r="4037" spans="1:13" x14ac:dyDescent="0.35">
      <c r="A4037">
        <f t="shared" si="11227"/>
        <v>4033</v>
      </c>
      <c r="B4037" s="9">
        <f t="shared" ref="B4037" si="11659">B4036+H4037+I4037+J4037</f>
        <v>48.67</v>
      </c>
      <c r="C4037" s="3" t="s">
        <v>4438</v>
      </c>
      <c r="D4037">
        <f t="shared" ref="D4037" si="11660">_xlfn.NUMBERVALUE(LEFT(C4037,2))</f>
        <v>24</v>
      </c>
      <c r="E4037">
        <f t="shared" ref="E4037" si="11661">_xlfn.NUMBERVALUE(MID(C4037,4,2))</f>
        <v>1</v>
      </c>
      <c r="F4037">
        <f t="shared" ref="F4037" si="11662">_xlfn.NUMBERVALUE(RIGHT(C4037,4))</f>
        <v>2025</v>
      </c>
      <c r="G4037" t="s">
        <v>7</v>
      </c>
      <c r="H4037">
        <v>-5</v>
      </c>
      <c r="K4037" t="s">
        <v>9</v>
      </c>
      <c r="L4037" s="8">
        <f t="shared" si="11654"/>
        <v>-1</v>
      </c>
      <c r="M4037" t="s">
        <v>4448</v>
      </c>
    </row>
    <row r="4038" spans="1:13" x14ac:dyDescent="0.35">
      <c r="A4038">
        <f t="shared" si="11227"/>
        <v>4034</v>
      </c>
      <c r="B4038" s="9">
        <f t="shared" ref="B4038" si="11663">B4037+H4038+I4038+J4038</f>
        <v>53.67</v>
      </c>
      <c r="C4038" s="3" t="s">
        <v>4438</v>
      </c>
      <c r="D4038">
        <f t="shared" ref="D4038" si="11664">_xlfn.NUMBERVALUE(LEFT(C4038,2))</f>
        <v>24</v>
      </c>
      <c r="E4038">
        <f t="shared" ref="E4038" si="11665">_xlfn.NUMBERVALUE(MID(C4038,4,2))</f>
        <v>1</v>
      </c>
      <c r="F4038">
        <f t="shared" ref="F4038" si="11666">_xlfn.NUMBERVALUE(RIGHT(C4038,4))</f>
        <v>2025</v>
      </c>
      <c r="G4038" t="s">
        <v>7</v>
      </c>
      <c r="H4038">
        <v>-5</v>
      </c>
      <c r="I4038">
        <v>10</v>
      </c>
      <c r="K4038" t="s">
        <v>10</v>
      </c>
      <c r="L4038" s="8">
        <f t="shared" si="11654"/>
        <v>1</v>
      </c>
      <c r="M4038" t="s">
        <v>4449</v>
      </c>
    </row>
    <row r="4039" spans="1:13" x14ac:dyDescent="0.35">
      <c r="A4039">
        <f t="shared" si="11227"/>
        <v>4035</v>
      </c>
      <c r="B4039" s="9">
        <f t="shared" ref="B4039" si="11667">B4038+H4039+I4039+J4039</f>
        <v>48.67</v>
      </c>
      <c r="C4039" s="3" t="s">
        <v>4438</v>
      </c>
      <c r="D4039">
        <f t="shared" ref="D4039" si="11668">_xlfn.NUMBERVALUE(LEFT(C4039,2))</f>
        <v>24</v>
      </c>
      <c r="E4039">
        <f t="shared" ref="E4039" si="11669">_xlfn.NUMBERVALUE(MID(C4039,4,2))</f>
        <v>1</v>
      </c>
      <c r="F4039">
        <f t="shared" ref="F4039" si="11670">_xlfn.NUMBERVALUE(RIGHT(C4039,4))</f>
        <v>2025</v>
      </c>
      <c r="G4039" t="s">
        <v>7</v>
      </c>
      <c r="H4039">
        <v>-5</v>
      </c>
      <c r="K4039" t="s">
        <v>9</v>
      </c>
      <c r="L4039" s="8">
        <f t="shared" si="11654"/>
        <v>-1</v>
      </c>
      <c r="M4039" t="s">
        <v>4450</v>
      </c>
    </row>
    <row r="4040" spans="1:13" x14ac:dyDescent="0.35">
      <c r="A4040">
        <f t="shared" si="11227"/>
        <v>4036</v>
      </c>
      <c r="B4040" s="9">
        <f t="shared" ref="B4040" si="11671">B4039+H4040+I4040+J4040</f>
        <v>43.67</v>
      </c>
      <c r="C4040" s="3" t="s">
        <v>4438</v>
      </c>
      <c r="D4040">
        <f t="shared" ref="D4040" si="11672">_xlfn.NUMBERVALUE(LEFT(C4040,2))</f>
        <v>24</v>
      </c>
      <c r="E4040">
        <f t="shared" ref="E4040" si="11673">_xlfn.NUMBERVALUE(MID(C4040,4,2))</f>
        <v>1</v>
      </c>
      <c r="F4040">
        <f t="shared" ref="F4040" si="11674">_xlfn.NUMBERVALUE(RIGHT(C4040,4))</f>
        <v>2025</v>
      </c>
      <c r="G4040" t="s">
        <v>7</v>
      </c>
      <c r="H4040">
        <v>-5</v>
      </c>
      <c r="K4040" t="s">
        <v>9</v>
      </c>
      <c r="L4040" s="8">
        <f t="shared" si="11654"/>
        <v>-1</v>
      </c>
      <c r="M4040" t="s">
        <v>4451</v>
      </c>
    </row>
    <row r="4041" spans="1:13" x14ac:dyDescent="0.35">
      <c r="A4041">
        <f t="shared" si="11227"/>
        <v>4037</v>
      </c>
      <c r="B4041" s="9">
        <f t="shared" ref="B4041" si="11675">B4040+H4041+I4041+J4041</f>
        <v>38.67</v>
      </c>
      <c r="C4041" s="3" t="s">
        <v>4438</v>
      </c>
      <c r="D4041">
        <f t="shared" ref="D4041" si="11676">_xlfn.NUMBERVALUE(LEFT(C4041,2))</f>
        <v>24</v>
      </c>
      <c r="E4041">
        <f t="shared" ref="E4041" si="11677">_xlfn.NUMBERVALUE(MID(C4041,4,2))</f>
        <v>1</v>
      </c>
      <c r="F4041">
        <f t="shared" ref="F4041" si="11678">_xlfn.NUMBERVALUE(RIGHT(C4041,4))</f>
        <v>2025</v>
      </c>
      <c r="G4041" t="s">
        <v>7</v>
      </c>
      <c r="H4041">
        <v>-5</v>
      </c>
      <c r="K4041" t="s">
        <v>9</v>
      </c>
      <c r="L4041" s="8">
        <f t="shared" si="11654"/>
        <v>-1</v>
      </c>
      <c r="M4041" t="s">
        <v>4452</v>
      </c>
    </row>
    <row r="4042" spans="1:13" x14ac:dyDescent="0.35">
      <c r="A4042">
        <f t="shared" si="11227"/>
        <v>4038</v>
      </c>
      <c r="B4042" s="9">
        <f t="shared" ref="B4042" si="11679">B4041+H4042+I4042+J4042</f>
        <v>33.67</v>
      </c>
      <c r="C4042" s="3" t="s">
        <v>4438</v>
      </c>
      <c r="D4042">
        <f t="shared" ref="D4042" si="11680">_xlfn.NUMBERVALUE(LEFT(C4042,2))</f>
        <v>24</v>
      </c>
      <c r="E4042">
        <f t="shared" ref="E4042" si="11681">_xlfn.NUMBERVALUE(MID(C4042,4,2))</f>
        <v>1</v>
      </c>
      <c r="F4042">
        <f t="shared" ref="F4042" si="11682">_xlfn.NUMBERVALUE(RIGHT(C4042,4))</f>
        <v>2025</v>
      </c>
      <c r="G4042" t="s">
        <v>7</v>
      </c>
      <c r="H4042">
        <v>-5</v>
      </c>
      <c r="K4042" t="s">
        <v>9</v>
      </c>
      <c r="L4042" s="8">
        <f t="shared" si="11654"/>
        <v>-1</v>
      </c>
      <c r="M4042" t="s">
        <v>4453</v>
      </c>
    </row>
    <row r="4043" spans="1:13" x14ac:dyDescent="0.35">
      <c r="A4043">
        <f t="shared" si="11227"/>
        <v>4039</v>
      </c>
      <c r="B4043" s="9">
        <f t="shared" ref="B4043" si="11683">B4042+H4043+I4043+J4043</f>
        <v>48.67</v>
      </c>
      <c r="C4043" s="3" t="s">
        <v>4438</v>
      </c>
      <c r="D4043">
        <f t="shared" ref="D4043" si="11684">_xlfn.NUMBERVALUE(LEFT(C4043,2))</f>
        <v>24</v>
      </c>
      <c r="E4043">
        <f t="shared" ref="E4043" si="11685">_xlfn.NUMBERVALUE(MID(C4043,4,2))</f>
        <v>1</v>
      </c>
      <c r="F4043">
        <f t="shared" ref="F4043" si="11686">_xlfn.NUMBERVALUE(RIGHT(C4043,4))</f>
        <v>2025</v>
      </c>
      <c r="G4043" t="s">
        <v>7</v>
      </c>
      <c r="H4043">
        <v>-5</v>
      </c>
      <c r="I4043">
        <v>20</v>
      </c>
      <c r="K4043" t="s">
        <v>10</v>
      </c>
      <c r="L4043" s="8">
        <f t="shared" si="11654"/>
        <v>3</v>
      </c>
      <c r="M4043" t="s">
        <v>4454</v>
      </c>
    </row>
    <row r="4044" spans="1:13" x14ac:dyDescent="0.35">
      <c r="A4044">
        <f t="shared" si="11227"/>
        <v>4040</v>
      </c>
      <c r="B4044" s="9">
        <f t="shared" ref="B4044" si="11687">B4043+H4044+I4044+J4044</f>
        <v>43.67</v>
      </c>
      <c r="C4044" s="3" t="s">
        <v>4438</v>
      </c>
      <c r="D4044">
        <f t="shared" ref="D4044" si="11688">_xlfn.NUMBERVALUE(LEFT(C4044,2))</f>
        <v>24</v>
      </c>
      <c r="E4044">
        <f t="shared" ref="E4044" si="11689">_xlfn.NUMBERVALUE(MID(C4044,4,2))</f>
        <v>1</v>
      </c>
      <c r="F4044">
        <f t="shared" ref="F4044" si="11690">_xlfn.NUMBERVALUE(RIGHT(C4044,4))</f>
        <v>2025</v>
      </c>
      <c r="G4044" t="s">
        <v>7</v>
      </c>
      <c r="H4044">
        <v>-5</v>
      </c>
      <c r="K4044" t="s">
        <v>9</v>
      </c>
      <c r="L4044" s="8">
        <f t="shared" si="11654"/>
        <v>-1</v>
      </c>
      <c r="M4044" t="s">
        <v>4455</v>
      </c>
    </row>
    <row r="4045" spans="1:13" x14ac:dyDescent="0.35">
      <c r="A4045">
        <f t="shared" si="11227"/>
        <v>4041</v>
      </c>
      <c r="B4045" s="9">
        <f t="shared" ref="B4045" si="11691">B4044+H4045+I4045+J4045</f>
        <v>53.67</v>
      </c>
      <c r="C4045" s="3" t="s">
        <v>4438</v>
      </c>
      <c r="D4045">
        <f t="shared" ref="D4045" si="11692">_xlfn.NUMBERVALUE(LEFT(C4045,2))</f>
        <v>24</v>
      </c>
      <c r="E4045">
        <f t="shared" ref="E4045" si="11693">_xlfn.NUMBERVALUE(MID(C4045,4,2))</f>
        <v>1</v>
      </c>
      <c r="F4045">
        <f t="shared" ref="F4045" si="11694">_xlfn.NUMBERVALUE(RIGHT(C4045,4))</f>
        <v>2025</v>
      </c>
      <c r="G4045" t="s">
        <v>7</v>
      </c>
      <c r="H4045">
        <v>-5</v>
      </c>
      <c r="I4045">
        <v>15</v>
      </c>
      <c r="K4045" t="s">
        <v>10</v>
      </c>
      <c r="L4045" s="8">
        <f t="shared" si="11654"/>
        <v>2</v>
      </c>
      <c r="M4045" t="s">
        <v>4456</v>
      </c>
    </row>
    <row r="4046" spans="1:13" x14ac:dyDescent="0.35">
      <c r="A4046">
        <f t="shared" si="11227"/>
        <v>4042</v>
      </c>
      <c r="B4046" s="9">
        <f t="shared" ref="B4046" si="11695">B4045+H4046+I4046+J4046</f>
        <v>48.67</v>
      </c>
      <c r="C4046" s="3" t="s">
        <v>4438</v>
      </c>
      <c r="D4046">
        <f t="shared" ref="D4046" si="11696">_xlfn.NUMBERVALUE(LEFT(C4046,2))</f>
        <v>24</v>
      </c>
      <c r="E4046">
        <f t="shared" ref="E4046" si="11697">_xlfn.NUMBERVALUE(MID(C4046,4,2))</f>
        <v>1</v>
      </c>
      <c r="F4046">
        <f t="shared" ref="F4046" si="11698">_xlfn.NUMBERVALUE(RIGHT(C4046,4))</f>
        <v>2025</v>
      </c>
      <c r="G4046" t="s">
        <v>7</v>
      </c>
      <c r="H4046">
        <v>-5</v>
      </c>
      <c r="K4046" t="s">
        <v>9</v>
      </c>
      <c r="L4046" s="8">
        <f t="shared" si="11654"/>
        <v>-1</v>
      </c>
      <c r="M4046" t="s">
        <v>4457</v>
      </c>
    </row>
    <row r="4047" spans="1:13" x14ac:dyDescent="0.35">
      <c r="A4047">
        <f t="shared" si="11227"/>
        <v>4043</v>
      </c>
      <c r="B4047" s="9">
        <f t="shared" ref="B4047" si="11699">B4046+H4047+I4047+J4047</f>
        <v>43.67</v>
      </c>
      <c r="C4047" s="3" t="s">
        <v>4438</v>
      </c>
      <c r="D4047">
        <f t="shared" ref="D4047" si="11700">_xlfn.NUMBERVALUE(LEFT(C4047,2))</f>
        <v>24</v>
      </c>
      <c r="E4047">
        <f t="shared" ref="E4047" si="11701">_xlfn.NUMBERVALUE(MID(C4047,4,2))</f>
        <v>1</v>
      </c>
      <c r="F4047">
        <f t="shared" ref="F4047" si="11702">_xlfn.NUMBERVALUE(RIGHT(C4047,4))</f>
        <v>2025</v>
      </c>
      <c r="G4047" t="s">
        <v>7</v>
      </c>
      <c r="H4047">
        <v>-5</v>
      </c>
      <c r="K4047" t="s">
        <v>9</v>
      </c>
      <c r="L4047" s="8">
        <f t="shared" si="11654"/>
        <v>-1</v>
      </c>
      <c r="M4047" t="s">
        <v>4458</v>
      </c>
    </row>
    <row r="4048" spans="1:13" x14ac:dyDescent="0.35">
      <c r="A4048">
        <f t="shared" si="11227"/>
        <v>4044</v>
      </c>
      <c r="B4048" s="9">
        <f t="shared" ref="B4048" si="11703">B4047+H4048+I4048+J4048</f>
        <v>38.67</v>
      </c>
      <c r="C4048" s="3" t="s">
        <v>4438</v>
      </c>
      <c r="D4048">
        <f t="shared" ref="D4048" si="11704">_xlfn.NUMBERVALUE(LEFT(C4048,2))</f>
        <v>24</v>
      </c>
      <c r="E4048">
        <f t="shared" ref="E4048" si="11705">_xlfn.NUMBERVALUE(MID(C4048,4,2))</f>
        <v>1</v>
      </c>
      <c r="F4048">
        <f t="shared" ref="F4048" si="11706">_xlfn.NUMBERVALUE(RIGHT(C4048,4))</f>
        <v>2025</v>
      </c>
      <c r="G4048" t="s">
        <v>7</v>
      </c>
      <c r="H4048">
        <v>-5</v>
      </c>
      <c r="K4048" t="s">
        <v>9</v>
      </c>
      <c r="L4048" s="8">
        <f t="shared" si="11654"/>
        <v>-1</v>
      </c>
      <c r="M4048" t="s">
        <v>4459</v>
      </c>
    </row>
    <row r="4049" spans="1:13" x14ac:dyDescent="0.35">
      <c r="A4049">
        <f t="shared" si="11227"/>
        <v>4045</v>
      </c>
      <c r="B4049" s="9">
        <f t="shared" ref="B4049" si="11707">B4048+H4049+I4049+J4049</f>
        <v>43.67</v>
      </c>
      <c r="C4049" s="3" t="s">
        <v>4438</v>
      </c>
      <c r="D4049">
        <f t="shared" ref="D4049" si="11708">_xlfn.NUMBERVALUE(LEFT(C4049,2))</f>
        <v>24</v>
      </c>
      <c r="E4049">
        <f t="shared" ref="E4049" si="11709">_xlfn.NUMBERVALUE(MID(C4049,4,2))</f>
        <v>1</v>
      </c>
      <c r="F4049">
        <f t="shared" ref="F4049" si="11710">_xlfn.NUMBERVALUE(RIGHT(C4049,4))</f>
        <v>2025</v>
      </c>
      <c r="G4049" t="s">
        <v>7</v>
      </c>
      <c r="H4049">
        <v>-5</v>
      </c>
      <c r="I4049">
        <v>10</v>
      </c>
      <c r="K4049" t="s">
        <v>10</v>
      </c>
      <c r="L4049" s="8">
        <f t="shared" si="11654"/>
        <v>1</v>
      </c>
      <c r="M4049" t="s">
        <v>4460</v>
      </c>
    </row>
    <row r="4050" spans="1:13" x14ac:dyDescent="0.35">
      <c r="A4050">
        <f t="shared" si="11227"/>
        <v>4046</v>
      </c>
      <c r="B4050" s="9">
        <f t="shared" ref="B4050" si="11711">B4049+H4050+I4050+J4050</f>
        <v>38.67</v>
      </c>
      <c r="C4050" s="3" t="s">
        <v>4438</v>
      </c>
      <c r="D4050">
        <f t="shared" ref="D4050" si="11712">_xlfn.NUMBERVALUE(LEFT(C4050,2))</f>
        <v>24</v>
      </c>
      <c r="E4050">
        <f t="shared" ref="E4050" si="11713">_xlfn.NUMBERVALUE(MID(C4050,4,2))</f>
        <v>1</v>
      </c>
      <c r="F4050">
        <f t="shared" ref="F4050" si="11714">_xlfn.NUMBERVALUE(RIGHT(C4050,4))</f>
        <v>2025</v>
      </c>
      <c r="G4050" t="s">
        <v>7</v>
      </c>
      <c r="H4050">
        <v>-5</v>
      </c>
      <c r="K4050" t="s">
        <v>9</v>
      </c>
      <c r="L4050" s="8">
        <f t="shared" si="11654"/>
        <v>-1</v>
      </c>
      <c r="M4050" t="s">
        <v>4461</v>
      </c>
    </row>
    <row r="4051" spans="1:13" x14ac:dyDescent="0.35">
      <c r="A4051">
        <f t="shared" si="11227"/>
        <v>4047</v>
      </c>
      <c r="B4051" s="9">
        <f t="shared" ref="B4051:B4053" si="11715">B4050+H4051+I4051+J4051</f>
        <v>48.67</v>
      </c>
      <c r="C4051" s="3" t="s">
        <v>4463</v>
      </c>
      <c r="D4051">
        <f t="shared" ref="D4051:D4053" si="11716">_xlfn.NUMBERVALUE(LEFT(C4051,2))</f>
        <v>25</v>
      </c>
      <c r="E4051">
        <f t="shared" ref="E4051:E4053" si="11717">_xlfn.NUMBERVALUE(MID(C4051,4,2))</f>
        <v>1</v>
      </c>
      <c r="F4051">
        <f t="shared" ref="F4051:F4053" si="11718">_xlfn.NUMBERVALUE(RIGHT(C4051,4))</f>
        <v>2025</v>
      </c>
      <c r="G4051" t="s">
        <v>7</v>
      </c>
      <c r="H4051">
        <v>-5</v>
      </c>
      <c r="I4051">
        <v>15</v>
      </c>
      <c r="K4051" t="s">
        <v>10</v>
      </c>
      <c r="L4051" s="8">
        <f t="shared" si="11654"/>
        <v>2</v>
      </c>
      <c r="M4051" t="s">
        <v>4462</v>
      </c>
    </row>
    <row r="4052" spans="1:13" x14ac:dyDescent="0.35">
      <c r="A4052">
        <f t="shared" si="11227"/>
        <v>4048</v>
      </c>
      <c r="B4052" s="9">
        <f t="shared" si="11715"/>
        <v>48.67</v>
      </c>
      <c r="C4052" s="3" t="s">
        <v>4463</v>
      </c>
      <c r="D4052">
        <f t="shared" si="11716"/>
        <v>25</v>
      </c>
      <c r="E4052">
        <f t="shared" si="11717"/>
        <v>1</v>
      </c>
      <c r="F4052">
        <f t="shared" si="11718"/>
        <v>2025</v>
      </c>
      <c r="G4052" t="s">
        <v>3039</v>
      </c>
      <c r="K4052" t="s">
        <v>10</v>
      </c>
      <c r="L4052" s="8">
        <f t="shared" si="11654"/>
        <v>0</v>
      </c>
      <c r="M4052" t="s">
        <v>4464</v>
      </c>
    </row>
    <row r="4053" spans="1:13" x14ac:dyDescent="0.35">
      <c r="A4053">
        <f t="shared" si="11227"/>
        <v>4049</v>
      </c>
      <c r="B4053" s="9">
        <f t="shared" si="11715"/>
        <v>48.78</v>
      </c>
      <c r="C4053" s="3" t="s">
        <v>4463</v>
      </c>
      <c r="D4053">
        <f t="shared" si="11716"/>
        <v>25</v>
      </c>
      <c r="E4053">
        <f t="shared" si="11717"/>
        <v>1</v>
      </c>
      <c r="F4053">
        <f t="shared" si="11718"/>
        <v>2025</v>
      </c>
      <c r="G4053" t="s">
        <v>1389</v>
      </c>
      <c r="H4053">
        <v>-10</v>
      </c>
      <c r="I4053">
        <v>10.11</v>
      </c>
      <c r="K4053" t="s">
        <v>10</v>
      </c>
      <c r="L4053" s="8">
        <f t="shared" ref="L4053:L4119" si="11719">IF(H4053="",0,(SUM(I4053:J4053)/-H4053)-1)</f>
        <v>1.0999999999999899E-2</v>
      </c>
      <c r="M4053" t="s">
        <v>4465</v>
      </c>
    </row>
    <row r="4054" spans="1:13" x14ac:dyDescent="0.35">
      <c r="A4054">
        <f t="shared" si="11227"/>
        <v>4050</v>
      </c>
      <c r="B4054" s="9">
        <f t="shared" ref="B4054:B4055" si="11720">B4053+H4054+I4054+J4054</f>
        <v>42.74</v>
      </c>
      <c r="C4054" s="3" t="s">
        <v>4463</v>
      </c>
      <c r="D4054">
        <f t="shared" ref="D4054:D4055" si="11721">_xlfn.NUMBERVALUE(LEFT(C4054,2))</f>
        <v>25</v>
      </c>
      <c r="E4054">
        <f t="shared" ref="E4054:E4055" si="11722">_xlfn.NUMBERVALUE(MID(C4054,4,2))</f>
        <v>1</v>
      </c>
      <c r="F4054">
        <f t="shared" ref="F4054:F4055" si="11723">_xlfn.NUMBERVALUE(RIGHT(C4054,4))</f>
        <v>2025</v>
      </c>
      <c r="G4054" t="s">
        <v>1389</v>
      </c>
      <c r="H4054">
        <v>-10</v>
      </c>
      <c r="I4054">
        <v>3.96</v>
      </c>
      <c r="K4054" t="s">
        <v>9</v>
      </c>
      <c r="L4054" s="8">
        <f t="shared" si="11719"/>
        <v>-0.60399999999999998</v>
      </c>
      <c r="M4054" t="s">
        <v>4466</v>
      </c>
    </row>
    <row r="4055" spans="1:13" x14ac:dyDescent="0.35">
      <c r="A4055">
        <f t="shared" si="11227"/>
        <v>4051</v>
      </c>
      <c r="B4055" s="9">
        <f t="shared" si="11720"/>
        <v>52.74</v>
      </c>
      <c r="C4055" s="3" t="s">
        <v>4463</v>
      </c>
      <c r="D4055">
        <f t="shared" si="11721"/>
        <v>25</v>
      </c>
      <c r="E4055">
        <f t="shared" si="11722"/>
        <v>1</v>
      </c>
      <c r="F4055">
        <f t="shared" si="11723"/>
        <v>2025</v>
      </c>
      <c r="G4055" t="s">
        <v>7</v>
      </c>
      <c r="H4055">
        <v>-5</v>
      </c>
      <c r="I4055">
        <v>15</v>
      </c>
      <c r="K4055" t="s">
        <v>10</v>
      </c>
      <c r="L4055" s="8">
        <f t="shared" si="11719"/>
        <v>2</v>
      </c>
      <c r="M4055" t="s">
        <v>4467</v>
      </c>
    </row>
    <row r="4056" spans="1:13" x14ac:dyDescent="0.35">
      <c r="A4056">
        <f t="shared" si="11227"/>
        <v>4052</v>
      </c>
      <c r="B4056" s="9">
        <f t="shared" ref="B4056" si="11724">B4055+H4056+I4056+J4056</f>
        <v>56.39</v>
      </c>
      <c r="C4056" s="3" t="s">
        <v>4463</v>
      </c>
      <c r="D4056">
        <f t="shared" ref="D4056" si="11725">_xlfn.NUMBERVALUE(LEFT(C4056,2))</f>
        <v>25</v>
      </c>
      <c r="E4056">
        <f t="shared" ref="E4056" si="11726">_xlfn.NUMBERVALUE(MID(C4056,4,2))</f>
        <v>1</v>
      </c>
      <c r="F4056">
        <f t="shared" ref="F4056" si="11727">_xlfn.NUMBERVALUE(RIGHT(C4056,4))</f>
        <v>2025</v>
      </c>
      <c r="G4056" t="s">
        <v>1389</v>
      </c>
      <c r="H4056">
        <v>-10</v>
      </c>
      <c r="I4056">
        <v>13.65</v>
      </c>
      <c r="K4056" t="s">
        <v>10</v>
      </c>
      <c r="L4056" s="8">
        <f t="shared" si="11719"/>
        <v>0.36499999999999999</v>
      </c>
      <c r="M4056" t="s">
        <v>4468</v>
      </c>
    </row>
    <row r="4057" spans="1:13" x14ac:dyDescent="0.35">
      <c r="A4057">
        <f t="shared" si="11227"/>
        <v>4053</v>
      </c>
      <c r="B4057" s="9">
        <f t="shared" ref="B4057" si="11728">B4056+H4057+I4057+J4057</f>
        <v>59.09</v>
      </c>
      <c r="C4057" s="3" t="s">
        <v>4463</v>
      </c>
      <c r="D4057">
        <f t="shared" ref="D4057" si="11729">_xlfn.NUMBERVALUE(LEFT(C4057,2))</f>
        <v>25</v>
      </c>
      <c r="E4057">
        <f t="shared" ref="E4057" si="11730">_xlfn.NUMBERVALUE(MID(C4057,4,2))</f>
        <v>1</v>
      </c>
      <c r="F4057">
        <f t="shared" ref="F4057" si="11731">_xlfn.NUMBERVALUE(RIGHT(C4057,4))</f>
        <v>2025</v>
      </c>
      <c r="G4057" t="s">
        <v>1389</v>
      </c>
      <c r="H4057">
        <v>-10</v>
      </c>
      <c r="I4057">
        <v>12.7</v>
      </c>
      <c r="K4057" t="s">
        <v>10</v>
      </c>
      <c r="L4057" s="8">
        <f t="shared" si="11719"/>
        <v>0.27</v>
      </c>
      <c r="M4057" t="s">
        <v>4469</v>
      </c>
    </row>
    <row r="4058" spans="1:13" x14ac:dyDescent="0.35">
      <c r="A4058">
        <f t="shared" si="11227"/>
        <v>4054</v>
      </c>
      <c r="B4058" s="9">
        <f t="shared" ref="B4058" si="11732">B4057+H4058+I4058+J4058</f>
        <v>62.550000000000004</v>
      </c>
      <c r="C4058" s="3" t="s">
        <v>4463</v>
      </c>
      <c r="D4058">
        <f t="shared" ref="D4058" si="11733">_xlfn.NUMBERVALUE(LEFT(C4058,2))</f>
        <v>25</v>
      </c>
      <c r="E4058">
        <f t="shared" ref="E4058" si="11734">_xlfn.NUMBERVALUE(MID(C4058,4,2))</f>
        <v>1</v>
      </c>
      <c r="F4058">
        <f t="shared" ref="F4058" si="11735">_xlfn.NUMBERVALUE(RIGHT(C4058,4))</f>
        <v>2025</v>
      </c>
      <c r="G4058" t="s">
        <v>1389</v>
      </c>
      <c r="H4058">
        <v>-10</v>
      </c>
      <c r="I4058">
        <v>13.46</v>
      </c>
      <c r="K4058" t="s">
        <v>10</v>
      </c>
      <c r="L4058" s="8">
        <f t="shared" si="11719"/>
        <v>0.34600000000000009</v>
      </c>
      <c r="M4058" t="s">
        <v>4470</v>
      </c>
    </row>
    <row r="4059" spans="1:13" x14ac:dyDescent="0.35">
      <c r="A4059">
        <f t="shared" si="11227"/>
        <v>4055</v>
      </c>
      <c r="B4059" s="9">
        <f t="shared" ref="B4059:B4060" si="11736">B4058+H4059+I4059+J4059</f>
        <v>56.900000000000006</v>
      </c>
      <c r="C4059" s="3" t="s">
        <v>4463</v>
      </c>
      <c r="D4059">
        <f t="shared" ref="D4059:D4060" si="11737">_xlfn.NUMBERVALUE(LEFT(C4059,2))</f>
        <v>25</v>
      </c>
      <c r="E4059">
        <f t="shared" ref="E4059:E4060" si="11738">_xlfn.NUMBERVALUE(MID(C4059,4,2))</f>
        <v>1</v>
      </c>
      <c r="F4059">
        <f t="shared" ref="F4059:F4060" si="11739">_xlfn.NUMBERVALUE(RIGHT(C4059,4))</f>
        <v>2025</v>
      </c>
      <c r="G4059" t="s">
        <v>1389</v>
      </c>
      <c r="H4059">
        <v>-10</v>
      </c>
      <c r="I4059">
        <v>4.3499999999999996</v>
      </c>
      <c r="K4059" t="s">
        <v>9</v>
      </c>
      <c r="L4059" s="8">
        <f t="shared" si="11719"/>
        <v>-0.56500000000000006</v>
      </c>
      <c r="M4059" t="s">
        <v>4471</v>
      </c>
    </row>
    <row r="4060" spans="1:13" x14ac:dyDescent="0.35">
      <c r="A4060">
        <f t="shared" si="11227"/>
        <v>4056</v>
      </c>
      <c r="B4060" s="9">
        <f t="shared" si="11736"/>
        <v>51.900000000000006</v>
      </c>
      <c r="C4060" s="3" t="s">
        <v>4463</v>
      </c>
      <c r="D4060">
        <f t="shared" si="11737"/>
        <v>25</v>
      </c>
      <c r="E4060">
        <f t="shared" si="11738"/>
        <v>1</v>
      </c>
      <c r="F4060">
        <f t="shared" si="11739"/>
        <v>2025</v>
      </c>
      <c r="G4060" t="s">
        <v>7</v>
      </c>
      <c r="H4060">
        <v>-5</v>
      </c>
      <c r="K4060" t="s">
        <v>9</v>
      </c>
      <c r="L4060" s="8">
        <f t="shared" si="11719"/>
        <v>-1</v>
      </c>
      <c r="M4060" t="s">
        <v>4472</v>
      </c>
    </row>
    <row r="4061" spans="1:13" x14ac:dyDescent="0.35">
      <c r="A4061">
        <f t="shared" si="11227"/>
        <v>4057</v>
      </c>
      <c r="B4061" s="9">
        <f t="shared" ref="B4061:B4062" si="11740">B4060+H4061+I4061+J4061</f>
        <v>46.900000000000006</v>
      </c>
      <c r="C4061" s="3" t="s">
        <v>4463</v>
      </c>
      <c r="D4061">
        <f t="shared" ref="D4061:D4062" si="11741">_xlfn.NUMBERVALUE(LEFT(C4061,2))</f>
        <v>25</v>
      </c>
      <c r="E4061">
        <f t="shared" ref="E4061:E4062" si="11742">_xlfn.NUMBERVALUE(MID(C4061,4,2))</f>
        <v>1</v>
      </c>
      <c r="F4061">
        <f t="shared" ref="F4061:F4062" si="11743">_xlfn.NUMBERVALUE(RIGHT(C4061,4))</f>
        <v>2025</v>
      </c>
      <c r="G4061" t="s">
        <v>7</v>
      </c>
      <c r="H4061">
        <v>-5</v>
      </c>
      <c r="K4061" t="s">
        <v>9</v>
      </c>
      <c r="L4061" s="8">
        <f t="shared" si="11719"/>
        <v>-1</v>
      </c>
      <c r="M4061" t="s">
        <v>4473</v>
      </c>
    </row>
    <row r="4062" spans="1:13" x14ac:dyDescent="0.35">
      <c r="A4062">
        <f t="shared" si="11227"/>
        <v>4058</v>
      </c>
      <c r="B4062" s="9">
        <f t="shared" si="11740"/>
        <v>51.31</v>
      </c>
      <c r="C4062" s="3" t="s">
        <v>4463</v>
      </c>
      <c r="D4062">
        <f t="shared" si="11741"/>
        <v>25</v>
      </c>
      <c r="E4062">
        <f t="shared" si="11742"/>
        <v>1</v>
      </c>
      <c r="F4062">
        <f t="shared" si="11743"/>
        <v>2025</v>
      </c>
      <c r="G4062" t="s">
        <v>1389</v>
      </c>
      <c r="H4062">
        <v>-10</v>
      </c>
      <c r="I4062">
        <v>14.41</v>
      </c>
      <c r="K4062" t="s">
        <v>10</v>
      </c>
      <c r="L4062" s="8">
        <f t="shared" si="11719"/>
        <v>0.44100000000000006</v>
      </c>
      <c r="M4062" t="s">
        <v>4474</v>
      </c>
    </row>
    <row r="4063" spans="1:13" x14ac:dyDescent="0.35">
      <c r="A4063">
        <f t="shared" si="11227"/>
        <v>4059</v>
      </c>
      <c r="B4063" s="9">
        <f t="shared" ref="B4063" si="11744">B4062+H4063+I4063+J4063</f>
        <v>53.78</v>
      </c>
      <c r="C4063" s="3" t="s">
        <v>4463</v>
      </c>
      <c r="D4063">
        <f t="shared" ref="D4063" si="11745">_xlfn.NUMBERVALUE(LEFT(C4063,2))</f>
        <v>25</v>
      </c>
      <c r="E4063">
        <f t="shared" ref="E4063" si="11746">_xlfn.NUMBERVALUE(MID(C4063,4,2))</f>
        <v>1</v>
      </c>
      <c r="F4063">
        <f t="shared" ref="F4063" si="11747">_xlfn.NUMBERVALUE(RIGHT(C4063,4))</f>
        <v>2025</v>
      </c>
      <c r="G4063" t="s">
        <v>1389</v>
      </c>
      <c r="H4063">
        <v>-10</v>
      </c>
      <c r="I4063">
        <v>12.47</v>
      </c>
      <c r="K4063" t="s">
        <v>10</v>
      </c>
      <c r="L4063" s="8">
        <f t="shared" si="11719"/>
        <v>0.24700000000000011</v>
      </c>
      <c r="M4063" t="s">
        <v>4475</v>
      </c>
    </row>
    <row r="4064" spans="1:13" x14ac:dyDescent="0.35">
      <c r="A4064">
        <f t="shared" si="11227"/>
        <v>4060</v>
      </c>
      <c r="B4064" s="9">
        <f t="shared" ref="B4064" si="11748">B4063+H4064+I4064+J4064</f>
        <v>55.05</v>
      </c>
      <c r="C4064" s="3" t="s">
        <v>4463</v>
      </c>
      <c r="D4064">
        <f t="shared" ref="D4064" si="11749">_xlfn.NUMBERVALUE(LEFT(C4064,2))</f>
        <v>25</v>
      </c>
      <c r="E4064">
        <f t="shared" ref="E4064" si="11750">_xlfn.NUMBERVALUE(MID(C4064,4,2))</f>
        <v>1</v>
      </c>
      <c r="F4064">
        <f t="shared" ref="F4064" si="11751">_xlfn.NUMBERVALUE(RIGHT(C4064,4))</f>
        <v>2025</v>
      </c>
      <c r="G4064" t="s">
        <v>1389</v>
      </c>
      <c r="H4064">
        <v>-10</v>
      </c>
      <c r="I4064">
        <v>11.27</v>
      </c>
      <c r="K4064" t="s">
        <v>10</v>
      </c>
      <c r="L4064" s="8">
        <f t="shared" si="11719"/>
        <v>0.127</v>
      </c>
      <c r="M4064" t="s">
        <v>4476</v>
      </c>
    </row>
    <row r="4065" spans="1:13" x14ac:dyDescent="0.35">
      <c r="A4065">
        <f t="shared" si="11227"/>
        <v>4061</v>
      </c>
      <c r="B4065" s="9">
        <f t="shared" ref="B4065:B4067" si="11752">B4064+H4065+I4065+J4065</f>
        <v>60.05</v>
      </c>
      <c r="C4065" s="3" t="s">
        <v>4477</v>
      </c>
      <c r="D4065">
        <f t="shared" ref="D4065:D4067" si="11753">_xlfn.NUMBERVALUE(LEFT(C4065,2))</f>
        <v>26</v>
      </c>
      <c r="E4065">
        <f t="shared" ref="E4065:E4067" si="11754">_xlfn.NUMBERVALUE(MID(C4065,4,2))</f>
        <v>1</v>
      </c>
      <c r="F4065">
        <f t="shared" ref="F4065:F4067" si="11755">_xlfn.NUMBERVALUE(RIGHT(C4065,4))</f>
        <v>2025</v>
      </c>
      <c r="G4065" t="s">
        <v>7</v>
      </c>
      <c r="H4065">
        <v>-5</v>
      </c>
      <c r="I4065">
        <v>10</v>
      </c>
      <c r="K4065" t="s">
        <v>10</v>
      </c>
      <c r="L4065" s="8">
        <f t="shared" si="11719"/>
        <v>1</v>
      </c>
      <c r="M4065" t="s">
        <v>4478</v>
      </c>
    </row>
    <row r="4066" spans="1:13" x14ac:dyDescent="0.35">
      <c r="A4066">
        <f t="shared" si="11227"/>
        <v>4062</v>
      </c>
      <c r="B4066" s="9">
        <f t="shared" si="11752"/>
        <v>60.05</v>
      </c>
      <c r="C4066" s="3" t="s">
        <v>4477</v>
      </c>
      <c r="D4066">
        <f t="shared" si="11753"/>
        <v>26</v>
      </c>
      <c r="E4066">
        <f t="shared" si="11754"/>
        <v>1</v>
      </c>
      <c r="F4066">
        <f t="shared" si="11755"/>
        <v>2025</v>
      </c>
      <c r="G4066" t="s">
        <v>3039</v>
      </c>
      <c r="K4066" t="s">
        <v>9</v>
      </c>
      <c r="L4066" s="8">
        <f t="shared" si="11719"/>
        <v>0</v>
      </c>
      <c r="M4066" t="s">
        <v>4479</v>
      </c>
    </row>
    <row r="4067" spans="1:13" x14ac:dyDescent="0.35">
      <c r="A4067">
        <f t="shared" si="11227"/>
        <v>4063</v>
      </c>
      <c r="B4067" s="9">
        <f t="shared" si="11752"/>
        <v>50.05</v>
      </c>
      <c r="C4067" s="3" t="s">
        <v>4477</v>
      </c>
      <c r="D4067">
        <f t="shared" si="11753"/>
        <v>26</v>
      </c>
      <c r="E4067">
        <f t="shared" si="11754"/>
        <v>1</v>
      </c>
      <c r="F4067">
        <f t="shared" si="11755"/>
        <v>2025</v>
      </c>
      <c r="G4067" t="s">
        <v>1389</v>
      </c>
      <c r="H4067">
        <v>-10</v>
      </c>
      <c r="K4067" t="s">
        <v>9</v>
      </c>
      <c r="L4067" s="8">
        <f t="shared" si="11719"/>
        <v>-1</v>
      </c>
      <c r="M4067" t="s">
        <v>4480</v>
      </c>
    </row>
    <row r="4068" spans="1:13" x14ac:dyDescent="0.35">
      <c r="A4068">
        <f t="shared" si="11227"/>
        <v>4064</v>
      </c>
      <c r="B4068" s="9">
        <f t="shared" ref="B4068" si="11756">B4067+H4068+I4068+J4068</f>
        <v>52.629999999999995</v>
      </c>
      <c r="C4068" s="3" t="s">
        <v>4477</v>
      </c>
      <c r="D4068">
        <f t="shared" ref="D4068" si="11757">_xlfn.NUMBERVALUE(LEFT(C4068,2))</f>
        <v>26</v>
      </c>
      <c r="E4068">
        <f t="shared" ref="E4068" si="11758">_xlfn.NUMBERVALUE(MID(C4068,4,2))</f>
        <v>1</v>
      </c>
      <c r="F4068">
        <f t="shared" ref="F4068" si="11759">_xlfn.NUMBERVALUE(RIGHT(C4068,4))</f>
        <v>2025</v>
      </c>
      <c r="G4068" t="s">
        <v>1389</v>
      </c>
      <c r="H4068">
        <v>-10</v>
      </c>
      <c r="I4068">
        <v>12.58</v>
      </c>
      <c r="K4068" t="s">
        <v>10</v>
      </c>
      <c r="L4068" s="8">
        <f t="shared" si="11719"/>
        <v>0.25800000000000001</v>
      </c>
      <c r="M4068" t="s">
        <v>4481</v>
      </c>
    </row>
    <row r="4069" spans="1:13" x14ac:dyDescent="0.35">
      <c r="A4069">
        <f t="shared" si="11227"/>
        <v>4065</v>
      </c>
      <c r="B4069" s="9">
        <f t="shared" ref="B4069" si="11760">B4068+H4069+I4069+J4069</f>
        <v>52.629999999999995</v>
      </c>
      <c r="C4069" s="3" t="s">
        <v>4477</v>
      </c>
      <c r="D4069">
        <f t="shared" ref="D4069" si="11761">_xlfn.NUMBERVALUE(LEFT(C4069,2))</f>
        <v>26</v>
      </c>
      <c r="E4069">
        <f t="shared" ref="E4069" si="11762">_xlfn.NUMBERVALUE(MID(C4069,4,2))</f>
        <v>1</v>
      </c>
      <c r="F4069">
        <f t="shared" ref="F4069" si="11763">_xlfn.NUMBERVALUE(RIGHT(C4069,4))</f>
        <v>2025</v>
      </c>
      <c r="G4069" t="s">
        <v>1389</v>
      </c>
      <c r="H4069">
        <v>-10</v>
      </c>
      <c r="I4069">
        <v>10</v>
      </c>
      <c r="K4069" t="s">
        <v>10</v>
      </c>
      <c r="L4069" s="8">
        <f t="shared" si="11719"/>
        <v>0</v>
      </c>
      <c r="M4069" t="s">
        <v>4482</v>
      </c>
    </row>
    <row r="4070" spans="1:13" x14ac:dyDescent="0.35">
      <c r="A4070">
        <f t="shared" si="11227"/>
        <v>4066</v>
      </c>
      <c r="B4070" s="9">
        <f t="shared" ref="B4070" si="11764">B4069+H4070+I4070+J4070</f>
        <v>48.129999999999995</v>
      </c>
      <c r="C4070" s="3" t="s">
        <v>4477</v>
      </c>
      <c r="D4070">
        <f t="shared" ref="D4070" si="11765">_xlfn.NUMBERVALUE(LEFT(C4070,2))</f>
        <v>26</v>
      </c>
      <c r="E4070">
        <f t="shared" ref="E4070" si="11766">_xlfn.NUMBERVALUE(MID(C4070,4,2))</f>
        <v>1</v>
      </c>
      <c r="F4070">
        <f t="shared" ref="F4070" si="11767">_xlfn.NUMBERVALUE(RIGHT(C4070,4))</f>
        <v>2025</v>
      </c>
      <c r="G4070" t="s">
        <v>1389</v>
      </c>
      <c r="H4070">
        <v>-10</v>
      </c>
      <c r="I4070">
        <v>5.5</v>
      </c>
      <c r="K4070" t="s">
        <v>9</v>
      </c>
      <c r="L4070" s="8">
        <f t="shared" si="11719"/>
        <v>-0.44999999999999996</v>
      </c>
      <c r="M4070" t="s">
        <v>4483</v>
      </c>
    </row>
    <row r="4071" spans="1:13" x14ac:dyDescent="0.35">
      <c r="A4071">
        <f t="shared" si="11227"/>
        <v>4067</v>
      </c>
      <c r="B4071" s="9">
        <f t="shared" ref="B4071" si="11768">B4070+H4071+I4071+J4071</f>
        <v>51.169999999999995</v>
      </c>
      <c r="C4071" s="3" t="s">
        <v>4477</v>
      </c>
      <c r="D4071">
        <f t="shared" ref="D4071" si="11769">_xlfn.NUMBERVALUE(LEFT(C4071,2))</f>
        <v>26</v>
      </c>
      <c r="E4071">
        <f t="shared" ref="E4071" si="11770">_xlfn.NUMBERVALUE(MID(C4071,4,2))</f>
        <v>1</v>
      </c>
      <c r="F4071">
        <f t="shared" ref="F4071" si="11771">_xlfn.NUMBERVALUE(RIGHT(C4071,4))</f>
        <v>2025</v>
      </c>
      <c r="G4071" t="s">
        <v>1389</v>
      </c>
      <c r="H4071">
        <v>-10</v>
      </c>
      <c r="I4071">
        <v>13.04</v>
      </c>
      <c r="K4071" t="s">
        <v>10</v>
      </c>
      <c r="L4071" s="8">
        <f t="shared" si="11719"/>
        <v>0.30399999999999983</v>
      </c>
      <c r="M4071" t="s">
        <v>4484</v>
      </c>
    </row>
    <row r="4072" spans="1:13" x14ac:dyDescent="0.35">
      <c r="A4072">
        <f t="shared" si="11227"/>
        <v>4068</v>
      </c>
      <c r="B4072" s="9">
        <f t="shared" ref="B4072" si="11772">B4071+H4072+I4072+J4072</f>
        <v>46.69</v>
      </c>
      <c r="C4072" s="3" t="s">
        <v>4477</v>
      </c>
      <c r="D4072">
        <f t="shared" ref="D4072" si="11773">_xlfn.NUMBERVALUE(LEFT(C4072,2))</f>
        <v>26</v>
      </c>
      <c r="E4072">
        <f t="shared" ref="E4072" si="11774">_xlfn.NUMBERVALUE(MID(C4072,4,2))</f>
        <v>1</v>
      </c>
      <c r="F4072">
        <f t="shared" ref="F4072" si="11775">_xlfn.NUMBERVALUE(RIGHT(C4072,4))</f>
        <v>2025</v>
      </c>
      <c r="G4072" t="s">
        <v>1389</v>
      </c>
      <c r="H4072">
        <v>-10</v>
      </c>
      <c r="I4072">
        <v>5.52</v>
      </c>
      <c r="K4072" t="s">
        <v>9</v>
      </c>
      <c r="L4072" s="8">
        <f t="shared" si="11719"/>
        <v>-0.44800000000000006</v>
      </c>
      <c r="M4072" t="s">
        <v>4485</v>
      </c>
    </row>
    <row r="4073" spans="1:13" x14ac:dyDescent="0.35">
      <c r="A4073">
        <f t="shared" si="11227"/>
        <v>4069</v>
      </c>
      <c r="B4073" s="9">
        <f t="shared" ref="B4073" si="11776">B4072+H4073+I4073+J4073</f>
        <v>53.14</v>
      </c>
      <c r="C4073" s="3" t="s">
        <v>4477</v>
      </c>
      <c r="D4073">
        <f t="shared" ref="D4073" si="11777">_xlfn.NUMBERVALUE(LEFT(C4073,2))</f>
        <v>26</v>
      </c>
      <c r="E4073">
        <f t="shared" ref="E4073" si="11778">_xlfn.NUMBERVALUE(MID(C4073,4,2))</f>
        <v>1</v>
      </c>
      <c r="F4073">
        <f t="shared" ref="F4073" si="11779">_xlfn.NUMBERVALUE(RIGHT(C4073,4))</f>
        <v>2025</v>
      </c>
      <c r="G4073" t="s">
        <v>1389</v>
      </c>
      <c r="H4073">
        <v>-10</v>
      </c>
      <c r="I4073">
        <v>16.45</v>
      </c>
      <c r="K4073" t="s">
        <v>10</v>
      </c>
      <c r="L4073" s="8">
        <f t="shared" si="11719"/>
        <v>0.64500000000000002</v>
      </c>
      <c r="M4073" t="s">
        <v>4486</v>
      </c>
    </row>
    <row r="4074" spans="1:13" x14ac:dyDescent="0.35">
      <c r="A4074">
        <f t="shared" si="11227"/>
        <v>4070</v>
      </c>
      <c r="B4074" s="9">
        <f t="shared" ref="B4074" si="11780">B4073+H4074+I4074+J4074</f>
        <v>55.72</v>
      </c>
      <c r="C4074" s="3" t="s">
        <v>4477</v>
      </c>
      <c r="D4074">
        <f t="shared" ref="D4074" si="11781">_xlfn.NUMBERVALUE(LEFT(C4074,2))</f>
        <v>26</v>
      </c>
      <c r="E4074">
        <f t="shared" ref="E4074" si="11782">_xlfn.NUMBERVALUE(MID(C4074,4,2))</f>
        <v>1</v>
      </c>
      <c r="F4074">
        <f t="shared" ref="F4074" si="11783">_xlfn.NUMBERVALUE(RIGHT(C4074,4))</f>
        <v>2025</v>
      </c>
      <c r="G4074" t="s">
        <v>1389</v>
      </c>
      <c r="H4074">
        <v>-10</v>
      </c>
      <c r="I4074">
        <v>12.58</v>
      </c>
      <c r="K4074" t="s">
        <v>10</v>
      </c>
      <c r="L4074" s="8">
        <f t="shared" si="11719"/>
        <v>0.25800000000000001</v>
      </c>
      <c r="M4074" t="s">
        <v>4487</v>
      </c>
    </row>
    <row r="4075" spans="1:13" x14ac:dyDescent="0.35">
      <c r="A4075">
        <f t="shared" si="11227"/>
        <v>4071</v>
      </c>
      <c r="B4075" s="9">
        <f t="shared" ref="B4075" si="11784">B4074+H4075+I4075+J4075</f>
        <v>57.92</v>
      </c>
      <c r="C4075" s="3" t="s">
        <v>4477</v>
      </c>
      <c r="D4075">
        <f t="shared" ref="D4075" si="11785">_xlfn.NUMBERVALUE(LEFT(C4075,2))</f>
        <v>26</v>
      </c>
      <c r="E4075">
        <f t="shared" ref="E4075" si="11786">_xlfn.NUMBERVALUE(MID(C4075,4,2))</f>
        <v>1</v>
      </c>
      <c r="F4075">
        <f t="shared" ref="F4075" si="11787">_xlfn.NUMBERVALUE(RIGHT(C4075,4))</f>
        <v>2025</v>
      </c>
      <c r="G4075" t="s">
        <v>1389</v>
      </c>
      <c r="H4075">
        <v>-10</v>
      </c>
      <c r="I4075">
        <v>12.2</v>
      </c>
      <c r="K4075" t="s">
        <v>10</v>
      </c>
      <c r="L4075" s="8">
        <f t="shared" si="11719"/>
        <v>0.21999999999999997</v>
      </c>
      <c r="M4075" t="s">
        <v>4488</v>
      </c>
    </row>
    <row r="4076" spans="1:13" x14ac:dyDescent="0.35">
      <c r="A4076">
        <f t="shared" si="11227"/>
        <v>4072</v>
      </c>
      <c r="B4076" s="9">
        <f t="shared" ref="B4076" si="11788">B4075+H4076+I4076+J4076</f>
        <v>63.83</v>
      </c>
      <c r="C4076" s="3" t="s">
        <v>4477</v>
      </c>
      <c r="D4076">
        <f t="shared" ref="D4076" si="11789">_xlfn.NUMBERVALUE(LEFT(C4076,2))</f>
        <v>26</v>
      </c>
      <c r="E4076">
        <f t="shared" ref="E4076" si="11790">_xlfn.NUMBERVALUE(MID(C4076,4,2))</f>
        <v>1</v>
      </c>
      <c r="F4076">
        <f t="shared" ref="F4076" si="11791">_xlfn.NUMBERVALUE(RIGHT(C4076,4))</f>
        <v>2025</v>
      </c>
      <c r="G4076" t="s">
        <v>1389</v>
      </c>
      <c r="H4076">
        <v>-10</v>
      </c>
      <c r="I4076">
        <v>15.91</v>
      </c>
      <c r="K4076" t="s">
        <v>10</v>
      </c>
      <c r="L4076" s="8">
        <f t="shared" si="11719"/>
        <v>0.59099999999999997</v>
      </c>
      <c r="M4076" t="s">
        <v>4489</v>
      </c>
    </row>
    <row r="4077" spans="1:13" x14ac:dyDescent="0.35">
      <c r="A4077">
        <f t="shared" si="11227"/>
        <v>4073</v>
      </c>
      <c r="B4077" s="9">
        <f t="shared" ref="B4077" si="11792">B4076+H4077+I4077+J4077</f>
        <v>53.83</v>
      </c>
      <c r="C4077" s="3" t="s">
        <v>4477</v>
      </c>
      <c r="D4077">
        <f t="shared" ref="D4077" si="11793">_xlfn.NUMBERVALUE(LEFT(C4077,2))</f>
        <v>26</v>
      </c>
      <c r="E4077">
        <f t="shared" ref="E4077" si="11794">_xlfn.NUMBERVALUE(MID(C4077,4,2))</f>
        <v>1</v>
      </c>
      <c r="F4077">
        <f t="shared" ref="F4077" si="11795">_xlfn.NUMBERVALUE(RIGHT(C4077,4))</f>
        <v>2025</v>
      </c>
      <c r="G4077" t="s">
        <v>1389</v>
      </c>
      <c r="H4077">
        <v>-10</v>
      </c>
      <c r="K4077" t="s">
        <v>9</v>
      </c>
      <c r="L4077" s="8">
        <f t="shared" si="11719"/>
        <v>-1</v>
      </c>
      <c r="M4077" t="s">
        <v>4490</v>
      </c>
    </row>
    <row r="4078" spans="1:13" x14ac:dyDescent="0.35">
      <c r="A4078">
        <f t="shared" si="11227"/>
        <v>4074</v>
      </c>
      <c r="B4078" s="9">
        <f t="shared" ref="B4078:B4079" si="11796">B4077+H4078+I4078+J4078</f>
        <v>42.83</v>
      </c>
      <c r="C4078" s="3" t="s">
        <v>4477</v>
      </c>
      <c r="D4078">
        <f t="shared" ref="D4078:D4079" si="11797">_xlfn.NUMBERVALUE(LEFT(C4078,2))</f>
        <v>26</v>
      </c>
      <c r="E4078">
        <f t="shared" ref="E4078:E4079" si="11798">_xlfn.NUMBERVALUE(MID(C4078,4,2))</f>
        <v>1</v>
      </c>
      <c r="F4078">
        <f t="shared" ref="F4078:F4079" si="11799">_xlfn.NUMBERVALUE(RIGHT(C4078,4))</f>
        <v>2025</v>
      </c>
      <c r="G4078" t="s">
        <v>154</v>
      </c>
      <c r="H4078">
        <v>-11</v>
      </c>
      <c r="K4078" t="s">
        <v>9</v>
      </c>
      <c r="L4078" s="8">
        <f t="shared" si="11719"/>
        <v>-1</v>
      </c>
      <c r="M4078" t="s">
        <v>4495</v>
      </c>
    </row>
    <row r="4079" spans="1:13" x14ac:dyDescent="0.35">
      <c r="A4079">
        <f t="shared" si="11227"/>
        <v>4075</v>
      </c>
      <c r="B4079" s="9">
        <f t="shared" si="11796"/>
        <v>38.42</v>
      </c>
      <c r="C4079" s="3" t="s">
        <v>4477</v>
      </c>
      <c r="D4079">
        <f t="shared" si="11797"/>
        <v>26</v>
      </c>
      <c r="E4079">
        <f t="shared" si="11798"/>
        <v>1</v>
      </c>
      <c r="F4079">
        <f t="shared" si="11799"/>
        <v>2025</v>
      </c>
      <c r="G4079" t="s">
        <v>1389</v>
      </c>
      <c r="H4079">
        <v>-10</v>
      </c>
      <c r="I4079">
        <v>5.59</v>
      </c>
      <c r="K4079" t="s">
        <v>9</v>
      </c>
      <c r="L4079" s="8">
        <f t="shared" si="11719"/>
        <v>-0.44100000000000006</v>
      </c>
      <c r="M4079" t="s">
        <v>4491</v>
      </c>
    </row>
    <row r="4080" spans="1:13" x14ac:dyDescent="0.35">
      <c r="A4080">
        <f t="shared" si="11227"/>
        <v>4076</v>
      </c>
      <c r="B4080" s="9">
        <f t="shared" ref="B4080" si="11800">B4079+H4080+I4080+J4080</f>
        <v>40.42</v>
      </c>
      <c r="C4080" s="3" t="s">
        <v>4477</v>
      </c>
      <c r="D4080">
        <f t="shared" ref="D4080" si="11801">_xlfn.NUMBERVALUE(LEFT(C4080,2))</f>
        <v>26</v>
      </c>
      <c r="E4080">
        <f t="shared" ref="E4080" si="11802">_xlfn.NUMBERVALUE(MID(C4080,4,2))</f>
        <v>1</v>
      </c>
      <c r="F4080">
        <f t="shared" ref="F4080" si="11803">_xlfn.NUMBERVALUE(RIGHT(C4080,4))</f>
        <v>2025</v>
      </c>
      <c r="G4080" t="s">
        <v>1389</v>
      </c>
      <c r="H4080">
        <v>-10</v>
      </c>
      <c r="I4080">
        <v>12</v>
      </c>
      <c r="K4080" t="s">
        <v>10</v>
      </c>
      <c r="L4080" s="8">
        <f t="shared" si="11719"/>
        <v>0.19999999999999996</v>
      </c>
      <c r="M4080" t="s">
        <v>4492</v>
      </c>
    </row>
    <row r="4081" spans="1:13" x14ac:dyDescent="0.35">
      <c r="A4081">
        <f t="shared" si="11227"/>
        <v>4077</v>
      </c>
      <c r="B4081" s="9">
        <f t="shared" ref="B4081" si="11804">B4080+H4081+I4081+J4081</f>
        <v>47.21</v>
      </c>
      <c r="C4081" s="3" t="s">
        <v>4477</v>
      </c>
      <c r="D4081">
        <f t="shared" ref="D4081" si="11805">_xlfn.NUMBERVALUE(LEFT(C4081,2))</f>
        <v>26</v>
      </c>
      <c r="E4081">
        <f t="shared" ref="E4081" si="11806">_xlfn.NUMBERVALUE(MID(C4081,4,2))</f>
        <v>1</v>
      </c>
      <c r="F4081">
        <f t="shared" ref="F4081" si="11807">_xlfn.NUMBERVALUE(RIGHT(C4081,4))</f>
        <v>2025</v>
      </c>
      <c r="G4081" t="s">
        <v>1389</v>
      </c>
      <c r="H4081">
        <v>-10</v>
      </c>
      <c r="I4081">
        <v>16.79</v>
      </c>
      <c r="K4081" t="s">
        <v>10</v>
      </c>
      <c r="L4081" s="8">
        <f t="shared" si="11719"/>
        <v>0.67899999999999983</v>
      </c>
      <c r="M4081" t="s">
        <v>4493</v>
      </c>
    </row>
    <row r="4082" spans="1:13" x14ac:dyDescent="0.35">
      <c r="A4082">
        <f t="shared" si="11227"/>
        <v>4078</v>
      </c>
      <c r="B4082" s="9">
        <f t="shared" ref="B4082" si="11808">B4081+H4082+I4082+J4082</f>
        <v>52.79</v>
      </c>
      <c r="C4082" s="3" t="s">
        <v>4477</v>
      </c>
      <c r="D4082">
        <f t="shared" ref="D4082" si="11809">_xlfn.NUMBERVALUE(LEFT(C4082,2))</f>
        <v>26</v>
      </c>
      <c r="E4082">
        <f t="shared" ref="E4082" si="11810">_xlfn.NUMBERVALUE(MID(C4082,4,2))</f>
        <v>1</v>
      </c>
      <c r="F4082">
        <f t="shared" ref="F4082" si="11811">_xlfn.NUMBERVALUE(RIGHT(C4082,4))</f>
        <v>2025</v>
      </c>
      <c r="G4082" t="s">
        <v>1389</v>
      </c>
      <c r="H4082">
        <v>-10</v>
      </c>
      <c r="I4082">
        <v>15.58</v>
      </c>
      <c r="K4082" t="s">
        <v>10</v>
      </c>
      <c r="L4082" s="8">
        <f t="shared" si="11719"/>
        <v>0.55800000000000005</v>
      </c>
      <c r="M4082" t="s">
        <v>4494</v>
      </c>
    </row>
    <row r="4083" spans="1:13" x14ac:dyDescent="0.35">
      <c r="A4083">
        <f t="shared" si="11227"/>
        <v>4079</v>
      </c>
      <c r="B4083" s="9">
        <f t="shared" ref="B4083" si="11812">B4082+H4083+I4083+J4083</f>
        <v>46.89</v>
      </c>
      <c r="C4083" s="3" t="s">
        <v>4477</v>
      </c>
      <c r="D4083">
        <f t="shared" ref="D4083" si="11813">_xlfn.NUMBERVALUE(LEFT(C4083,2))</f>
        <v>26</v>
      </c>
      <c r="E4083">
        <f t="shared" ref="E4083" si="11814">_xlfn.NUMBERVALUE(MID(C4083,4,2))</f>
        <v>1</v>
      </c>
      <c r="F4083">
        <f t="shared" ref="F4083" si="11815">_xlfn.NUMBERVALUE(RIGHT(C4083,4))</f>
        <v>2025</v>
      </c>
      <c r="G4083" t="s">
        <v>1389</v>
      </c>
      <c r="H4083">
        <v>-10</v>
      </c>
      <c r="I4083">
        <v>4.0999999999999996</v>
      </c>
      <c r="K4083" t="s">
        <v>9</v>
      </c>
      <c r="L4083" s="8">
        <f t="shared" si="11719"/>
        <v>-0.59000000000000008</v>
      </c>
      <c r="M4083" t="s">
        <v>4496</v>
      </c>
    </row>
    <row r="4084" spans="1:13" x14ac:dyDescent="0.35">
      <c r="A4084">
        <f t="shared" si="11227"/>
        <v>4080</v>
      </c>
      <c r="B4084" s="9">
        <f t="shared" ref="B4084" si="11816">B4083+H4084+I4084+J4084</f>
        <v>49.16</v>
      </c>
      <c r="C4084" s="3" t="s">
        <v>4477</v>
      </c>
      <c r="D4084">
        <f t="shared" ref="D4084" si="11817">_xlfn.NUMBERVALUE(LEFT(C4084,2))</f>
        <v>26</v>
      </c>
      <c r="E4084">
        <f t="shared" ref="E4084" si="11818">_xlfn.NUMBERVALUE(MID(C4084,4,2))</f>
        <v>1</v>
      </c>
      <c r="F4084">
        <f t="shared" ref="F4084" si="11819">_xlfn.NUMBERVALUE(RIGHT(C4084,4))</f>
        <v>2025</v>
      </c>
      <c r="G4084" t="s">
        <v>1389</v>
      </c>
      <c r="H4084">
        <v>-10</v>
      </c>
      <c r="I4084">
        <v>12.27</v>
      </c>
      <c r="K4084" t="s">
        <v>10</v>
      </c>
      <c r="L4084" s="8">
        <f t="shared" si="11719"/>
        <v>0.22699999999999987</v>
      </c>
      <c r="M4084" t="s">
        <v>4497</v>
      </c>
    </row>
    <row r="4085" spans="1:13" x14ac:dyDescent="0.35">
      <c r="A4085">
        <f t="shared" si="11227"/>
        <v>4081</v>
      </c>
      <c r="B4085" s="9">
        <f t="shared" ref="B4085:B4087" si="11820">B4084+H4085+I4085+J4085</f>
        <v>39.159999999999997</v>
      </c>
      <c r="C4085" s="3" t="s">
        <v>4477</v>
      </c>
      <c r="D4085">
        <f t="shared" ref="D4085:D4087" si="11821">_xlfn.NUMBERVALUE(LEFT(C4085,2))</f>
        <v>26</v>
      </c>
      <c r="E4085">
        <f t="shared" ref="E4085:E4087" si="11822">_xlfn.NUMBERVALUE(MID(C4085,4,2))</f>
        <v>1</v>
      </c>
      <c r="F4085">
        <f t="shared" ref="F4085:F4087" si="11823">_xlfn.NUMBERVALUE(RIGHT(C4085,4))</f>
        <v>2025</v>
      </c>
      <c r="G4085" t="s">
        <v>1389</v>
      </c>
      <c r="H4085">
        <v>-10</v>
      </c>
      <c r="K4085" t="s">
        <v>9</v>
      </c>
      <c r="L4085" s="8">
        <f t="shared" si="11719"/>
        <v>-1</v>
      </c>
      <c r="M4085" t="s">
        <v>4498</v>
      </c>
    </row>
    <row r="4086" spans="1:13" x14ac:dyDescent="0.35">
      <c r="A4086">
        <f t="shared" si="11227"/>
        <v>4082</v>
      </c>
      <c r="B4086" s="9">
        <f t="shared" si="11820"/>
        <v>34.159999999999997</v>
      </c>
      <c r="C4086" s="3" t="s">
        <v>4499</v>
      </c>
      <c r="D4086">
        <f t="shared" si="11821"/>
        <v>27</v>
      </c>
      <c r="E4086">
        <f t="shared" si="11822"/>
        <v>1</v>
      </c>
      <c r="F4086">
        <f t="shared" si="11823"/>
        <v>2025</v>
      </c>
      <c r="G4086" t="s">
        <v>7</v>
      </c>
      <c r="H4086">
        <v>-5</v>
      </c>
      <c r="K4086" t="s">
        <v>9</v>
      </c>
      <c r="L4086" s="8">
        <f t="shared" si="11719"/>
        <v>-1</v>
      </c>
      <c r="M4086" t="s">
        <v>4500</v>
      </c>
    </row>
    <row r="4087" spans="1:13" x14ac:dyDescent="0.35">
      <c r="A4087">
        <f t="shared" si="11227"/>
        <v>4083</v>
      </c>
      <c r="B4087" s="9">
        <f t="shared" si="11820"/>
        <v>34.159999999999997</v>
      </c>
      <c r="C4087" s="3" t="s">
        <v>4499</v>
      </c>
      <c r="D4087">
        <f t="shared" si="11821"/>
        <v>27</v>
      </c>
      <c r="E4087">
        <f t="shared" si="11822"/>
        <v>1</v>
      </c>
      <c r="F4087">
        <f t="shared" si="11823"/>
        <v>2025</v>
      </c>
      <c r="G4087" t="s">
        <v>3039</v>
      </c>
      <c r="K4087" t="s">
        <v>9</v>
      </c>
      <c r="L4087" s="8">
        <f t="shared" si="11719"/>
        <v>0</v>
      </c>
      <c r="M4087" t="s">
        <v>4501</v>
      </c>
    </row>
    <row r="4088" spans="1:13" x14ac:dyDescent="0.35">
      <c r="A4088">
        <f t="shared" si="11227"/>
        <v>4084</v>
      </c>
      <c r="B4088" s="9">
        <f t="shared" ref="B4088:B4089" si="11824">B4087+H4088+I4088+J4088</f>
        <v>44.16</v>
      </c>
      <c r="C4088" s="3" t="s">
        <v>4502</v>
      </c>
      <c r="D4088">
        <f t="shared" ref="D4088:D4089" si="11825">_xlfn.NUMBERVALUE(LEFT(C4088,2))</f>
        <v>28</v>
      </c>
      <c r="E4088">
        <f t="shared" ref="E4088:E4089" si="11826">_xlfn.NUMBERVALUE(MID(C4088,4,2))</f>
        <v>1</v>
      </c>
      <c r="F4088">
        <f t="shared" ref="F4088:F4089" si="11827">_xlfn.NUMBERVALUE(RIGHT(C4088,4))</f>
        <v>2025</v>
      </c>
      <c r="G4088" t="s">
        <v>7</v>
      </c>
      <c r="H4088">
        <v>-5</v>
      </c>
      <c r="I4088">
        <v>15</v>
      </c>
      <c r="K4088" t="s">
        <v>10</v>
      </c>
      <c r="L4088" s="8">
        <f t="shared" si="11719"/>
        <v>2</v>
      </c>
      <c r="M4088" t="s">
        <v>4503</v>
      </c>
    </row>
    <row r="4089" spans="1:13" x14ac:dyDescent="0.35">
      <c r="A4089">
        <f t="shared" si="11227"/>
        <v>4085</v>
      </c>
      <c r="B4089" s="9">
        <f t="shared" si="11824"/>
        <v>44.16</v>
      </c>
      <c r="C4089" s="3" t="s">
        <v>4502</v>
      </c>
      <c r="D4089">
        <f t="shared" si="11825"/>
        <v>28</v>
      </c>
      <c r="E4089">
        <f t="shared" si="11826"/>
        <v>1</v>
      </c>
      <c r="F4089">
        <f t="shared" si="11827"/>
        <v>2025</v>
      </c>
      <c r="G4089" t="s">
        <v>3039</v>
      </c>
      <c r="K4089" t="s">
        <v>10</v>
      </c>
      <c r="L4089" s="8">
        <f t="shared" si="11719"/>
        <v>0</v>
      </c>
      <c r="M4089" t="s">
        <v>4504</v>
      </c>
    </row>
    <row r="4090" spans="1:13" x14ac:dyDescent="0.35">
      <c r="A4090">
        <f t="shared" si="11227"/>
        <v>4086</v>
      </c>
      <c r="B4090" s="9">
        <f t="shared" ref="B4090:B4091" si="11828">B4089+H4090+I4090+J4090</f>
        <v>44.16</v>
      </c>
      <c r="C4090" s="3" t="s">
        <v>4502</v>
      </c>
      <c r="D4090">
        <f t="shared" ref="D4090:D4091" si="11829">_xlfn.NUMBERVALUE(LEFT(C4090,2))</f>
        <v>28</v>
      </c>
      <c r="E4090">
        <f t="shared" ref="E4090:E4091" si="11830">_xlfn.NUMBERVALUE(MID(C4090,4,2))</f>
        <v>1</v>
      </c>
      <c r="F4090">
        <f t="shared" ref="F4090:F4091" si="11831">_xlfn.NUMBERVALUE(RIGHT(C4090,4))</f>
        <v>2025</v>
      </c>
      <c r="G4090" t="s">
        <v>2969</v>
      </c>
      <c r="K4090" t="s">
        <v>9</v>
      </c>
      <c r="L4090" s="8">
        <f t="shared" si="11719"/>
        <v>0</v>
      </c>
      <c r="M4090" t="s">
        <v>4505</v>
      </c>
    </row>
    <row r="4091" spans="1:13" x14ac:dyDescent="0.35">
      <c r="A4091">
        <f t="shared" si="11227"/>
        <v>4087</v>
      </c>
      <c r="B4091" s="9">
        <f t="shared" si="11828"/>
        <v>39.159999999999997</v>
      </c>
      <c r="C4091" s="3" t="s">
        <v>4502</v>
      </c>
      <c r="D4091">
        <f t="shared" si="11829"/>
        <v>28</v>
      </c>
      <c r="E4091">
        <f t="shared" si="11830"/>
        <v>1</v>
      </c>
      <c r="F4091">
        <f t="shared" si="11831"/>
        <v>2025</v>
      </c>
      <c r="G4091" t="s">
        <v>7</v>
      </c>
      <c r="H4091">
        <v>-5</v>
      </c>
      <c r="K4091" t="s">
        <v>9</v>
      </c>
      <c r="L4091" s="8">
        <f t="shared" si="11719"/>
        <v>-1</v>
      </c>
      <c r="M4091" t="s">
        <v>4506</v>
      </c>
    </row>
    <row r="4092" spans="1:13" x14ac:dyDescent="0.35">
      <c r="A4092">
        <f t="shared" si="11227"/>
        <v>4088</v>
      </c>
      <c r="B4092" s="9">
        <f t="shared" ref="B4092:B4093" si="11832">B4091+H4092+I4092+J4092</f>
        <v>54.16</v>
      </c>
      <c r="C4092" s="3" t="s">
        <v>4507</v>
      </c>
      <c r="D4092">
        <f t="shared" ref="D4092:D4093" si="11833">_xlfn.NUMBERVALUE(LEFT(C4092,2))</f>
        <v>29</v>
      </c>
      <c r="E4092">
        <f t="shared" ref="E4092:E4093" si="11834">_xlfn.NUMBERVALUE(MID(C4092,4,2))</f>
        <v>1</v>
      </c>
      <c r="F4092">
        <f t="shared" ref="F4092:F4093" si="11835">_xlfn.NUMBERVALUE(RIGHT(C4092,4))</f>
        <v>2025</v>
      </c>
      <c r="G4092" t="s">
        <v>7</v>
      </c>
      <c r="H4092">
        <v>-5</v>
      </c>
      <c r="I4092">
        <v>20</v>
      </c>
      <c r="K4092" t="s">
        <v>10</v>
      </c>
      <c r="L4092" s="8">
        <f t="shared" si="11719"/>
        <v>3</v>
      </c>
      <c r="M4092" t="s">
        <v>4508</v>
      </c>
    </row>
    <row r="4093" spans="1:13" x14ac:dyDescent="0.35">
      <c r="A4093">
        <f t="shared" si="11227"/>
        <v>4089</v>
      </c>
      <c r="B4093" s="9">
        <f t="shared" si="11832"/>
        <v>54.16</v>
      </c>
      <c r="C4093" s="3" t="s">
        <v>4507</v>
      </c>
      <c r="D4093">
        <f t="shared" si="11833"/>
        <v>29</v>
      </c>
      <c r="E4093">
        <f t="shared" si="11834"/>
        <v>1</v>
      </c>
      <c r="F4093">
        <f t="shared" si="11835"/>
        <v>2025</v>
      </c>
      <c r="G4093" t="s">
        <v>3039</v>
      </c>
      <c r="K4093" t="s">
        <v>10</v>
      </c>
      <c r="L4093" s="8">
        <f t="shared" si="11719"/>
        <v>0</v>
      </c>
      <c r="M4093" t="s">
        <v>4509</v>
      </c>
    </row>
    <row r="4094" spans="1:13" x14ac:dyDescent="0.35">
      <c r="A4094">
        <f t="shared" si="11227"/>
        <v>4090</v>
      </c>
      <c r="B4094" s="9">
        <f t="shared" ref="B4094:B4095" si="11836">B4093+H4094+I4094+J4094</f>
        <v>54.16</v>
      </c>
      <c r="C4094" s="3" t="s">
        <v>4507</v>
      </c>
      <c r="D4094">
        <f t="shared" ref="D4094:D4095" si="11837">_xlfn.NUMBERVALUE(LEFT(C4094,2))</f>
        <v>29</v>
      </c>
      <c r="E4094">
        <f t="shared" ref="E4094:E4095" si="11838">_xlfn.NUMBERVALUE(MID(C4094,4,2))</f>
        <v>1</v>
      </c>
      <c r="F4094">
        <f t="shared" ref="F4094:F4095" si="11839">_xlfn.NUMBERVALUE(RIGHT(C4094,4))</f>
        <v>2025</v>
      </c>
      <c r="G4094" t="s">
        <v>2969</v>
      </c>
      <c r="K4094" t="s">
        <v>9</v>
      </c>
      <c r="L4094" s="8">
        <f t="shared" si="11719"/>
        <v>0</v>
      </c>
      <c r="M4094" t="s">
        <v>4510</v>
      </c>
    </row>
    <row r="4095" spans="1:13" x14ac:dyDescent="0.35">
      <c r="A4095">
        <f t="shared" si="11227"/>
        <v>4091</v>
      </c>
      <c r="B4095" s="9">
        <f t="shared" si="11836"/>
        <v>56.26</v>
      </c>
      <c r="C4095" s="3" t="s">
        <v>4507</v>
      </c>
      <c r="D4095">
        <f t="shared" si="11837"/>
        <v>29</v>
      </c>
      <c r="E4095">
        <f t="shared" si="11838"/>
        <v>1</v>
      </c>
      <c r="F4095">
        <f t="shared" si="11839"/>
        <v>2025</v>
      </c>
      <c r="G4095" t="s">
        <v>1389</v>
      </c>
      <c r="H4095">
        <v>-10</v>
      </c>
      <c r="I4095">
        <v>12.1</v>
      </c>
      <c r="K4095" t="s">
        <v>10</v>
      </c>
      <c r="L4095" s="8">
        <f t="shared" si="11719"/>
        <v>0.20999999999999996</v>
      </c>
      <c r="M4095" t="s">
        <v>4511</v>
      </c>
    </row>
    <row r="4096" spans="1:13" x14ac:dyDescent="0.35">
      <c r="A4096">
        <f t="shared" si="11227"/>
        <v>4092</v>
      </c>
      <c r="B4096" s="9">
        <f t="shared" ref="B4096" si="11840">B4095+H4096+I4096+J4096</f>
        <v>50.48</v>
      </c>
      <c r="C4096" s="3" t="s">
        <v>4507</v>
      </c>
      <c r="D4096">
        <f t="shared" ref="D4096" si="11841">_xlfn.NUMBERVALUE(LEFT(C4096,2))</f>
        <v>29</v>
      </c>
      <c r="E4096">
        <f t="shared" ref="E4096" si="11842">_xlfn.NUMBERVALUE(MID(C4096,4,2))</f>
        <v>1</v>
      </c>
      <c r="F4096">
        <f t="shared" ref="F4096" si="11843">_xlfn.NUMBERVALUE(RIGHT(C4096,4))</f>
        <v>2025</v>
      </c>
      <c r="G4096" t="s">
        <v>1389</v>
      </c>
      <c r="H4096">
        <v>-10</v>
      </c>
      <c r="I4096">
        <v>4.22</v>
      </c>
      <c r="K4096" t="s">
        <v>9</v>
      </c>
      <c r="L4096" s="8">
        <f t="shared" si="11719"/>
        <v>-0.57800000000000007</v>
      </c>
      <c r="M4096" t="s">
        <v>4516</v>
      </c>
    </row>
    <row r="4097" spans="1:13" x14ac:dyDescent="0.35">
      <c r="A4097">
        <f t="shared" si="11227"/>
        <v>4093</v>
      </c>
      <c r="B4097" s="9">
        <f t="shared" ref="B4097" si="11844">B4096+H4097+I4097+J4097</f>
        <v>52.489999999999995</v>
      </c>
      <c r="C4097" s="3" t="s">
        <v>4507</v>
      </c>
      <c r="D4097">
        <f t="shared" ref="D4097" si="11845">_xlfn.NUMBERVALUE(LEFT(C4097,2))</f>
        <v>29</v>
      </c>
      <c r="E4097">
        <f t="shared" ref="E4097" si="11846">_xlfn.NUMBERVALUE(MID(C4097,4,2))</f>
        <v>1</v>
      </c>
      <c r="F4097">
        <f t="shared" ref="F4097" si="11847">_xlfn.NUMBERVALUE(RIGHT(C4097,4))</f>
        <v>2025</v>
      </c>
      <c r="G4097" t="s">
        <v>1389</v>
      </c>
      <c r="H4097">
        <v>-10</v>
      </c>
      <c r="I4097">
        <v>12.01</v>
      </c>
      <c r="K4097" t="s">
        <v>10</v>
      </c>
      <c r="L4097" s="8">
        <f t="shared" si="11719"/>
        <v>0.20100000000000007</v>
      </c>
      <c r="M4097" t="s">
        <v>4517</v>
      </c>
    </row>
    <row r="4098" spans="1:13" x14ac:dyDescent="0.35">
      <c r="A4098">
        <f t="shared" si="11227"/>
        <v>4094</v>
      </c>
      <c r="B4098" s="9">
        <f t="shared" ref="B4098" si="11848">B4097+H4098+I4098+J4098</f>
        <v>58.289999999999992</v>
      </c>
      <c r="C4098" s="3" t="s">
        <v>4507</v>
      </c>
      <c r="D4098">
        <f t="shared" ref="D4098" si="11849">_xlfn.NUMBERVALUE(LEFT(C4098,2))</f>
        <v>29</v>
      </c>
      <c r="E4098">
        <f t="shared" ref="E4098" si="11850">_xlfn.NUMBERVALUE(MID(C4098,4,2))</f>
        <v>1</v>
      </c>
      <c r="F4098">
        <f t="shared" ref="F4098" si="11851">_xlfn.NUMBERVALUE(RIGHT(C4098,4))</f>
        <v>2025</v>
      </c>
      <c r="G4098" t="s">
        <v>1389</v>
      </c>
      <c r="H4098">
        <v>-10</v>
      </c>
      <c r="I4098">
        <v>15.8</v>
      </c>
      <c r="K4098" t="s">
        <v>10</v>
      </c>
      <c r="L4098" s="8">
        <f t="shared" si="11719"/>
        <v>0.58000000000000007</v>
      </c>
      <c r="M4098" t="s">
        <v>4518</v>
      </c>
    </row>
    <row r="4099" spans="1:13" x14ac:dyDescent="0.35">
      <c r="A4099">
        <f t="shared" si="11227"/>
        <v>4095</v>
      </c>
      <c r="B4099" s="9">
        <f t="shared" ref="B4099" si="11852">B4098+H4099+I4099+J4099</f>
        <v>58.329999999999991</v>
      </c>
      <c r="C4099" s="3" t="s">
        <v>4507</v>
      </c>
      <c r="D4099">
        <f t="shared" ref="D4099" si="11853">_xlfn.NUMBERVALUE(LEFT(C4099,2))</f>
        <v>29</v>
      </c>
      <c r="E4099">
        <f t="shared" ref="E4099" si="11854">_xlfn.NUMBERVALUE(MID(C4099,4,2))</f>
        <v>1</v>
      </c>
      <c r="F4099">
        <f t="shared" ref="F4099" si="11855">_xlfn.NUMBERVALUE(RIGHT(C4099,4))</f>
        <v>2025</v>
      </c>
      <c r="G4099" t="s">
        <v>1389</v>
      </c>
      <c r="H4099">
        <v>-10</v>
      </c>
      <c r="I4099">
        <v>10.039999999999999</v>
      </c>
      <c r="K4099" t="s">
        <v>10</v>
      </c>
      <c r="L4099" s="8">
        <f t="shared" si="11719"/>
        <v>4.0000000000000036E-3</v>
      </c>
      <c r="M4099" t="s">
        <v>4519</v>
      </c>
    </row>
    <row r="4100" spans="1:13" x14ac:dyDescent="0.35">
      <c r="A4100">
        <f t="shared" si="11227"/>
        <v>4096</v>
      </c>
      <c r="B4100" s="9">
        <f t="shared" ref="B4100" si="11856">B4099+H4100+I4100+J4100</f>
        <v>52.399999999999991</v>
      </c>
      <c r="C4100" s="3" t="s">
        <v>4507</v>
      </c>
      <c r="D4100">
        <f t="shared" ref="D4100" si="11857">_xlfn.NUMBERVALUE(LEFT(C4100,2))</f>
        <v>29</v>
      </c>
      <c r="E4100">
        <f t="shared" ref="E4100" si="11858">_xlfn.NUMBERVALUE(MID(C4100,4,2))</f>
        <v>1</v>
      </c>
      <c r="F4100">
        <f t="shared" ref="F4100" si="11859">_xlfn.NUMBERVALUE(RIGHT(C4100,4))</f>
        <v>2025</v>
      </c>
      <c r="G4100" t="s">
        <v>1389</v>
      </c>
      <c r="H4100">
        <v>-10</v>
      </c>
      <c r="I4100">
        <v>4.07</v>
      </c>
      <c r="K4100" t="s">
        <v>9</v>
      </c>
      <c r="L4100" s="8">
        <f t="shared" si="11719"/>
        <v>-0.59299999999999997</v>
      </c>
      <c r="M4100" t="s">
        <v>4520</v>
      </c>
    </row>
    <row r="4101" spans="1:13" x14ac:dyDescent="0.35">
      <c r="A4101">
        <f t="shared" si="11227"/>
        <v>4097</v>
      </c>
      <c r="B4101" s="9">
        <f t="shared" ref="B4101" si="11860">B4100+H4101+I4101+J4101</f>
        <v>48.329999999999991</v>
      </c>
      <c r="C4101" s="3" t="s">
        <v>4507</v>
      </c>
      <c r="D4101">
        <f t="shared" ref="D4101" si="11861">_xlfn.NUMBERVALUE(LEFT(C4101,2))</f>
        <v>29</v>
      </c>
      <c r="E4101">
        <f t="shared" ref="E4101" si="11862">_xlfn.NUMBERVALUE(MID(C4101,4,2))</f>
        <v>1</v>
      </c>
      <c r="F4101">
        <f t="shared" ref="F4101" si="11863">_xlfn.NUMBERVALUE(RIGHT(C4101,4))</f>
        <v>2025</v>
      </c>
      <c r="G4101" t="s">
        <v>1389</v>
      </c>
      <c r="H4101">
        <v>-10</v>
      </c>
      <c r="I4101">
        <v>5.93</v>
      </c>
      <c r="K4101" t="s">
        <v>9</v>
      </c>
      <c r="L4101" s="8">
        <f t="shared" si="11719"/>
        <v>-0.40700000000000003</v>
      </c>
      <c r="M4101" t="s">
        <v>4521</v>
      </c>
    </row>
    <row r="4102" spans="1:13" x14ac:dyDescent="0.35">
      <c r="A4102">
        <f t="shared" si="11227"/>
        <v>4098</v>
      </c>
      <c r="B4102" s="9">
        <f t="shared" ref="B4102" si="11864">B4101+H4102+I4102+J4102</f>
        <v>52.019999999999989</v>
      </c>
      <c r="C4102" s="3" t="s">
        <v>4507</v>
      </c>
      <c r="D4102">
        <f t="shared" ref="D4102" si="11865">_xlfn.NUMBERVALUE(LEFT(C4102,2))</f>
        <v>29</v>
      </c>
      <c r="E4102">
        <f t="shared" ref="E4102" si="11866">_xlfn.NUMBERVALUE(MID(C4102,4,2))</f>
        <v>1</v>
      </c>
      <c r="F4102">
        <f t="shared" ref="F4102" si="11867">_xlfn.NUMBERVALUE(RIGHT(C4102,4))</f>
        <v>2025</v>
      </c>
      <c r="G4102" t="s">
        <v>1389</v>
      </c>
      <c r="H4102">
        <v>-10</v>
      </c>
      <c r="I4102">
        <v>13.69</v>
      </c>
      <c r="K4102" t="s">
        <v>10</v>
      </c>
      <c r="L4102" s="8">
        <f t="shared" si="11719"/>
        <v>0.36899999999999999</v>
      </c>
      <c r="M4102" t="s">
        <v>4522</v>
      </c>
    </row>
    <row r="4103" spans="1:13" x14ac:dyDescent="0.35">
      <c r="A4103">
        <f t="shared" si="11227"/>
        <v>4099</v>
      </c>
      <c r="B4103" s="9">
        <f t="shared" ref="B4103" si="11868">B4102+H4103+I4103+J4103</f>
        <v>47.829999999999991</v>
      </c>
      <c r="C4103" s="3" t="s">
        <v>4507</v>
      </c>
      <c r="D4103">
        <f t="shared" ref="D4103" si="11869">_xlfn.NUMBERVALUE(LEFT(C4103,2))</f>
        <v>29</v>
      </c>
      <c r="E4103">
        <f t="shared" ref="E4103" si="11870">_xlfn.NUMBERVALUE(MID(C4103,4,2))</f>
        <v>1</v>
      </c>
      <c r="F4103">
        <f t="shared" ref="F4103" si="11871">_xlfn.NUMBERVALUE(RIGHT(C4103,4))</f>
        <v>2025</v>
      </c>
      <c r="G4103" t="s">
        <v>1389</v>
      </c>
      <c r="H4103">
        <v>-10</v>
      </c>
      <c r="I4103">
        <v>5.81</v>
      </c>
      <c r="K4103" t="s">
        <v>9</v>
      </c>
      <c r="L4103" s="8">
        <f t="shared" si="11719"/>
        <v>-0.41900000000000004</v>
      </c>
      <c r="M4103" t="s">
        <v>4523</v>
      </c>
    </row>
    <row r="4104" spans="1:13" x14ac:dyDescent="0.35">
      <c r="A4104">
        <f t="shared" si="11227"/>
        <v>4100</v>
      </c>
      <c r="B4104" s="9">
        <f t="shared" ref="B4104" si="11872">B4103+H4104+I4104+J4104</f>
        <v>50.019999999999989</v>
      </c>
      <c r="C4104" s="3" t="s">
        <v>4507</v>
      </c>
      <c r="D4104">
        <f t="shared" ref="D4104" si="11873">_xlfn.NUMBERVALUE(LEFT(C4104,2))</f>
        <v>29</v>
      </c>
      <c r="E4104">
        <f t="shared" ref="E4104" si="11874">_xlfn.NUMBERVALUE(MID(C4104,4,2))</f>
        <v>1</v>
      </c>
      <c r="F4104">
        <f t="shared" ref="F4104" si="11875">_xlfn.NUMBERVALUE(RIGHT(C4104,4))</f>
        <v>2025</v>
      </c>
      <c r="G4104" t="s">
        <v>1389</v>
      </c>
      <c r="H4104">
        <v>-10</v>
      </c>
      <c r="I4104">
        <v>12.19</v>
      </c>
      <c r="K4104" t="s">
        <v>10</v>
      </c>
      <c r="L4104" s="8">
        <f t="shared" si="11719"/>
        <v>0.21899999999999986</v>
      </c>
      <c r="M4104" t="s">
        <v>4524</v>
      </c>
    </row>
    <row r="4105" spans="1:13" x14ac:dyDescent="0.35">
      <c r="A4105">
        <f t="shared" si="11227"/>
        <v>4101</v>
      </c>
      <c r="B4105" s="9">
        <f t="shared" ref="B4105" si="11876">B4104+H4105+I4105+J4105</f>
        <v>45.809999999999988</v>
      </c>
      <c r="C4105" s="3" t="s">
        <v>4507</v>
      </c>
      <c r="D4105">
        <f t="shared" ref="D4105" si="11877">_xlfn.NUMBERVALUE(LEFT(C4105,2))</f>
        <v>29</v>
      </c>
      <c r="E4105">
        <f t="shared" ref="E4105" si="11878">_xlfn.NUMBERVALUE(MID(C4105,4,2))</f>
        <v>1</v>
      </c>
      <c r="F4105">
        <f t="shared" ref="F4105" si="11879">_xlfn.NUMBERVALUE(RIGHT(C4105,4))</f>
        <v>2025</v>
      </c>
      <c r="G4105" t="s">
        <v>1389</v>
      </c>
      <c r="H4105">
        <v>-10</v>
      </c>
      <c r="I4105">
        <v>5.79</v>
      </c>
      <c r="K4105" t="s">
        <v>9</v>
      </c>
      <c r="L4105" s="8">
        <f t="shared" si="11719"/>
        <v>-0.42100000000000004</v>
      </c>
      <c r="M4105" t="s">
        <v>4525</v>
      </c>
    </row>
    <row r="4106" spans="1:13" x14ac:dyDescent="0.35">
      <c r="A4106">
        <f t="shared" si="11227"/>
        <v>4102</v>
      </c>
      <c r="B4106" s="9">
        <f t="shared" ref="B4106" si="11880">B4105+H4106+I4106+J4106</f>
        <v>49.029999999999987</v>
      </c>
      <c r="C4106" s="3" t="s">
        <v>4507</v>
      </c>
      <c r="D4106">
        <f t="shared" ref="D4106" si="11881">_xlfn.NUMBERVALUE(LEFT(C4106,2))</f>
        <v>29</v>
      </c>
      <c r="E4106">
        <f t="shared" ref="E4106" si="11882">_xlfn.NUMBERVALUE(MID(C4106,4,2))</f>
        <v>1</v>
      </c>
      <c r="F4106">
        <f t="shared" ref="F4106" si="11883">_xlfn.NUMBERVALUE(RIGHT(C4106,4))</f>
        <v>2025</v>
      </c>
      <c r="G4106" t="s">
        <v>1389</v>
      </c>
      <c r="H4106">
        <v>-10</v>
      </c>
      <c r="I4106">
        <v>13.22</v>
      </c>
      <c r="K4106" t="s">
        <v>10</v>
      </c>
      <c r="L4106" s="8">
        <f t="shared" si="11719"/>
        <v>0.32200000000000006</v>
      </c>
      <c r="M4106" t="s">
        <v>4526</v>
      </c>
    </row>
    <row r="4107" spans="1:13" x14ac:dyDescent="0.35">
      <c r="A4107">
        <f t="shared" si="11227"/>
        <v>4103</v>
      </c>
      <c r="B4107" s="9">
        <f t="shared" ref="B4107:B4108" si="11884">B4106+H4107+I4107+J4107</f>
        <v>46.569999999999986</v>
      </c>
      <c r="C4107" s="3" t="s">
        <v>4507</v>
      </c>
      <c r="D4107">
        <f t="shared" ref="D4107:D4108" si="11885">_xlfn.NUMBERVALUE(LEFT(C4107,2))</f>
        <v>29</v>
      </c>
      <c r="E4107">
        <f t="shared" ref="E4107:E4108" si="11886">_xlfn.NUMBERVALUE(MID(C4107,4,2))</f>
        <v>1</v>
      </c>
      <c r="F4107">
        <f t="shared" ref="F4107:F4108" si="11887">_xlfn.NUMBERVALUE(RIGHT(C4107,4))</f>
        <v>2025</v>
      </c>
      <c r="G4107" t="s">
        <v>1389</v>
      </c>
      <c r="H4107">
        <v>-10</v>
      </c>
      <c r="I4107">
        <v>7.54</v>
      </c>
      <c r="K4107" t="s">
        <v>9</v>
      </c>
      <c r="L4107" s="8">
        <f t="shared" si="11719"/>
        <v>-0.246</v>
      </c>
      <c r="M4107" t="s">
        <v>4527</v>
      </c>
    </row>
    <row r="4108" spans="1:13" x14ac:dyDescent="0.35">
      <c r="A4108">
        <f t="shared" si="11227"/>
        <v>4104</v>
      </c>
      <c r="B4108" s="9">
        <f t="shared" si="11884"/>
        <v>46.569999999999986</v>
      </c>
      <c r="C4108" s="3" t="s">
        <v>4507</v>
      </c>
      <c r="D4108">
        <f t="shared" si="11885"/>
        <v>29</v>
      </c>
      <c r="E4108">
        <f t="shared" si="11886"/>
        <v>1</v>
      </c>
      <c r="F4108">
        <f t="shared" si="11887"/>
        <v>2025</v>
      </c>
      <c r="G4108" t="s">
        <v>2969</v>
      </c>
      <c r="K4108" t="s">
        <v>9</v>
      </c>
      <c r="L4108" s="8">
        <f t="shared" si="11719"/>
        <v>0</v>
      </c>
      <c r="M4108" t="s">
        <v>4528</v>
      </c>
    </row>
    <row r="4109" spans="1:13" x14ac:dyDescent="0.35">
      <c r="A4109">
        <f t="shared" si="11227"/>
        <v>4105</v>
      </c>
      <c r="B4109" s="9">
        <f t="shared" ref="B4109" si="11888">B4108+H4109+I4109+J4109</f>
        <v>40.639999999999986</v>
      </c>
      <c r="C4109" s="3" t="s">
        <v>4507</v>
      </c>
      <c r="D4109">
        <f t="shared" ref="D4109" si="11889">_xlfn.NUMBERVALUE(LEFT(C4109,2))</f>
        <v>29</v>
      </c>
      <c r="E4109">
        <f t="shared" ref="E4109" si="11890">_xlfn.NUMBERVALUE(MID(C4109,4,2))</f>
        <v>1</v>
      </c>
      <c r="F4109">
        <f t="shared" ref="F4109" si="11891">_xlfn.NUMBERVALUE(RIGHT(C4109,4))</f>
        <v>2025</v>
      </c>
      <c r="G4109" t="s">
        <v>1389</v>
      </c>
      <c r="H4109">
        <v>-10</v>
      </c>
      <c r="I4109">
        <v>4.07</v>
      </c>
      <c r="K4109" t="s">
        <v>9</v>
      </c>
      <c r="L4109" s="8">
        <f t="shared" si="11719"/>
        <v>-0.59299999999999997</v>
      </c>
      <c r="M4109" t="s">
        <v>4529</v>
      </c>
    </row>
    <row r="4110" spans="1:13" x14ac:dyDescent="0.35">
      <c r="A4110">
        <f t="shared" si="11227"/>
        <v>4106</v>
      </c>
      <c r="B4110" s="9">
        <f t="shared" ref="B4110:B4111" si="11892">B4109+H4110+I4110+J4110</f>
        <v>36.239999999999988</v>
      </c>
      <c r="C4110" s="3" t="s">
        <v>4507</v>
      </c>
      <c r="D4110">
        <f t="shared" ref="D4110:D4111" si="11893">_xlfn.NUMBERVALUE(LEFT(C4110,2))</f>
        <v>29</v>
      </c>
      <c r="E4110">
        <f t="shared" ref="E4110:E4111" si="11894">_xlfn.NUMBERVALUE(MID(C4110,4,2))</f>
        <v>1</v>
      </c>
      <c r="F4110">
        <f t="shared" ref="F4110:F4111" si="11895">_xlfn.NUMBERVALUE(RIGHT(C4110,4))</f>
        <v>2025</v>
      </c>
      <c r="G4110" t="s">
        <v>44</v>
      </c>
      <c r="H4110">
        <v>-4.4000000000000004</v>
      </c>
      <c r="K4110" t="s">
        <v>9</v>
      </c>
      <c r="L4110" s="8">
        <f t="shared" si="11719"/>
        <v>-1</v>
      </c>
      <c r="M4110" t="s">
        <v>4532</v>
      </c>
    </row>
    <row r="4111" spans="1:13" x14ac:dyDescent="0.35">
      <c r="A4111">
        <f t="shared" si="11227"/>
        <v>4107</v>
      </c>
      <c r="B4111" s="9">
        <f t="shared" si="11892"/>
        <v>41.939999999999984</v>
      </c>
      <c r="C4111" s="3" t="s">
        <v>4507</v>
      </c>
      <c r="D4111">
        <f t="shared" si="11893"/>
        <v>29</v>
      </c>
      <c r="E4111">
        <f t="shared" si="11894"/>
        <v>1</v>
      </c>
      <c r="F4111">
        <f t="shared" si="11895"/>
        <v>2025</v>
      </c>
      <c r="G4111" t="s">
        <v>1389</v>
      </c>
      <c r="H4111">
        <v>-10</v>
      </c>
      <c r="I4111">
        <v>15.7</v>
      </c>
      <c r="K4111" t="s">
        <v>10</v>
      </c>
      <c r="L4111" s="8">
        <f t="shared" si="11719"/>
        <v>0.56999999999999984</v>
      </c>
      <c r="M4111" t="s">
        <v>4530</v>
      </c>
    </row>
    <row r="4112" spans="1:13" x14ac:dyDescent="0.35">
      <c r="A4112">
        <f t="shared" si="11227"/>
        <v>4108</v>
      </c>
      <c r="B4112" s="9">
        <f t="shared" ref="B4112" si="11896">B4111+H4112+I4112+J4112</f>
        <v>31.939999999999984</v>
      </c>
      <c r="C4112" s="3" t="s">
        <v>4507</v>
      </c>
      <c r="D4112">
        <f t="shared" ref="D4112" si="11897">_xlfn.NUMBERVALUE(LEFT(C4112,2))</f>
        <v>29</v>
      </c>
      <c r="E4112">
        <f t="shared" ref="E4112" si="11898">_xlfn.NUMBERVALUE(MID(C4112,4,2))</f>
        <v>1</v>
      </c>
      <c r="F4112">
        <f t="shared" ref="F4112" si="11899">_xlfn.NUMBERVALUE(RIGHT(C4112,4))</f>
        <v>2025</v>
      </c>
      <c r="G4112" t="s">
        <v>1389</v>
      </c>
      <c r="H4112">
        <v>-10</v>
      </c>
      <c r="K4112" t="s">
        <v>9</v>
      </c>
      <c r="L4112" s="8">
        <f t="shared" si="11719"/>
        <v>-1</v>
      </c>
      <c r="M4112" t="s">
        <v>4531</v>
      </c>
    </row>
    <row r="4113" spans="1:13" x14ac:dyDescent="0.35">
      <c r="A4113">
        <f t="shared" si="11227"/>
        <v>4109</v>
      </c>
      <c r="B4113" s="9">
        <f t="shared" ref="B4113" si="11900">B4112+H4113+I4113+J4113</f>
        <v>34.279999999999987</v>
      </c>
      <c r="C4113" s="3" t="s">
        <v>4507</v>
      </c>
      <c r="D4113">
        <f t="shared" ref="D4113" si="11901">_xlfn.NUMBERVALUE(LEFT(C4113,2))</f>
        <v>29</v>
      </c>
      <c r="E4113">
        <f t="shared" ref="E4113" si="11902">_xlfn.NUMBERVALUE(MID(C4113,4,2))</f>
        <v>1</v>
      </c>
      <c r="F4113">
        <f t="shared" ref="F4113" si="11903">_xlfn.NUMBERVALUE(RIGHT(C4113,4))</f>
        <v>2025</v>
      </c>
      <c r="G4113" t="s">
        <v>1389</v>
      </c>
      <c r="H4113">
        <v>-10</v>
      </c>
      <c r="I4113">
        <v>12.34</v>
      </c>
      <c r="K4113" t="s">
        <v>10</v>
      </c>
      <c r="L4113" s="8">
        <f t="shared" si="11719"/>
        <v>0.23399999999999999</v>
      </c>
      <c r="M4113" t="s">
        <v>4533</v>
      </c>
    </row>
    <row r="4114" spans="1:13" x14ac:dyDescent="0.35">
      <c r="A4114">
        <f t="shared" si="11227"/>
        <v>4110</v>
      </c>
      <c r="B4114" s="9">
        <f t="shared" ref="B4114" si="11904">B4113+H4114+I4114+J4114</f>
        <v>29.619999999999987</v>
      </c>
      <c r="C4114" s="3" t="s">
        <v>4507</v>
      </c>
      <c r="D4114">
        <f t="shared" ref="D4114" si="11905">_xlfn.NUMBERVALUE(LEFT(C4114,2))</f>
        <v>29</v>
      </c>
      <c r="E4114">
        <f t="shared" ref="E4114" si="11906">_xlfn.NUMBERVALUE(MID(C4114,4,2))</f>
        <v>1</v>
      </c>
      <c r="F4114">
        <f t="shared" ref="F4114" si="11907">_xlfn.NUMBERVALUE(RIGHT(C4114,4))</f>
        <v>2025</v>
      </c>
      <c r="G4114" t="s">
        <v>1389</v>
      </c>
      <c r="H4114">
        <v>-10</v>
      </c>
      <c r="I4114">
        <v>5.34</v>
      </c>
      <c r="K4114" t="s">
        <v>9</v>
      </c>
      <c r="L4114" s="8">
        <f t="shared" si="11719"/>
        <v>-0.46599999999999997</v>
      </c>
      <c r="M4114" t="s">
        <v>4534</v>
      </c>
    </row>
    <row r="4115" spans="1:13" x14ac:dyDescent="0.35">
      <c r="A4115">
        <f t="shared" si="11227"/>
        <v>4111</v>
      </c>
      <c r="B4115" s="9">
        <f t="shared" ref="B4115" si="11908">B4114+H4115+I4115+J4115</f>
        <v>24.369999999999987</v>
      </c>
      <c r="C4115" s="3" t="s">
        <v>4507</v>
      </c>
      <c r="D4115">
        <f t="shared" ref="D4115" si="11909">_xlfn.NUMBERVALUE(LEFT(C4115,2))</f>
        <v>29</v>
      </c>
      <c r="E4115">
        <f t="shared" ref="E4115" si="11910">_xlfn.NUMBERVALUE(MID(C4115,4,2))</f>
        <v>1</v>
      </c>
      <c r="F4115">
        <f t="shared" ref="F4115" si="11911">_xlfn.NUMBERVALUE(RIGHT(C4115,4))</f>
        <v>2025</v>
      </c>
      <c r="G4115" t="s">
        <v>1389</v>
      </c>
      <c r="H4115">
        <v>-10</v>
      </c>
      <c r="I4115">
        <v>4.75</v>
      </c>
      <c r="K4115" t="s">
        <v>9</v>
      </c>
      <c r="L4115" s="8">
        <f t="shared" si="11719"/>
        <v>-0.52500000000000002</v>
      </c>
      <c r="M4115" t="s">
        <v>4535</v>
      </c>
    </row>
    <row r="4116" spans="1:13" x14ac:dyDescent="0.35">
      <c r="A4116">
        <f t="shared" si="11227"/>
        <v>4112</v>
      </c>
      <c r="B4116" s="9">
        <f t="shared" ref="B4116" si="11912">B4115+H4116+I4116+J4116</f>
        <v>26.509999999999987</v>
      </c>
      <c r="C4116" s="3" t="s">
        <v>4507</v>
      </c>
      <c r="D4116">
        <f t="shared" ref="D4116" si="11913">_xlfn.NUMBERVALUE(LEFT(C4116,2))</f>
        <v>29</v>
      </c>
      <c r="E4116">
        <f t="shared" ref="E4116" si="11914">_xlfn.NUMBERVALUE(MID(C4116,4,2))</f>
        <v>1</v>
      </c>
      <c r="F4116">
        <f t="shared" ref="F4116" si="11915">_xlfn.NUMBERVALUE(RIGHT(C4116,4))</f>
        <v>2025</v>
      </c>
      <c r="G4116" t="s">
        <v>1389</v>
      </c>
      <c r="H4116">
        <v>-10</v>
      </c>
      <c r="I4116">
        <v>12.14</v>
      </c>
      <c r="K4116" t="s">
        <v>10</v>
      </c>
      <c r="L4116" s="8">
        <f t="shared" si="11719"/>
        <v>0.21399999999999997</v>
      </c>
      <c r="M4116" t="s">
        <v>4536</v>
      </c>
    </row>
    <row r="4117" spans="1:13" x14ac:dyDescent="0.35">
      <c r="A4117">
        <f t="shared" si="11227"/>
        <v>4113</v>
      </c>
      <c r="B4117" s="9">
        <f t="shared" ref="B4117:B4118" si="11916">B4116+H4117+I4117+J4117</f>
        <v>19.149999999999988</v>
      </c>
      <c r="C4117" s="3" t="s">
        <v>4507</v>
      </c>
      <c r="D4117">
        <f t="shared" ref="D4117:D4118" si="11917">_xlfn.NUMBERVALUE(LEFT(C4117,2))</f>
        <v>29</v>
      </c>
      <c r="E4117">
        <f t="shared" ref="E4117:E4118" si="11918">_xlfn.NUMBERVALUE(MID(C4117,4,2))</f>
        <v>1</v>
      </c>
      <c r="F4117">
        <f t="shared" ref="F4117:F4118" si="11919">_xlfn.NUMBERVALUE(RIGHT(C4117,4))</f>
        <v>2025</v>
      </c>
      <c r="G4117" t="s">
        <v>1389</v>
      </c>
      <c r="H4117">
        <v>-10</v>
      </c>
      <c r="I4117">
        <v>2.64</v>
      </c>
      <c r="K4117" t="s">
        <v>9</v>
      </c>
      <c r="L4117" s="8">
        <f t="shared" si="11719"/>
        <v>-0.73599999999999999</v>
      </c>
      <c r="M4117" t="s">
        <v>4537</v>
      </c>
    </row>
    <row r="4118" spans="1:13" x14ac:dyDescent="0.35">
      <c r="A4118">
        <f t="shared" si="11227"/>
        <v>4114</v>
      </c>
      <c r="B4118" s="9">
        <f t="shared" si="11916"/>
        <v>14.149999999999988</v>
      </c>
      <c r="C4118" s="3" t="s">
        <v>4507</v>
      </c>
      <c r="D4118">
        <f t="shared" si="11917"/>
        <v>29</v>
      </c>
      <c r="E4118">
        <f t="shared" si="11918"/>
        <v>1</v>
      </c>
      <c r="F4118">
        <f t="shared" si="11919"/>
        <v>2025</v>
      </c>
      <c r="G4118" t="s">
        <v>7</v>
      </c>
      <c r="H4118">
        <v>-5</v>
      </c>
      <c r="K4118" t="s">
        <v>9</v>
      </c>
      <c r="L4118" s="8">
        <f t="shared" si="11719"/>
        <v>-1</v>
      </c>
      <c r="M4118" t="s">
        <v>4538</v>
      </c>
    </row>
    <row r="4119" spans="1:13" x14ac:dyDescent="0.35">
      <c r="A4119">
        <f t="shared" si="11227"/>
        <v>4115</v>
      </c>
      <c r="B4119" s="9">
        <f t="shared" ref="B4119:B4120" si="11920">B4118+H4119+I4119+J4119</f>
        <v>9.1499999999999879</v>
      </c>
      <c r="C4119" s="3" t="s">
        <v>4539</v>
      </c>
      <c r="D4119">
        <f t="shared" ref="D4119:D4120" si="11921">_xlfn.NUMBERVALUE(LEFT(C4119,2))</f>
        <v>30</v>
      </c>
      <c r="E4119">
        <f t="shared" ref="E4119:E4120" si="11922">_xlfn.NUMBERVALUE(MID(C4119,4,2))</f>
        <v>1</v>
      </c>
      <c r="F4119">
        <f t="shared" ref="F4119:F4120" si="11923">_xlfn.NUMBERVALUE(RIGHT(C4119,4))</f>
        <v>2025</v>
      </c>
      <c r="G4119" t="s">
        <v>7</v>
      </c>
      <c r="H4119">
        <v>-5</v>
      </c>
      <c r="K4119" t="s">
        <v>9</v>
      </c>
      <c r="L4119" s="8">
        <f t="shared" si="11719"/>
        <v>-1</v>
      </c>
      <c r="M4119" t="s">
        <v>4540</v>
      </c>
    </row>
    <row r="4120" spans="1:13" x14ac:dyDescent="0.35">
      <c r="A4120">
        <f t="shared" si="11227"/>
        <v>4116</v>
      </c>
      <c r="B4120" s="9">
        <f t="shared" si="11920"/>
        <v>9.1499999999999879</v>
      </c>
      <c r="C4120" s="3" t="s">
        <v>4539</v>
      </c>
      <c r="D4120">
        <f t="shared" si="11921"/>
        <v>30</v>
      </c>
      <c r="E4120">
        <f t="shared" si="11922"/>
        <v>1</v>
      </c>
      <c r="F4120">
        <f t="shared" si="11923"/>
        <v>2025</v>
      </c>
      <c r="G4120" t="s">
        <v>3039</v>
      </c>
      <c r="K4120" t="s">
        <v>9</v>
      </c>
      <c r="L4120" s="8">
        <f t="shared" ref="L4120:L4121" si="11924">IF(H4120="",0,(SUM(I4120:J4120)/-H4120)-1)</f>
        <v>0</v>
      </c>
      <c r="M4120" t="s">
        <v>4541</v>
      </c>
    </row>
    <row r="4121" spans="1:13" x14ac:dyDescent="0.35">
      <c r="A4121">
        <f t="shared" si="11227"/>
        <v>4117</v>
      </c>
      <c r="B4121" s="9">
        <f t="shared" ref="B4121:B4122" si="11925">B4120+H4121+I4121+J4121</f>
        <v>4.1499999999999879</v>
      </c>
      <c r="C4121" s="3" t="s">
        <v>4542</v>
      </c>
      <c r="D4121">
        <f t="shared" ref="D4121:D4122" si="11926">_xlfn.NUMBERVALUE(LEFT(C4121,2))</f>
        <v>31</v>
      </c>
      <c r="E4121">
        <f t="shared" ref="E4121:E4122" si="11927">_xlfn.NUMBERVALUE(MID(C4121,4,2))</f>
        <v>1</v>
      </c>
      <c r="F4121">
        <f t="shared" ref="F4121:F4122" si="11928">_xlfn.NUMBERVALUE(RIGHT(C4121,4))</f>
        <v>2025</v>
      </c>
      <c r="G4121" t="s">
        <v>7</v>
      </c>
      <c r="H4121">
        <v>-5</v>
      </c>
      <c r="K4121" t="s">
        <v>9</v>
      </c>
      <c r="L4121" s="8">
        <f t="shared" si="11924"/>
        <v>-1</v>
      </c>
      <c r="M4121" t="s">
        <v>4543</v>
      </c>
    </row>
    <row r="4122" spans="1:13" x14ac:dyDescent="0.35">
      <c r="A4122">
        <f t="shared" si="11227"/>
        <v>4118</v>
      </c>
      <c r="B4122" s="9">
        <f t="shared" si="11925"/>
        <v>4.1499999999999879</v>
      </c>
      <c r="C4122" s="3" t="s">
        <v>4542</v>
      </c>
      <c r="D4122">
        <f t="shared" si="11926"/>
        <v>31</v>
      </c>
      <c r="E4122">
        <f t="shared" si="11927"/>
        <v>1</v>
      </c>
      <c r="F4122">
        <f t="shared" si="11928"/>
        <v>2025</v>
      </c>
      <c r="G4122" t="s">
        <v>3039</v>
      </c>
      <c r="K4122" t="s">
        <v>9</v>
      </c>
      <c r="L4122" s="8">
        <f t="shared" ref="L4122:L4127" si="11929">IF(H4122="",0,(SUM(I4122:J4122)/-H4122)-1)</f>
        <v>0</v>
      </c>
      <c r="M4122" t="s">
        <v>4544</v>
      </c>
    </row>
    <row r="4123" spans="1:13" x14ac:dyDescent="0.35">
      <c r="A4123">
        <f t="shared" si="11227"/>
        <v>4119</v>
      </c>
      <c r="B4123" s="9">
        <f t="shared" ref="B4123:B4126" si="11930">B4122+H4123+I4123+J4123</f>
        <v>113.46</v>
      </c>
      <c r="C4123" s="3" t="s">
        <v>4546</v>
      </c>
      <c r="D4123">
        <f t="shared" ref="D4123:D4126" si="11931">_xlfn.NUMBERVALUE(LEFT(C4123,2))</f>
        <v>2</v>
      </c>
      <c r="E4123">
        <f t="shared" ref="E4123:E4126" si="11932">_xlfn.NUMBERVALUE(MID(C4123,4,2))</f>
        <v>2</v>
      </c>
      <c r="F4123">
        <f t="shared" ref="F4123:F4126" si="11933">_xlfn.NUMBERVALUE(RIGHT(C4123,4))</f>
        <v>2025</v>
      </c>
      <c r="G4123" t="s">
        <v>3362</v>
      </c>
      <c r="I4123">
        <v>109.31</v>
      </c>
      <c r="L4123" s="8"/>
    </row>
    <row r="4124" spans="1:13" x14ac:dyDescent="0.35">
      <c r="A4124">
        <f t="shared" si="11227"/>
        <v>4120</v>
      </c>
      <c r="B4124" s="9">
        <f t="shared" si="11930"/>
        <v>123.46</v>
      </c>
      <c r="C4124" s="3" t="s">
        <v>4546</v>
      </c>
      <c r="D4124">
        <f t="shared" si="11931"/>
        <v>2</v>
      </c>
      <c r="E4124">
        <f t="shared" si="11932"/>
        <v>2</v>
      </c>
      <c r="F4124">
        <f t="shared" si="11933"/>
        <v>2025</v>
      </c>
      <c r="G4124" t="s">
        <v>7</v>
      </c>
      <c r="H4124">
        <v>-5</v>
      </c>
      <c r="I4124">
        <v>15</v>
      </c>
      <c r="K4124" t="s">
        <v>10</v>
      </c>
      <c r="L4124" s="8">
        <f t="shared" si="11929"/>
        <v>2</v>
      </c>
      <c r="M4124" t="s">
        <v>4545</v>
      </c>
    </row>
    <row r="4125" spans="1:13" x14ac:dyDescent="0.35">
      <c r="A4125">
        <f t="shared" ref="A4125:A4129" si="11934">A4124+1</f>
        <v>4121</v>
      </c>
      <c r="B4125" s="9">
        <f t="shared" si="11930"/>
        <v>123.46</v>
      </c>
      <c r="C4125" s="3" t="s">
        <v>4546</v>
      </c>
      <c r="D4125">
        <f t="shared" si="11931"/>
        <v>2</v>
      </c>
      <c r="E4125">
        <f t="shared" si="11932"/>
        <v>2</v>
      </c>
      <c r="F4125">
        <f t="shared" si="11933"/>
        <v>2025</v>
      </c>
      <c r="G4125" t="s">
        <v>3039</v>
      </c>
      <c r="K4125" t="s">
        <v>10</v>
      </c>
      <c r="L4125" s="8">
        <f t="shared" si="11929"/>
        <v>0</v>
      </c>
      <c r="M4125" t="s">
        <v>4547</v>
      </c>
    </row>
    <row r="4126" spans="1:13" x14ac:dyDescent="0.35">
      <c r="A4126">
        <f t="shared" si="11227"/>
        <v>4122</v>
      </c>
      <c r="B4126" s="9">
        <f t="shared" si="11930"/>
        <v>113.46</v>
      </c>
      <c r="C4126" s="3" t="s">
        <v>4546</v>
      </c>
      <c r="D4126">
        <f t="shared" si="11931"/>
        <v>2</v>
      </c>
      <c r="E4126">
        <f t="shared" si="11932"/>
        <v>2</v>
      </c>
      <c r="F4126">
        <f t="shared" si="11933"/>
        <v>2025</v>
      </c>
      <c r="G4126" t="s">
        <v>1389</v>
      </c>
      <c r="H4126">
        <v>-10</v>
      </c>
      <c r="K4126" t="s">
        <v>9</v>
      </c>
      <c r="L4126" s="8">
        <f t="shared" si="11929"/>
        <v>-1</v>
      </c>
      <c r="M4126" t="s">
        <v>4548</v>
      </c>
    </row>
    <row r="4127" spans="1:13" x14ac:dyDescent="0.35">
      <c r="A4127">
        <f t="shared" si="11934"/>
        <v>4123</v>
      </c>
      <c r="B4127" s="9">
        <f t="shared" ref="B4127:B4130" si="11935">B4126+H4127+I4127+J4127</f>
        <v>113.46</v>
      </c>
      <c r="C4127" s="3" t="s">
        <v>4546</v>
      </c>
      <c r="D4127">
        <f t="shared" ref="D4127:D4130" si="11936">_xlfn.NUMBERVALUE(LEFT(C4127,2))</f>
        <v>2</v>
      </c>
      <c r="E4127">
        <f t="shared" ref="E4127:E4130" si="11937">_xlfn.NUMBERVALUE(MID(C4127,4,2))</f>
        <v>2</v>
      </c>
      <c r="F4127">
        <f t="shared" ref="F4127:F4130" si="11938">_xlfn.NUMBERVALUE(RIGHT(C4127,4))</f>
        <v>2025</v>
      </c>
      <c r="G4127" t="s">
        <v>2969</v>
      </c>
      <c r="K4127" t="s">
        <v>9</v>
      </c>
      <c r="L4127" s="8">
        <f t="shared" si="11929"/>
        <v>0</v>
      </c>
      <c r="M4127" t="s">
        <v>4549</v>
      </c>
    </row>
    <row r="4128" spans="1:13" x14ac:dyDescent="0.35">
      <c r="A4128">
        <f t="shared" si="11227"/>
        <v>4124</v>
      </c>
      <c r="B4128" s="9">
        <f t="shared" si="11935"/>
        <v>108.46</v>
      </c>
      <c r="C4128" s="3" t="s">
        <v>4552</v>
      </c>
      <c r="D4128">
        <f t="shared" si="11936"/>
        <v>3</v>
      </c>
      <c r="E4128">
        <f t="shared" si="11937"/>
        <v>2</v>
      </c>
      <c r="F4128">
        <f t="shared" si="11938"/>
        <v>2025</v>
      </c>
      <c r="G4128" t="s">
        <v>7</v>
      </c>
      <c r="H4128">
        <v>-5</v>
      </c>
      <c r="K4128" t="s">
        <v>9</v>
      </c>
      <c r="L4128" s="8">
        <f t="shared" ref="L4128:L4178" si="11939">IF(H4128="",0,(SUM(I4128:J4128)/-H4128)-1)</f>
        <v>-1</v>
      </c>
      <c r="M4128" t="s">
        <v>4550</v>
      </c>
    </row>
    <row r="4129" spans="1:13" x14ac:dyDescent="0.35">
      <c r="A4129">
        <f t="shared" si="11934"/>
        <v>4125</v>
      </c>
      <c r="B4129" s="9">
        <f t="shared" si="11935"/>
        <v>108.46</v>
      </c>
      <c r="C4129" s="3" t="s">
        <v>4552</v>
      </c>
      <c r="D4129">
        <f t="shared" si="11936"/>
        <v>3</v>
      </c>
      <c r="E4129">
        <f t="shared" si="11937"/>
        <v>2</v>
      </c>
      <c r="F4129">
        <f t="shared" si="11938"/>
        <v>2025</v>
      </c>
      <c r="G4129" t="s">
        <v>3039</v>
      </c>
      <c r="K4129" t="s">
        <v>10</v>
      </c>
      <c r="L4129" s="8">
        <f t="shared" si="11939"/>
        <v>0</v>
      </c>
      <c r="M4129" t="s">
        <v>4551</v>
      </c>
    </row>
    <row r="4130" spans="1:13" x14ac:dyDescent="0.35">
      <c r="A4130">
        <f t="shared" si="11227"/>
        <v>4126</v>
      </c>
      <c r="B4130" s="9">
        <f t="shared" si="11935"/>
        <v>107.33</v>
      </c>
      <c r="C4130" s="3" t="s">
        <v>4552</v>
      </c>
      <c r="D4130">
        <f t="shared" si="11936"/>
        <v>3</v>
      </c>
      <c r="E4130">
        <f t="shared" si="11937"/>
        <v>2</v>
      </c>
      <c r="F4130">
        <f t="shared" si="11938"/>
        <v>2025</v>
      </c>
      <c r="G4130" t="s">
        <v>1389</v>
      </c>
      <c r="H4130">
        <v>-10</v>
      </c>
      <c r="I4130">
        <v>8.8699999999999992</v>
      </c>
      <c r="K4130" t="s">
        <v>9</v>
      </c>
      <c r="L4130" s="8">
        <f t="shared" si="11939"/>
        <v>-0.1130000000000001</v>
      </c>
      <c r="M4130" t="s">
        <v>4553</v>
      </c>
    </row>
    <row r="4131" spans="1:13" x14ac:dyDescent="0.35">
      <c r="A4131">
        <f t="shared" ref="A4131:A4232" si="11940">A4130+1</f>
        <v>4127</v>
      </c>
      <c r="B4131" s="9">
        <f t="shared" ref="B4131" si="11941">B4130+H4131+I4131+J4131</f>
        <v>110.4</v>
      </c>
      <c r="C4131" s="3" t="s">
        <v>4552</v>
      </c>
      <c r="D4131">
        <f t="shared" ref="D4131" si="11942">_xlfn.NUMBERVALUE(LEFT(C4131,2))</f>
        <v>3</v>
      </c>
      <c r="E4131">
        <f t="shared" ref="E4131" si="11943">_xlfn.NUMBERVALUE(MID(C4131,4,2))</f>
        <v>2</v>
      </c>
      <c r="F4131">
        <f t="shared" ref="F4131" si="11944">_xlfn.NUMBERVALUE(RIGHT(C4131,4))</f>
        <v>2025</v>
      </c>
      <c r="G4131" t="s">
        <v>1389</v>
      </c>
      <c r="H4131">
        <v>-10</v>
      </c>
      <c r="I4131">
        <v>13.07</v>
      </c>
      <c r="K4131" t="s">
        <v>10</v>
      </c>
      <c r="L4131" s="8">
        <f t="shared" si="11939"/>
        <v>0.30699999999999994</v>
      </c>
      <c r="M4131" t="s">
        <v>4554</v>
      </c>
    </row>
    <row r="4132" spans="1:13" x14ac:dyDescent="0.35">
      <c r="A4132">
        <f t="shared" si="11940"/>
        <v>4128</v>
      </c>
      <c r="B4132" s="9">
        <f t="shared" ref="B4132:B4133" si="11945">B4131+H4132+I4132+J4132</f>
        <v>112.4</v>
      </c>
      <c r="C4132" s="3" t="s">
        <v>4552</v>
      </c>
      <c r="D4132">
        <f t="shared" ref="D4132:D4133" si="11946">_xlfn.NUMBERVALUE(LEFT(C4132,2))</f>
        <v>3</v>
      </c>
      <c r="E4132">
        <f t="shared" ref="E4132:E4133" si="11947">_xlfn.NUMBERVALUE(MID(C4132,4,2))</f>
        <v>2</v>
      </c>
      <c r="F4132">
        <f t="shared" ref="F4132:F4133" si="11948">_xlfn.NUMBERVALUE(RIGHT(C4132,4))</f>
        <v>2025</v>
      </c>
      <c r="G4132" t="s">
        <v>4209</v>
      </c>
      <c r="I4132">
        <v>2</v>
      </c>
      <c r="K4132" t="s">
        <v>10</v>
      </c>
    </row>
    <row r="4133" spans="1:13" x14ac:dyDescent="0.35">
      <c r="A4133">
        <f t="shared" si="11940"/>
        <v>4129</v>
      </c>
      <c r="B4133" s="9">
        <f t="shared" si="11945"/>
        <v>106.61</v>
      </c>
      <c r="C4133" s="3" t="s">
        <v>4552</v>
      </c>
      <c r="D4133">
        <f t="shared" si="11946"/>
        <v>3</v>
      </c>
      <c r="E4133">
        <f t="shared" si="11947"/>
        <v>2</v>
      </c>
      <c r="F4133">
        <f t="shared" si="11948"/>
        <v>2025</v>
      </c>
      <c r="G4133" t="s">
        <v>1389</v>
      </c>
      <c r="H4133">
        <v>-10</v>
      </c>
      <c r="I4133">
        <v>4.21</v>
      </c>
      <c r="K4133" t="s">
        <v>9</v>
      </c>
      <c r="L4133" s="8">
        <f t="shared" si="11939"/>
        <v>-0.57899999999999996</v>
      </c>
      <c r="M4133" t="s">
        <v>4555</v>
      </c>
    </row>
    <row r="4134" spans="1:13" x14ac:dyDescent="0.35">
      <c r="A4134">
        <f t="shared" si="11940"/>
        <v>4130</v>
      </c>
      <c r="B4134" s="9">
        <f t="shared" ref="B4134" si="11949">B4133+H4134+I4134+J4134</f>
        <v>109.47</v>
      </c>
      <c r="C4134" s="3" t="s">
        <v>4552</v>
      </c>
      <c r="D4134">
        <f t="shared" ref="D4134" si="11950">_xlfn.NUMBERVALUE(LEFT(C4134,2))</f>
        <v>3</v>
      </c>
      <c r="E4134">
        <f t="shared" ref="E4134" si="11951">_xlfn.NUMBERVALUE(MID(C4134,4,2))</f>
        <v>2</v>
      </c>
      <c r="F4134">
        <f t="shared" ref="F4134" si="11952">_xlfn.NUMBERVALUE(RIGHT(C4134,4))</f>
        <v>2025</v>
      </c>
      <c r="G4134" t="s">
        <v>1389</v>
      </c>
      <c r="H4134">
        <v>-10</v>
      </c>
      <c r="I4134">
        <v>12.86</v>
      </c>
      <c r="K4134" t="s">
        <v>10</v>
      </c>
      <c r="L4134" s="8">
        <f t="shared" si="11939"/>
        <v>0.28600000000000003</v>
      </c>
      <c r="M4134" t="s">
        <v>4556</v>
      </c>
    </row>
    <row r="4135" spans="1:13" x14ac:dyDescent="0.35">
      <c r="A4135">
        <f t="shared" si="11940"/>
        <v>4131</v>
      </c>
      <c r="B4135" s="9">
        <f t="shared" ref="B4135" si="11953">B4134+H4135+I4135+J4135</f>
        <v>99.47</v>
      </c>
      <c r="C4135" s="3" t="s">
        <v>4552</v>
      </c>
      <c r="D4135">
        <f t="shared" ref="D4135" si="11954">_xlfn.NUMBERVALUE(LEFT(C4135,2))</f>
        <v>3</v>
      </c>
      <c r="E4135">
        <f t="shared" ref="E4135" si="11955">_xlfn.NUMBERVALUE(MID(C4135,4,2))</f>
        <v>2</v>
      </c>
      <c r="F4135">
        <f t="shared" ref="F4135" si="11956">_xlfn.NUMBERVALUE(RIGHT(C4135,4))</f>
        <v>2025</v>
      </c>
      <c r="G4135" t="s">
        <v>1389</v>
      </c>
      <c r="H4135">
        <v>-10</v>
      </c>
      <c r="K4135" t="s">
        <v>9</v>
      </c>
      <c r="L4135" s="8">
        <f t="shared" si="11939"/>
        <v>-1</v>
      </c>
      <c r="M4135" t="s">
        <v>4557</v>
      </c>
    </row>
    <row r="4136" spans="1:13" x14ac:dyDescent="0.35">
      <c r="A4136">
        <f t="shared" si="11940"/>
        <v>4132</v>
      </c>
      <c r="B4136" s="9">
        <f t="shared" ref="B4136" si="11957">B4135+H4136+I4136+J4136</f>
        <v>103.52</v>
      </c>
      <c r="C4136" s="3" t="s">
        <v>4552</v>
      </c>
      <c r="D4136">
        <f t="shared" ref="D4136" si="11958">_xlfn.NUMBERVALUE(LEFT(C4136,2))</f>
        <v>3</v>
      </c>
      <c r="E4136">
        <f t="shared" ref="E4136" si="11959">_xlfn.NUMBERVALUE(MID(C4136,4,2))</f>
        <v>2</v>
      </c>
      <c r="F4136">
        <f t="shared" ref="F4136" si="11960">_xlfn.NUMBERVALUE(RIGHT(C4136,4))</f>
        <v>2025</v>
      </c>
      <c r="G4136" t="s">
        <v>1389</v>
      </c>
      <c r="H4136">
        <v>-10</v>
      </c>
      <c r="I4136">
        <v>14.05</v>
      </c>
      <c r="K4136" t="s">
        <v>10</v>
      </c>
      <c r="L4136" s="8">
        <f t="shared" si="11939"/>
        <v>0.40500000000000003</v>
      </c>
      <c r="M4136" t="s">
        <v>4558</v>
      </c>
    </row>
    <row r="4137" spans="1:13" x14ac:dyDescent="0.35">
      <c r="A4137">
        <f t="shared" si="11940"/>
        <v>4133</v>
      </c>
      <c r="B4137" s="9">
        <f t="shared" ref="B4137" si="11961">B4136+H4137+I4137+J4137</f>
        <v>97.39</v>
      </c>
      <c r="C4137" s="3" t="s">
        <v>4552</v>
      </c>
      <c r="D4137">
        <f t="shared" ref="D4137" si="11962">_xlfn.NUMBERVALUE(LEFT(C4137,2))</f>
        <v>3</v>
      </c>
      <c r="E4137">
        <f t="shared" ref="E4137" si="11963">_xlfn.NUMBERVALUE(MID(C4137,4,2))</f>
        <v>2</v>
      </c>
      <c r="F4137">
        <f t="shared" ref="F4137" si="11964">_xlfn.NUMBERVALUE(RIGHT(C4137,4))</f>
        <v>2025</v>
      </c>
      <c r="G4137" t="s">
        <v>1389</v>
      </c>
      <c r="H4137">
        <v>-10</v>
      </c>
      <c r="I4137">
        <v>3.87</v>
      </c>
      <c r="K4137" t="s">
        <v>9</v>
      </c>
      <c r="L4137" s="8">
        <f t="shared" si="11939"/>
        <v>-0.61299999999999999</v>
      </c>
      <c r="M4137" t="s">
        <v>4559</v>
      </c>
    </row>
    <row r="4138" spans="1:13" x14ac:dyDescent="0.35">
      <c r="A4138">
        <f t="shared" si="11940"/>
        <v>4134</v>
      </c>
      <c r="B4138" s="9">
        <f t="shared" ref="B4138" si="11965">B4137+H4138+I4138+J4138</f>
        <v>100.77</v>
      </c>
      <c r="C4138" s="3" t="s">
        <v>4552</v>
      </c>
      <c r="D4138">
        <f t="shared" ref="D4138" si="11966">_xlfn.NUMBERVALUE(LEFT(C4138,2))</f>
        <v>3</v>
      </c>
      <c r="E4138">
        <f t="shared" ref="E4138" si="11967">_xlfn.NUMBERVALUE(MID(C4138,4,2))</f>
        <v>2</v>
      </c>
      <c r="F4138">
        <f t="shared" ref="F4138" si="11968">_xlfn.NUMBERVALUE(RIGHT(C4138,4))</f>
        <v>2025</v>
      </c>
      <c r="G4138" t="s">
        <v>1389</v>
      </c>
      <c r="H4138">
        <v>-10</v>
      </c>
      <c r="I4138">
        <v>13.38</v>
      </c>
      <c r="K4138" t="s">
        <v>10</v>
      </c>
      <c r="L4138" s="8">
        <f t="shared" si="11939"/>
        <v>0.33800000000000008</v>
      </c>
      <c r="M4138" t="s">
        <v>4560</v>
      </c>
    </row>
    <row r="4139" spans="1:13" x14ac:dyDescent="0.35">
      <c r="A4139">
        <f t="shared" si="11940"/>
        <v>4135</v>
      </c>
      <c r="B4139" s="9">
        <f t="shared" ref="B4139" si="11969">B4138+H4139+I4139+J4139</f>
        <v>94.67</v>
      </c>
      <c r="C4139" s="3" t="s">
        <v>4552</v>
      </c>
      <c r="D4139">
        <f t="shared" ref="D4139" si="11970">_xlfn.NUMBERVALUE(LEFT(C4139,2))</f>
        <v>3</v>
      </c>
      <c r="E4139">
        <f t="shared" ref="E4139" si="11971">_xlfn.NUMBERVALUE(MID(C4139,4,2))</f>
        <v>2</v>
      </c>
      <c r="F4139">
        <f t="shared" ref="F4139" si="11972">_xlfn.NUMBERVALUE(RIGHT(C4139,4))</f>
        <v>2025</v>
      </c>
      <c r="G4139" t="s">
        <v>1389</v>
      </c>
      <c r="H4139">
        <v>-10</v>
      </c>
      <c r="I4139">
        <v>3.9</v>
      </c>
      <c r="K4139" t="s">
        <v>9</v>
      </c>
      <c r="L4139" s="8">
        <f t="shared" si="11939"/>
        <v>-0.61</v>
      </c>
      <c r="M4139" t="s">
        <v>4561</v>
      </c>
    </row>
    <row r="4140" spans="1:13" x14ac:dyDescent="0.35">
      <c r="A4140">
        <f t="shared" si="11940"/>
        <v>4136</v>
      </c>
      <c r="B4140" s="9">
        <f t="shared" ref="B4140:B4142" si="11973">B4139+H4140+I4140+J4140</f>
        <v>89.13</v>
      </c>
      <c r="C4140" s="3" t="s">
        <v>4552</v>
      </c>
      <c r="D4140">
        <f t="shared" ref="D4140:D4142" si="11974">_xlfn.NUMBERVALUE(LEFT(C4140,2))</f>
        <v>3</v>
      </c>
      <c r="E4140">
        <f t="shared" ref="E4140:E4142" si="11975">_xlfn.NUMBERVALUE(MID(C4140,4,2))</f>
        <v>2</v>
      </c>
      <c r="F4140">
        <f t="shared" ref="F4140:F4142" si="11976">_xlfn.NUMBERVALUE(RIGHT(C4140,4))</f>
        <v>2025</v>
      </c>
      <c r="G4140" t="s">
        <v>1389</v>
      </c>
      <c r="H4140">
        <v>-10</v>
      </c>
      <c r="I4140">
        <v>4.46</v>
      </c>
      <c r="K4140" t="s">
        <v>9</v>
      </c>
      <c r="L4140" s="8">
        <f t="shared" si="11939"/>
        <v>-0.55400000000000005</v>
      </c>
      <c r="M4140" t="s">
        <v>4562</v>
      </c>
    </row>
    <row r="4141" spans="1:13" x14ac:dyDescent="0.35">
      <c r="A4141">
        <f t="shared" si="11940"/>
        <v>4137</v>
      </c>
      <c r="B4141" s="9">
        <f t="shared" si="11973"/>
        <v>94.13</v>
      </c>
      <c r="C4141" s="3" t="s">
        <v>4563</v>
      </c>
      <c r="D4141">
        <f t="shared" si="11974"/>
        <v>4</v>
      </c>
      <c r="E4141">
        <f t="shared" si="11975"/>
        <v>2</v>
      </c>
      <c r="F4141">
        <f t="shared" si="11976"/>
        <v>2025</v>
      </c>
      <c r="G4141" t="s">
        <v>7</v>
      </c>
      <c r="H4141">
        <v>-5</v>
      </c>
      <c r="I4141">
        <v>10</v>
      </c>
      <c r="K4141" t="s">
        <v>10</v>
      </c>
      <c r="L4141" s="8">
        <f t="shared" si="11939"/>
        <v>1</v>
      </c>
      <c r="M4141" t="s">
        <v>4564</v>
      </c>
    </row>
    <row r="4142" spans="1:13" x14ac:dyDescent="0.35">
      <c r="A4142">
        <f t="shared" si="11940"/>
        <v>4138</v>
      </c>
      <c r="B4142" s="9">
        <f t="shared" si="11973"/>
        <v>94.13</v>
      </c>
      <c r="C4142" s="3" t="s">
        <v>4563</v>
      </c>
      <c r="D4142">
        <f t="shared" si="11974"/>
        <v>4</v>
      </c>
      <c r="E4142">
        <f t="shared" si="11975"/>
        <v>2</v>
      </c>
      <c r="F4142">
        <f t="shared" si="11976"/>
        <v>2025</v>
      </c>
      <c r="G4142" t="s">
        <v>3039</v>
      </c>
      <c r="K4142" t="s">
        <v>9</v>
      </c>
      <c r="L4142" s="8">
        <f t="shared" si="11939"/>
        <v>0</v>
      </c>
      <c r="M4142" t="s">
        <v>4565</v>
      </c>
    </row>
    <row r="4143" spans="1:13" x14ac:dyDescent="0.35">
      <c r="A4143">
        <f t="shared" si="11940"/>
        <v>4139</v>
      </c>
      <c r="B4143" s="9">
        <f t="shared" ref="B4143:B4144" si="11977">B4142+H4143+I4143+J4143</f>
        <v>94.13</v>
      </c>
      <c r="C4143" s="3" t="s">
        <v>4563</v>
      </c>
      <c r="D4143">
        <f t="shared" ref="D4143:D4144" si="11978">_xlfn.NUMBERVALUE(LEFT(C4143,2))</f>
        <v>4</v>
      </c>
      <c r="E4143">
        <f t="shared" ref="E4143:E4144" si="11979">_xlfn.NUMBERVALUE(MID(C4143,4,2))</f>
        <v>2</v>
      </c>
      <c r="F4143">
        <f t="shared" ref="F4143:F4144" si="11980">_xlfn.NUMBERVALUE(RIGHT(C4143,4))</f>
        <v>2025</v>
      </c>
      <c r="G4143" t="s">
        <v>2969</v>
      </c>
      <c r="K4143" t="s">
        <v>10</v>
      </c>
      <c r="L4143" s="8">
        <f t="shared" si="11939"/>
        <v>0</v>
      </c>
      <c r="M4143" t="s">
        <v>4566</v>
      </c>
    </row>
    <row r="4144" spans="1:13" x14ac:dyDescent="0.35">
      <c r="A4144">
        <f t="shared" si="11940"/>
        <v>4140</v>
      </c>
      <c r="B4144" s="9">
        <f t="shared" si="11977"/>
        <v>104.13</v>
      </c>
      <c r="C4144" s="3" t="s">
        <v>4563</v>
      </c>
      <c r="D4144">
        <f t="shared" si="11978"/>
        <v>4</v>
      </c>
      <c r="E4144">
        <f t="shared" si="11979"/>
        <v>2</v>
      </c>
      <c r="F4144">
        <f t="shared" si="11980"/>
        <v>2025</v>
      </c>
      <c r="G4144" t="s">
        <v>7</v>
      </c>
      <c r="H4144">
        <v>-5</v>
      </c>
      <c r="I4144">
        <v>15</v>
      </c>
      <c r="K4144" t="s">
        <v>10</v>
      </c>
      <c r="L4144" s="8">
        <f t="shared" si="11939"/>
        <v>2</v>
      </c>
      <c r="M4144" t="s">
        <v>4567</v>
      </c>
    </row>
    <row r="4145" spans="1:13" x14ac:dyDescent="0.35">
      <c r="A4145">
        <f t="shared" si="11940"/>
        <v>4141</v>
      </c>
      <c r="B4145" s="9">
        <f t="shared" ref="B4145:B4146" si="11981">B4144+H4145+I4145+J4145</f>
        <v>99.13</v>
      </c>
      <c r="C4145" s="3" t="s">
        <v>4563</v>
      </c>
      <c r="D4145">
        <f t="shared" ref="D4145:D4146" si="11982">_xlfn.NUMBERVALUE(LEFT(C4145,2))</f>
        <v>4</v>
      </c>
      <c r="E4145">
        <f t="shared" ref="E4145:E4146" si="11983">_xlfn.NUMBERVALUE(MID(C4145,4,2))</f>
        <v>2</v>
      </c>
      <c r="F4145">
        <f t="shared" ref="F4145:F4146" si="11984">_xlfn.NUMBERVALUE(RIGHT(C4145,4))</f>
        <v>2025</v>
      </c>
      <c r="G4145" t="s">
        <v>7</v>
      </c>
      <c r="H4145">
        <v>-5</v>
      </c>
      <c r="K4145" t="s">
        <v>9</v>
      </c>
      <c r="L4145" s="8">
        <f t="shared" si="11939"/>
        <v>-1</v>
      </c>
      <c r="M4145" t="s">
        <v>4568</v>
      </c>
    </row>
    <row r="4146" spans="1:13" x14ac:dyDescent="0.35">
      <c r="A4146">
        <f t="shared" si="11940"/>
        <v>4142</v>
      </c>
      <c r="B4146" s="9">
        <f t="shared" si="11981"/>
        <v>101.14</v>
      </c>
      <c r="C4146" s="3" t="s">
        <v>4563</v>
      </c>
      <c r="D4146">
        <f t="shared" si="11982"/>
        <v>4</v>
      </c>
      <c r="E4146">
        <f t="shared" si="11983"/>
        <v>2</v>
      </c>
      <c r="F4146">
        <f t="shared" si="11984"/>
        <v>2025</v>
      </c>
      <c r="G4146" t="s">
        <v>1389</v>
      </c>
      <c r="H4146">
        <v>-10</v>
      </c>
      <c r="I4146">
        <v>12.01</v>
      </c>
      <c r="K4146" t="s">
        <v>10</v>
      </c>
      <c r="L4146" s="8">
        <f t="shared" si="11939"/>
        <v>0.20100000000000007</v>
      </c>
      <c r="M4146" t="s">
        <v>4569</v>
      </c>
    </row>
    <row r="4147" spans="1:13" x14ac:dyDescent="0.35">
      <c r="A4147">
        <f t="shared" si="11940"/>
        <v>4143</v>
      </c>
      <c r="B4147" s="9">
        <f t="shared" ref="B4147" si="11985">B4146+H4147+I4147+J4147</f>
        <v>104.79</v>
      </c>
      <c r="C4147" s="3" t="s">
        <v>4563</v>
      </c>
      <c r="D4147">
        <f t="shared" ref="D4147" si="11986">_xlfn.NUMBERVALUE(LEFT(C4147,2))</f>
        <v>4</v>
      </c>
      <c r="E4147">
        <f t="shared" ref="E4147" si="11987">_xlfn.NUMBERVALUE(MID(C4147,4,2))</f>
        <v>2</v>
      </c>
      <c r="F4147">
        <f t="shared" ref="F4147" si="11988">_xlfn.NUMBERVALUE(RIGHT(C4147,4))</f>
        <v>2025</v>
      </c>
      <c r="G4147" t="s">
        <v>1389</v>
      </c>
      <c r="H4147">
        <v>-10</v>
      </c>
      <c r="I4147">
        <v>13.65</v>
      </c>
      <c r="K4147" t="s">
        <v>10</v>
      </c>
      <c r="L4147" s="8">
        <f t="shared" si="11939"/>
        <v>0.36499999999999999</v>
      </c>
      <c r="M4147" t="s">
        <v>4570</v>
      </c>
    </row>
    <row r="4148" spans="1:13" x14ac:dyDescent="0.35">
      <c r="A4148">
        <f t="shared" si="11940"/>
        <v>4144</v>
      </c>
      <c r="B4148" s="9">
        <f t="shared" ref="B4148" si="11989">B4147+H4148+I4148+J4148</f>
        <v>107.30000000000001</v>
      </c>
      <c r="C4148" s="3" t="s">
        <v>4563</v>
      </c>
      <c r="D4148">
        <f t="shared" ref="D4148" si="11990">_xlfn.NUMBERVALUE(LEFT(C4148,2))</f>
        <v>4</v>
      </c>
      <c r="E4148">
        <f t="shared" ref="E4148" si="11991">_xlfn.NUMBERVALUE(MID(C4148,4,2))</f>
        <v>2</v>
      </c>
      <c r="F4148">
        <f t="shared" ref="F4148" si="11992">_xlfn.NUMBERVALUE(RIGHT(C4148,4))</f>
        <v>2025</v>
      </c>
      <c r="G4148" t="s">
        <v>1389</v>
      </c>
      <c r="H4148">
        <v>-10</v>
      </c>
      <c r="I4148">
        <v>12.51</v>
      </c>
      <c r="K4148" t="s">
        <v>10</v>
      </c>
      <c r="L4148" s="8">
        <f t="shared" si="11939"/>
        <v>0.25099999999999989</v>
      </c>
      <c r="M4148" t="s">
        <v>4571</v>
      </c>
    </row>
    <row r="4149" spans="1:13" x14ac:dyDescent="0.35">
      <c r="A4149">
        <f t="shared" si="11940"/>
        <v>4145</v>
      </c>
      <c r="B4149" s="9">
        <f t="shared" ref="B4149" si="11993">B4148+H4149+I4149+J4149</f>
        <v>108.01000000000002</v>
      </c>
      <c r="C4149" s="3" t="s">
        <v>4563</v>
      </c>
      <c r="D4149">
        <f t="shared" ref="D4149" si="11994">_xlfn.NUMBERVALUE(LEFT(C4149,2))</f>
        <v>4</v>
      </c>
      <c r="E4149">
        <f t="shared" ref="E4149" si="11995">_xlfn.NUMBERVALUE(MID(C4149,4,2))</f>
        <v>2</v>
      </c>
      <c r="F4149">
        <f t="shared" ref="F4149" si="11996">_xlfn.NUMBERVALUE(RIGHT(C4149,4))</f>
        <v>2025</v>
      </c>
      <c r="G4149" t="s">
        <v>1389</v>
      </c>
      <c r="H4149">
        <v>-10</v>
      </c>
      <c r="I4149">
        <v>10.71</v>
      </c>
      <c r="K4149" t="s">
        <v>10</v>
      </c>
      <c r="L4149" s="8">
        <f t="shared" si="11939"/>
        <v>7.1000000000000174E-2</v>
      </c>
      <c r="M4149" t="s">
        <v>4572</v>
      </c>
    </row>
    <row r="4150" spans="1:13" x14ac:dyDescent="0.35">
      <c r="A4150">
        <f t="shared" si="11940"/>
        <v>4146</v>
      </c>
      <c r="B4150" s="9">
        <f t="shared" ref="B4150:B4153" si="11997">B4149+H4150+I4150+J4150</f>
        <v>109.01000000000002</v>
      </c>
      <c r="C4150" s="3" t="s">
        <v>4563</v>
      </c>
      <c r="D4150">
        <f t="shared" ref="D4150:D4153" si="11998">_xlfn.NUMBERVALUE(LEFT(C4150,2))</f>
        <v>4</v>
      </c>
      <c r="E4150">
        <f t="shared" ref="E4150:E4153" si="11999">_xlfn.NUMBERVALUE(MID(C4150,4,2))</f>
        <v>2</v>
      </c>
      <c r="F4150">
        <f t="shared" ref="F4150:F4153" si="12000">_xlfn.NUMBERVALUE(RIGHT(C4150,4))</f>
        <v>2025</v>
      </c>
      <c r="G4150" t="s">
        <v>4209</v>
      </c>
      <c r="I4150">
        <v>1</v>
      </c>
      <c r="K4150" t="s">
        <v>10</v>
      </c>
    </row>
    <row r="4151" spans="1:13" x14ac:dyDescent="0.35">
      <c r="A4151">
        <f t="shared" si="11940"/>
        <v>4147</v>
      </c>
      <c r="B4151" s="9">
        <f t="shared" si="11997"/>
        <v>109.01000000000002</v>
      </c>
      <c r="C4151" s="3" t="s">
        <v>4563</v>
      </c>
      <c r="D4151">
        <f t="shared" si="11998"/>
        <v>4</v>
      </c>
      <c r="E4151">
        <f t="shared" si="11999"/>
        <v>2</v>
      </c>
      <c r="F4151">
        <f t="shared" si="12000"/>
        <v>2025</v>
      </c>
      <c r="G4151" t="s">
        <v>3040</v>
      </c>
      <c r="K4151" t="s">
        <v>10</v>
      </c>
      <c r="L4151" s="8">
        <f t="shared" si="11939"/>
        <v>0</v>
      </c>
      <c r="M4151" t="s">
        <v>4573</v>
      </c>
    </row>
    <row r="4152" spans="1:13" x14ac:dyDescent="0.35">
      <c r="A4152">
        <f t="shared" si="11940"/>
        <v>4148</v>
      </c>
      <c r="B4152" s="9">
        <f t="shared" si="11997"/>
        <v>109.01000000000002</v>
      </c>
      <c r="C4152" s="3" t="s">
        <v>4563</v>
      </c>
      <c r="D4152">
        <f t="shared" si="11998"/>
        <v>4</v>
      </c>
      <c r="E4152">
        <f t="shared" si="11999"/>
        <v>2</v>
      </c>
      <c r="F4152">
        <f t="shared" si="12000"/>
        <v>2025</v>
      </c>
      <c r="G4152" t="s">
        <v>3039</v>
      </c>
      <c r="K4152" t="s">
        <v>9</v>
      </c>
      <c r="L4152" s="8">
        <f t="shared" si="11939"/>
        <v>0</v>
      </c>
      <c r="M4152" t="s">
        <v>4574</v>
      </c>
    </row>
    <row r="4153" spans="1:13" x14ac:dyDescent="0.35">
      <c r="A4153">
        <f t="shared" si="11940"/>
        <v>4149</v>
      </c>
      <c r="B4153" s="9">
        <f t="shared" si="11997"/>
        <v>109.14000000000001</v>
      </c>
      <c r="C4153" s="3" t="s">
        <v>4563</v>
      </c>
      <c r="D4153">
        <f t="shared" si="11998"/>
        <v>4</v>
      </c>
      <c r="E4153">
        <f t="shared" si="11999"/>
        <v>2</v>
      </c>
      <c r="F4153">
        <f t="shared" si="12000"/>
        <v>2025</v>
      </c>
      <c r="G4153" t="s">
        <v>1389</v>
      </c>
      <c r="H4153">
        <v>-10</v>
      </c>
      <c r="I4153">
        <v>10.130000000000001</v>
      </c>
      <c r="K4153" t="s">
        <v>10</v>
      </c>
      <c r="L4153" s="8">
        <f t="shared" si="11939"/>
        <v>1.3000000000000123E-2</v>
      </c>
      <c r="M4153" t="s">
        <v>4575</v>
      </c>
    </row>
    <row r="4154" spans="1:13" x14ac:dyDescent="0.35">
      <c r="A4154">
        <f t="shared" si="11940"/>
        <v>4150</v>
      </c>
      <c r="B4154" s="9">
        <f t="shared" ref="B4154:B4155" si="12001">B4153+H4154+I4154+J4154</f>
        <v>109.14000000000001</v>
      </c>
      <c r="C4154" s="3" t="s">
        <v>4563</v>
      </c>
      <c r="D4154">
        <f t="shared" ref="D4154:D4155" si="12002">_xlfn.NUMBERVALUE(LEFT(C4154,2))</f>
        <v>4</v>
      </c>
      <c r="E4154">
        <f t="shared" ref="E4154:E4155" si="12003">_xlfn.NUMBERVALUE(MID(C4154,4,2))</f>
        <v>2</v>
      </c>
      <c r="F4154">
        <f t="shared" ref="F4154:F4155" si="12004">_xlfn.NUMBERVALUE(RIGHT(C4154,4))</f>
        <v>2025</v>
      </c>
      <c r="G4154" t="s">
        <v>3815</v>
      </c>
      <c r="K4154" t="s">
        <v>9</v>
      </c>
      <c r="L4154" s="8">
        <f t="shared" si="11939"/>
        <v>0</v>
      </c>
      <c r="M4154" t="s">
        <v>4576</v>
      </c>
    </row>
    <row r="4155" spans="1:13" x14ac:dyDescent="0.35">
      <c r="A4155">
        <f t="shared" si="11940"/>
        <v>4151</v>
      </c>
      <c r="B4155" s="9">
        <f t="shared" si="12001"/>
        <v>108.64000000000001</v>
      </c>
      <c r="C4155" s="3" t="s">
        <v>4577</v>
      </c>
      <c r="D4155">
        <f t="shared" si="12002"/>
        <v>5</v>
      </c>
      <c r="E4155">
        <f t="shared" si="12003"/>
        <v>2</v>
      </c>
      <c r="F4155">
        <f t="shared" si="12004"/>
        <v>2025</v>
      </c>
      <c r="G4155" t="s">
        <v>3039</v>
      </c>
      <c r="H4155">
        <v>-0.5</v>
      </c>
      <c r="K4155" t="s">
        <v>10</v>
      </c>
      <c r="L4155" s="8">
        <f t="shared" si="11939"/>
        <v>-1</v>
      </c>
      <c r="M4155" t="s">
        <v>4578</v>
      </c>
    </row>
    <row r="4156" spans="1:13" x14ac:dyDescent="0.35">
      <c r="A4156">
        <f t="shared" si="11940"/>
        <v>4152</v>
      </c>
      <c r="B4156" s="9">
        <f t="shared" ref="B4156" si="12005">B4155+H4156+I4156+J4156</f>
        <v>108.64000000000001</v>
      </c>
      <c r="C4156" s="3" t="s">
        <v>4577</v>
      </c>
      <c r="D4156">
        <f t="shared" ref="D4156" si="12006">_xlfn.NUMBERVALUE(LEFT(C4156,2))</f>
        <v>5</v>
      </c>
      <c r="E4156">
        <f t="shared" ref="E4156" si="12007">_xlfn.NUMBERVALUE(MID(C4156,4,2))</f>
        <v>2</v>
      </c>
      <c r="F4156">
        <f t="shared" ref="F4156" si="12008">_xlfn.NUMBERVALUE(RIGHT(C4156,4))</f>
        <v>2025</v>
      </c>
      <c r="G4156" t="s">
        <v>3039</v>
      </c>
      <c r="K4156" t="s">
        <v>9</v>
      </c>
      <c r="L4156" s="8">
        <f t="shared" si="11939"/>
        <v>0</v>
      </c>
      <c r="M4156" t="s">
        <v>4579</v>
      </c>
    </row>
    <row r="4157" spans="1:13" x14ac:dyDescent="0.35">
      <c r="A4157">
        <f t="shared" si="11940"/>
        <v>4153</v>
      </c>
      <c r="B4157" s="9">
        <f t="shared" ref="B4157:B4158" si="12009">B4156+H4157+I4157+J4157</f>
        <v>108.64000000000001</v>
      </c>
      <c r="C4157" s="3" t="s">
        <v>4577</v>
      </c>
      <c r="D4157">
        <f t="shared" ref="D4157:D4158" si="12010">_xlfn.NUMBERVALUE(LEFT(C4157,2))</f>
        <v>5</v>
      </c>
      <c r="E4157">
        <f t="shared" ref="E4157:E4158" si="12011">_xlfn.NUMBERVALUE(MID(C4157,4,2))</f>
        <v>2</v>
      </c>
      <c r="F4157">
        <f t="shared" ref="F4157:F4158" si="12012">_xlfn.NUMBERVALUE(RIGHT(C4157,4))</f>
        <v>2025</v>
      </c>
      <c r="G4157" t="s">
        <v>2969</v>
      </c>
      <c r="K4157" t="s">
        <v>9</v>
      </c>
      <c r="L4157" s="8">
        <f t="shared" si="11939"/>
        <v>0</v>
      </c>
      <c r="M4157" t="s">
        <v>4580</v>
      </c>
    </row>
    <row r="4158" spans="1:13" x14ac:dyDescent="0.35">
      <c r="A4158">
        <f t="shared" si="11940"/>
        <v>4154</v>
      </c>
      <c r="B4158" s="9">
        <f t="shared" si="12009"/>
        <v>105.24000000000001</v>
      </c>
      <c r="C4158" s="3" t="s">
        <v>4577</v>
      </c>
      <c r="D4158">
        <f t="shared" si="12010"/>
        <v>5</v>
      </c>
      <c r="E4158">
        <f t="shared" si="12011"/>
        <v>2</v>
      </c>
      <c r="F4158">
        <f t="shared" si="12012"/>
        <v>2025</v>
      </c>
      <c r="G4158" t="s">
        <v>1389</v>
      </c>
      <c r="H4158">
        <v>-20</v>
      </c>
      <c r="I4158">
        <v>16.600000000000001</v>
      </c>
      <c r="K4158" t="s">
        <v>9</v>
      </c>
      <c r="L4158" s="8">
        <f t="shared" si="11939"/>
        <v>-0.16999999999999993</v>
      </c>
      <c r="M4158" t="s">
        <v>4581</v>
      </c>
    </row>
    <row r="4159" spans="1:13" x14ac:dyDescent="0.35">
      <c r="A4159">
        <f t="shared" si="11940"/>
        <v>4155</v>
      </c>
      <c r="B4159" s="9">
        <f t="shared" ref="B4159" si="12013">B4158+H4159+I4159+J4159</f>
        <v>109.80000000000001</v>
      </c>
      <c r="C4159" s="3" t="s">
        <v>4577</v>
      </c>
      <c r="D4159">
        <f t="shared" ref="D4159" si="12014">_xlfn.NUMBERVALUE(LEFT(C4159,2))</f>
        <v>5</v>
      </c>
      <c r="E4159">
        <f t="shared" ref="E4159" si="12015">_xlfn.NUMBERVALUE(MID(C4159,4,2))</f>
        <v>2</v>
      </c>
      <c r="F4159">
        <f t="shared" ref="F4159" si="12016">_xlfn.NUMBERVALUE(RIGHT(C4159,4))</f>
        <v>2025</v>
      </c>
      <c r="G4159" t="s">
        <v>1389</v>
      </c>
      <c r="H4159">
        <v>-10</v>
      </c>
      <c r="I4159">
        <v>14.56</v>
      </c>
      <c r="K4159" t="s">
        <v>10</v>
      </c>
      <c r="L4159" s="8">
        <f t="shared" si="11939"/>
        <v>0.45599999999999996</v>
      </c>
      <c r="M4159" t="s">
        <v>4582</v>
      </c>
    </row>
    <row r="4160" spans="1:13" x14ac:dyDescent="0.35">
      <c r="A4160">
        <f t="shared" si="11940"/>
        <v>4156</v>
      </c>
      <c r="B4160" s="9">
        <f t="shared" ref="B4160" si="12017">B4159+H4160+I4160+J4160</f>
        <v>112.64000000000001</v>
      </c>
      <c r="C4160" s="3" t="s">
        <v>4577</v>
      </c>
      <c r="D4160">
        <f t="shared" ref="D4160" si="12018">_xlfn.NUMBERVALUE(LEFT(C4160,2))</f>
        <v>5</v>
      </c>
      <c r="E4160">
        <f t="shared" ref="E4160" si="12019">_xlfn.NUMBERVALUE(MID(C4160,4,2))</f>
        <v>2</v>
      </c>
      <c r="F4160">
        <f t="shared" ref="F4160" si="12020">_xlfn.NUMBERVALUE(RIGHT(C4160,4))</f>
        <v>2025</v>
      </c>
      <c r="G4160" t="s">
        <v>1389</v>
      </c>
      <c r="H4160">
        <v>-10</v>
      </c>
      <c r="I4160">
        <v>12.84</v>
      </c>
      <c r="K4160" t="s">
        <v>10</v>
      </c>
      <c r="L4160" s="8">
        <f t="shared" si="11939"/>
        <v>0.28400000000000003</v>
      </c>
      <c r="M4160" t="s">
        <v>4583</v>
      </c>
    </row>
    <row r="4161" spans="1:13" x14ac:dyDescent="0.35">
      <c r="A4161">
        <f t="shared" si="11940"/>
        <v>4157</v>
      </c>
      <c r="B4161" s="9">
        <f t="shared" ref="B4161:B4162" si="12021">B4160+H4161+I4161+J4161</f>
        <v>113.64000000000001</v>
      </c>
      <c r="C4161" s="3" t="s">
        <v>4577</v>
      </c>
      <c r="D4161">
        <f t="shared" ref="D4161:D4162" si="12022">_xlfn.NUMBERVALUE(LEFT(C4161,2))</f>
        <v>5</v>
      </c>
      <c r="E4161">
        <f t="shared" ref="E4161:E4162" si="12023">_xlfn.NUMBERVALUE(MID(C4161,4,2))</f>
        <v>2</v>
      </c>
      <c r="F4161">
        <f t="shared" ref="F4161:F4162" si="12024">_xlfn.NUMBERVALUE(RIGHT(C4161,4))</f>
        <v>2025</v>
      </c>
      <c r="G4161" t="s">
        <v>4209</v>
      </c>
      <c r="I4161">
        <v>1</v>
      </c>
      <c r="K4161" t="s">
        <v>10</v>
      </c>
    </row>
    <row r="4162" spans="1:13" x14ac:dyDescent="0.35">
      <c r="A4162">
        <f t="shared" si="11940"/>
        <v>4158</v>
      </c>
      <c r="B4162" s="9">
        <f t="shared" si="12021"/>
        <v>114.29000000000002</v>
      </c>
      <c r="C4162" s="3" t="s">
        <v>4577</v>
      </c>
      <c r="D4162">
        <f t="shared" si="12022"/>
        <v>5</v>
      </c>
      <c r="E4162">
        <f t="shared" si="12023"/>
        <v>2</v>
      </c>
      <c r="F4162">
        <f t="shared" si="12024"/>
        <v>2025</v>
      </c>
      <c r="G4162" t="s">
        <v>1389</v>
      </c>
      <c r="H4162">
        <v>-10</v>
      </c>
      <c r="I4162">
        <v>10.65</v>
      </c>
      <c r="K4162" t="s">
        <v>10</v>
      </c>
      <c r="L4162" s="8">
        <f t="shared" si="11939"/>
        <v>6.4999999999999947E-2</v>
      </c>
      <c r="M4162" t="s">
        <v>4584</v>
      </c>
    </row>
    <row r="4163" spans="1:13" x14ac:dyDescent="0.35">
      <c r="A4163">
        <f t="shared" si="11940"/>
        <v>4159</v>
      </c>
      <c r="B4163" s="9">
        <f t="shared" ref="B4163" si="12025">B4162+H4163+I4163+J4163</f>
        <v>121.76000000000002</v>
      </c>
      <c r="C4163" s="3" t="s">
        <v>4577</v>
      </c>
      <c r="D4163">
        <f t="shared" ref="D4163" si="12026">_xlfn.NUMBERVALUE(LEFT(C4163,2))</f>
        <v>5</v>
      </c>
      <c r="E4163">
        <f t="shared" ref="E4163" si="12027">_xlfn.NUMBERVALUE(MID(C4163,4,2))</f>
        <v>2</v>
      </c>
      <c r="F4163">
        <f t="shared" ref="F4163" si="12028">_xlfn.NUMBERVALUE(RIGHT(C4163,4))</f>
        <v>2025</v>
      </c>
      <c r="G4163" t="s">
        <v>1389</v>
      </c>
      <c r="H4163">
        <v>-10</v>
      </c>
      <c r="I4163">
        <v>17.47</v>
      </c>
      <c r="K4163" t="s">
        <v>10</v>
      </c>
      <c r="L4163" s="8">
        <f t="shared" si="11939"/>
        <v>0.74699999999999989</v>
      </c>
      <c r="M4163" t="s">
        <v>4585</v>
      </c>
    </row>
    <row r="4164" spans="1:13" x14ac:dyDescent="0.35">
      <c r="A4164">
        <f t="shared" si="11940"/>
        <v>4160</v>
      </c>
      <c r="B4164" s="9">
        <f t="shared" ref="B4164" si="12029">B4163+H4164+I4164+J4164</f>
        <v>124.44000000000003</v>
      </c>
      <c r="C4164" s="3" t="s">
        <v>4577</v>
      </c>
      <c r="D4164">
        <f t="shared" ref="D4164" si="12030">_xlfn.NUMBERVALUE(LEFT(C4164,2))</f>
        <v>5</v>
      </c>
      <c r="E4164">
        <f t="shared" ref="E4164" si="12031">_xlfn.NUMBERVALUE(MID(C4164,4,2))</f>
        <v>2</v>
      </c>
      <c r="F4164">
        <f t="shared" ref="F4164" si="12032">_xlfn.NUMBERVALUE(RIGHT(C4164,4))</f>
        <v>2025</v>
      </c>
      <c r="G4164" t="s">
        <v>1389</v>
      </c>
      <c r="H4164">
        <v>-10</v>
      </c>
      <c r="I4164">
        <v>12.68</v>
      </c>
      <c r="K4164" t="s">
        <v>10</v>
      </c>
      <c r="L4164" s="8">
        <f t="shared" si="11939"/>
        <v>0.26800000000000002</v>
      </c>
      <c r="M4164" t="s">
        <v>4586</v>
      </c>
    </row>
    <row r="4165" spans="1:13" x14ac:dyDescent="0.35">
      <c r="A4165">
        <f t="shared" si="11940"/>
        <v>4161</v>
      </c>
      <c r="B4165" s="9">
        <f t="shared" ref="B4165" si="12033">B4164+H4165+I4165+J4165</f>
        <v>126.74000000000002</v>
      </c>
      <c r="C4165" s="3" t="s">
        <v>4577</v>
      </c>
      <c r="D4165">
        <f t="shared" ref="D4165" si="12034">_xlfn.NUMBERVALUE(LEFT(C4165,2))</f>
        <v>5</v>
      </c>
      <c r="E4165">
        <f t="shared" ref="E4165" si="12035">_xlfn.NUMBERVALUE(MID(C4165,4,2))</f>
        <v>2</v>
      </c>
      <c r="F4165">
        <f t="shared" ref="F4165" si="12036">_xlfn.NUMBERVALUE(RIGHT(C4165,4))</f>
        <v>2025</v>
      </c>
      <c r="G4165" t="s">
        <v>1389</v>
      </c>
      <c r="H4165">
        <v>-10</v>
      </c>
      <c r="I4165">
        <v>12.3</v>
      </c>
      <c r="K4165" t="s">
        <v>10</v>
      </c>
      <c r="L4165" s="8">
        <f t="shared" si="11939"/>
        <v>0.22999999999999998</v>
      </c>
      <c r="M4165" t="s">
        <v>4587</v>
      </c>
    </row>
    <row r="4166" spans="1:13" x14ac:dyDescent="0.35">
      <c r="A4166">
        <f t="shared" si="11940"/>
        <v>4162</v>
      </c>
      <c r="B4166" s="9">
        <f t="shared" ref="B4166" si="12037">B4165+H4166+I4166+J4166</f>
        <v>128.88000000000002</v>
      </c>
      <c r="C4166" s="3" t="s">
        <v>4577</v>
      </c>
      <c r="D4166">
        <f t="shared" ref="D4166" si="12038">_xlfn.NUMBERVALUE(LEFT(C4166,2))</f>
        <v>5</v>
      </c>
      <c r="E4166">
        <f t="shared" ref="E4166" si="12039">_xlfn.NUMBERVALUE(MID(C4166,4,2))</f>
        <v>2</v>
      </c>
      <c r="F4166">
        <f t="shared" ref="F4166" si="12040">_xlfn.NUMBERVALUE(RIGHT(C4166,4))</f>
        <v>2025</v>
      </c>
      <c r="G4166" t="s">
        <v>1389</v>
      </c>
      <c r="H4166">
        <v>-10</v>
      </c>
      <c r="I4166">
        <v>12.14</v>
      </c>
      <c r="K4166" t="s">
        <v>10</v>
      </c>
      <c r="L4166" s="8">
        <f t="shared" si="11939"/>
        <v>0.21399999999999997</v>
      </c>
      <c r="M4166" t="s">
        <v>4588</v>
      </c>
    </row>
    <row r="4167" spans="1:13" x14ac:dyDescent="0.35">
      <c r="A4167">
        <f t="shared" si="11940"/>
        <v>4163</v>
      </c>
      <c r="B4167" s="9">
        <f t="shared" ref="B4167" si="12041">B4166+H4167+I4167+J4167</f>
        <v>124.04000000000002</v>
      </c>
      <c r="C4167" s="3" t="s">
        <v>4577</v>
      </c>
      <c r="D4167">
        <f t="shared" ref="D4167" si="12042">_xlfn.NUMBERVALUE(LEFT(C4167,2))</f>
        <v>5</v>
      </c>
      <c r="E4167">
        <f t="shared" ref="E4167" si="12043">_xlfn.NUMBERVALUE(MID(C4167,4,2))</f>
        <v>2</v>
      </c>
      <c r="F4167">
        <f t="shared" ref="F4167" si="12044">_xlfn.NUMBERVALUE(RIGHT(C4167,4))</f>
        <v>2025</v>
      </c>
      <c r="G4167" t="s">
        <v>1389</v>
      </c>
      <c r="H4167">
        <v>-10</v>
      </c>
      <c r="I4167">
        <v>5.16</v>
      </c>
      <c r="K4167" t="s">
        <v>9</v>
      </c>
      <c r="L4167" s="8">
        <f t="shared" si="11939"/>
        <v>-0.48399999999999999</v>
      </c>
      <c r="M4167" t="s">
        <v>4589</v>
      </c>
    </row>
    <row r="4168" spans="1:13" x14ac:dyDescent="0.35">
      <c r="A4168">
        <f t="shared" si="11940"/>
        <v>4164</v>
      </c>
      <c r="B4168" s="9">
        <f t="shared" ref="B4168" si="12045">B4167+H4168+I4168+J4168</f>
        <v>116.69000000000003</v>
      </c>
      <c r="C4168" s="3" t="s">
        <v>4577</v>
      </c>
      <c r="D4168">
        <f t="shared" ref="D4168" si="12046">_xlfn.NUMBERVALUE(LEFT(C4168,2))</f>
        <v>5</v>
      </c>
      <c r="E4168">
        <f t="shared" ref="E4168" si="12047">_xlfn.NUMBERVALUE(MID(C4168,4,2))</f>
        <v>2</v>
      </c>
      <c r="F4168">
        <f t="shared" ref="F4168" si="12048">_xlfn.NUMBERVALUE(RIGHT(C4168,4))</f>
        <v>2025</v>
      </c>
      <c r="G4168" t="s">
        <v>1389</v>
      </c>
      <c r="H4168">
        <v>-10</v>
      </c>
      <c r="I4168">
        <v>2.65</v>
      </c>
      <c r="K4168" t="s">
        <v>9</v>
      </c>
      <c r="L4168" s="8">
        <f t="shared" si="11939"/>
        <v>-0.73499999999999999</v>
      </c>
      <c r="M4168" t="s">
        <v>4590</v>
      </c>
    </row>
    <row r="4169" spans="1:13" x14ac:dyDescent="0.35">
      <c r="A4169">
        <f t="shared" si="11940"/>
        <v>4165</v>
      </c>
      <c r="B4169" s="9">
        <f t="shared" ref="B4169:B4173" si="12049">B4168+H4169+I4169+J4169</f>
        <v>119.07000000000002</v>
      </c>
      <c r="C4169" s="3" t="s">
        <v>4577</v>
      </c>
      <c r="D4169">
        <f t="shared" ref="D4169:D4173" si="12050">_xlfn.NUMBERVALUE(LEFT(C4169,2))</f>
        <v>5</v>
      </c>
      <c r="E4169">
        <f t="shared" ref="E4169:E4173" si="12051">_xlfn.NUMBERVALUE(MID(C4169,4,2))</f>
        <v>2</v>
      </c>
      <c r="F4169">
        <f t="shared" ref="F4169:F4173" si="12052">_xlfn.NUMBERVALUE(RIGHT(C4169,4))</f>
        <v>2025</v>
      </c>
      <c r="G4169" t="s">
        <v>44</v>
      </c>
      <c r="H4169">
        <v>-4.4000000000000004</v>
      </c>
      <c r="I4169">
        <v>3.53</v>
      </c>
      <c r="J4169">
        <v>3.25</v>
      </c>
      <c r="K4169" t="s">
        <v>10</v>
      </c>
      <c r="L4169" s="8">
        <f t="shared" si="11939"/>
        <v>0.54090909090909056</v>
      </c>
      <c r="M4169" t="s">
        <v>4592</v>
      </c>
    </row>
    <row r="4170" spans="1:13" x14ac:dyDescent="0.35">
      <c r="A4170">
        <f t="shared" si="11940"/>
        <v>4166</v>
      </c>
      <c r="B4170" s="9">
        <f t="shared" si="12049"/>
        <v>119.64000000000001</v>
      </c>
      <c r="C4170" s="3" t="s">
        <v>4577</v>
      </c>
      <c r="D4170">
        <f t="shared" si="12050"/>
        <v>5</v>
      </c>
      <c r="E4170">
        <f t="shared" si="12051"/>
        <v>2</v>
      </c>
      <c r="F4170">
        <f t="shared" si="12052"/>
        <v>2025</v>
      </c>
      <c r="G4170" t="s">
        <v>1389</v>
      </c>
      <c r="H4170">
        <v>-10</v>
      </c>
      <c r="I4170">
        <v>10.57</v>
      </c>
      <c r="K4170" t="s">
        <v>10</v>
      </c>
      <c r="L4170" s="8">
        <f t="shared" si="11939"/>
        <v>5.699999999999994E-2</v>
      </c>
      <c r="M4170" t="s">
        <v>4591</v>
      </c>
    </row>
    <row r="4171" spans="1:13" x14ac:dyDescent="0.35">
      <c r="A4171">
        <f t="shared" si="11940"/>
        <v>4167</v>
      </c>
      <c r="B4171" s="9">
        <f t="shared" si="12049"/>
        <v>114.64000000000001</v>
      </c>
      <c r="C4171" s="3" t="s">
        <v>4593</v>
      </c>
      <c r="D4171">
        <f t="shared" si="12050"/>
        <v>6</v>
      </c>
      <c r="E4171">
        <f t="shared" si="12051"/>
        <v>2</v>
      </c>
      <c r="F4171">
        <f t="shared" si="12052"/>
        <v>2025</v>
      </c>
      <c r="G4171" t="s">
        <v>7</v>
      </c>
      <c r="H4171">
        <v>-5</v>
      </c>
      <c r="K4171" t="s">
        <v>9</v>
      </c>
      <c r="L4171" s="8">
        <f t="shared" si="11939"/>
        <v>-1</v>
      </c>
      <c r="M4171" t="s">
        <v>4594</v>
      </c>
    </row>
    <row r="4172" spans="1:13" x14ac:dyDescent="0.35">
      <c r="A4172">
        <f t="shared" si="11940"/>
        <v>4168</v>
      </c>
      <c r="B4172" s="9">
        <f t="shared" si="12049"/>
        <v>114.64000000000001</v>
      </c>
      <c r="C4172" s="3" t="s">
        <v>4593</v>
      </c>
      <c r="D4172">
        <f t="shared" si="12050"/>
        <v>6</v>
      </c>
      <c r="E4172">
        <f t="shared" si="12051"/>
        <v>2</v>
      </c>
      <c r="F4172">
        <f t="shared" si="12052"/>
        <v>2025</v>
      </c>
      <c r="G4172" t="s">
        <v>3039</v>
      </c>
      <c r="K4172" t="s">
        <v>9</v>
      </c>
      <c r="L4172" s="8">
        <f t="shared" si="11939"/>
        <v>0</v>
      </c>
      <c r="M4172" t="s">
        <v>4595</v>
      </c>
    </row>
    <row r="4173" spans="1:13" x14ac:dyDescent="0.35">
      <c r="A4173">
        <f t="shared" si="11940"/>
        <v>4169</v>
      </c>
      <c r="B4173" s="9">
        <f t="shared" si="12049"/>
        <v>121.09000000000002</v>
      </c>
      <c r="C4173" s="3" t="s">
        <v>4593</v>
      </c>
      <c r="D4173">
        <f t="shared" si="12050"/>
        <v>6</v>
      </c>
      <c r="E4173">
        <f t="shared" si="12051"/>
        <v>2</v>
      </c>
      <c r="F4173">
        <f t="shared" si="12052"/>
        <v>2025</v>
      </c>
      <c r="G4173" t="s">
        <v>1389</v>
      </c>
      <c r="H4173">
        <v>-10</v>
      </c>
      <c r="I4173">
        <v>16.45</v>
      </c>
      <c r="K4173" t="s">
        <v>10</v>
      </c>
      <c r="L4173" s="8">
        <f t="shared" si="11939"/>
        <v>0.64500000000000002</v>
      </c>
      <c r="M4173" t="s">
        <v>4596</v>
      </c>
    </row>
    <row r="4174" spans="1:13" x14ac:dyDescent="0.35">
      <c r="A4174">
        <f t="shared" si="11940"/>
        <v>4170</v>
      </c>
      <c r="B4174" s="9">
        <f t="shared" ref="B4174" si="12053">B4173+H4174+I4174+J4174</f>
        <v>123.22000000000001</v>
      </c>
      <c r="C4174" s="3" t="s">
        <v>4593</v>
      </c>
      <c r="D4174">
        <f t="shared" ref="D4174" si="12054">_xlfn.NUMBERVALUE(LEFT(C4174,2))</f>
        <v>6</v>
      </c>
      <c r="E4174">
        <f t="shared" ref="E4174" si="12055">_xlfn.NUMBERVALUE(MID(C4174,4,2))</f>
        <v>2</v>
      </c>
      <c r="F4174">
        <f t="shared" ref="F4174" si="12056">_xlfn.NUMBERVALUE(RIGHT(C4174,4))</f>
        <v>2025</v>
      </c>
      <c r="G4174" t="s">
        <v>1389</v>
      </c>
      <c r="H4174">
        <v>-10</v>
      </c>
      <c r="I4174">
        <v>12.13</v>
      </c>
      <c r="K4174" t="s">
        <v>10</v>
      </c>
      <c r="L4174" s="8">
        <f t="shared" si="11939"/>
        <v>0.21300000000000008</v>
      </c>
      <c r="M4174" t="s">
        <v>4597</v>
      </c>
    </row>
    <row r="4175" spans="1:13" x14ac:dyDescent="0.35">
      <c r="A4175">
        <f t="shared" si="11940"/>
        <v>4171</v>
      </c>
      <c r="B4175" s="9">
        <f t="shared" ref="B4175" si="12057">B4174+H4175+I4175+J4175</f>
        <v>123.36000000000001</v>
      </c>
      <c r="C4175" s="3" t="s">
        <v>4593</v>
      </c>
      <c r="D4175">
        <f t="shared" ref="D4175" si="12058">_xlfn.NUMBERVALUE(LEFT(C4175,2))</f>
        <v>6</v>
      </c>
      <c r="E4175">
        <f t="shared" ref="E4175" si="12059">_xlfn.NUMBERVALUE(MID(C4175,4,2))</f>
        <v>2</v>
      </c>
      <c r="F4175">
        <f t="shared" ref="F4175" si="12060">_xlfn.NUMBERVALUE(RIGHT(C4175,4))</f>
        <v>2025</v>
      </c>
      <c r="G4175" t="s">
        <v>1389</v>
      </c>
      <c r="H4175">
        <v>-10</v>
      </c>
      <c r="I4175">
        <v>10.14</v>
      </c>
      <c r="K4175" t="s">
        <v>10</v>
      </c>
      <c r="L4175" s="8">
        <f t="shared" si="11939"/>
        <v>1.4000000000000012E-2</v>
      </c>
      <c r="M4175" t="s">
        <v>4598</v>
      </c>
    </row>
    <row r="4176" spans="1:13" x14ac:dyDescent="0.35">
      <c r="A4176">
        <f t="shared" si="11940"/>
        <v>4172</v>
      </c>
      <c r="B4176" s="9">
        <f t="shared" ref="B4176:B4178" si="12061">B4175+H4176+I4176+J4176</f>
        <v>124.36000000000001</v>
      </c>
      <c r="C4176" s="3" t="s">
        <v>4593</v>
      </c>
      <c r="D4176">
        <f t="shared" ref="D4176:D4178" si="12062">_xlfn.NUMBERVALUE(LEFT(C4176,2))</f>
        <v>6</v>
      </c>
      <c r="E4176">
        <f t="shared" ref="E4176:E4178" si="12063">_xlfn.NUMBERVALUE(MID(C4176,4,2))</f>
        <v>2</v>
      </c>
      <c r="F4176">
        <f t="shared" ref="F4176:F4178" si="12064">_xlfn.NUMBERVALUE(RIGHT(C4176,4))</f>
        <v>2025</v>
      </c>
      <c r="G4176" t="s">
        <v>4209</v>
      </c>
      <c r="I4176">
        <v>1</v>
      </c>
      <c r="K4176" t="s">
        <v>10</v>
      </c>
    </row>
    <row r="4177" spans="1:13" x14ac:dyDescent="0.35">
      <c r="A4177">
        <f t="shared" si="11940"/>
        <v>4173</v>
      </c>
      <c r="B4177" s="9">
        <f t="shared" si="12061"/>
        <v>114.36000000000001</v>
      </c>
      <c r="C4177" s="3" t="s">
        <v>4593</v>
      </c>
      <c r="D4177">
        <f t="shared" si="12062"/>
        <v>6</v>
      </c>
      <c r="E4177">
        <f t="shared" si="12063"/>
        <v>2</v>
      </c>
      <c r="F4177">
        <f t="shared" si="12064"/>
        <v>2025</v>
      </c>
      <c r="G4177" t="s">
        <v>1389</v>
      </c>
      <c r="H4177">
        <v>-10</v>
      </c>
      <c r="K4177" t="s">
        <v>9</v>
      </c>
      <c r="L4177" s="8">
        <f t="shared" si="11939"/>
        <v>-1</v>
      </c>
      <c r="M4177" t="s">
        <v>4599</v>
      </c>
    </row>
    <row r="4178" spans="1:13" x14ac:dyDescent="0.35">
      <c r="A4178">
        <f t="shared" si="11940"/>
        <v>4174</v>
      </c>
      <c r="B4178" s="9">
        <f t="shared" si="12061"/>
        <v>109.36000000000001</v>
      </c>
      <c r="C4178" s="3" t="s">
        <v>4593</v>
      </c>
      <c r="D4178">
        <f t="shared" si="12062"/>
        <v>6</v>
      </c>
      <c r="E4178">
        <f t="shared" si="12063"/>
        <v>2</v>
      </c>
      <c r="F4178">
        <f t="shared" si="12064"/>
        <v>2025</v>
      </c>
      <c r="G4178" t="s">
        <v>7</v>
      </c>
      <c r="H4178">
        <v>-5</v>
      </c>
      <c r="K4178" t="s">
        <v>9</v>
      </c>
      <c r="L4178" s="8">
        <f t="shared" si="11939"/>
        <v>-1</v>
      </c>
      <c r="M4178" t="s">
        <v>4600</v>
      </c>
    </row>
    <row r="4179" spans="1:13" x14ac:dyDescent="0.35">
      <c r="A4179">
        <f t="shared" si="11940"/>
        <v>4175</v>
      </c>
      <c r="B4179" s="9">
        <f t="shared" ref="B4179" si="12065">B4178+H4179+I4179+J4179</f>
        <v>104.36000000000001</v>
      </c>
      <c r="C4179" s="3" t="s">
        <v>4593</v>
      </c>
      <c r="D4179">
        <f t="shared" ref="D4179" si="12066">_xlfn.NUMBERVALUE(LEFT(C4179,2))</f>
        <v>6</v>
      </c>
      <c r="E4179">
        <f t="shared" ref="E4179" si="12067">_xlfn.NUMBERVALUE(MID(C4179,4,2))</f>
        <v>2</v>
      </c>
      <c r="F4179">
        <f t="shared" ref="F4179" si="12068">_xlfn.NUMBERVALUE(RIGHT(C4179,4))</f>
        <v>2025</v>
      </c>
      <c r="G4179" t="s">
        <v>7</v>
      </c>
      <c r="H4179">
        <v>-5</v>
      </c>
      <c r="K4179" t="s">
        <v>9</v>
      </c>
      <c r="L4179" s="8">
        <f t="shared" ref="L4179:L4194" si="12069">IF(H4179="",0,(SUM(I4179:J4179)/-H4179)-1)</f>
        <v>-1</v>
      </c>
      <c r="M4179" t="s">
        <v>4601</v>
      </c>
    </row>
    <row r="4180" spans="1:13" x14ac:dyDescent="0.35">
      <c r="A4180">
        <f t="shared" si="11940"/>
        <v>4176</v>
      </c>
      <c r="B4180" s="9">
        <f t="shared" ref="B4180:B4181" si="12070">B4179+H4180+I4180+J4180</f>
        <v>99.360000000000014</v>
      </c>
      <c r="C4180" s="3" t="s">
        <v>4593</v>
      </c>
      <c r="D4180">
        <f t="shared" ref="D4180:D4181" si="12071">_xlfn.NUMBERVALUE(LEFT(C4180,2))</f>
        <v>6</v>
      </c>
      <c r="E4180">
        <f t="shared" ref="E4180:E4181" si="12072">_xlfn.NUMBERVALUE(MID(C4180,4,2))</f>
        <v>2</v>
      </c>
      <c r="F4180">
        <f t="shared" ref="F4180:F4181" si="12073">_xlfn.NUMBERVALUE(RIGHT(C4180,4))</f>
        <v>2025</v>
      </c>
      <c r="G4180" t="s">
        <v>7</v>
      </c>
      <c r="H4180">
        <v>-5</v>
      </c>
      <c r="K4180" t="s">
        <v>9</v>
      </c>
      <c r="L4180" s="8">
        <f t="shared" si="12069"/>
        <v>-1</v>
      </c>
      <c r="M4180" t="s">
        <v>4602</v>
      </c>
    </row>
    <row r="4181" spans="1:13" x14ac:dyDescent="0.35">
      <c r="A4181">
        <f t="shared" si="11940"/>
        <v>4177</v>
      </c>
      <c r="B4181" s="9">
        <f t="shared" si="12070"/>
        <v>100.39000000000001</v>
      </c>
      <c r="C4181" s="3" t="s">
        <v>4593</v>
      </c>
      <c r="D4181">
        <f t="shared" si="12071"/>
        <v>6</v>
      </c>
      <c r="E4181">
        <f t="shared" si="12072"/>
        <v>2</v>
      </c>
      <c r="F4181">
        <f t="shared" si="12073"/>
        <v>2025</v>
      </c>
      <c r="G4181" t="s">
        <v>1389</v>
      </c>
      <c r="H4181">
        <v>-10</v>
      </c>
      <c r="I4181">
        <v>11.03</v>
      </c>
      <c r="K4181" t="s">
        <v>10</v>
      </c>
      <c r="L4181" s="8">
        <f t="shared" si="12069"/>
        <v>0.10299999999999998</v>
      </c>
      <c r="M4181" t="s">
        <v>4603</v>
      </c>
    </row>
    <row r="4182" spans="1:13" x14ac:dyDescent="0.35">
      <c r="A4182">
        <f t="shared" si="11940"/>
        <v>4178</v>
      </c>
      <c r="B4182" s="9">
        <f t="shared" ref="B4182" si="12074">B4181+H4182+I4182+J4182</f>
        <v>100.86000000000001</v>
      </c>
      <c r="C4182" s="3" t="s">
        <v>4593</v>
      </c>
      <c r="D4182">
        <f t="shared" ref="D4182" si="12075">_xlfn.NUMBERVALUE(LEFT(C4182,2))</f>
        <v>6</v>
      </c>
      <c r="E4182">
        <f t="shared" ref="E4182" si="12076">_xlfn.NUMBERVALUE(MID(C4182,4,2))</f>
        <v>2</v>
      </c>
      <c r="F4182">
        <f t="shared" ref="F4182" si="12077">_xlfn.NUMBERVALUE(RIGHT(C4182,4))</f>
        <v>2025</v>
      </c>
      <c r="G4182" t="s">
        <v>1389</v>
      </c>
      <c r="H4182">
        <v>-10</v>
      </c>
      <c r="I4182">
        <v>10.47</v>
      </c>
      <c r="K4182" t="s">
        <v>10</v>
      </c>
      <c r="L4182" s="8">
        <f t="shared" si="12069"/>
        <v>4.7000000000000153E-2</v>
      </c>
      <c r="M4182" t="s">
        <v>4604</v>
      </c>
    </row>
    <row r="4183" spans="1:13" x14ac:dyDescent="0.35">
      <c r="A4183">
        <f t="shared" si="11940"/>
        <v>4179</v>
      </c>
      <c r="B4183" s="9">
        <f t="shared" ref="B4183" si="12078">B4182+H4183+I4183+J4183</f>
        <v>96.820000000000007</v>
      </c>
      <c r="C4183" s="3" t="s">
        <v>4593</v>
      </c>
      <c r="D4183">
        <f t="shared" ref="D4183" si="12079">_xlfn.NUMBERVALUE(LEFT(C4183,2))</f>
        <v>6</v>
      </c>
      <c r="E4183">
        <f t="shared" ref="E4183" si="12080">_xlfn.NUMBERVALUE(MID(C4183,4,2))</f>
        <v>2</v>
      </c>
      <c r="F4183">
        <f t="shared" ref="F4183" si="12081">_xlfn.NUMBERVALUE(RIGHT(C4183,4))</f>
        <v>2025</v>
      </c>
      <c r="G4183" t="s">
        <v>1389</v>
      </c>
      <c r="H4183">
        <v>-10</v>
      </c>
      <c r="I4183">
        <v>5.96</v>
      </c>
      <c r="K4183" t="s">
        <v>9</v>
      </c>
      <c r="L4183" s="8">
        <f t="shared" si="12069"/>
        <v>-0.40400000000000003</v>
      </c>
      <c r="M4183" t="s">
        <v>4605</v>
      </c>
    </row>
    <row r="4184" spans="1:13" x14ac:dyDescent="0.35">
      <c r="A4184">
        <f t="shared" si="11940"/>
        <v>4180</v>
      </c>
      <c r="B4184" s="9">
        <f t="shared" ref="B4184:B4185" si="12082">B4183+H4184+I4184+J4184</f>
        <v>97.080000000000013</v>
      </c>
      <c r="C4184" s="3" t="s">
        <v>4593</v>
      </c>
      <c r="D4184">
        <f t="shared" ref="D4184:D4185" si="12083">_xlfn.NUMBERVALUE(LEFT(C4184,2))</f>
        <v>6</v>
      </c>
      <c r="E4184">
        <f t="shared" ref="E4184:E4185" si="12084">_xlfn.NUMBERVALUE(MID(C4184,4,2))</f>
        <v>2</v>
      </c>
      <c r="F4184">
        <f t="shared" ref="F4184:F4185" si="12085">_xlfn.NUMBERVALUE(RIGHT(C4184,4))</f>
        <v>2025</v>
      </c>
      <c r="G4184" t="s">
        <v>1389</v>
      </c>
      <c r="H4184">
        <v>-10</v>
      </c>
      <c r="I4184">
        <v>10.26</v>
      </c>
      <c r="K4184" t="s">
        <v>10</v>
      </c>
      <c r="L4184" s="8">
        <f t="shared" si="12069"/>
        <v>2.6000000000000023E-2</v>
      </c>
      <c r="M4184" t="s">
        <v>4606</v>
      </c>
    </row>
    <row r="4185" spans="1:13" x14ac:dyDescent="0.35">
      <c r="A4185">
        <f t="shared" si="11940"/>
        <v>4181</v>
      </c>
      <c r="B4185" s="9">
        <f t="shared" si="12082"/>
        <v>92.68</v>
      </c>
      <c r="C4185" s="3" t="s">
        <v>4593</v>
      </c>
      <c r="D4185">
        <f t="shared" si="12083"/>
        <v>6</v>
      </c>
      <c r="E4185">
        <f t="shared" si="12084"/>
        <v>2</v>
      </c>
      <c r="F4185">
        <f t="shared" si="12085"/>
        <v>2025</v>
      </c>
      <c r="G4185" t="s">
        <v>44</v>
      </c>
      <c r="H4185">
        <v>-4.4000000000000004</v>
      </c>
      <c r="K4185" t="s">
        <v>9</v>
      </c>
      <c r="L4185" s="8">
        <f t="shared" si="12069"/>
        <v>-1</v>
      </c>
      <c r="M4185" t="s">
        <v>4613</v>
      </c>
    </row>
    <row r="4186" spans="1:13" x14ac:dyDescent="0.35">
      <c r="A4186">
        <f t="shared" si="11940"/>
        <v>4182</v>
      </c>
      <c r="B4186" s="9">
        <f t="shared" ref="B4186" si="12086">B4185+H4186+I4186+J4186</f>
        <v>83.43</v>
      </c>
      <c r="C4186" s="3" t="s">
        <v>4593</v>
      </c>
      <c r="D4186">
        <f t="shared" ref="D4186" si="12087">_xlfn.NUMBERVALUE(LEFT(C4186,2))</f>
        <v>6</v>
      </c>
      <c r="E4186">
        <f t="shared" ref="E4186" si="12088">_xlfn.NUMBERVALUE(MID(C4186,4,2))</f>
        <v>2</v>
      </c>
      <c r="F4186">
        <f t="shared" ref="F4186" si="12089">_xlfn.NUMBERVALUE(RIGHT(C4186,4))</f>
        <v>2025</v>
      </c>
      <c r="G4186" t="s">
        <v>1389</v>
      </c>
      <c r="H4186">
        <v>-10</v>
      </c>
      <c r="I4186">
        <v>0.75</v>
      </c>
      <c r="K4186" t="s">
        <v>9</v>
      </c>
      <c r="L4186" s="8">
        <f t="shared" si="12069"/>
        <v>-0.92500000000000004</v>
      </c>
      <c r="M4186" t="s">
        <v>4607</v>
      </c>
    </row>
    <row r="4187" spans="1:13" x14ac:dyDescent="0.35">
      <c r="A4187">
        <f t="shared" si="11940"/>
        <v>4183</v>
      </c>
      <c r="B4187" s="9">
        <f t="shared" ref="B4187" si="12090">B4186+H4187+I4187+J4187</f>
        <v>95.95</v>
      </c>
      <c r="C4187" s="3" t="s">
        <v>4593</v>
      </c>
      <c r="D4187">
        <f t="shared" ref="D4187" si="12091">_xlfn.NUMBERVALUE(LEFT(C4187,2))</f>
        <v>6</v>
      </c>
      <c r="E4187">
        <f t="shared" ref="E4187" si="12092">_xlfn.NUMBERVALUE(MID(C4187,4,2))</f>
        <v>2</v>
      </c>
      <c r="F4187">
        <f t="shared" ref="F4187" si="12093">_xlfn.NUMBERVALUE(RIGHT(C4187,4))</f>
        <v>2025</v>
      </c>
      <c r="G4187" t="s">
        <v>1389</v>
      </c>
      <c r="H4187">
        <v>-83.43</v>
      </c>
      <c r="I4187">
        <v>95.95</v>
      </c>
      <c r="K4187" t="s">
        <v>10</v>
      </c>
      <c r="L4187" s="8">
        <f t="shared" si="12069"/>
        <v>0.15006592352870674</v>
      </c>
      <c r="M4187" t="s">
        <v>4608</v>
      </c>
    </row>
    <row r="4188" spans="1:13" x14ac:dyDescent="0.35">
      <c r="A4188">
        <f t="shared" si="11940"/>
        <v>4184</v>
      </c>
      <c r="B4188" s="9">
        <f t="shared" ref="B4188" si="12094">B4187+H4188+I4188+J4188</f>
        <v>98.95</v>
      </c>
      <c r="C4188" s="3" t="s">
        <v>4593</v>
      </c>
      <c r="D4188">
        <f t="shared" ref="D4188" si="12095">_xlfn.NUMBERVALUE(LEFT(C4188,2))</f>
        <v>6</v>
      </c>
      <c r="E4188">
        <f t="shared" ref="E4188" si="12096">_xlfn.NUMBERVALUE(MID(C4188,4,2))</f>
        <v>2</v>
      </c>
      <c r="F4188">
        <f t="shared" ref="F4188" si="12097">_xlfn.NUMBERVALUE(RIGHT(C4188,4))</f>
        <v>2025</v>
      </c>
      <c r="G4188" t="s">
        <v>1389</v>
      </c>
      <c r="H4188">
        <v>-95.95</v>
      </c>
      <c r="I4188">
        <v>98.95</v>
      </c>
      <c r="K4188" t="s">
        <v>10</v>
      </c>
      <c r="L4188" s="8">
        <f t="shared" si="12069"/>
        <v>3.1266284523189247E-2</v>
      </c>
      <c r="M4188" t="s">
        <v>4609</v>
      </c>
    </row>
    <row r="4189" spans="1:13" x14ac:dyDescent="0.35">
      <c r="A4189">
        <f t="shared" si="11940"/>
        <v>4185</v>
      </c>
      <c r="B4189" s="9">
        <f t="shared" ref="B4189" si="12098">B4188+H4189+I4189+J4189</f>
        <v>101.03</v>
      </c>
      <c r="C4189" s="3" t="s">
        <v>4593</v>
      </c>
      <c r="D4189">
        <f t="shared" ref="D4189" si="12099">_xlfn.NUMBERVALUE(LEFT(C4189,2))</f>
        <v>6</v>
      </c>
      <c r="E4189">
        <f t="shared" ref="E4189" si="12100">_xlfn.NUMBERVALUE(MID(C4189,4,2))</f>
        <v>2</v>
      </c>
      <c r="F4189">
        <f t="shared" ref="F4189" si="12101">_xlfn.NUMBERVALUE(RIGHT(C4189,4))</f>
        <v>2025</v>
      </c>
      <c r="G4189" t="s">
        <v>1389</v>
      </c>
      <c r="H4189">
        <v>-98.95</v>
      </c>
      <c r="I4189">
        <v>101.03</v>
      </c>
      <c r="K4189" t="s">
        <v>10</v>
      </c>
      <c r="L4189" s="8">
        <f t="shared" si="12069"/>
        <v>2.1020717534108169E-2</v>
      </c>
      <c r="M4189" t="s">
        <v>4610</v>
      </c>
    </row>
    <row r="4190" spans="1:13" x14ac:dyDescent="0.35">
      <c r="A4190">
        <f t="shared" si="11940"/>
        <v>4186</v>
      </c>
      <c r="B4190" s="9">
        <f t="shared" ref="B4190" si="12102">B4189+H4190+I4190+J4190</f>
        <v>105.85</v>
      </c>
      <c r="C4190" s="3" t="s">
        <v>4593</v>
      </c>
      <c r="D4190">
        <f t="shared" ref="D4190" si="12103">_xlfn.NUMBERVALUE(LEFT(C4190,2))</f>
        <v>6</v>
      </c>
      <c r="E4190">
        <f t="shared" ref="E4190" si="12104">_xlfn.NUMBERVALUE(MID(C4190,4,2))</f>
        <v>2</v>
      </c>
      <c r="F4190">
        <f t="shared" ref="F4190" si="12105">_xlfn.NUMBERVALUE(RIGHT(C4190,4))</f>
        <v>2025</v>
      </c>
      <c r="G4190" t="s">
        <v>1389</v>
      </c>
      <c r="H4190">
        <v>-100</v>
      </c>
      <c r="I4190">
        <v>104.82</v>
      </c>
      <c r="K4190" t="s">
        <v>10</v>
      </c>
      <c r="L4190" s="8">
        <f t="shared" si="12069"/>
        <v>4.8200000000000021E-2</v>
      </c>
      <c r="M4190" t="s">
        <v>4611</v>
      </c>
    </row>
    <row r="4191" spans="1:13" x14ac:dyDescent="0.35">
      <c r="A4191">
        <f t="shared" si="11940"/>
        <v>4187</v>
      </c>
      <c r="B4191" s="9">
        <f t="shared" ref="B4191" si="12106">B4190+H4191+I4191+J4191</f>
        <v>109.11</v>
      </c>
      <c r="C4191" s="3" t="s">
        <v>4593</v>
      </c>
      <c r="D4191">
        <f t="shared" ref="D4191" si="12107">_xlfn.NUMBERVALUE(LEFT(C4191,2))</f>
        <v>6</v>
      </c>
      <c r="E4191">
        <f t="shared" ref="E4191" si="12108">_xlfn.NUMBERVALUE(MID(C4191,4,2))</f>
        <v>2</v>
      </c>
      <c r="F4191">
        <f t="shared" ref="F4191" si="12109">_xlfn.NUMBERVALUE(RIGHT(C4191,4))</f>
        <v>2025</v>
      </c>
      <c r="G4191" t="s">
        <v>1389</v>
      </c>
      <c r="H4191">
        <v>-100</v>
      </c>
      <c r="I4191">
        <v>103.26</v>
      </c>
      <c r="K4191" t="s">
        <v>10</v>
      </c>
      <c r="L4191" s="8">
        <f t="shared" si="12069"/>
        <v>3.2599999999999962E-2</v>
      </c>
      <c r="M4191" t="s">
        <v>4612</v>
      </c>
    </row>
    <row r="4192" spans="1:13" x14ac:dyDescent="0.35">
      <c r="A4192">
        <f t="shared" si="11940"/>
        <v>4188</v>
      </c>
      <c r="B4192" s="9">
        <f t="shared" ref="B4192" si="12110">B4191+H4192+I4192+J4192</f>
        <v>9.11</v>
      </c>
      <c r="C4192" s="3" t="s">
        <v>4593</v>
      </c>
      <c r="D4192">
        <f t="shared" ref="D4192" si="12111">_xlfn.NUMBERVALUE(LEFT(C4192,2))</f>
        <v>6</v>
      </c>
      <c r="E4192">
        <f t="shared" ref="E4192" si="12112">_xlfn.NUMBERVALUE(MID(C4192,4,2))</f>
        <v>2</v>
      </c>
      <c r="F4192">
        <f t="shared" ref="F4192" si="12113">_xlfn.NUMBERVALUE(RIGHT(C4192,4))</f>
        <v>2025</v>
      </c>
      <c r="G4192" t="s">
        <v>1389</v>
      </c>
      <c r="H4192">
        <v>-100</v>
      </c>
      <c r="K4192" t="s">
        <v>9</v>
      </c>
      <c r="L4192" s="8">
        <f t="shared" si="12069"/>
        <v>-1</v>
      </c>
      <c r="M4192" t="s">
        <v>4614</v>
      </c>
    </row>
    <row r="4193" spans="1:13" x14ac:dyDescent="0.35">
      <c r="A4193">
        <f t="shared" si="11940"/>
        <v>4189</v>
      </c>
      <c r="B4193" s="9">
        <f t="shared" ref="B4193" si="12114">B4192+H4193+I4193+J4193</f>
        <v>4.1099999999999994</v>
      </c>
      <c r="C4193" s="3" t="s">
        <v>4619</v>
      </c>
      <c r="D4193">
        <f t="shared" ref="D4193" si="12115">_xlfn.NUMBERVALUE(LEFT(C4193,2))</f>
        <v>7</v>
      </c>
      <c r="E4193">
        <f t="shared" ref="E4193" si="12116">_xlfn.NUMBERVALUE(MID(C4193,4,2))</f>
        <v>2</v>
      </c>
      <c r="F4193">
        <f t="shared" ref="F4193" si="12117">_xlfn.NUMBERVALUE(RIGHT(C4193,4))</f>
        <v>2025</v>
      </c>
      <c r="G4193" t="s">
        <v>7</v>
      </c>
      <c r="H4193">
        <v>-5</v>
      </c>
      <c r="K4193" t="s">
        <v>9</v>
      </c>
      <c r="L4193" s="8">
        <f t="shared" si="12069"/>
        <v>-1</v>
      </c>
      <c r="M4193" t="s">
        <v>4615</v>
      </c>
    </row>
    <row r="4194" spans="1:13" x14ac:dyDescent="0.35">
      <c r="A4194">
        <f t="shared" si="11940"/>
        <v>4190</v>
      </c>
      <c r="B4194" s="9">
        <f t="shared" ref="B4194" si="12118">B4193+H4194+I4194+J4194</f>
        <v>4.1099999999999994</v>
      </c>
      <c r="C4194" s="3" t="s">
        <v>4619</v>
      </c>
      <c r="D4194">
        <f t="shared" ref="D4194" si="12119">_xlfn.NUMBERVALUE(LEFT(C4194,2))</f>
        <v>7</v>
      </c>
      <c r="E4194">
        <f t="shared" ref="E4194" si="12120">_xlfn.NUMBERVALUE(MID(C4194,4,2))</f>
        <v>2</v>
      </c>
      <c r="F4194">
        <f t="shared" ref="F4194" si="12121">_xlfn.NUMBERVALUE(RIGHT(C4194,4))</f>
        <v>2025</v>
      </c>
      <c r="G4194" t="s">
        <v>3039</v>
      </c>
      <c r="K4194" t="s">
        <v>10</v>
      </c>
      <c r="L4194" s="8">
        <f t="shared" si="12069"/>
        <v>0</v>
      </c>
      <c r="M4194" t="s">
        <v>4616</v>
      </c>
    </row>
    <row r="4195" spans="1:13" x14ac:dyDescent="0.35">
      <c r="A4195">
        <f t="shared" si="11940"/>
        <v>4191</v>
      </c>
      <c r="B4195" s="9">
        <f t="shared" ref="B4195:B4196" si="12122">B4194+H4195+I4195+J4195</f>
        <v>4.1099999999999994</v>
      </c>
      <c r="C4195" s="3" t="s">
        <v>4619</v>
      </c>
      <c r="D4195">
        <f t="shared" ref="D4195:D4196" si="12123">_xlfn.NUMBERVALUE(LEFT(C4195,2))</f>
        <v>7</v>
      </c>
      <c r="E4195">
        <f t="shared" ref="E4195:E4196" si="12124">_xlfn.NUMBERVALUE(MID(C4195,4,2))</f>
        <v>2</v>
      </c>
      <c r="F4195">
        <f t="shared" ref="F4195:F4196" si="12125">_xlfn.NUMBERVALUE(RIGHT(C4195,4))</f>
        <v>2025</v>
      </c>
      <c r="G4195" t="s">
        <v>2969</v>
      </c>
      <c r="K4195" t="s">
        <v>9</v>
      </c>
      <c r="L4195" s="8">
        <f t="shared" ref="L4195:L4206" si="12126">IF(H4195="",0,(SUM(I4195:J4195)/-H4195)-1)</f>
        <v>0</v>
      </c>
      <c r="M4195" t="s">
        <v>4617</v>
      </c>
    </row>
    <row r="4196" spans="1:13" x14ac:dyDescent="0.35">
      <c r="A4196">
        <f t="shared" si="11940"/>
        <v>4192</v>
      </c>
      <c r="B4196" s="9">
        <f t="shared" si="12122"/>
        <v>3.6099999999999994</v>
      </c>
      <c r="C4196" s="3" t="s">
        <v>4620</v>
      </c>
      <c r="D4196">
        <f t="shared" si="12123"/>
        <v>8</v>
      </c>
      <c r="E4196">
        <f t="shared" si="12124"/>
        <v>2</v>
      </c>
      <c r="F4196">
        <f t="shared" si="12125"/>
        <v>2025</v>
      </c>
      <c r="G4196" t="s">
        <v>3039</v>
      </c>
      <c r="H4196">
        <v>-0.5</v>
      </c>
      <c r="K4196" t="s">
        <v>9</v>
      </c>
      <c r="L4196" s="8">
        <f t="shared" si="12126"/>
        <v>-1</v>
      </c>
      <c r="M4196" t="s">
        <v>4618</v>
      </c>
    </row>
    <row r="4197" spans="1:13" x14ac:dyDescent="0.35">
      <c r="A4197">
        <f t="shared" si="11940"/>
        <v>4193</v>
      </c>
      <c r="B4197" s="9">
        <f t="shared" ref="B4197" si="12127">B4196+H4197+I4197+J4197</f>
        <v>3.6099999999999994</v>
      </c>
      <c r="C4197" s="3" t="s">
        <v>4620</v>
      </c>
      <c r="D4197">
        <f t="shared" ref="D4197" si="12128">_xlfn.NUMBERVALUE(LEFT(C4197,2))</f>
        <v>8</v>
      </c>
      <c r="E4197">
        <f t="shared" ref="E4197" si="12129">_xlfn.NUMBERVALUE(MID(C4197,4,2))</f>
        <v>2</v>
      </c>
      <c r="F4197">
        <f t="shared" ref="F4197" si="12130">_xlfn.NUMBERVALUE(RIGHT(C4197,4))</f>
        <v>2025</v>
      </c>
      <c r="G4197" t="s">
        <v>3039</v>
      </c>
      <c r="K4197" t="s">
        <v>9</v>
      </c>
      <c r="L4197" s="8">
        <f t="shared" si="12126"/>
        <v>0</v>
      </c>
      <c r="M4197" t="s">
        <v>4621</v>
      </c>
    </row>
    <row r="4198" spans="1:13" x14ac:dyDescent="0.35">
      <c r="A4198">
        <f t="shared" si="11940"/>
        <v>4194</v>
      </c>
      <c r="B4198" s="9">
        <f t="shared" ref="B4198:B4200" si="12131">B4197+H4198+I4198+J4198</f>
        <v>113.53</v>
      </c>
      <c r="C4198" s="3" t="s">
        <v>4622</v>
      </c>
      <c r="D4198">
        <f t="shared" ref="D4198:D4200" si="12132">_xlfn.NUMBERVALUE(LEFT(C4198,2))</f>
        <v>9</v>
      </c>
      <c r="E4198">
        <f t="shared" ref="E4198:E4200" si="12133">_xlfn.NUMBERVALUE(MID(C4198,4,2))</f>
        <v>2</v>
      </c>
      <c r="F4198">
        <f t="shared" ref="F4198:F4200" si="12134">_xlfn.NUMBERVALUE(RIGHT(C4198,4))</f>
        <v>2025</v>
      </c>
      <c r="G4198" t="s">
        <v>3362</v>
      </c>
      <c r="I4198">
        <v>109.92</v>
      </c>
    </row>
    <row r="4199" spans="1:13" x14ac:dyDescent="0.35">
      <c r="A4199">
        <f t="shared" si="11940"/>
        <v>4195</v>
      </c>
      <c r="B4199" s="9">
        <f t="shared" si="12131"/>
        <v>108.53</v>
      </c>
      <c r="C4199" s="3" t="s">
        <v>4622</v>
      </c>
      <c r="D4199">
        <f t="shared" si="12132"/>
        <v>9</v>
      </c>
      <c r="E4199">
        <f t="shared" si="12133"/>
        <v>2</v>
      </c>
      <c r="F4199">
        <f t="shared" si="12134"/>
        <v>2025</v>
      </c>
      <c r="G4199" t="s">
        <v>7</v>
      </c>
      <c r="H4199">
        <v>-5</v>
      </c>
      <c r="K4199" t="s">
        <v>9</v>
      </c>
      <c r="L4199" s="8">
        <f t="shared" si="12126"/>
        <v>-1</v>
      </c>
      <c r="M4199" t="s">
        <v>4623</v>
      </c>
    </row>
    <row r="4200" spans="1:13" x14ac:dyDescent="0.35">
      <c r="A4200">
        <f t="shared" si="11940"/>
        <v>4196</v>
      </c>
      <c r="B4200" s="9">
        <f t="shared" si="12131"/>
        <v>108.53</v>
      </c>
      <c r="C4200" s="3" t="s">
        <v>4622</v>
      </c>
      <c r="D4200">
        <f t="shared" si="12132"/>
        <v>9</v>
      </c>
      <c r="E4200">
        <f t="shared" si="12133"/>
        <v>2</v>
      </c>
      <c r="F4200">
        <f t="shared" si="12134"/>
        <v>2025</v>
      </c>
      <c r="G4200" t="s">
        <v>3039</v>
      </c>
      <c r="K4200" t="s">
        <v>10</v>
      </c>
      <c r="L4200" s="8">
        <f t="shared" si="12126"/>
        <v>0</v>
      </c>
      <c r="M4200" t="s">
        <v>4624</v>
      </c>
    </row>
    <row r="4201" spans="1:13" x14ac:dyDescent="0.35">
      <c r="A4201">
        <f t="shared" si="11940"/>
        <v>4197</v>
      </c>
      <c r="B4201" s="9">
        <f t="shared" ref="B4201:B4203" si="12135">B4200+H4201+I4201+J4201</f>
        <v>103.53</v>
      </c>
      <c r="C4201" s="3" t="s">
        <v>4625</v>
      </c>
      <c r="D4201">
        <f t="shared" ref="D4201:D4203" si="12136">_xlfn.NUMBERVALUE(LEFT(C4201,2))</f>
        <v>10</v>
      </c>
      <c r="E4201">
        <f t="shared" ref="E4201:E4203" si="12137">_xlfn.NUMBERVALUE(MID(C4201,4,2))</f>
        <v>2</v>
      </c>
      <c r="F4201">
        <f t="shared" ref="F4201:F4203" si="12138">_xlfn.NUMBERVALUE(RIGHT(C4201,4))</f>
        <v>2025</v>
      </c>
      <c r="G4201" t="s">
        <v>7</v>
      </c>
      <c r="H4201">
        <v>-5</v>
      </c>
      <c r="K4201" t="s">
        <v>9</v>
      </c>
      <c r="L4201" s="8">
        <f t="shared" si="12126"/>
        <v>-1</v>
      </c>
      <c r="M4201" t="s">
        <v>4626</v>
      </c>
    </row>
    <row r="4202" spans="1:13" x14ac:dyDescent="0.35">
      <c r="A4202">
        <f t="shared" ref="A4202" si="12139">A4201+1</f>
        <v>4198</v>
      </c>
      <c r="B4202" s="9">
        <f t="shared" si="12135"/>
        <v>103.53</v>
      </c>
      <c r="C4202" s="3" t="s">
        <v>4625</v>
      </c>
      <c r="D4202">
        <f t="shared" si="12136"/>
        <v>10</v>
      </c>
      <c r="E4202">
        <f t="shared" si="12137"/>
        <v>2</v>
      </c>
      <c r="F4202">
        <f t="shared" si="12138"/>
        <v>2025</v>
      </c>
      <c r="G4202" t="s">
        <v>3039</v>
      </c>
      <c r="K4202" t="s">
        <v>9</v>
      </c>
      <c r="L4202" s="8">
        <f t="shared" si="12126"/>
        <v>0</v>
      </c>
      <c r="M4202" t="s">
        <v>4627</v>
      </c>
    </row>
    <row r="4203" spans="1:13" x14ac:dyDescent="0.35">
      <c r="A4203">
        <f t="shared" si="11940"/>
        <v>4199</v>
      </c>
      <c r="B4203" s="9">
        <f t="shared" si="12135"/>
        <v>105.88</v>
      </c>
      <c r="C4203" s="3" t="s">
        <v>4625</v>
      </c>
      <c r="D4203">
        <f t="shared" si="12136"/>
        <v>10</v>
      </c>
      <c r="E4203">
        <f t="shared" si="12137"/>
        <v>2</v>
      </c>
      <c r="F4203">
        <f t="shared" si="12138"/>
        <v>2025</v>
      </c>
      <c r="G4203" t="s">
        <v>1389</v>
      </c>
      <c r="H4203">
        <v>-10</v>
      </c>
      <c r="I4203">
        <v>12.35</v>
      </c>
      <c r="K4203" t="s">
        <v>10</v>
      </c>
      <c r="L4203" s="8">
        <f t="shared" si="12126"/>
        <v>0.23499999999999988</v>
      </c>
      <c r="M4203" t="s">
        <v>4628</v>
      </c>
    </row>
    <row r="4204" spans="1:13" x14ac:dyDescent="0.35">
      <c r="A4204">
        <f t="shared" si="11940"/>
        <v>4200</v>
      </c>
      <c r="B4204" s="9">
        <f t="shared" ref="B4204" si="12140">B4203+H4204+I4204+J4204</f>
        <v>99.61</v>
      </c>
      <c r="C4204" s="3" t="s">
        <v>4625</v>
      </c>
      <c r="D4204">
        <f t="shared" ref="D4204" si="12141">_xlfn.NUMBERVALUE(LEFT(C4204,2))</f>
        <v>10</v>
      </c>
      <c r="E4204">
        <f t="shared" ref="E4204" si="12142">_xlfn.NUMBERVALUE(MID(C4204,4,2))</f>
        <v>2</v>
      </c>
      <c r="F4204">
        <f t="shared" ref="F4204" si="12143">_xlfn.NUMBERVALUE(RIGHT(C4204,4))</f>
        <v>2025</v>
      </c>
      <c r="G4204" t="s">
        <v>1389</v>
      </c>
      <c r="H4204">
        <v>-10</v>
      </c>
      <c r="I4204">
        <v>3.73</v>
      </c>
      <c r="K4204" t="s">
        <v>9</v>
      </c>
      <c r="L4204" s="8">
        <f t="shared" si="12126"/>
        <v>-0.627</v>
      </c>
      <c r="M4204" t="s">
        <v>4629</v>
      </c>
    </row>
    <row r="4205" spans="1:13" x14ac:dyDescent="0.35">
      <c r="A4205">
        <f t="shared" si="11940"/>
        <v>4201</v>
      </c>
      <c r="B4205" s="9">
        <f t="shared" ref="B4205" si="12144">B4204+H4205+I4205+J4205</f>
        <v>101.76</v>
      </c>
      <c r="C4205" s="3" t="s">
        <v>4625</v>
      </c>
      <c r="D4205">
        <f t="shared" ref="D4205" si="12145">_xlfn.NUMBERVALUE(LEFT(C4205,2))</f>
        <v>10</v>
      </c>
      <c r="E4205">
        <f t="shared" ref="E4205" si="12146">_xlfn.NUMBERVALUE(MID(C4205,4,2))</f>
        <v>2</v>
      </c>
      <c r="F4205">
        <f t="shared" ref="F4205" si="12147">_xlfn.NUMBERVALUE(RIGHT(C4205,4))</f>
        <v>2025</v>
      </c>
      <c r="G4205" t="s">
        <v>1389</v>
      </c>
      <c r="H4205">
        <v>-10</v>
      </c>
      <c r="I4205">
        <v>12.15</v>
      </c>
      <c r="K4205" t="s">
        <v>10</v>
      </c>
      <c r="L4205" s="8">
        <f t="shared" si="12126"/>
        <v>0.21500000000000008</v>
      </c>
      <c r="M4205" t="s">
        <v>4630</v>
      </c>
    </row>
    <row r="4206" spans="1:13" x14ac:dyDescent="0.35">
      <c r="A4206">
        <f t="shared" si="11940"/>
        <v>4202</v>
      </c>
      <c r="B4206" s="9">
        <f t="shared" ref="B4206:B4207" si="12148">B4205+H4206+I4206+J4206</f>
        <v>96.17</v>
      </c>
      <c r="C4206" s="3" t="s">
        <v>4625</v>
      </c>
      <c r="D4206">
        <f t="shared" ref="D4206:D4207" si="12149">_xlfn.NUMBERVALUE(LEFT(C4206,2))</f>
        <v>10</v>
      </c>
      <c r="E4206">
        <f t="shared" ref="E4206:E4207" si="12150">_xlfn.NUMBERVALUE(MID(C4206,4,2))</f>
        <v>2</v>
      </c>
      <c r="F4206">
        <f t="shared" ref="F4206:F4207" si="12151">_xlfn.NUMBERVALUE(RIGHT(C4206,4))</f>
        <v>2025</v>
      </c>
      <c r="G4206" t="s">
        <v>1389</v>
      </c>
      <c r="H4206">
        <v>-10</v>
      </c>
      <c r="I4206">
        <v>4.41</v>
      </c>
      <c r="K4206" t="s">
        <v>9</v>
      </c>
      <c r="L4206" s="8">
        <f t="shared" si="12126"/>
        <v>-0.55899999999999994</v>
      </c>
      <c r="M4206" t="s">
        <v>4631</v>
      </c>
    </row>
    <row r="4207" spans="1:13" x14ac:dyDescent="0.35">
      <c r="A4207">
        <f t="shared" ref="A4207" si="12152">A4206+1</f>
        <v>4203</v>
      </c>
      <c r="B4207" s="9">
        <f t="shared" si="12148"/>
        <v>96.17</v>
      </c>
      <c r="C4207" s="3" t="s">
        <v>4625</v>
      </c>
      <c r="D4207">
        <f t="shared" si="12149"/>
        <v>10</v>
      </c>
      <c r="E4207">
        <f t="shared" si="12150"/>
        <v>2</v>
      </c>
      <c r="F4207">
        <f t="shared" si="12151"/>
        <v>2025</v>
      </c>
      <c r="G4207" t="s">
        <v>2969</v>
      </c>
      <c r="K4207" t="s">
        <v>9</v>
      </c>
      <c r="L4207" s="8">
        <f t="shared" ref="L4207:L4220" si="12153">IF(H4207="",0,(SUM(I4207:J4207)/-H4207)-1)</f>
        <v>0</v>
      </c>
      <c r="M4207" t="s">
        <v>4632</v>
      </c>
    </row>
    <row r="4208" spans="1:13" x14ac:dyDescent="0.35">
      <c r="A4208">
        <f t="shared" si="11940"/>
        <v>4204</v>
      </c>
      <c r="B4208" s="9">
        <f t="shared" ref="B4208:B4209" si="12154">B4207+H4208+I4208+J4208</f>
        <v>81.070000000000007</v>
      </c>
      <c r="C4208" s="3" t="s">
        <v>4625</v>
      </c>
      <c r="D4208">
        <f t="shared" ref="D4208:D4209" si="12155">_xlfn.NUMBERVALUE(LEFT(C4208,2))</f>
        <v>10</v>
      </c>
      <c r="E4208">
        <f t="shared" ref="E4208:E4209" si="12156">_xlfn.NUMBERVALUE(MID(C4208,4,2))</f>
        <v>2</v>
      </c>
      <c r="F4208">
        <f t="shared" ref="F4208:F4209" si="12157">_xlfn.NUMBERVALUE(RIGHT(C4208,4))</f>
        <v>2025</v>
      </c>
      <c r="G4208" t="s">
        <v>1389</v>
      </c>
      <c r="H4208">
        <v>-20</v>
      </c>
      <c r="I4208">
        <v>4.9000000000000004</v>
      </c>
      <c r="K4208" t="s">
        <v>9</v>
      </c>
      <c r="L4208" s="8">
        <f t="shared" si="12153"/>
        <v>-0.755</v>
      </c>
      <c r="M4208" t="s">
        <v>4633</v>
      </c>
    </row>
    <row r="4209" spans="1:13" x14ac:dyDescent="0.35">
      <c r="A4209">
        <f t="shared" si="11940"/>
        <v>4205</v>
      </c>
      <c r="B4209" s="9">
        <f t="shared" si="12154"/>
        <v>89.18</v>
      </c>
      <c r="C4209" s="3" t="s">
        <v>4625</v>
      </c>
      <c r="D4209">
        <f t="shared" si="12155"/>
        <v>10</v>
      </c>
      <c r="E4209">
        <f t="shared" si="12156"/>
        <v>2</v>
      </c>
      <c r="F4209">
        <f t="shared" si="12157"/>
        <v>2025</v>
      </c>
      <c r="G4209" t="s">
        <v>1389</v>
      </c>
      <c r="H4209">
        <v>-10</v>
      </c>
      <c r="I4209">
        <v>18.11</v>
      </c>
      <c r="K4209" t="s">
        <v>10</v>
      </c>
      <c r="L4209" s="8">
        <f t="shared" si="12153"/>
        <v>0.81099999999999994</v>
      </c>
      <c r="M4209" t="s">
        <v>4634</v>
      </c>
    </row>
    <row r="4210" spans="1:13" x14ac:dyDescent="0.35">
      <c r="A4210">
        <f t="shared" si="11940"/>
        <v>4206</v>
      </c>
      <c r="B4210" s="9">
        <f t="shared" ref="B4210:B4211" si="12158">B4209+H4210+I4210+J4210</f>
        <v>90.18</v>
      </c>
      <c r="C4210" s="3" t="s">
        <v>4625</v>
      </c>
      <c r="D4210">
        <f t="shared" ref="D4210:D4211" si="12159">_xlfn.NUMBERVALUE(LEFT(C4210,2))</f>
        <v>10</v>
      </c>
      <c r="E4210">
        <f t="shared" ref="E4210:E4211" si="12160">_xlfn.NUMBERVALUE(MID(C4210,4,2))</f>
        <v>2</v>
      </c>
      <c r="F4210">
        <f t="shared" ref="F4210:F4211" si="12161">_xlfn.NUMBERVALUE(RIGHT(C4210,4))</f>
        <v>2025</v>
      </c>
      <c r="G4210" t="s">
        <v>4209</v>
      </c>
      <c r="I4210">
        <v>1</v>
      </c>
      <c r="K4210" t="s">
        <v>10</v>
      </c>
    </row>
    <row r="4211" spans="1:13" x14ac:dyDescent="0.35">
      <c r="A4211">
        <f t="shared" si="11940"/>
        <v>4207</v>
      </c>
      <c r="B4211" s="9">
        <f t="shared" si="12158"/>
        <v>93.690000000000012</v>
      </c>
      <c r="C4211" s="3" t="s">
        <v>4625</v>
      </c>
      <c r="D4211">
        <f t="shared" si="12159"/>
        <v>10</v>
      </c>
      <c r="E4211">
        <f t="shared" si="12160"/>
        <v>2</v>
      </c>
      <c r="F4211">
        <f t="shared" si="12161"/>
        <v>2025</v>
      </c>
      <c r="G4211" t="s">
        <v>1389</v>
      </c>
      <c r="H4211">
        <v>-10</v>
      </c>
      <c r="I4211">
        <v>13.51</v>
      </c>
      <c r="K4211" t="s">
        <v>10</v>
      </c>
      <c r="L4211" s="8">
        <f t="shared" si="12153"/>
        <v>0.35099999999999998</v>
      </c>
      <c r="M4211" t="s">
        <v>4635</v>
      </c>
    </row>
    <row r="4212" spans="1:13" x14ac:dyDescent="0.35">
      <c r="A4212">
        <f t="shared" si="11940"/>
        <v>4208</v>
      </c>
      <c r="B4212" s="9">
        <f t="shared" ref="B4212" si="12162">B4211+H4212+I4212+J4212</f>
        <v>99.660000000000011</v>
      </c>
      <c r="C4212" s="3" t="s">
        <v>4625</v>
      </c>
      <c r="D4212">
        <f t="shared" ref="D4212" si="12163">_xlfn.NUMBERVALUE(LEFT(C4212,2))</f>
        <v>10</v>
      </c>
      <c r="E4212">
        <f t="shared" ref="E4212" si="12164">_xlfn.NUMBERVALUE(MID(C4212,4,2))</f>
        <v>2</v>
      </c>
      <c r="F4212">
        <f t="shared" ref="F4212" si="12165">_xlfn.NUMBERVALUE(RIGHT(C4212,4))</f>
        <v>2025</v>
      </c>
      <c r="G4212" t="s">
        <v>1389</v>
      </c>
      <c r="H4212">
        <v>-10</v>
      </c>
      <c r="I4212">
        <v>15.97</v>
      </c>
      <c r="K4212" t="s">
        <v>10</v>
      </c>
      <c r="L4212" s="8">
        <f t="shared" si="12153"/>
        <v>0.59699999999999998</v>
      </c>
      <c r="M4212" t="s">
        <v>4636</v>
      </c>
    </row>
    <row r="4213" spans="1:13" x14ac:dyDescent="0.35">
      <c r="A4213">
        <f t="shared" si="11940"/>
        <v>4209</v>
      </c>
      <c r="B4213" s="9">
        <f t="shared" ref="B4213" si="12166">B4212+H4213+I4213+J4213</f>
        <v>94.720000000000013</v>
      </c>
      <c r="C4213" s="3" t="s">
        <v>4625</v>
      </c>
      <c r="D4213">
        <f t="shared" ref="D4213" si="12167">_xlfn.NUMBERVALUE(LEFT(C4213,2))</f>
        <v>10</v>
      </c>
      <c r="E4213">
        <f t="shared" ref="E4213" si="12168">_xlfn.NUMBERVALUE(MID(C4213,4,2))</f>
        <v>2</v>
      </c>
      <c r="F4213">
        <f t="shared" ref="F4213" si="12169">_xlfn.NUMBERVALUE(RIGHT(C4213,4))</f>
        <v>2025</v>
      </c>
      <c r="G4213" t="s">
        <v>1389</v>
      </c>
      <c r="H4213">
        <v>-10</v>
      </c>
      <c r="I4213">
        <v>5.0599999999999996</v>
      </c>
      <c r="K4213" t="s">
        <v>9</v>
      </c>
      <c r="L4213" s="8">
        <f t="shared" si="12153"/>
        <v>-0.49399999999999999</v>
      </c>
      <c r="M4213" t="s">
        <v>4637</v>
      </c>
    </row>
    <row r="4214" spans="1:13" x14ac:dyDescent="0.35">
      <c r="A4214">
        <f t="shared" si="11940"/>
        <v>4210</v>
      </c>
      <c r="B4214" s="9">
        <f t="shared" ref="B4214" si="12170">B4213+H4214+I4214+J4214</f>
        <v>86.610000000000014</v>
      </c>
      <c r="C4214" s="3" t="s">
        <v>4625</v>
      </c>
      <c r="D4214">
        <f t="shared" ref="D4214" si="12171">_xlfn.NUMBERVALUE(LEFT(C4214,2))</f>
        <v>10</v>
      </c>
      <c r="E4214">
        <f t="shared" ref="E4214" si="12172">_xlfn.NUMBERVALUE(MID(C4214,4,2))</f>
        <v>2</v>
      </c>
      <c r="F4214">
        <f t="shared" ref="F4214" si="12173">_xlfn.NUMBERVALUE(RIGHT(C4214,4))</f>
        <v>2025</v>
      </c>
      <c r="G4214" t="s">
        <v>1389</v>
      </c>
      <c r="H4214">
        <v>-10</v>
      </c>
      <c r="I4214">
        <v>1.89</v>
      </c>
      <c r="K4214" t="s">
        <v>9</v>
      </c>
      <c r="L4214" s="8">
        <f t="shared" si="12153"/>
        <v>-0.81099999999999994</v>
      </c>
      <c r="M4214" t="s">
        <v>4638</v>
      </c>
    </row>
    <row r="4215" spans="1:13" x14ac:dyDescent="0.35">
      <c r="A4215">
        <f t="shared" si="11940"/>
        <v>4211</v>
      </c>
      <c r="B4215" s="9">
        <f t="shared" ref="B4215" si="12174">B4214+H4215+I4215+J4215</f>
        <v>89.000000000000014</v>
      </c>
      <c r="C4215" s="3" t="s">
        <v>4625</v>
      </c>
      <c r="D4215">
        <f t="shared" ref="D4215" si="12175">_xlfn.NUMBERVALUE(LEFT(C4215,2))</f>
        <v>10</v>
      </c>
      <c r="E4215">
        <f t="shared" ref="E4215" si="12176">_xlfn.NUMBERVALUE(MID(C4215,4,2))</f>
        <v>2</v>
      </c>
      <c r="F4215">
        <f t="shared" ref="F4215" si="12177">_xlfn.NUMBERVALUE(RIGHT(C4215,4))</f>
        <v>2025</v>
      </c>
      <c r="G4215" t="s">
        <v>1389</v>
      </c>
      <c r="H4215">
        <v>-10</v>
      </c>
      <c r="I4215">
        <v>12.39</v>
      </c>
      <c r="K4215" t="s">
        <v>10</v>
      </c>
      <c r="L4215" s="8">
        <f t="shared" si="12153"/>
        <v>0.2390000000000001</v>
      </c>
      <c r="M4215" t="s">
        <v>4639</v>
      </c>
    </row>
    <row r="4216" spans="1:13" x14ac:dyDescent="0.35">
      <c r="A4216">
        <f t="shared" si="11940"/>
        <v>4212</v>
      </c>
      <c r="B4216" s="9">
        <f t="shared" ref="B4216" si="12178">B4215+H4216+I4216+J4216</f>
        <v>91.470000000000013</v>
      </c>
      <c r="C4216" s="3" t="s">
        <v>4625</v>
      </c>
      <c r="D4216">
        <f t="shared" ref="D4216" si="12179">_xlfn.NUMBERVALUE(LEFT(C4216,2))</f>
        <v>10</v>
      </c>
      <c r="E4216">
        <f t="shared" ref="E4216" si="12180">_xlfn.NUMBERVALUE(MID(C4216,4,2))</f>
        <v>2</v>
      </c>
      <c r="F4216">
        <f t="shared" ref="F4216" si="12181">_xlfn.NUMBERVALUE(RIGHT(C4216,4))</f>
        <v>2025</v>
      </c>
      <c r="G4216" t="s">
        <v>1389</v>
      </c>
      <c r="H4216">
        <v>-10</v>
      </c>
      <c r="I4216">
        <v>12.47</v>
      </c>
      <c r="K4216" t="s">
        <v>10</v>
      </c>
      <c r="L4216" s="8">
        <f t="shared" si="12153"/>
        <v>0.24700000000000011</v>
      </c>
      <c r="M4216" t="s">
        <v>4640</v>
      </c>
    </row>
    <row r="4217" spans="1:13" x14ac:dyDescent="0.35">
      <c r="A4217">
        <f t="shared" si="11940"/>
        <v>4213</v>
      </c>
      <c r="B4217" s="9">
        <f t="shared" ref="B4217" si="12182">B4216+H4217+I4217+J4217</f>
        <v>93.980000000000018</v>
      </c>
      <c r="C4217" s="3" t="s">
        <v>4625</v>
      </c>
      <c r="D4217">
        <f t="shared" ref="D4217" si="12183">_xlfn.NUMBERVALUE(LEFT(C4217,2))</f>
        <v>10</v>
      </c>
      <c r="E4217">
        <f t="shared" ref="E4217" si="12184">_xlfn.NUMBERVALUE(MID(C4217,4,2))</f>
        <v>2</v>
      </c>
      <c r="F4217">
        <f t="shared" ref="F4217" si="12185">_xlfn.NUMBERVALUE(RIGHT(C4217,4))</f>
        <v>2025</v>
      </c>
      <c r="G4217" t="s">
        <v>1389</v>
      </c>
      <c r="H4217">
        <v>-10</v>
      </c>
      <c r="I4217">
        <v>12.51</v>
      </c>
      <c r="K4217" t="s">
        <v>10</v>
      </c>
      <c r="L4217" s="8">
        <f t="shared" si="12153"/>
        <v>0.25099999999999989</v>
      </c>
      <c r="M4217" t="s">
        <v>4641</v>
      </c>
    </row>
    <row r="4218" spans="1:13" x14ac:dyDescent="0.35">
      <c r="A4218">
        <f t="shared" si="11940"/>
        <v>4214</v>
      </c>
      <c r="B4218" s="9">
        <f t="shared" ref="B4218" si="12186">B4217+H4218+I4218+J4218</f>
        <v>83.980000000000018</v>
      </c>
      <c r="C4218" s="3" t="s">
        <v>4625</v>
      </c>
      <c r="D4218">
        <f t="shared" ref="D4218" si="12187">_xlfn.NUMBERVALUE(LEFT(C4218,2))</f>
        <v>10</v>
      </c>
      <c r="E4218">
        <f t="shared" ref="E4218" si="12188">_xlfn.NUMBERVALUE(MID(C4218,4,2))</f>
        <v>2</v>
      </c>
      <c r="F4218">
        <f t="shared" ref="F4218" si="12189">_xlfn.NUMBERVALUE(RIGHT(C4218,4))</f>
        <v>2025</v>
      </c>
      <c r="G4218" t="s">
        <v>1389</v>
      </c>
      <c r="H4218">
        <v>-10</v>
      </c>
      <c r="K4218" t="s">
        <v>9</v>
      </c>
      <c r="L4218" s="8">
        <f t="shared" si="12153"/>
        <v>-1</v>
      </c>
      <c r="M4218" t="s">
        <v>4642</v>
      </c>
    </row>
    <row r="4219" spans="1:13" x14ac:dyDescent="0.35">
      <c r="A4219">
        <f t="shared" si="11940"/>
        <v>4215</v>
      </c>
      <c r="B4219" s="9">
        <f t="shared" ref="B4219" si="12190">B4218+H4219+I4219+J4219</f>
        <v>73.980000000000018</v>
      </c>
      <c r="C4219" s="3" t="s">
        <v>4625</v>
      </c>
      <c r="D4219">
        <f t="shared" ref="D4219" si="12191">_xlfn.NUMBERVALUE(LEFT(C4219,2))</f>
        <v>10</v>
      </c>
      <c r="E4219">
        <f t="shared" ref="E4219" si="12192">_xlfn.NUMBERVALUE(MID(C4219,4,2))</f>
        <v>2</v>
      </c>
      <c r="F4219">
        <f t="shared" ref="F4219" si="12193">_xlfn.NUMBERVALUE(RIGHT(C4219,4))</f>
        <v>2025</v>
      </c>
      <c r="G4219" t="s">
        <v>1389</v>
      </c>
      <c r="H4219">
        <v>-10</v>
      </c>
      <c r="K4219" t="s">
        <v>9</v>
      </c>
      <c r="L4219" s="8">
        <f t="shared" si="12153"/>
        <v>-1</v>
      </c>
      <c r="M4219" t="s">
        <v>4643</v>
      </c>
    </row>
    <row r="4220" spans="1:13" x14ac:dyDescent="0.35">
      <c r="A4220">
        <f t="shared" si="11940"/>
        <v>4216</v>
      </c>
      <c r="B4220" s="9">
        <f t="shared" ref="B4220:B4222" si="12194">B4219+H4220+I4220+J4220</f>
        <v>63.980000000000018</v>
      </c>
      <c r="C4220" s="3" t="s">
        <v>4625</v>
      </c>
      <c r="D4220">
        <f t="shared" ref="D4220:D4222" si="12195">_xlfn.NUMBERVALUE(LEFT(C4220,2))</f>
        <v>10</v>
      </c>
      <c r="E4220">
        <f t="shared" ref="E4220:E4222" si="12196">_xlfn.NUMBERVALUE(MID(C4220,4,2))</f>
        <v>2</v>
      </c>
      <c r="F4220">
        <f t="shared" ref="F4220:F4222" si="12197">_xlfn.NUMBERVALUE(RIGHT(C4220,4))</f>
        <v>2025</v>
      </c>
      <c r="G4220" t="s">
        <v>1389</v>
      </c>
      <c r="H4220">
        <v>-10</v>
      </c>
      <c r="K4220" t="s">
        <v>9</v>
      </c>
      <c r="L4220" s="8">
        <f t="shared" si="12153"/>
        <v>-1</v>
      </c>
      <c r="M4220" t="s">
        <v>4644</v>
      </c>
    </row>
    <row r="4221" spans="1:13" x14ac:dyDescent="0.35">
      <c r="A4221">
        <f t="shared" si="11940"/>
        <v>4217</v>
      </c>
      <c r="B4221" s="9">
        <f t="shared" si="12194"/>
        <v>58.980000000000018</v>
      </c>
      <c r="C4221" s="3" t="s">
        <v>4645</v>
      </c>
      <c r="D4221">
        <f t="shared" si="12195"/>
        <v>11</v>
      </c>
      <c r="E4221">
        <f t="shared" si="12196"/>
        <v>2</v>
      </c>
      <c r="F4221">
        <f t="shared" si="12197"/>
        <v>2025</v>
      </c>
      <c r="G4221" t="s">
        <v>7</v>
      </c>
      <c r="H4221">
        <v>-5</v>
      </c>
      <c r="K4221" t="s">
        <v>9</v>
      </c>
      <c r="L4221" s="8">
        <f t="shared" ref="L4221:L4231" si="12198">IF(H4221="",0,(SUM(I4221:J4221)/-H4221)-1)</f>
        <v>-1</v>
      </c>
      <c r="M4221" t="s">
        <v>4646</v>
      </c>
    </row>
    <row r="4222" spans="1:13" x14ac:dyDescent="0.35">
      <c r="A4222">
        <f t="shared" ref="A4222" si="12199">A4221+1</f>
        <v>4218</v>
      </c>
      <c r="B4222" s="9">
        <f t="shared" si="12194"/>
        <v>58.980000000000018</v>
      </c>
      <c r="C4222" s="3" t="s">
        <v>4645</v>
      </c>
      <c r="D4222">
        <f t="shared" si="12195"/>
        <v>11</v>
      </c>
      <c r="E4222">
        <f t="shared" si="12196"/>
        <v>2</v>
      </c>
      <c r="F4222">
        <f t="shared" si="12197"/>
        <v>2025</v>
      </c>
      <c r="G4222" t="s">
        <v>3039</v>
      </c>
      <c r="K4222" t="s">
        <v>9</v>
      </c>
      <c r="L4222" s="8">
        <f t="shared" si="12198"/>
        <v>0</v>
      </c>
      <c r="M4222" t="s">
        <v>4647</v>
      </c>
    </row>
    <row r="4223" spans="1:13" x14ac:dyDescent="0.35">
      <c r="A4223">
        <f t="shared" si="11940"/>
        <v>4219</v>
      </c>
      <c r="B4223" s="9">
        <f t="shared" ref="B4223" si="12200">B4222+H4223+I4223+J4223</f>
        <v>59.210000000000022</v>
      </c>
      <c r="C4223" s="3" t="s">
        <v>4645</v>
      </c>
      <c r="D4223">
        <f t="shared" ref="D4223" si="12201">_xlfn.NUMBERVALUE(LEFT(C4223,2))</f>
        <v>11</v>
      </c>
      <c r="E4223">
        <f t="shared" ref="E4223" si="12202">_xlfn.NUMBERVALUE(MID(C4223,4,2))</f>
        <v>2</v>
      </c>
      <c r="F4223">
        <f t="shared" ref="F4223" si="12203">_xlfn.NUMBERVALUE(RIGHT(C4223,4))</f>
        <v>2025</v>
      </c>
      <c r="G4223" t="s">
        <v>1389</v>
      </c>
      <c r="H4223">
        <v>-10</v>
      </c>
      <c r="I4223">
        <v>10.23</v>
      </c>
      <c r="K4223" t="s">
        <v>10</v>
      </c>
      <c r="L4223" s="8">
        <f t="shared" si="12198"/>
        <v>2.3000000000000131E-2</v>
      </c>
      <c r="M4223" t="s">
        <v>4648</v>
      </c>
    </row>
    <row r="4224" spans="1:13" x14ac:dyDescent="0.35">
      <c r="A4224">
        <f t="shared" si="11940"/>
        <v>4220</v>
      </c>
      <c r="B4224" s="9">
        <f t="shared" ref="B4224" si="12204">B4223+H4224+I4224+J4224</f>
        <v>49.210000000000022</v>
      </c>
      <c r="C4224" s="3" t="s">
        <v>4645</v>
      </c>
      <c r="D4224">
        <f t="shared" ref="D4224" si="12205">_xlfn.NUMBERVALUE(LEFT(C4224,2))</f>
        <v>11</v>
      </c>
      <c r="E4224">
        <f t="shared" ref="E4224" si="12206">_xlfn.NUMBERVALUE(MID(C4224,4,2))</f>
        <v>2</v>
      </c>
      <c r="F4224">
        <f t="shared" ref="F4224" si="12207">_xlfn.NUMBERVALUE(RIGHT(C4224,4))</f>
        <v>2025</v>
      </c>
      <c r="G4224" t="s">
        <v>1389</v>
      </c>
      <c r="H4224">
        <v>-10</v>
      </c>
      <c r="K4224" t="s">
        <v>9</v>
      </c>
      <c r="L4224" s="8">
        <f t="shared" si="12198"/>
        <v>-1</v>
      </c>
      <c r="M4224" t="s">
        <v>4649</v>
      </c>
    </row>
    <row r="4225" spans="1:13" x14ac:dyDescent="0.35">
      <c r="A4225">
        <f t="shared" si="11940"/>
        <v>4221</v>
      </c>
      <c r="B4225" s="9">
        <f t="shared" ref="B4225:B4226" si="12208">B4224+H4225+I4225+J4225</f>
        <v>50.210000000000022</v>
      </c>
      <c r="C4225" s="3" t="s">
        <v>4645</v>
      </c>
      <c r="D4225">
        <f t="shared" ref="D4225:D4226" si="12209">_xlfn.NUMBERVALUE(LEFT(C4225,2))</f>
        <v>11</v>
      </c>
      <c r="E4225">
        <f t="shared" ref="E4225:E4226" si="12210">_xlfn.NUMBERVALUE(MID(C4225,4,2))</f>
        <v>2</v>
      </c>
      <c r="F4225">
        <f t="shared" ref="F4225:F4226" si="12211">_xlfn.NUMBERVALUE(RIGHT(C4225,4))</f>
        <v>2025</v>
      </c>
      <c r="G4225" t="s">
        <v>4209</v>
      </c>
      <c r="I4225">
        <v>1</v>
      </c>
      <c r="K4225" t="s">
        <v>10</v>
      </c>
    </row>
    <row r="4226" spans="1:13" x14ac:dyDescent="0.35">
      <c r="A4226">
        <f t="shared" si="11940"/>
        <v>4222</v>
      </c>
      <c r="B4226" s="9">
        <f t="shared" si="12208"/>
        <v>52.210000000000022</v>
      </c>
      <c r="C4226" s="3" t="s">
        <v>4645</v>
      </c>
      <c r="D4226">
        <f t="shared" si="12209"/>
        <v>11</v>
      </c>
      <c r="E4226">
        <f t="shared" si="12210"/>
        <v>2</v>
      </c>
      <c r="F4226">
        <f t="shared" si="12211"/>
        <v>2025</v>
      </c>
      <c r="G4226" t="s">
        <v>1389</v>
      </c>
      <c r="H4226">
        <v>-10</v>
      </c>
      <c r="I4226">
        <v>12</v>
      </c>
      <c r="K4226" t="s">
        <v>10</v>
      </c>
      <c r="L4226" s="8">
        <f t="shared" si="12198"/>
        <v>0.19999999999999996</v>
      </c>
      <c r="M4226" t="s">
        <v>4650</v>
      </c>
    </row>
    <row r="4227" spans="1:13" x14ac:dyDescent="0.35">
      <c r="A4227">
        <f t="shared" si="11940"/>
        <v>4223</v>
      </c>
      <c r="B4227" s="9">
        <f t="shared" ref="B4227" si="12212">B4226+H4227+I4227+J4227</f>
        <v>56.810000000000024</v>
      </c>
      <c r="C4227" s="3" t="s">
        <v>4645</v>
      </c>
      <c r="D4227">
        <f t="shared" ref="D4227" si="12213">_xlfn.NUMBERVALUE(LEFT(C4227,2))</f>
        <v>11</v>
      </c>
      <c r="E4227">
        <f t="shared" ref="E4227" si="12214">_xlfn.NUMBERVALUE(MID(C4227,4,2))</f>
        <v>2</v>
      </c>
      <c r="F4227">
        <f t="shared" ref="F4227" si="12215">_xlfn.NUMBERVALUE(RIGHT(C4227,4))</f>
        <v>2025</v>
      </c>
      <c r="G4227" t="s">
        <v>1389</v>
      </c>
      <c r="H4227">
        <v>-10</v>
      </c>
      <c r="I4227">
        <v>14.6</v>
      </c>
      <c r="K4227" t="s">
        <v>10</v>
      </c>
      <c r="L4227" s="8">
        <f t="shared" si="12198"/>
        <v>0.45999999999999996</v>
      </c>
      <c r="M4227" t="s">
        <v>4651</v>
      </c>
    </row>
    <row r="4228" spans="1:13" x14ac:dyDescent="0.35">
      <c r="A4228">
        <f t="shared" si="11940"/>
        <v>4224</v>
      </c>
      <c r="B4228" s="9">
        <f t="shared" ref="B4228" si="12216">B4227+H4228+I4228+J4228</f>
        <v>59.010000000000019</v>
      </c>
      <c r="C4228" s="3" t="s">
        <v>4645</v>
      </c>
      <c r="D4228">
        <f t="shared" ref="D4228" si="12217">_xlfn.NUMBERVALUE(LEFT(C4228,2))</f>
        <v>11</v>
      </c>
      <c r="E4228">
        <f t="shared" ref="E4228" si="12218">_xlfn.NUMBERVALUE(MID(C4228,4,2))</f>
        <v>2</v>
      </c>
      <c r="F4228">
        <f t="shared" ref="F4228" si="12219">_xlfn.NUMBERVALUE(RIGHT(C4228,4))</f>
        <v>2025</v>
      </c>
      <c r="G4228" t="s">
        <v>1389</v>
      </c>
      <c r="H4228">
        <v>-10</v>
      </c>
      <c r="I4228">
        <v>12.2</v>
      </c>
      <c r="K4228" t="s">
        <v>10</v>
      </c>
      <c r="L4228" s="8">
        <f t="shared" si="12198"/>
        <v>0.21999999999999997</v>
      </c>
      <c r="M4228" t="s">
        <v>4652</v>
      </c>
    </row>
    <row r="4229" spans="1:13" x14ac:dyDescent="0.35">
      <c r="A4229">
        <f t="shared" si="11940"/>
        <v>4225</v>
      </c>
      <c r="B4229" s="9">
        <f t="shared" ref="B4229:B4231" si="12220">B4228+H4229+I4229+J4229</f>
        <v>55.710000000000022</v>
      </c>
      <c r="C4229" s="3" t="s">
        <v>4645</v>
      </c>
      <c r="D4229">
        <f t="shared" ref="D4229:D4231" si="12221">_xlfn.NUMBERVALUE(LEFT(C4229,2))</f>
        <v>11</v>
      </c>
      <c r="E4229">
        <f t="shared" ref="E4229:E4231" si="12222">_xlfn.NUMBERVALUE(MID(C4229,4,2))</f>
        <v>2</v>
      </c>
      <c r="F4229">
        <f t="shared" ref="F4229:F4231" si="12223">_xlfn.NUMBERVALUE(RIGHT(C4229,4))</f>
        <v>2025</v>
      </c>
      <c r="G4229" t="s">
        <v>1389</v>
      </c>
      <c r="H4229">
        <v>-10</v>
      </c>
      <c r="I4229">
        <v>6.7</v>
      </c>
      <c r="K4229" t="s">
        <v>9</v>
      </c>
      <c r="L4229" s="8">
        <f t="shared" si="12198"/>
        <v>-0.32999999999999996</v>
      </c>
      <c r="M4229" t="s">
        <v>4653</v>
      </c>
    </row>
    <row r="4230" spans="1:13" x14ac:dyDescent="0.35">
      <c r="A4230">
        <f t="shared" si="11940"/>
        <v>4226</v>
      </c>
      <c r="B4230" s="9">
        <f t="shared" si="12220"/>
        <v>50.710000000000022</v>
      </c>
      <c r="C4230" s="3" t="s">
        <v>4654</v>
      </c>
      <c r="D4230">
        <f t="shared" si="12221"/>
        <v>12</v>
      </c>
      <c r="E4230">
        <f t="shared" si="12222"/>
        <v>2</v>
      </c>
      <c r="F4230">
        <f t="shared" si="12223"/>
        <v>2025</v>
      </c>
      <c r="G4230" t="s">
        <v>7</v>
      </c>
      <c r="H4230">
        <v>-5</v>
      </c>
      <c r="K4230" t="s">
        <v>9</v>
      </c>
      <c r="L4230" s="8">
        <f t="shared" si="12198"/>
        <v>-1</v>
      </c>
      <c r="M4230" t="s">
        <v>4655</v>
      </c>
    </row>
    <row r="4231" spans="1:13" x14ac:dyDescent="0.35">
      <c r="A4231">
        <f t="shared" ref="A4231:A4326" si="12224">A4230+1</f>
        <v>4227</v>
      </c>
      <c r="B4231" s="9">
        <f t="shared" si="12220"/>
        <v>50.710000000000022</v>
      </c>
      <c r="C4231" s="3" t="s">
        <v>4654</v>
      </c>
      <c r="D4231">
        <f t="shared" si="12221"/>
        <v>12</v>
      </c>
      <c r="E4231">
        <f t="shared" si="12222"/>
        <v>2</v>
      </c>
      <c r="F4231">
        <f t="shared" si="12223"/>
        <v>2025</v>
      </c>
      <c r="G4231" t="s">
        <v>3039</v>
      </c>
      <c r="K4231" t="s">
        <v>9</v>
      </c>
      <c r="L4231" s="8">
        <f t="shared" si="12198"/>
        <v>0</v>
      </c>
      <c r="M4231" t="s">
        <v>4656</v>
      </c>
    </row>
    <row r="4232" spans="1:13" x14ac:dyDescent="0.35">
      <c r="A4232">
        <f t="shared" si="11940"/>
        <v>4228</v>
      </c>
      <c r="B4232" s="9">
        <f t="shared" ref="B4232:B4233" si="12225">B4231+H4232+I4232+J4232</f>
        <v>45.710000000000022</v>
      </c>
      <c r="C4232" s="3" t="s">
        <v>4657</v>
      </c>
      <c r="D4232">
        <f t="shared" ref="D4232:D4233" si="12226">_xlfn.NUMBERVALUE(LEFT(C4232,2))</f>
        <v>13</v>
      </c>
      <c r="E4232">
        <f t="shared" ref="E4232:E4233" si="12227">_xlfn.NUMBERVALUE(MID(C4232,4,2))</f>
        <v>2</v>
      </c>
      <c r="F4232">
        <f t="shared" ref="F4232:F4233" si="12228">_xlfn.NUMBERVALUE(RIGHT(C4232,4))</f>
        <v>2025</v>
      </c>
      <c r="G4232" t="s">
        <v>7</v>
      </c>
      <c r="H4232">
        <v>-5</v>
      </c>
      <c r="K4232" t="s">
        <v>9</v>
      </c>
      <c r="L4232" s="8">
        <f t="shared" ref="L4232:L4319" si="12229">IF(H4232="",0,(SUM(I4232:J4232)/-H4232)-1)</f>
        <v>-1</v>
      </c>
      <c r="M4232" t="s">
        <v>4658</v>
      </c>
    </row>
    <row r="4233" spans="1:13" x14ac:dyDescent="0.35">
      <c r="A4233">
        <f t="shared" si="12224"/>
        <v>4229</v>
      </c>
      <c r="B4233" s="9">
        <f t="shared" si="12225"/>
        <v>45.710000000000022</v>
      </c>
      <c r="C4233" s="3" t="s">
        <v>4657</v>
      </c>
      <c r="D4233">
        <f t="shared" si="12226"/>
        <v>13</v>
      </c>
      <c r="E4233">
        <f t="shared" si="12227"/>
        <v>2</v>
      </c>
      <c r="F4233">
        <f t="shared" si="12228"/>
        <v>2025</v>
      </c>
      <c r="G4233" t="s">
        <v>3039</v>
      </c>
      <c r="K4233" t="s">
        <v>10</v>
      </c>
      <c r="L4233" s="8">
        <f t="shared" si="12229"/>
        <v>0</v>
      </c>
      <c r="M4233" t="s">
        <v>4659</v>
      </c>
    </row>
    <row r="4234" spans="1:13" x14ac:dyDescent="0.35">
      <c r="A4234">
        <f t="shared" si="12224"/>
        <v>4230</v>
      </c>
      <c r="B4234" s="9">
        <f t="shared" ref="B4234:B4235" si="12230">B4233+H4234+I4234+J4234</f>
        <v>45.710000000000022</v>
      </c>
      <c r="C4234" s="3" t="s">
        <v>4657</v>
      </c>
      <c r="D4234">
        <f t="shared" ref="D4234:D4235" si="12231">_xlfn.NUMBERVALUE(LEFT(C4234,2))</f>
        <v>13</v>
      </c>
      <c r="E4234">
        <f t="shared" ref="E4234:E4235" si="12232">_xlfn.NUMBERVALUE(MID(C4234,4,2))</f>
        <v>2</v>
      </c>
      <c r="F4234">
        <f t="shared" ref="F4234:F4235" si="12233">_xlfn.NUMBERVALUE(RIGHT(C4234,4))</f>
        <v>2025</v>
      </c>
      <c r="G4234" t="s">
        <v>2969</v>
      </c>
      <c r="K4234" t="s">
        <v>9</v>
      </c>
      <c r="L4234" s="8">
        <f t="shared" si="12229"/>
        <v>0</v>
      </c>
      <c r="M4234" t="s">
        <v>4660</v>
      </c>
    </row>
    <row r="4235" spans="1:13" x14ac:dyDescent="0.35">
      <c r="A4235">
        <f t="shared" si="12224"/>
        <v>4231</v>
      </c>
      <c r="B4235" s="9">
        <f t="shared" si="12230"/>
        <v>59.950000000000024</v>
      </c>
      <c r="C4235" s="3" t="s">
        <v>4657</v>
      </c>
      <c r="D4235">
        <f t="shared" si="12231"/>
        <v>13</v>
      </c>
      <c r="E4235">
        <f t="shared" si="12232"/>
        <v>2</v>
      </c>
      <c r="F4235">
        <f t="shared" si="12233"/>
        <v>2025</v>
      </c>
      <c r="G4235" t="s">
        <v>1389</v>
      </c>
      <c r="H4235">
        <v>-20</v>
      </c>
      <c r="I4235">
        <v>34.24</v>
      </c>
      <c r="K4235" t="s">
        <v>10</v>
      </c>
      <c r="L4235" s="8">
        <f t="shared" si="12229"/>
        <v>0.71200000000000019</v>
      </c>
      <c r="M4235" t="s">
        <v>4661</v>
      </c>
    </row>
    <row r="4236" spans="1:13" x14ac:dyDescent="0.35">
      <c r="A4236">
        <f t="shared" si="12224"/>
        <v>4232</v>
      </c>
      <c r="B4236" s="9">
        <f t="shared" ref="B4236" si="12234">B4235+H4236+I4236+J4236</f>
        <v>65.470000000000027</v>
      </c>
      <c r="C4236" s="3" t="s">
        <v>4657</v>
      </c>
      <c r="D4236">
        <f t="shared" ref="D4236" si="12235">_xlfn.NUMBERVALUE(LEFT(C4236,2))</f>
        <v>13</v>
      </c>
      <c r="E4236">
        <f t="shared" ref="E4236" si="12236">_xlfn.NUMBERVALUE(MID(C4236,4,2))</f>
        <v>2</v>
      </c>
      <c r="F4236">
        <f t="shared" ref="F4236" si="12237">_xlfn.NUMBERVALUE(RIGHT(C4236,4))</f>
        <v>2025</v>
      </c>
      <c r="G4236" t="s">
        <v>1389</v>
      </c>
      <c r="H4236">
        <v>-10</v>
      </c>
      <c r="I4236">
        <v>15.52</v>
      </c>
      <c r="K4236" t="s">
        <v>10</v>
      </c>
      <c r="L4236" s="8">
        <f t="shared" si="12229"/>
        <v>0.55200000000000005</v>
      </c>
      <c r="M4236" t="s">
        <v>4662</v>
      </c>
    </row>
    <row r="4237" spans="1:13" x14ac:dyDescent="0.35">
      <c r="A4237">
        <f t="shared" si="12224"/>
        <v>4233</v>
      </c>
      <c r="B4237" s="9">
        <f t="shared" ref="B4237" si="12238">B4236+H4237+I4237+J4237</f>
        <v>68.450000000000031</v>
      </c>
      <c r="C4237" s="3" t="s">
        <v>4657</v>
      </c>
      <c r="D4237">
        <f t="shared" ref="D4237" si="12239">_xlfn.NUMBERVALUE(LEFT(C4237,2))</f>
        <v>13</v>
      </c>
      <c r="E4237">
        <f t="shared" ref="E4237" si="12240">_xlfn.NUMBERVALUE(MID(C4237,4,2))</f>
        <v>2</v>
      </c>
      <c r="F4237">
        <f t="shared" ref="F4237" si="12241">_xlfn.NUMBERVALUE(RIGHT(C4237,4))</f>
        <v>2025</v>
      </c>
      <c r="G4237" t="s">
        <v>1389</v>
      </c>
      <c r="H4237">
        <v>-10</v>
      </c>
      <c r="I4237">
        <v>12.98</v>
      </c>
      <c r="K4237" t="s">
        <v>10</v>
      </c>
      <c r="L4237" s="8">
        <f t="shared" si="12229"/>
        <v>0.29800000000000004</v>
      </c>
      <c r="M4237" t="s">
        <v>4663</v>
      </c>
    </row>
    <row r="4238" spans="1:13" x14ac:dyDescent="0.35">
      <c r="A4238">
        <f t="shared" si="12224"/>
        <v>4234</v>
      </c>
      <c r="B4238" s="9">
        <f t="shared" ref="B4238" si="12242">B4237+H4238+I4238+J4238</f>
        <v>68.500000000000028</v>
      </c>
      <c r="C4238" s="3" t="s">
        <v>4657</v>
      </c>
      <c r="D4238">
        <f t="shared" ref="D4238" si="12243">_xlfn.NUMBERVALUE(LEFT(C4238,2))</f>
        <v>13</v>
      </c>
      <c r="E4238">
        <f t="shared" ref="E4238" si="12244">_xlfn.NUMBERVALUE(MID(C4238,4,2))</f>
        <v>2</v>
      </c>
      <c r="F4238">
        <f t="shared" ref="F4238" si="12245">_xlfn.NUMBERVALUE(RIGHT(C4238,4))</f>
        <v>2025</v>
      </c>
      <c r="G4238" t="s">
        <v>1389</v>
      </c>
      <c r="H4238">
        <v>-10</v>
      </c>
      <c r="I4238">
        <v>10.050000000000001</v>
      </c>
      <c r="K4238" t="s">
        <v>10</v>
      </c>
      <c r="L4238" s="8">
        <f t="shared" si="12229"/>
        <v>5.0000000000001155E-3</v>
      </c>
      <c r="M4238" t="s">
        <v>4664</v>
      </c>
    </row>
    <row r="4239" spans="1:13" x14ac:dyDescent="0.35">
      <c r="A4239">
        <f t="shared" si="12224"/>
        <v>4235</v>
      </c>
      <c r="B4239" s="9">
        <f t="shared" ref="B4239:B4243" si="12246">B4238+H4239+I4239+J4239</f>
        <v>78.500000000000028</v>
      </c>
      <c r="C4239" s="3" t="s">
        <v>4657</v>
      </c>
      <c r="D4239">
        <f t="shared" ref="D4239:D4243" si="12247">_xlfn.NUMBERVALUE(LEFT(C4239,2))</f>
        <v>13</v>
      </c>
      <c r="E4239">
        <f t="shared" ref="E4239:E4243" si="12248">_xlfn.NUMBERVALUE(MID(C4239,4,2))</f>
        <v>2</v>
      </c>
      <c r="F4239">
        <f t="shared" ref="F4239:F4243" si="12249">_xlfn.NUMBERVALUE(RIGHT(C4239,4))</f>
        <v>2025</v>
      </c>
      <c r="G4239" t="s">
        <v>4209</v>
      </c>
      <c r="I4239">
        <v>10</v>
      </c>
      <c r="K4239" t="s">
        <v>10</v>
      </c>
    </row>
    <row r="4240" spans="1:13" x14ac:dyDescent="0.35">
      <c r="A4240">
        <f t="shared" si="12224"/>
        <v>4236</v>
      </c>
      <c r="B4240" s="9">
        <f t="shared" si="12246"/>
        <v>80.180000000000035</v>
      </c>
      <c r="C4240" s="3" t="s">
        <v>4657</v>
      </c>
      <c r="D4240">
        <f t="shared" si="12247"/>
        <v>13</v>
      </c>
      <c r="E4240">
        <f t="shared" si="12248"/>
        <v>2</v>
      </c>
      <c r="F4240">
        <f t="shared" si="12249"/>
        <v>2025</v>
      </c>
      <c r="G4240" t="s">
        <v>1389</v>
      </c>
      <c r="H4240">
        <v>-10</v>
      </c>
      <c r="I4240">
        <v>11.68</v>
      </c>
      <c r="K4240" t="s">
        <v>10</v>
      </c>
      <c r="L4240" s="8">
        <f t="shared" si="12229"/>
        <v>0.16799999999999993</v>
      </c>
      <c r="M4240" t="s">
        <v>4665</v>
      </c>
    </row>
    <row r="4241" spans="1:13" x14ac:dyDescent="0.35">
      <c r="A4241">
        <f t="shared" si="12224"/>
        <v>4237</v>
      </c>
      <c r="B4241" s="9">
        <f t="shared" si="12246"/>
        <v>80.230000000000032</v>
      </c>
      <c r="C4241" s="3" t="s">
        <v>4666</v>
      </c>
      <c r="D4241">
        <f t="shared" si="12247"/>
        <v>14</v>
      </c>
      <c r="E4241">
        <f t="shared" si="12248"/>
        <v>2</v>
      </c>
      <c r="F4241">
        <f t="shared" si="12249"/>
        <v>2025</v>
      </c>
      <c r="G4241" t="s">
        <v>1389</v>
      </c>
      <c r="H4241">
        <v>-10</v>
      </c>
      <c r="I4241">
        <v>10.050000000000001</v>
      </c>
      <c r="K4241" t="s">
        <v>10</v>
      </c>
      <c r="L4241" s="8">
        <f t="shared" si="12229"/>
        <v>5.0000000000001155E-3</v>
      </c>
      <c r="M4241" t="s">
        <v>4667</v>
      </c>
    </row>
    <row r="4242" spans="1:13" x14ac:dyDescent="0.35">
      <c r="A4242">
        <f t="shared" si="12224"/>
        <v>4238</v>
      </c>
      <c r="B4242" s="9">
        <f t="shared" si="12246"/>
        <v>75.230000000000032</v>
      </c>
      <c r="C4242" s="3" t="s">
        <v>4666</v>
      </c>
      <c r="D4242">
        <f t="shared" si="12247"/>
        <v>14</v>
      </c>
      <c r="E4242">
        <f t="shared" si="12248"/>
        <v>2</v>
      </c>
      <c r="F4242">
        <f t="shared" si="12249"/>
        <v>2025</v>
      </c>
      <c r="G4242" t="s">
        <v>7</v>
      </c>
      <c r="H4242">
        <v>-5</v>
      </c>
      <c r="K4242" t="s">
        <v>9</v>
      </c>
      <c r="L4242" s="8">
        <f t="shared" si="12229"/>
        <v>-1</v>
      </c>
      <c r="M4242" t="s">
        <v>4668</v>
      </c>
    </row>
    <row r="4243" spans="1:13" x14ac:dyDescent="0.35">
      <c r="A4243">
        <f t="shared" si="12224"/>
        <v>4239</v>
      </c>
      <c r="B4243" s="9">
        <f t="shared" si="12246"/>
        <v>75.230000000000032</v>
      </c>
      <c r="C4243" s="3" t="s">
        <v>4666</v>
      </c>
      <c r="D4243">
        <f t="shared" si="12247"/>
        <v>14</v>
      </c>
      <c r="E4243">
        <f t="shared" si="12248"/>
        <v>2</v>
      </c>
      <c r="F4243">
        <f t="shared" si="12249"/>
        <v>2025</v>
      </c>
      <c r="G4243" t="s">
        <v>3039</v>
      </c>
      <c r="K4243" t="s">
        <v>9</v>
      </c>
      <c r="L4243" s="8">
        <f t="shared" si="12229"/>
        <v>0</v>
      </c>
      <c r="M4243" t="s">
        <v>4669</v>
      </c>
    </row>
    <row r="4244" spans="1:13" x14ac:dyDescent="0.35">
      <c r="A4244">
        <f t="shared" si="12224"/>
        <v>4240</v>
      </c>
      <c r="B4244" s="9">
        <f t="shared" ref="B4244" si="12250">B4243+H4244+I4244+J4244</f>
        <v>48.470000000000034</v>
      </c>
      <c r="C4244" s="3" t="s">
        <v>4666</v>
      </c>
      <c r="D4244">
        <f t="shared" ref="D4244" si="12251">_xlfn.NUMBERVALUE(LEFT(C4244,2))</f>
        <v>14</v>
      </c>
      <c r="E4244">
        <f t="shared" ref="E4244" si="12252">_xlfn.NUMBERVALUE(MID(C4244,4,2))</f>
        <v>2</v>
      </c>
      <c r="F4244">
        <f t="shared" ref="F4244" si="12253">_xlfn.NUMBERVALUE(RIGHT(C4244,4))</f>
        <v>2025</v>
      </c>
      <c r="G4244" t="s">
        <v>7</v>
      </c>
      <c r="H4244">
        <v>-40</v>
      </c>
      <c r="I4244">
        <v>13.24</v>
      </c>
      <c r="K4244" t="s">
        <v>9</v>
      </c>
      <c r="L4244" s="8">
        <f t="shared" si="12229"/>
        <v>-0.66900000000000004</v>
      </c>
      <c r="M4244" t="s">
        <v>4670</v>
      </c>
    </row>
    <row r="4245" spans="1:13" x14ac:dyDescent="0.35">
      <c r="A4245">
        <f t="shared" si="12224"/>
        <v>4241</v>
      </c>
      <c r="B4245" s="9">
        <f t="shared" ref="B4245:B4248" si="12254">B4244+H4245+I4245+J4245</f>
        <v>49.470000000000034</v>
      </c>
      <c r="C4245" s="3" t="s">
        <v>4666</v>
      </c>
      <c r="D4245">
        <f t="shared" ref="D4245:D4248" si="12255">_xlfn.NUMBERVALUE(LEFT(C4245,2))</f>
        <v>14</v>
      </c>
      <c r="E4245">
        <f t="shared" ref="E4245:E4248" si="12256">_xlfn.NUMBERVALUE(MID(C4245,4,2))</f>
        <v>2</v>
      </c>
      <c r="F4245">
        <f t="shared" ref="F4245:F4248" si="12257">_xlfn.NUMBERVALUE(RIGHT(C4245,4))</f>
        <v>2025</v>
      </c>
      <c r="G4245" t="s">
        <v>4209</v>
      </c>
      <c r="I4245">
        <v>1</v>
      </c>
      <c r="K4245" t="s">
        <v>10</v>
      </c>
    </row>
    <row r="4246" spans="1:13" x14ac:dyDescent="0.35">
      <c r="A4246">
        <f t="shared" si="12224"/>
        <v>4242</v>
      </c>
      <c r="B4246" s="9">
        <f t="shared" si="12254"/>
        <v>44.470000000000034</v>
      </c>
      <c r="C4246" s="3" t="s">
        <v>4671</v>
      </c>
      <c r="D4246">
        <f t="shared" si="12255"/>
        <v>15</v>
      </c>
      <c r="E4246">
        <f t="shared" si="12256"/>
        <v>2</v>
      </c>
      <c r="F4246">
        <f t="shared" si="12257"/>
        <v>2025</v>
      </c>
      <c r="G4246" t="s">
        <v>7</v>
      </c>
      <c r="H4246">
        <v>-5</v>
      </c>
      <c r="K4246" t="s">
        <v>9</v>
      </c>
      <c r="L4246" s="8">
        <f t="shared" si="12229"/>
        <v>-1</v>
      </c>
      <c r="M4246" t="s">
        <v>4672</v>
      </c>
    </row>
    <row r="4247" spans="1:13" x14ac:dyDescent="0.35">
      <c r="A4247">
        <f t="shared" si="12224"/>
        <v>4243</v>
      </c>
      <c r="B4247" s="9">
        <f t="shared" si="12254"/>
        <v>44.470000000000034</v>
      </c>
      <c r="C4247" s="3" t="s">
        <v>4671</v>
      </c>
      <c r="D4247">
        <f t="shared" si="12255"/>
        <v>15</v>
      </c>
      <c r="E4247">
        <f t="shared" si="12256"/>
        <v>2</v>
      </c>
      <c r="F4247">
        <f t="shared" si="12257"/>
        <v>2025</v>
      </c>
      <c r="G4247" t="s">
        <v>3039</v>
      </c>
      <c r="K4247" t="s">
        <v>9</v>
      </c>
      <c r="L4247" s="8">
        <f t="shared" si="12229"/>
        <v>0</v>
      </c>
      <c r="M4247" t="s">
        <v>4673</v>
      </c>
    </row>
    <row r="4248" spans="1:13" x14ac:dyDescent="0.35">
      <c r="A4248">
        <f t="shared" si="12224"/>
        <v>4244</v>
      </c>
      <c r="B4248" s="9">
        <f t="shared" si="12254"/>
        <v>46.680000000000035</v>
      </c>
      <c r="C4248" s="3" t="s">
        <v>4671</v>
      </c>
      <c r="D4248">
        <f t="shared" si="12255"/>
        <v>15</v>
      </c>
      <c r="E4248">
        <f t="shared" si="12256"/>
        <v>2</v>
      </c>
      <c r="F4248">
        <f t="shared" si="12257"/>
        <v>2025</v>
      </c>
      <c r="G4248" t="s">
        <v>1389</v>
      </c>
      <c r="H4248">
        <v>-10</v>
      </c>
      <c r="I4248">
        <v>12.21</v>
      </c>
      <c r="K4248" t="s">
        <v>10</v>
      </c>
      <c r="L4248" s="8">
        <f t="shared" si="12229"/>
        <v>0.22100000000000009</v>
      </c>
      <c r="M4248" t="s">
        <v>4674</v>
      </c>
    </row>
    <row r="4249" spans="1:13" x14ac:dyDescent="0.35">
      <c r="A4249">
        <f t="shared" si="12224"/>
        <v>4245</v>
      </c>
      <c r="B4249" s="9">
        <f t="shared" ref="B4249:B4250" si="12258">B4248+H4249+I4249+J4249</f>
        <v>39.110000000000035</v>
      </c>
      <c r="C4249" s="3" t="s">
        <v>4671</v>
      </c>
      <c r="D4249">
        <f t="shared" ref="D4249:D4250" si="12259">_xlfn.NUMBERVALUE(LEFT(C4249,2))</f>
        <v>15</v>
      </c>
      <c r="E4249">
        <f t="shared" ref="E4249:E4250" si="12260">_xlfn.NUMBERVALUE(MID(C4249,4,2))</f>
        <v>2</v>
      </c>
      <c r="F4249">
        <f t="shared" ref="F4249:F4250" si="12261">_xlfn.NUMBERVALUE(RIGHT(C4249,4))</f>
        <v>2025</v>
      </c>
      <c r="G4249" t="s">
        <v>1389</v>
      </c>
      <c r="H4249">
        <v>-10</v>
      </c>
      <c r="I4249">
        <v>2.4300000000000002</v>
      </c>
      <c r="K4249" t="s">
        <v>9</v>
      </c>
      <c r="L4249" s="8">
        <f t="shared" si="12229"/>
        <v>-0.75700000000000001</v>
      </c>
      <c r="M4249" t="s">
        <v>4675</v>
      </c>
    </row>
    <row r="4250" spans="1:13" x14ac:dyDescent="0.35">
      <c r="A4250">
        <f t="shared" si="12224"/>
        <v>4246</v>
      </c>
      <c r="B4250" s="9">
        <f t="shared" si="12258"/>
        <v>41.610000000000035</v>
      </c>
      <c r="C4250" s="3" t="s">
        <v>4671</v>
      </c>
      <c r="D4250">
        <f t="shared" si="12259"/>
        <v>15</v>
      </c>
      <c r="E4250">
        <f t="shared" si="12260"/>
        <v>2</v>
      </c>
      <c r="F4250">
        <f t="shared" si="12261"/>
        <v>2025</v>
      </c>
      <c r="G4250" t="s">
        <v>4209</v>
      </c>
      <c r="I4250">
        <v>2.5</v>
      </c>
      <c r="K4250" t="s">
        <v>10</v>
      </c>
    </row>
    <row r="4251" spans="1:13" x14ac:dyDescent="0.35">
      <c r="A4251">
        <f t="shared" si="12224"/>
        <v>4247</v>
      </c>
      <c r="B4251" s="9">
        <f t="shared" ref="B4251" si="12262">B4250+H4251+I4251+J4251</f>
        <v>46.180000000000035</v>
      </c>
      <c r="C4251" s="3" t="s">
        <v>4671</v>
      </c>
      <c r="D4251">
        <f t="shared" ref="D4251" si="12263">_xlfn.NUMBERVALUE(LEFT(C4251,2))</f>
        <v>15</v>
      </c>
      <c r="E4251">
        <f t="shared" ref="E4251" si="12264">_xlfn.NUMBERVALUE(MID(C4251,4,2))</f>
        <v>2</v>
      </c>
      <c r="F4251">
        <f t="shared" ref="F4251" si="12265">_xlfn.NUMBERVALUE(RIGHT(C4251,4))</f>
        <v>2025</v>
      </c>
      <c r="G4251" t="s">
        <v>1389</v>
      </c>
      <c r="H4251">
        <v>-10</v>
      </c>
      <c r="I4251">
        <v>14.57</v>
      </c>
      <c r="K4251" t="s">
        <v>10</v>
      </c>
      <c r="L4251" s="8">
        <f t="shared" si="12229"/>
        <v>0.45700000000000007</v>
      </c>
      <c r="M4251" t="s">
        <v>4676</v>
      </c>
    </row>
    <row r="4252" spans="1:13" x14ac:dyDescent="0.35">
      <c r="A4252">
        <f t="shared" si="12224"/>
        <v>4248</v>
      </c>
      <c r="B4252" s="9">
        <f t="shared" ref="B4252:B4253" si="12266">B4251+H4252+I4252+J4252</f>
        <v>51.530000000000037</v>
      </c>
      <c r="C4252" s="3" t="s">
        <v>4671</v>
      </c>
      <c r="D4252">
        <f t="shared" ref="D4252:D4253" si="12267">_xlfn.NUMBERVALUE(LEFT(C4252,2))</f>
        <v>15</v>
      </c>
      <c r="E4252">
        <f t="shared" ref="E4252:E4253" si="12268">_xlfn.NUMBERVALUE(MID(C4252,4,2))</f>
        <v>2</v>
      </c>
      <c r="F4252">
        <f t="shared" ref="F4252:F4253" si="12269">_xlfn.NUMBERVALUE(RIGHT(C4252,4))</f>
        <v>2025</v>
      </c>
      <c r="G4252" t="s">
        <v>1389</v>
      </c>
      <c r="H4252">
        <v>-10</v>
      </c>
      <c r="I4252">
        <v>15.35</v>
      </c>
      <c r="K4252" t="s">
        <v>10</v>
      </c>
      <c r="L4252" s="8">
        <f t="shared" si="12229"/>
        <v>0.53499999999999992</v>
      </c>
      <c r="M4252" t="s">
        <v>4677</v>
      </c>
    </row>
    <row r="4253" spans="1:13" x14ac:dyDescent="0.35">
      <c r="A4253">
        <f t="shared" si="12224"/>
        <v>4249</v>
      </c>
      <c r="B4253" s="9">
        <f t="shared" si="12266"/>
        <v>46.530000000000037</v>
      </c>
      <c r="C4253" s="3" t="s">
        <v>4678</v>
      </c>
      <c r="D4253">
        <f t="shared" si="12267"/>
        <v>16</v>
      </c>
      <c r="E4253">
        <f t="shared" si="12268"/>
        <v>2</v>
      </c>
      <c r="F4253">
        <f t="shared" si="12269"/>
        <v>2025</v>
      </c>
      <c r="G4253" t="s">
        <v>7</v>
      </c>
      <c r="H4253">
        <v>-5</v>
      </c>
      <c r="K4253" t="s">
        <v>9</v>
      </c>
      <c r="L4253" s="8">
        <f t="shared" si="12229"/>
        <v>-1</v>
      </c>
      <c r="M4253" t="s">
        <v>4679</v>
      </c>
    </row>
    <row r="4254" spans="1:13" x14ac:dyDescent="0.35">
      <c r="A4254">
        <f t="shared" si="12224"/>
        <v>4250</v>
      </c>
      <c r="B4254" s="9">
        <f t="shared" ref="B4254:B4255" si="12270">B4253+H4254+I4254+J4254</f>
        <v>46.530000000000037</v>
      </c>
      <c r="C4254" s="3" t="s">
        <v>4678</v>
      </c>
      <c r="D4254">
        <f t="shared" ref="D4254:D4255" si="12271">_xlfn.NUMBERVALUE(LEFT(C4254,2))</f>
        <v>16</v>
      </c>
      <c r="E4254">
        <f t="shared" ref="E4254:E4255" si="12272">_xlfn.NUMBERVALUE(MID(C4254,4,2))</f>
        <v>2</v>
      </c>
      <c r="F4254">
        <f t="shared" ref="F4254:F4255" si="12273">_xlfn.NUMBERVALUE(RIGHT(C4254,4))</f>
        <v>2025</v>
      </c>
      <c r="G4254" t="s">
        <v>3039</v>
      </c>
      <c r="K4254" t="s">
        <v>9</v>
      </c>
      <c r="L4254" s="8">
        <f t="shared" si="12229"/>
        <v>0</v>
      </c>
      <c r="M4254" t="s">
        <v>4680</v>
      </c>
    </row>
    <row r="4255" spans="1:13" x14ac:dyDescent="0.35">
      <c r="A4255">
        <f t="shared" si="12224"/>
        <v>4251</v>
      </c>
      <c r="B4255" s="9">
        <f t="shared" si="12270"/>
        <v>36.530000000000037</v>
      </c>
      <c r="C4255" s="3" t="s">
        <v>4678</v>
      </c>
      <c r="D4255">
        <f t="shared" si="12271"/>
        <v>16</v>
      </c>
      <c r="E4255">
        <f t="shared" si="12272"/>
        <v>2</v>
      </c>
      <c r="F4255">
        <f t="shared" si="12273"/>
        <v>2025</v>
      </c>
      <c r="G4255" t="s">
        <v>1389</v>
      </c>
      <c r="H4255">
        <v>-10</v>
      </c>
      <c r="K4255" t="s">
        <v>9</v>
      </c>
      <c r="L4255" s="8">
        <f t="shared" si="12229"/>
        <v>-1</v>
      </c>
      <c r="M4255" t="s">
        <v>4681</v>
      </c>
    </row>
    <row r="4256" spans="1:13" x14ac:dyDescent="0.35">
      <c r="A4256">
        <f t="shared" si="12224"/>
        <v>4252</v>
      </c>
      <c r="B4256" s="9">
        <f t="shared" ref="B4256:B4257" si="12274">B4255+H4256+I4256+J4256</f>
        <v>37.530000000000037</v>
      </c>
      <c r="C4256" s="3" t="s">
        <v>4678</v>
      </c>
      <c r="D4256">
        <f t="shared" ref="D4256:D4257" si="12275">_xlfn.NUMBERVALUE(LEFT(C4256,2))</f>
        <v>16</v>
      </c>
      <c r="E4256">
        <f t="shared" ref="E4256:E4257" si="12276">_xlfn.NUMBERVALUE(MID(C4256,4,2))</f>
        <v>2</v>
      </c>
      <c r="F4256">
        <f t="shared" ref="F4256:F4257" si="12277">_xlfn.NUMBERVALUE(RIGHT(C4256,4))</f>
        <v>2025</v>
      </c>
      <c r="G4256" t="s">
        <v>4209</v>
      </c>
      <c r="I4256">
        <v>1</v>
      </c>
      <c r="K4256" t="s">
        <v>10</v>
      </c>
    </row>
    <row r="4257" spans="1:13" x14ac:dyDescent="0.35">
      <c r="A4257">
        <f t="shared" si="12224"/>
        <v>4253</v>
      </c>
      <c r="B4257" s="9">
        <f t="shared" si="12274"/>
        <v>3.5527136788005009E-14</v>
      </c>
      <c r="C4257" s="3" t="s">
        <v>4678</v>
      </c>
      <c r="D4257">
        <f t="shared" si="12275"/>
        <v>16</v>
      </c>
      <c r="E4257">
        <f t="shared" si="12276"/>
        <v>2</v>
      </c>
      <c r="F4257">
        <f t="shared" si="12277"/>
        <v>2025</v>
      </c>
      <c r="G4257" t="s">
        <v>1389</v>
      </c>
      <c r="H4257">
        <v>-37.53</v>
      </c>
      <c r="K4257" t="s">
        <v>9</v>
      </c>
      <c r="L4257" s="8">
        <f t="shared" si="12229"/>
        <v>-1</v>
      </c>
      <c r="M4257" t="s">
        <v>4682</v>
      </c>
    </row>
    <row r="4258" spans="1:13" x14ac:dyDescent="0.35">
      <c r="A4258">
        <f t="shared" si="12224"/>
        <v>4254</v>
      </c>
      <c r="B4258" s="9">
        <f t="shared" ref="B4258:B4260" si="12278">B4257+H4258+I4258+J4258</f>
        <v>110.54000000000005</v>
      </c>
      <c r="C4258" s="3" t="s">
        <v>4683</v>
      </c>
      <c r="D4258">
        <f t="shared" ref="D4258:D4260" si="12279">_xlfn.NUMBERVALUE(LEFT(C4258,2))</f>
        <v>19</v>
      </c>
      <c r="E4258">
        <f t="shared" ref="E4258:E4260" si="12280">_xlfn.NUMBERVALUE(MID(C4258,4,2))</f>
        <v>2</v>
      </c>
      <c r="F4258">
        <f t="shared" ref="F4258:F4260" si="12281">_xlfn.NUMBERVALUE(RIGHT(C4258,4))</f>
        <v>2025</v>
      </c>
      <c r="G4258" t="s">
        <v>3362</v>
      </c>
      <c r="I4258">
        <v>110.54</v>
      </c>
    </row>
    <row r="4259" spans="1:13" x14ac:dyDescent="0.35">
      <c r="A4259">
        <f t="shared" si="12224"/>
        <v>4255</v>
      </c>
      <c r="B4259" s="9">
        <f t="shared" si="12278"/>
        <v>105.54000000000005</v>
      </c>
      <c r="C4259" s="3" t="s">
        <v>4683</v>
      </c>
      <c r="D4259">
        <f t="shared" si="12279"/>
        <v>19</v>
      </c>
      <c r="E4259">
        <f t="shared" si="12280"/>
        <v>2</v>
      </c>
      <c r="F4259">
        <f t="shared" si="12281"/>
        <v>2025</v>
      </c>
      <c r="G4259" t="s">
        <v>7</v>
      </c>
      <c r="H4259">
        <v>-5</v>
      </c>
      <c r="K4259" t="s">
        <v>9</v>
      </c>
      <c r="L4259" s="8">
        <f t="shared" si="12229"/>
        <v>-1</v>
      </c>
      <c r="M4259" t="s">
        <v>4684</v>
      </c>
    </row>
    <row r="4260" spans="1:13" x14ac:dyDescent="0.35">
      <c r="A4260">
        <f t="shared" si="12224"/>
        <v>4256</v>
      </c>
      <c r="B4260" s="9">
        <f t="shared" si="12278"/>
        <v>105.54000000000005</v>
      </c>
      <c r="C4260" s="3" t="s">
        <v>4683</v>
      </c>
      <c r="D4260">
        <f t="shared" si="12279"/>
        <v>19</v>
      </c>
      <c r="E4260">
        <f t="shared" si="12280"/>
        <v>2</v>
      </c>
      <c r="F4260">
        <f t="shared" si="12281"/>
        <v>2025</v>
      </c>
      <c r="G4260" t="s">
        <v>3039</v>
      </c>
      <c r="K4260" t="s">
        <v>10</v>
      </c>
      <c r="L4260" s="8">
        <f t="shared" si="12229"/>
        <v>0</v>
      </c>
      <c r="M4260" t="s">
        <v>4685</v>
      </c>
    </row>
    <row r="4261" spans="1:13" x14ac:dyDescent="0.35">
      <c r="A4261">
        <f t="shared" si="12224"/>
        <v>4257</v>
      </c>
      <c r="B4261" s="9">
        <f t="shared" ref="B4261:B4262" si="12282">B4260+H4261+I4261+J4261</f>
        <v>106.90000000000005</v>
      </c>
      <c r="C4261" s="3" t="s">
        <v>4683</v>
      </c>
      <c r="D4261">
        <f t="shared" ref="D4261:D4262" si="12283">_xlfn.NUMBERVALUE(LEFT(C4261,2))</f>
        <v>19</v>
      </c>
      <c r="E4261">
        <f t="shared" ref="E4261:E4262" si="12284">_xlfn.NUMBERVALUE(MID(C4261,4,2))</f>
        <v>2</v>
      </c>
      <c r="F4261">
        <f t="shared" ref="F4261:F4262" si="12285">_xlfn.NUMBERVALUE(RIGHT(C4261,4))</f>
        <v>2025</v>
      </c>
      <c r="G4261" t="s">
        <v>2969</v>
      </c>
      <c r="I4261">
        <v>1.36</v>
      </c>
      <c r="K4261" t="s">
        <v>10</v>
      </c>
      <c r="L4261" s="8">
        <f t="shared" si="12229"/>
        <v>0</v>
      </c>
      <c r="M4261" t="s">
        <v>4687</v>
      </c>
    </row>
    <row r="4262" spans="1:13" x14ac:dyDescent="0.35">
      <c r="A4262">
        <f t="shared" si="12224"/>
        <v>4258</v>
      </c>
      <c r="B4262" s="9">
        <f t="shared" si="12282"/>
        <v>96.900000000000048</v>
      </c>
      <c r="C4262" s="3" t="s">
        <v>4683</v>
      </c>
      <c r="D4262">
        <f t="shared" si="12283"/>
        <v>19</v>
      </c>
      <c r="E4262">
        <f t="shared" si="12284"/>
        <v>2</v>
      </c>
      <c r="F4262">
        <f t="shared" si="12285"/>
        <v>2025</v>
      </c>
      <c r="G4262" t="s">
        <v>1389</v>
      </c>
      <c r="H4262">
        <v>-10</v>
      </c>
      <c r="K4262" t="s">
        <v>9</v>
      </c>
      <c r="L4262" s="8">
        <f t="shared" si="12229"/>
        <v>-1</v>
      </c>
      <c r="M4262" t="s">
        <v>4686</v>
      </c>
    </row>
    <row r="4263" spans="1:13" x14ac:dyDescent="0.35">
      <c r="A4263">
        <f t="shared" si="12224"/>
        <v>4259</v>
      </c>
      <c r="B4263" s="9">
        <f t="shared" ref="B4263" si="12286">B4262+H4263+I4263+J4263</f>
        <v>97.600000000000051</v>
      </c>
      <c r="C4263" s="3" t="s">
        <v>4683</v>
      </c>
      <c r="D4263">
        <f t="shared" ref="D4263" si="12287">_xlfn.NUMBERVALUE(LEFT(C4263,2))</f>
        <v>19</v>
      </c>
      <c r="E4263">
        <f t="shared" ref="E4263" si="12288">_xlfn.NUMBERVALUE(MID(C4263,4,2))</f>
        <v>2</v>
      </c>
      <c r="F4263">
        <f t="shared" ref="F4263" si="12289">_xlfn.NUMBERVALUE(RIGHT(C4263,4))</f>
        <v>2025</v>
      </c>
      <c r="G4263" t="s">
        <v>1389</v>
      </c>
      <c r="H4263">
        <v>-10</v>
      </c>
      <c r="I4263">
        <v>10.7</v>
      </c>
      <c r="K4263" t="s">
        <v>10</v>
      </c>
      <c r="L4263" s="8">
        <f t="shared" si="12229"/>
        <v>6.999999999999984E-2</v>
      </c>
      <c r="M4263" t="s">
        <v>4688</v>
      </c>
    </row>
    <row r="4264" spans="1:13" x14ac:dyDescent="0.35">
      <c r="A4264">
        <f t="shared" si="12224"/>
        <v>4260</v>
      </c>
      <c r="B4264" s="9">
        <f t="shared" ref="B4264:B4265" si="12290">B4263+H4264+I4264+J4264</f>
        <v>100.10000000000005</v>
      </c>
      <c r="C4264" s="3" t="s">
        <v>4683</v>
      </c>
      <c r="D4264">
        <f t="shared" ref="D4264:D4265" si="12291">_xlfn.NUMBERVALUE(LEFT(C4264,2))</f>
        <v>19</v>
      </c>
      <c r="E4264">
        <f t="shared" ref="E4264:E4265" si="12292">_xlfn.NUMBERVALUE(MID(C4264,4,2))</f>
        <v>2</v>
      </c>
      <c r="F4264">
        <f t="shared" ref="F4264:F4265" si="12293">_xlfn.NUMBERVALUE(RIGHT(C4264,4))</f>
        <v>2025</v>
      </c>
      <c r="G4264" t="s">
        <v>4209</v>
      </c>
      <c r="I4264">
        <v>2.5</v>
      </c>
      <c r="K4264" t="s">
        <v>10</v>
      </c>
    </row>
    <row r="4265" spans="1:13" x14ac:dyDescent="0.35">
      <c r="A4265">
        <f t="shared" si="12224"/>
        <v>4261</v>
      </c>
      <c r="B4265" s="9">
        <f t="shared" si="12290"/>
        <v>102.17000000000004</v>
      </c>
      <c r="C4265" s="3" t="s">
        <v>4683</v>
      </c>
      <c r="D4265">
        <f t="shared" si="12291"/>
        <v>19</v>
      </c>
      <c r="E4265">
        <f t="shared" si="12292"/>
        <v>2</v>
      </c>
      <c r="F4265">
        <f t="shared" si="12293"/>
        <v>2025</v>
      </c>
      <c r="G4265" t="s">
        <v>1389</v>
      </c>
      <c r="H4265">
        <v>-10</v>
      </c>
      <c r="I4265">
        <v>12.07</v>
      </c>
      <c r="K4265" t="s">
        <v>10</v>
      </c>
      <c r="L4265" s="8">
        <f t="shared" si="12229"/>
        <v>0.20700000000000007</v>
      </c>
      <c r="M4265" t="s">
        <v>4689</v>
      </c>
    </row>
    <row r="4266" spans="1:13" x14ac:dyDescent="0.35">
      <c r="A4266">
        <f t="shared" si="12224"/>
        <v>4262</v>
      </c>
      <c r="B4266" s="9">
        <f t="shared" ref="B4266" si="12294">B4265+H4266+I4266+J4266</f>
        <v>104.26000000000005</v>
      </c>
      <c r="C4266" s="3" t="s">
        <v>4683</v>
      </c>
      <c r="D4266">
        <f t="shared" ref="D4266" si="12295">_xlfn.NUMBERVALUE(LEFT(C4266,2))</f>
        <v>19</v>
      </c>
      <c r="E4266">
        <f t="shared" ref="E4266" si="12296">_xlfn.NUMBERVALUE(MID(C4266,4,2))</f>
        <v>2</v>
      </c>
      <c r="F4266">
        <f t="shared" ref="F4266" si="12297">_xlfn.NUMBERVALUE(RIGHT(C4266,4))</f>
        <v>2025</v>
      </c>
      <c r="G4266" t="s">
        <v>1389</v>
      </c>
      <c r="H4266">
        <v>-10</v>
      </c>
      <c r="I4266">
        <v>12.09</v>
      </c>
      <c r="K4266" t="s">
        <v>10</v>
      </c>
      <c r="L4266" s="8">
        <f t="shared" si="12229"/>
        <v>0.20900000000000007</v>
      </c>
      <c r="M4266" t="s">
        <v>4690</v>
      </c>
    </row>
    <row r="4267" spans="1:13" x14ac:dyDescent="0.35">
      <c r="A4267">
        <f t="shared" si="12224"/>
        <v>4263</v>
      </c>
      <c r="B4267" s="9">
        <f t="shared" ref="B4267" si="12298">B4266+H4267+I4267+J4267</f>
        <v>106.75000000000004</v>
      </c>
      <c r="C4267" s="3" t="s">
        <v>4683</v>
      </c>
      <c r="D4267">
        <f t="shared" ref="D4267" si="12299">_xlfn.NUMBERVALUE(LEFT(C4267,2))</f>
        <v>19</v>
      </c>
      <c r="E4267">
        <f t="shared" ref="E4267" si="12300">_xlfn.NUMBERVALUE(MID(C4267,4,2))</f>
        <v>2</v>
      </c>
      <c r="F4267">
        <f t="shared" ref="F4267" si="12301">_xlfn.NUMBERVALUE(RIGHT(C4267,4))</f>
        <v>2025</v>
      </c>
      <c r="G4267" t="s">
        <v>1389</v>
      </c>
      <c r="H4267">
        <v>-10</v>
      </c>
      <c r="I4267">
        <v>12.49</v>
      </c>
      <c r="K4267" t="s">
        <v>10</v>
      </c>
      <c r="L4267" s="8">
        <f t="shared" si="12229"/>
        <v>0.24900000000000011</v>
      </c>
      <c r="M4267" t="s">
        <v>4691</v>
      </c>
    </row>
    <row r="4268" spans="1:13" x14ac:dyDescent="0.35">
      <c r="A4268">
        <f t="shared" si="12224"/>
        <v>4264</v>
      </c>
      <c r="B4268" s="9">
        <f t="shared" ref="B4268" si="12302">B4267+H4268+I4268+J4268</f>
        <v>96.750000000000043</v>
      </c>
      <c r="C4268" s="3" t="s">
        <v>4683</v>
      </c>
      <c r="D4268">
        <f t="shared" ref="D4268" si="12303">_xlfn.NUMBERVALUE(LEFT(C4268,2))</f>
        <v>19</v>
      </c>
      <c r="E4268">
        <f t="shared" ref="E4268" si="12304">_xlfn.NUMBERVALUE(MID(C4268,4,2))</f>
        <v>2</v>
      </c>
      <c r="F4268">
        <f t="shared" ref="F4268" si="12305">_xlfn.NUMBERVALUE(RIGHT(C4268,4))</f>
        <v>2025</v>
      </c>
      <c r="G4268" t="s">
        <v>1389</v>
      </c>
      <c r="H4268">
        <v>-10</v>
      </c>
      <c r="K4268" t="s">
        <v>9</v>
      </c>
      <c r="L4268" s="8">
        <f t="shared" si="12229"/>
        <v>-1</v>
      </c>
      <c r="M4268" t="s">
        <v>4692</v>
      </c>
    </row>
    <row r="4269" spans="1:13" x14ac:dyDescent="0.35">
      <c r="A4269">
        <f t="shared" si="12224"/>
        <v>4265</v>
      </c>
      <c r="B4269" s="9">
        <f t="shared" ref="B4269" si="12306">B4268+H4269+I4269+J4269</f>
        <v>98.590000000000046</v>
      </c>
      <c r="C4269" s="3" t="s">
        <v>4683</v>
      </c>
      <c r="D4269">
        <f t="shared" ref="D4269" si="12307">_xlfn.NUMBERVALUE(LEFT(C4269,2))</f>
        <v>19</v>
      </c>
      <c r="E4269">
        <f t="shared" ref="E4269" si="12308">_xlfn.NUMBERVALUE(MID(C4269,4,2))</f>
        <v>2</v>
      </c>
      <c r="F4269">
        <f t="shared" ref="F4269" si="12309">_xlfn.NUMBERVALUE(RIGHT(C4269,4))</f>
        <v>2025</v>
      </c>
      <c r="G4269" t="s">
        <v>1389</v>
      </c>
      <c r="H4269">
        <v>-10</v>
      </c>
      <c r="I4269">
        <v>11.84</v>
      </c>
      <c r="K4269" t="s">
        <v>10</v>
      </c>
      <c r="L4269" s="8">
        <f t="shared" si="12229"/>
        <v>0.18399999999999994</v>
      </c>
      <c r="M4269" t="s">
        <v>4693</v>
      </c>
    </row>
    <row r="4270" spans="1:13" x14ac:dyDescent="0.35">
      <c r="A4270">
        <f t="shared" si="12224"/>
        <v>4266</v>
      </c>
      <c r="B4270" s="9">
        <f t="shared" ref="B4270:B4272" si="12310">B4269+H4270+I4270+J4270</f>
        <v>91.210000000000051</v>
      </c>
      <c r="C4270" s="3" t="s">
        <v>4683</v>
      </c>
      <c r="D4270">
        <f t="shared" ref="D4270:D4272" si="12311">_xlfn.NUMBERVALUE(LEFT(C4270,2))</f>
        <v>19</v>
      </c>
      <c r="E4270">
        <f t="shared" ref="E4270:E4272" si="12312">_xlfn.NUMBERVALUE(MID(C4270,4,2))</f>
        <v>2</v>
      </c>
      <c r="F4270">
        <f t="shared" ref="F4270:F4272" si="12313">_xlfn.NUMBERVALUE(RIGHT(C4270,4))</f>
        <v>2025</v>
      </c>
      <c r="G4270" t="s">
        <v>1389</v>
      </c>
      <c r="H4270">
        <v>-10</v>
      </c>
      <c r="I4270">
        <v>2.62</v>
      </c>
      <c r="K4270" t="s">
        <v>9</v>
      </c>
      <c r="L4270" s="8">
        <f t="shared" si="12229"/>
        <v>-0.73799999999999999</v>
      </c>
      <c r="M4270" t="s">
        <v>4694</v>
      </c>
    </row>
    <row r="4271" spans="1:13" x14ac:dyDescent="0.35">
      <c r="A4271">
        <f t="shared" si="12224"/>
        <v>4267</v>
      </c>
      <c r="B4271" s="9">
        <f t="shared" si="12310"/>
        <v>86.210000000000051</v>
      </c>
      <c r="C4271" s="3" t="s">
        <v>4695</v>
      </c>
      <c r="D4271">
        <f t="shared" si="12311"/>
        <v>20</v>
      </c>
      <c r="E4271">
        <f t="shared" si="12312"/>
        <v>2</v>
      </c>
      <c r="F4271">
        <f t="shared" si="12313"/>
        <v>2025</v>
      </c>
      <c r="G4271" t="s">
        <v>7</v>
      </c>
      <c r="H4271">
        <v>-5</v>
      </c>
      <c r="K4271" t="s">
        <v>9</v>
      </c>
      <c r="L4271" s="8">
        <f t="shared" si="12229"/>
        <v>-1</v>
      </c>
      <c r="M4271" t="s">
        <v>4696</v>
      </c>
    </row>
    <row r="4272" spans="1:13" x14ac:dyDescent="0.35">
      <c r="A4272">
        <f t="shared" si="12224"/>
        <v>4268</v>
      </c>
      <c r="B4272" s="9">
        <f t="shared" si="12310"/>
        <v>86.210000000000051</v>
      </c>
      <c r="C4272" s="3" t="s">
        <v>4695</v>
      </c>
      <c r="D4272">
        <f t="shared" si="12311"/>
        <v>20</v>
      </c>
      <c r="E4272">
        <f t="shared" si="12312"/>
        <v>2</v>
      </c>
      <c r="F4272">
        <f t="shared" si="12313"/>
        <v>2025</v>
      </c>
      <c r="G4272" t="s">
        <v>3039</v>
      </c>
      <c r="K4272" t="s">
        <v>9</v>
      </c>
      <c r="L4272" s="8">
        <f t="shared" si="12229"/>
        <v>0</v>
      </c>
      <c r="M4272" t="s">
        <v>4697</v>
      </c>
    </row>
    <row r="4273" spans="1:13" x14ac:dyDescent="0.35">
      <c r="A4273">
        <f t="shared" si="12224"/>
        <v>4269</v>
      </c>
      <c r="B4273" s="9">
        <f t="shared" ref="B4273:B4275" si="12314">B4272+H4273+I4273+J4273</f>
        <v>89.950000000000045</v>
      </c>
      <c r="C4273" s="3" t="s">
        <v>4695</v>
      </c>
      <c r="D4273">
        <f t="shared" ref="D4273:D4275" si="12315">_xlfn.NUMBERVALUE(LEFT(C4273,2))</f>
        <v>20</v>
      </c>
      <c r="E4273">
        <f t="shared" ref="E4273:E4275" si="12316">_xlfn.NUMBERVALUE(MID(C4273,4,2))</f>
        <v>2</v>
      </c>
      <c r="F4273">
        <f t="shared" ref="F4273:F4275" si="12317">_xlfn.NUMBERVALUE(RIGHT(C4273,4))</f>
        <v>2025</v>
      </c>
      <c r="G4273" t="s">
        <v>1389</v>
      </c>
      <c r="H4273">
        <v>-10</v>
      </c>
      <c r="I4273">
        <v>13.74</v>
      </c>
      <c r="K4273" t="s">
        <v>10</v>
      </c>
      <c r="L4273" s="8">
        <f t="shared" si="12229"/>
        <v>0.37400000000000011</v>
      </c>
      <c r="M4273" t="s">
        <v>4698</v>
      </c>
    </row>
    <row r="4274" spans="1:13" x14ac:dyDescent="0.35">
      <c r="A4274">
        <f t="shared" si="12224"/>
        <v>4270</v>
      </c>
      <c r="B4274" s="9">
        <f t="shared" si="12314"/>
        <v>94.950000000000045</v>
      </c>
      <c r="C4274" s="3" t="s">
        <v>4699</v>
      </c>
      <c r="D4274">
        <f t="shared" si="12315"/>
        <v>21</v>
      </c>
      <c r="E4274">
        <f t="shared" si="12316"/>
        <v>2</v>
      </c>
      <c r="F4274">
        <f t="shared" si="12317"/>
        <v>2025</v>
      </c>
      <c r="G4274" t="s">
        <v>7</v>
      </c>
      <c r="H4274">
        <v>-5</v>
      </c>
      <c r="I4274">
        <v>10</v>
      </c>
      <c r="K4274" t="s">
        <v>10</v>
      </c>
      <c r="L4274" s="8">
        <f t="shared" si="12229"/>
        <v>1</v>
      </c>
      <c r="M4274" t="s">
        <v>4700</v>
      </c>
    </row>
    <row r="4275" spans="1:13" x14ac:dyDescent="0.35">
      <c r="A4275">
        <f t="shared" si="12224"/>
        <v>4271</v>
      </c>
      <c r="B4275" s="9">
        <f t="shared" si="12314"/>
        <v>94.950000000000045</v>
      </c>
      <c r="C4275" s="3" t="s">
        <v>4699</v>
      </c>
      <c r="D4275">
        <f t="shared" si="12315"/>
        <v>21</v>
      </c>
      <c r="E4275">
        <f t="shared" si="12316"/>
        <v>2</v>
      </c>
      <c r="F4275">
        <f t="shared" si="12317"/>
        <v>2025</v>
      </c>
      <c r="G4275" t="s">
        <v>3039</v>
      </c>
      <c r="K4275" t="s">
        <v>9</v>
      </c>
      <c r="L4275" s="8">
        <f t="shared" si="12229"/>
        <v>0</v>
      </c>
      <c r="M4275" t="s">
        <v>4702</v>
      </c>
    </row>
    <row r="4276" spans="1:13" x14ac:dyDescent="0.35">
      <c r="A4276">
        <f t="shared" si="12224"/>
        <v>4272</v>
      </c>
      <c r="B4276" s="9">
        <f t="shared" ref="B4276" si="12318">B4275+H4276+I4276+J4276</f>
        <v>85.980000000000047</v>
      </c>
      <c r="C4276" s="3" t="s">
        <v>4699</v>
      </c>
      <c r="D4276">
        <f t="shared" ref="D4276" si="12319">_xlfn.NUMBERVALUE(LEFT(C4276,2))</f>
        <v>21</v>
      </c>
      <c r="E4276">
        <f t="shared" ref="E4276" si="12320">_xlfn.NUMBERVALUE(MID(C4276,4,2))</f>
        <v>2</v>
      </c>
      <c r="F4276">
        <f t="shared" ref="F4276" si="12321">_xlfn.NUMBERVALUE(RIGHT(C4276,4))</f>
        <v>2025</v>
      </c>
      <c r="G4276" t="s">
        <v>1389</v>
      </c>
      <c r="H4276">
        <v>-10</v>
      </c>
      <c r="I4276">
        <v>1.03</v>
      </c>
      <c r="K4276" t="s">
        <v>9</v>
      </c>
      <c r="L4276" s="8">
        <f t="shared" si="12229"/>
        <v>-0.89700000000000002</v>
      </c>
      <c r="M4276" t="s">
        <v>4701</v>
      </c>
    </row>
    <row r="4277" spans="1:13" x14ac:dyDescent="0.35">
      <c r="A4277">
        <f t="shared" si="12224"/>
        <v>4273</v>
      </c>
      <c r="B4277" s="9">
        <f t="shared" ref="B4277" si="12322">B4276+H4277+I4277+J4277</f>
        <v>88.05000000000004</v>
      </c>
      <c r="C4277" s="3" t="s">
        <v>4699</v>
      </c>
      <c r="D4277">
        <f t="shared" ref="D4277" si="12323">_xlfn.NUMBERVALUE(LEFT(C4277,2))</f>
        <v>21</v>
      </c>
      <c r="E4277">
        <f t="shared" ref="E4277" si="12324">_xlfn.NUMBERVALUE(MID(C4277,4,2))</f>
        <v>2</v>
      </c>
      <c r="F4277">
        <f t="shared" ref="F4277" si="12325">_xlfn.NUMBERVALUE(RIGHT(C4277,4))</f>
        <v>2025</v>
      </c>
      <c r="G4277" t="s">
        <v>1389</v>
      </c>
      <c r="H4277">
        <v>-10</v>
      </c>
      <c r="I4277">
        <v>12.07</v>
      </c>
      <c r="K4277" t="s">
        <v>10</v>
      </c>
      <c r="L4277" s="8">
        <f t="shared" si="12229"/>
        <v>0.20700000000000007</v>
      </c>
      <c r="M4277" t="s">
        <v>4703</v>
      </c>
    </row>
    <row r="4278" spans="1:13" x14ac:dyDescent="0.35">
      <c r="A4278">
        <f t="shared" si="12224"/>
        <v>4274</v>
      </c>
      <c r="B4278" s="9">
        <f t="shared" ref="B4278" si="12326">B4277+H4278+I4278+J4278</f>
        <v>80.620000000000033</v>
      </c>
      <c r="C4278" s="3" t="s">
        <v>4699</v>
      </c>
      <c r="D4278">
        <f t="shared" ref="D4278" si="12327">_xlfn.NUMBERVALUE(LEFT(C4278,2))</f>
        <v>21</v>
      </c>
      <c r="E4278">
        <f t="shared" ref="E4278" si="12328">_xlfn.NUMBERVALUE(MID(C4278,4,2))</f>
        <v>2</v>
      </c>
      <c r="F4278">
        <f t="shared" ref="F4278" si="12329">_xlfn.NUMBERVALUE(RIGHT(C4278,4))</f>
        <v>2025</v>
      </c>
      <c r="G4278" t="s">
        <v>1389</v>
      </c>
      <c r="H4278">
        <v>-20</v>
      </c>
      <c r="I4278">
        <v>12.57</v>
      </c>
      <c r="K4278" t="s">
        <v>9</v>
      </c>
      <c r="L4278" s="8">
        <f t="shared" si="12229"/>
        <v>-0.37149999999999994</v>
      </c>
      <c r="M4278" t="s">
        <v>4704</v>
      </c>
    </row>
    <row r="4279" spans="1:13" x14ac:dyDescent="0.35">
      <c r="A4279">
        <f t="shared" si="12224"/>
        <v>4275</v>
      </c>
      <c r="B4279" s="9">
        <f t="shared" ref="B4279:B4280" si="12330">B4278+H4279+I4279+J4279</f>
        <v>81.620000000000033</v>
      </c>
      <c r="C4279" s="3" t="s">
        <v>4699</v>
      </c>
      <c r="D4279">
        <f t="shared" ref="D4279:D4280" si="12331">_xlfn.NUMBERVALUE(LEFT(C4279,2))</f>
        <v>21</v>
      </c>
      <c r="E4279">
        <f t="shared" ref="E4279:E4280" si="12332">_xlfn.NUMBERVALUE(MID(C4279,4,2))</f>
        <v>2</v>
      </c>
      <c r="F4279">
        <f t="shared" ref="F4279:F4280" si="12333">_xlfn.NUMBERVALUE(RIGHT(C4279,4))</f>
        <v>2025</v>
      </c>
      <c r="G4279" t="s">
        <v>4209</v>
      </c>
      <c r="I4279">
        <v>1</v>
      </c>
      <c r="K4279" t="s">
        <v>10</v>
      </c>
    </row>
    <row r="4280" spans="1:13" x14ac:dyDescent="0.35">
      <c r="A4280">
        <f t="shared" si="12224"/>
        <v>4276</v>
      </c>
      <c r="B4280" s="9">
        <f t="shared" si="12330"/>
        <v>78.980000000000032</v>
      </c>
      <c r="C4280" s="3" t="s">
        <v>4699</v>
      </c>
      <c r="D4280">
        <f t="shared" si="12331"/>
        <v>21</v>
      </c>
      <c r="E4280">
        <f t="shared" si="12332"/>
        <v>2</v>
      </c>
      <c r="F4280">
        <f t="shared" si="12333"/>
        <v>2025</v>
      </c>
      <c r="G4280" t="s">
        <v>1389</v>
      </c>
      <c r="H4280">
        <v>-10</v>
      </c>
      <c r="I4280">
        <v>7.36</v>
      </c>
      <c r="K4280" t="s">
        <v>9</v>
      </c>
      <c r="L4280" s="8">
        <f t="shared" si="12229"/>
        <v>-0.26400000000000001</v>
      </c>
      <c r="M4280" t="s">
        <v>4705</v>
      </c>
    </row>
    <row r="4281" spans="1:13" x14ac:dyDescent="0.35">
      <c r="A4281">
        <f t="shared" si="12224"/>
        <v>4277</v>
      </c>
      <c r="B4281" s="9">
        <f t="shared" ref="B4281" si="12334">B4280+H4281+I4281+J4281</f>
        <v>87.540000000000035</v>
      </c>
      <c r="C4281" s="3" t="s">
        <v>4699</v>
      </c>
      <c r="D4281">
        <f t="shared" ref="D4281" si="12335">_xlfn.NUMBERVALUE(LEFT(C4281,2))</f>
        <v>21</v>
      </c>
      <c r="E4281">
        <f t="shared" ref="E4281" si="12336">_xlfn.NUMBERVALUE(MID(C4281,4,2))</f>
        <v>2</v>
      </c>
      <c r="F4281">
        <f t="shared" ref="F4281" si="12337">_xlfn.NUMBERVALUE(RIGHT(C4281,4))</f>
        <v>2025</v>
      </c>
      <c r="G4281" t="s">
        <v>1389</v>
      </c>
      <c r="H4281">
        <v>-10</v>
      </c>
      <c r="I4281">
        <v>18.559999999999999</v>
      </c>
      <c r="K4281" t="s">
        <v>10</v>
      </c>
      <c r="L4281" s="8">
        <f t="shared" si="12229"/>
        <v>0.85599999999999987</v>
      </c>
      <c r="M4281" t="s">
        <v>4706</v>
      </c>
    </row>
    <row r="4282" spans="1:13" x14ac:dyDescent="0.35">
      <c r="A4282">
        <f t="shared" si="12224"/>
        <v>4278</v>
      </c>
      <c r="B4282" s="9">
        <f t="shared" ref="B4282" si="12338">B4281+H4282+I4282+J4282</f>
        <v>85.040000000000035</v>
      </c>
      <c r="C4282" s="3" t="s">
        <v>4699</v>
      </c>
      <c r="D4282">
        <f t="shared" ref="D4282" si="12339">_xlfn.NUMBERVALUE(LEFT(C4282,2))</f>
        <v>21</v>
      </c>
      <c r="E4282">
        <f t="shared" ref="E4282" si="12340">_xlfn.NUMBERVALUE(MID(C4282,4,2))</f>
        <v>2</v>
      </c>
      <c r="F4282">
        <f t="shared" ref="F4282" si="12341">_xlfn.NUMBERVALUE(RIGHT(C4282,4))</f>
        <v>2025</v>
      </c>
      <c r="G4282" t="s">
        <v>1389</v>
      </c>
      <c r="H4282">
        <v>-10</v>
      </c>
      <c r="I4282">
        <v>7.5</v>
      </c>
      <c r="K4282" t="s">
        <v>9</v>
      </c>
      <c r="L4282" s="8">
        <f t="shared" si="12229"/>
        <v>-0.25</v>
      </c>
      <c r="M4282" t="s">
        <v>4707</v>
      </c>
    </row>
    <row r="4283" spans="1:13" x14ac:dyDescent="0.35">
      <c r="A4283">
        <f t="shared" si="12224"/>
        <v>4279</v>
      </c>
      <c r="B4283" s="9">
        <f t="shared" ref="B4283:B4285" si="12342">B4282+H4283+I4283+J4283</f>
        <v>80.040000000000035</v>
      </c>
      <c r="C4283" s="3" t="s">
        <v>4708</v>
      </c>
      <c r="D4283">
        <f t="shared" ref="D4283:D4285" si="12343">_xlfn.NUMBERVALUE(LEFT(C4283,2))</f>
        <v>22</v>
      </c>
      <c r="E4283">
        <f t="shared" ref="E4283:E4285" si="12344">_xlfn.NUMBERVALUE(MID(C4283,4,2))</f>
        <v>2</v>
      </c>
      <c r="F4283">
        <f t="shared" ref="F4283:F4285" si="12345">_xlfn.NUMBERVALUE(RIGHT(C4283,4))</f>
        <v>2025</v>
      </c>
      <c r="G4283" t="s">
        <v>7</v>
      </c>
      <c r="H4283">
        <v>-5</v>
      </c>
      <c r="K4283" t="s">
        <v>9</v>
      </c>
      <c r="L4283" s="8">
        <f t="shared" si="12229"/>
        <v>-1</v>
      </c>
      <c r="M4283" t="s">
        <v>4709</v>
      </c>
    </row>
    <row r="4284" spans="1:13" x14ac:dyDescent="0.35">
      <c r="A4284">
        <f t="shared" si="12224"/>
        <v>4280</v>
      </c>
      <c r="B4284" s="9">
        <f t="shared" si="12342"/>
        <v>80.040000000000035</v>
      </c>
      <c r="C4284" s="3" t="s">
        <v>4708</v>
      </c>
      <c r="D4284">
        <f t="shared" si="12343"/>
        <v>22</v>
      </c>
      <c r="E4284">
        <f t="shared" si="12344"/>
        <v>2</v>
      </c>
      <c r="F4284">
        <f t="shared" si="12345"/>
        <v>2025</v>
      </c>
      <c r="G4284" t="s">
        <v>3039</v>
      </c>
      <c r="K4284" t="s">
        <v>9</v>
      </c>
      <c r="L4284" s="8">
        <f t="shared" si="12229"/>
        <v>0</v>
      </c>
      <c r="M4284" t="s">
        <v>4710</v>
      </c>
    </row>
    <row r="4285" spans="1:13" x14ac:dyDescent="0.35">
      <c r="A4285">
        <f t="shared" si="12224"/>
        <v>4281</v>
      </c>
      <c r="B4285" s="9">
        <f t="shared" si="12342"/>
        <v>82.090000000000032</v>
      </c>
      <c r="C4285" s="3" t="s">
        <v>4708</v>
      </c>
      <c r="D4285">
        <f t="shared" si="12343"/>
        <v>22</v>
      </c>
      <c r="E4285">
        <f t="shared" si="12344"/>
        <v>2</v>
      </c>
      <c r="F4285">
        <f t="shared" si="12345"/>
        <v>2025</v>
      </c>
      <c r="G4285" t="s">
        <v>1389</v>
      </c>
      <c r="H4285">
        <v>-10</v>
      </c>
      <c r="I4285">
        <v>12.05</v>
      </c>
      <c r="K4285" t="s">
        <v>10</v>
      </c>
      <c r="L4285" s="8">
        <f t="shared" si="12229"/>
        <v>0.20500000000000007</v>
      </c>
      <c r="M4285" t="s">
        <v>4711</v>
      </c>
    </row>
    <row r="4286" spans="1:13" x14ac:dyDescent="0.35">
      <c r="A4286">
        <f t="shared" si="12224"/>
        <v>4282</v>
      </c>
      <c r="B4286" s="9">
        <f t="shared" ref="B4286" si="12346">B4285+H4286+I4286+J4286</f>
        <v>72.090000000000032</v>
      </c>
      <c r="C4286" s="3" t="s">
        <v>4708</v>
      </c>
      <c r="D4286">
        <f t="shared" ref="D4286" si="12347">_xlfn.NUMBERVALUE(LEFT(C4286,2))</f>
        <v>22</v>
      </c>
      <c r="E4286">
        <f t="shared" ref="E4286" si="12348">_xlfn.NUMBERVALUE(MID(C4286,4,2))</f>
        <v>2</v>
      </c>
      <c r="F4286">
        <f t="shared" ref="F4286" si="12349">_xlfn.NUMBERVALUE(RIGHT(C4286,4))</f>
        <v>2025</v>
      </c>
      <c r="G4286" t="s">
        <v>1389</v>
      </c>
      <c r="H4286">
        <v>-10</v>
      </c>
      <c r="K4286" t="s">
        <v>9</v>
      </c>
      <c r="L4286" s="8">
        <f t="shared" si="12229"/>
        <v>-1</v>
      </c>
      <c r="M4286" t="s">
        <v>4712</v>
      </c>
    </row>
    <row r="4287" spans="1:13" x14ac:dyDescent="0.35">
      <c r="A4287">
        <f t="shared" si="12224"/>
        <v>4283</v>
      </c>
      <c r="B4287" s="9">
        <f t="shared" ref="B4287:B4289" si="12350">B4286+H4287+I4287+J4287</f>
        <v>67.090000000000032</v>
      </c>
      <c r="C4287" s="3" t="s">
        <v>4713</v>
      </c>
      <c r="D4287">
        <f t="shared" ref="D4287:D4289" si="12351">_xlfn.NUMBERVALUE(LEFT(C4287,2))</f>
        <v>23</v>
      </c>
      <c r="E4287">
        <f t="shared" ref="E4287:E4289" si="12352">_xlfn.NUMBERVALUE(MID(C4287,4,2))</f>
        <v>2</v>
      </c>
      <c r="F4287">
        <f t="shared" ref="F4287:F4289" si="12353">_xlfn.NUMBERVALUE(RIGHT(C4287,4))</f>
        <v>2025</v>
      </c>
      <c r="G4287" t="s">
        <v>7</v>
      </c>
      <c r="H4287">
        <v>-5</v>
      </c>
      <c r="K4287" t="s">
        <v>9</v>
      </c>
      <c r="L4287" s="8">
        <f t="shared" si="12229"/>
        <v>-1</v>
      </c>
      <c r="M4287" t="s">
        <v>4714</v>
      </c>
    </row>
    <row r="4288" spans="1:13" x14ac:dyDescent="0.35">
      <c r="A4288">
        <f t="shared" si="12224"/>
        <v>4284</v>
      </c>
      <c r="B4288" s="9">
        <f t="shared" si="12350"/>
        <v>67.090000000000032</v>
      </c>
      <c r="C4288" s="3" t="s">
        <v>4713</v>
      </c>
      <c r="D4288">
        <f t="shared" si="12351"/>
        <v>23</v>
      </c>
      <c r="E4288">
        <f t="shared" si="12352"/>
        <v>2</v>
      </c>
      <c r="F4288">
        <f t="shared" si="12353"/>
        <v>2025</v>
      </c>
      <c r="G4288" t="s">
        <v>3039</v>
      </c>
      <c r="K4288" t="s">
        <v>9</v>
      </c>
      <c r="L4288" s="8">
        <f t="shared" si="12229"/>
        <v>0</v>
      </c>
      <c r="M4288" t="s">
        <v>4715</v>
      </c>
    </row>
    <row r="4289" spans="1:13" x14ac:dyDescent="0.35">
      <c r="A4289">
        <f t="shared" si="12224"/>
        <v>4285</v>
      </c>
      <c r="B4289" s="9">
        <f t="shared" si="12350"/>
        <v>69.690000000000026</v>
      </c>
      <c r="C4289" s="3" t="s">
        <v>4713</v>
      </c>
      <c r="D4289">
        <f t="shared" si="12351"/>
        <v>23</v>
      </c>
      <c r="E4289">
        <f t="shared" si="12352"/>
        <v>2</v>
      </c>
      <c r="F4289">
        <f t="shared" si="12353"/>
        <v>2025</v>
      </c>
      <c r="G4289" t="s">
        <v>1389</v>
      </c>
      <c r="H4289">
        <v>-10</v>
      </c>
      <c r="I4289">
        <v>12.6</v>
      </c>
      <c r="K4289" t="s">
        <v>10</v>
      </c>
      <c r="L4289" s="8">
        <f t="shared" si="12229"/>
        <v>0.26</v>
      </c>
      <c r="M4289" t="s">
        <v>4716</v>
      </c>
    </row>
    <row r="4290" spans="1:13" x14ac:dyDescent="0.35">
      <c r="A4290">
        <f t="shared" si="12224"/>
        <v>4286</v>
      </c>
      <c r="B4290" s="9">
        <f t="shared" ref="B4290" si="12354">B4289+H4290+I4290+J4290</f>
        <v>70.020000000000024</v>
      </c>
      <c r="C4290" s="3" t="s">
        <v>4713</v>
      </c>
      <c r="D4290">
        <f t="shared" ref="D4290" si="12355">_xlfn.NUMBERVALUE(LEFT(C4290,2))</f>
        <v>23</v>
      </c>
      <c r="E4290">
        <f t="shared" ref="E4290" si="12356">_xlfn.NUMBERVALUE(MID(C4290,4,2))</f>
        <v>2</v>
      </c>
      <c r="F4290">
        <f t="shared" ref="F4290" si="12357">_xlfn.NUMBERVALUE(RIGHT(C4290,4))</f>
        <v>2025</v>
      </c>
      <c r="G4290" t="s">
        <v>1389</v>
      </c>
      <c r="H4290">
        <v>-10</v>
      </c>
      <c r="I4290">
        <v>10.33</v>
      </c>
      <c r="K4290" t="s">
        <v>10</v>
      </c>
      <c r="L4290" s="8">
        <f t="shared" si="12229"/>
        <v>3.2999999999999918E-2</v>
      </c>
      <c r="M4290" t="s">
        <v>4717</v>
      </c>
    </row>
    <row r="4291" spans="1:13" x14ac:dyDescent="0.35">
      <c r="A4291">
        <f t="shared" si="12224"/>
        <v>4287</v>
      </c>
      <c r="B4291" s="9">
        <f t="shared" ref="B4291:B4292" si="12358">B4290+H4291+I4291+J4291</f>
        <v>59.020000000000024</v>
      </c>
      <c r="C4291" s="3" t="s">
        <v>4713</v>
      </c>
      <c r="D4291">
        <f t="shared" ref="D4291:D4292" si="12359">_xlfn.NUMBERVALUE(LEFT(C4291,2))</f>
        <v>23</v>
      </c>
      <c r="E4291">
        <f t="shared" ref="E4291:E4292" si="12360">_xlfn.NUMBERVALUE(MID(C4291,4,2))</f>
        <v>2</v>
      </c>
      <c r="F4291">
        <f t="shared" ref="F4291:F4292" si="12361">_xlfn.NUMBERVALUE(RIGHT(C4291,4))</f>
        <v>2025</v>
      </c>
      <c r="G4291" t="s">
        <v>4718</v>
      </c>
      <c r="H4291">
        <v>-11</v>
      </c>
      <c r="K4291" t="s">
        <v>9</v>
      </c>
      <c r="L4291" s="8">
        <f t="shared" si="12229"/>
        <v>-1</v>
      </c>
      <c r="M4291" t="s">
        <v>4723</v>
      </c>
    </row>
    <row r="4292" spans="1:13" x14ac:dyDescent="0.35">
      <c r="A4292">
        <f t="shared" si="12224"/>
        <v>4288</v>
      </c>
      <c r="B4292" s="9">
        <f t="shared" si="12358"/>
        <v>63.950000000000024</v>
      </c>
      <c r="C4292" s="3" t="s">
        <v>4713</v>
      </c>
      <c r="D4292">
        <f t="shared" si="12359"/>
        <v>23</v>
      </c>
      <c r="E4292">
        <f t="shared" si="12360"/>
        <v>2</v>
      </c>
      <c r="F4292">
        <f t="shared" si="12361"/>
        <v>2025</v>
      </c>
      <c r="G4292" t="s">
        <v>1389</v>
      </c>
      <c r="H4292">
        <v>-10</v>
      </c>
      <c r="I4292">
        <v>14.93</v>
      </c>
      <c r="K4292" t="s">
        <v>10</v>
      </c>
      <c r="L4292" s="8">
        <f t="shared" si="12229"/>
        <v>0.49299999999999988</v>
      </c>
      <c r="M4292" t="s">
        <v>4719</v>
      </c>
    </row>
    <row r="4293" spans="1:13" x14ac:dyDescent="0.35">
      <c r="A4293">
        <f t="shared" si="12224"/>
        <v>4289</v>
      </c>
      <c r="B4293" s="9">
        <f t="shared" ref="B4293:B4294" si="12362">B4292+H4293+I4293+J4293</f>
        <v>66.270000000000024</v>
      </c>
      <c r="C4293" s="3" t="s">
        <v>4713</v>
      </c>
      <c r="D4293">
        <f t="shared" ref="D4293:D4294" si="12363">_xlfn.NUMBERVALUE(LEFT(C4293,2))</f>
        <v>23</v>
      </c>
      <c r="E4293">
        <f t="shared" ref="E4293:E4294" si="12364">_xlfn.NUMBERVALUE(MID(C4293,4,2))</f>
        <v>2</v>
      </c>
      <c r="F4293">
        <f t="shared" ref="F4293:F4294" si="12365">_xlfn.NUMBERVALUE(RIGHT(C4293,4))</f>
        <v>2025</v>
      </c>
      <c r="G4293" t="s">
        <v>1389</v>
      </c>
      <c r="H4293">
        <v>-10</v>
      </c>
      <c r="I4293">
        <v>12.32</v>
      </c>
      <c r="K4293" t="s">
        <v>10</v>
      </c>
      <c r="L4293" s="8">
        <f t="shared" si="12229"/>
        <v>0.23199999999999998</v>
      </c>
      <c r="M4293" t="s">
        <v>4720</v>
      </c>
    </row>
    <row r="4294" spans="1:13" x14ac:dyDescent="0.35">
      <c r="A4294">
        <f t="shared" si="12224"/>
        <v>4290</v>
      </c>
      <c r="B4294" s="9">
        <f t="shared" si="12362"/>
        <v>62.970000000000027</v>
      </c>
      <c r="C4294" s="3" t="s">
        <v>4713</v>
      </c>
      <c r="D4294">
        <f t="shared" si="12363"/>
        <v>23</v>
      </c>
      <c r="E4294">
        <f t="shared" si="12364"/>
        <v>2</v>
      </c>
      <c r="F4294">
        <f t="shared" si="12365"/>
        <v>2025</v>
      </c>
      <c r="G4294" t="s">
        <v>4721</v>
      </c>
      <c r="H4294">
        <v>-3.3</v>
      </c>
      <c r="K4294" t="s">
        <v>9</v>
      </c>
      <c r="L4294" s="8">
        <f t="shared" si="12229"/>
        <v>-1</v>
      </c>
      <c r="M4294" t="s">
        <v>4722</v>
      </c>
    </row>
    <row r="4295" spans="1:13" x14ac:dyDescent="0.35">
      <c r="A4295">
        <f t="shared" si="12224"/>
        <v>4291</v>
      </c>
      <c r="B4295" s="9">
        <f t="shared" ref="B4295" si="12366">B4294+H4295+I4295+J4295</f>
        <v>61.480000000000025</v>
      </c>
      <c r="C4295" s="3" t="s">
        <v>4713</v>
      </c>
      <c r="D4295">
        <f t="shared" ref="D4295" si="12367">_xlfn.NUMBERVALUE(LEFT(C4295,2))</f>
        <v>23</v>
      </c>
      <c r="E4295">
        <f t="shared" ref="E4295" si="12368">_xlfn.NUMBERVALUE(MID(C4295,4,2))</f>
        <v>2</v>
      </c>
      <c r="F4295">
        <f t="shared" ref="F4295" si="12369">_xlfn.NUMBERVALUE(RIGHT(C4295,4))</f>
        <v>2025</v>
      </c>
      <c r="G4295" t="s">
        <v>1389</v>
      </c>
      <c r="H4295">
        <v>-10</v>
      </c>
      <c r="I4295">
        <v>8.51</v>
      </c>
      <c r="K4295" t="s">
        <v>9</v>
      </c>
      <c r="L4295" s="8">
        <f t="shared" si="12229"/>
        <v>-0.14900000000000002</v>
      </c>
      <c r="M4295" t="s">
        <v>4724</v>
      </c>
    </row>
    <row r="4296" spans="1:13" x14ac:dyDescent="0.35">
      <c r="A4296">
        <f t="shared" si="12224"/>
        <v>4292</v>
      </c>
      <c r="B4296" s="9">
        <f t="shared" ref="B4296:B4299" si="12370">B4295+H4296+I4296+J4296</f>
        <v>62.480000000000025</v>
      </c>
      <c r="C4296" s="3" t="s">
        <v>4713</v>
      </c>
      <c r="D4296">
        <f t="shared" ref="D4296:D4299" si="12371">_xlfn.NUMBERVALUE(LEFT(C4296,2))</f>
        <v>23</v>
      </c>
      <c r="E4296">
        <f t="shared" ref="E4296:E4299" si="12372">_xlfn.NUMBERVALUE(MID(C4296,4,2))</f>
        <v>2</v>
      </c>
      <c r="F4296">
        <f t="shared" ref="F4296:F4299" si="12373">_xlfn.NUMBERVALUE(RIGHT(C4296,4))</f>
        <v>2025</v>
      </c>
      <c r="G4296" t="s">
        <v>4209</v>
      </c>
      <c r="I4296">
        <v>1</v>
      </c>
      <c r="K4296" t="s">
        <v>10</v>
      </c>
    </row>
    <row r="4297" spans="1:13" x14ac:dyDescent="0.35">
      <c r="A4297">
        <f t="shared" si="12224"/>
        <v>4293</v>
      </c>
      <c r="B4297" s="9">
        <f t="shared" si="12370"/>
        <v>57.480000000000025</v>
      </c>
      <c r="C4297" s="3" t="s">
        <v>4725</v>
      </c>
      <c r="D4297">
        <f t="shared" si="12371"/>
        <v>24</v>
      </c>
      <c r="E4297">
        <f t="shared" si="12372"/>
        <v>2</v>
      </c>
      <c r="F4297">
        <f t="shared" si="12373"/>
        <v>2025</v>
      </c>
      <c r="G4297" t="s">
        <v>7</v>
      </c>
      <c r="H4297">
        <v>-5</v>
      </c>
      <c r="K4297" t="s">
        <v>9</v>
      </c>
      <c r="L4297" s="8">
        <f t="shared" si="12229"/>
        <v>-1</v>
      </c>
      <c r="M4297" t="s">
        <v>4726</v>
      </c>
    </row>
    <row r="4298" spans="1:13" x14ac:dyDescent="0.35">
      <c r="A4298">
        <f t="shared" ref="A4298" si="12374">A4297+1</f>
        <v>4294</v>
      </c>
      <c r="B4298" s="9">
        <f t="shared" si="12370"/>
        <v>57.480000000000025</v>
      </c>
      <c r="C4298" s="3" t="s">
        <v>4725</v>
      </c>
      <c r="D4298">
        <f t="shared" si="12371"/>
        <v>24</v>
      </c>
      <c r="E4298">
        <f t="shared" si="12372"/>
        <v>2</v>
      </c>
      <c r="F4298">
        <f t="shared" si="12373"/>
        <v>2025</v>
      </c>
      <c r="G4298" t="s">
        <v>3039</v>
      </c>
      <c r="K4298" t="s">
        <v>9</v>
      </c>
      <c r="L4298" s="8">
        <f t="shared" si="12229"/>
        <v>0</v>
      </c>
      <c r="M4298" t="s">
        <v>4727</v>
      </c>
    </row>
    <row r="4299" spans="1:13" x14ac:dyDescent="0.35">
      <c r="A4299">
        <f t="shared" si="12224"/>
        <v>4295</v>
      </c>
      <c r="B4299" s="9">
        <f t="shared" si="12370"/>
        <v>61.080000000000027</v>
      </c>
      <c r="C4299" s="3" t="s">
        <v>4725</v>
      </c>
      <c r="D4299">
        <f t="shared" si="12371"/>
        <v>24</v>
      </c>
      <c r="E4299">
        <f t="shared" si="12372"/>
        <v>2</v>
      </c>
      <c r="F4299">
        <f t="shared" si="12373"/>
        <v>2025</v>
      </c>
      <c r="G4299" t="s">
        <v>1389</v>
      </c>
      <c r="H4299">
        <v>-10</v>
      </c>
      <c r="I4299">
        <v>13.6</v>
      </c>
      <c r="K4299" t="s">
        <v>10</v>
      </c>
      <c r="L4299" s="8">
        <f t="shared" si="12229"/>
        <v>0.35999999999999988</v>
      </c>
      <c r="M4299" t="s">
        <v>4728</v>
      </c>
    </row>
    <row r="4300" spans="1:13" x14ac:dyDescent="0.35">
      <c r="A4300">
        <f t="shared" si="12224"/>
        <v>4296</v>
      </c>
      <c r="B4300" s="9">
        <f t="shared" ref="B4300" si="12375">B4299+H4300+I4300+J4300</f>
        <v>51.080000000000027</v>
      </c>
      <c r="C4300" s="3" t="s">
        <v>4725</v>
      </c>
      <c r="D4300">
        <f t="shared" ref="D4300" si="12376">_xlfn.NUMBERVALUE(LEFT(C4300,2))</f>
        <v>24</v>
      </c>
      <c r="E4300">
        <f t="shared" ref="E4300" si="12377">_xlfn.NUMBERVALUE(MID(C4300,4,2))</f>
        <v>2</v>
      </c>
      <c r="F4300">
        <f t="shared" ref="F4300" si="12378">_xlfn.NUMBERVALUE(RIGHT(C4300,4))</f>
        <v>2025</v>
      </c>
      <c r="G4300" t="s">
        <v>1389</v>
      </c>
      <c r="H4300">
        <v>-10</v>
      </c>
      <c r="K4300" t="s">
        <v>9</v>
      </c>
      <c r="L4300" s="8">
        <f t="shared" si="12229"/>
        <v>-1</v>
      </c>
      <c r="M4300" t="s">
        <v>4729</v>
      </c>
    </row>
    <row r="4301" spans="1:13" x14ac:dyDescent="0.35">
      <c r="A4301">
        <f t="shared" si="12224"/>
        <v>4297</v>
      </c>
      <c r="B4301" s="9">
        <f t="shared" ref="B4301" si="12379">B4300+H4301+I4301+J4301</f>
        <v>52.870000000000026</v>
      </c>
      <c r="C4301" s="3" t="s">
        <v>4725</v>
      </c>
      <c r="D4301">
        <f t="shared" ref="D4301" si="12380">_xlfn.NUMBERVALUE(LEFT(C4301,2))</f>
        <v>24</v>
      </c>
      <c r="E4301">
        <f t="shared" ref="E4301" si="12381">_xlfn.NUMBERVALUE(MID(C4301,4,2))</f>
        <v>2</v>
      </c>
      <c r="F4301">
        <f t="shared" ref="F4301" si="12382">_xlfn.NUMBERVALUE(RIGHT(C4301,4))</f>
        <v>2025</v>
      </c>
      <c r="G4301" t="s">
        <v>1389</v>
      </c>
      <c r="H4301">
        <v>-10</v>
      </c>
      <c r="I4301">
        <v>11.79</v>
      </c>
      <c r="K4301" t="s">
        <v>10</v>
      </c>
      <c r="L4301" s="8">
        <f t="shared" si="12229"/>
        <v>0.17899999999999983</v>
      </c>
      <c r="M4301" t="s">
        <v>4730</v>
      </c>
    </row>
    <row r="4302" spans="1:13" x14ac:dyDescent="0.35">
      <c r="A4302">
        <f t="shared" si="12224"/>
        <v>4298</v>
      </c>
      <c r="B4302" s="9">
        <f t="shared" ref="B4302" si="12383">B4301+H4302+I4302+J4302</f>
        <v>53.990000000000023</v>
      </c>
      <c r="C4302" s="3" t="s">
        <v>4725</v>
      </c>
      <c r="D4302">
        <f t="shared" ref="D4302" si="12384">_xlfn.NUMBERVALUE(LEFT(C4302,2))</f>
        <v>24</v>
      </c>
      <c r="E4302">
        <f t="shared" ref="E4302" si="12385">_xlfn.NUMBERVALUE(MID(C4302,4,2))</f>
        <v>2</v>
      </c>
      <c r="F4302">
        <f t="shared" ref="F4302" si="12386">_xlfn.NUMBERVALUE(RIGHT(C4302,4))</f>
        <v>2025</v>
      </c>
      <c r="G4302" t="s">
        <v>1389</v>
      </c>
      <c r="H4302">
        <v>-10</v>
      </c>
      <c r="I4302">
        <v>11.12</v>
      </c>
      <c r="K4302" t="s">
        <v>10</v>
      </c>
      <c r="L4302" s="8">
        <f t="shared" si="12229"/>
        <v>0.11199999999999988</v>
      </c>
      <c r="M4302" t="s">
        <v>4731</v>
      </c>
    </row>
    <row r="4303" spans="1:13" x14ac:dyDescent="0.35">
      <c r="A4303">
        <f t="shared" si="12224"/>
        <v>4299</v>
      </c>
      <c r="B4303" s="9">
        <f t="shared" ref="B4303" si="12387">B4302+H4303+I4303+J4303</f>
        <v>54.670000000000023</v>
      </c>
      <c r="C4303" s="3" t="s">
        <v>4725</v>
      </c>
      <c r="D4303">
        <f t="shared" ref="D4303" si="12388">_xlfn.NUMBERVALUE(LEFT(C4303,2))</f>
        <v>24</v>
      </c>
      <c r="E4303">
        <f t="shared" ref="E4303" si="12389">_xlfn.NUMBERVALUE(MID(C4303,4,2))</f>
        <v>2</v>
      </c>
      <c r="F4303">
        <f t="shared" ref="F4303" si="12390">_xlfn.NUMBERVALUE(RIGHT(C4303,4))</f>
        <v>2025</v>
      </c>
      <c r="G4303" t="s">
        <v>1389</v>
      </c>
      <c r="H4303">
        <v>-10</v>
      </c>
      <c r="I4303">
        <v>10.68</v>
      </c>
      <c r="K4303" t="s">
        <v>10</v>
      </c>
      <c r="L4303" s="8">
        <f t="shared" si="12229"/>
        <v>6.800000000000006E-2</v>
      </c>
      <c r="M4303" t="s">
        <v>4732</v>
      </c>
    </row>
    <row r="4304" spans="1:13" x14ac:dyDescent="0.35">
      <c r="A4304">
        <f t="shared" si="12224"/>
        <v>4300</v>
      </c>
      <c r="B4304" s="9">
        <f t="shared" ref="B4304" si="12391">B4303+H4304+I4304+J4304</f>
        <v>55.29000000000002</v>
      </c>
      <c r="C4304" s="3" t="s">
        <v>4725</v>
      </c>
      <c r="D4304">
        <f t="shared" ref="D4304" si="12392">_xlfn.NUMBERVALUE(LEFT(C4304,2))</f>
        <v>24</v>
      </c>
      <c r="E4304">
        <f t="shared" ref="E4304" si="12393">_xlfn.NUMBERVALUE(MID(C4304,4,2))</f>
        <v>2</v>
      </c>
      <c r="F4304">
        <f t="shared" ref="F4304" si="12394">_xlfn.NUMBERVALUE(RIGHT(C4304,4))</f>
        <v>2025</v>
      </c>
      <c r="G4304" t="s">
        <v>1389</v>
      </c>
      <c r="H4304">
        <v>-10</v>
      </c>
      <c r="I4304">
        <v>10.62</v>
      </c>
      <c r="K4304" t="s">
        <v>10</v>
      </c>
      <c r="L4304" s="8">
        <f t="shared" si="12229"/>
        <v>6.1999999999999833E-2</v>
      </c>
      <c r="M4304" t="s">
        <v>4733</v>
      </c>
    </row>
    <row r="4305" spans="1:13" x14ac:dyDescent="0.35">
      <c r="A4305">
        <f t="shared" si="12224"/>
        <v>4301</v>
      </c>
      <c r="B4305" s="9">
        <f t="shared" ref="B4305" si="12395">B4304+H4305+I4305+J4305</f>
        <v>56.820000000000022</v>
      </c>
      <c r="C4305" s="3" t="s">
        <v>4725</v>
      </c>
      <c r="D4305">
        <f t="shared" ref="D4305" si="12396">_xlfn.NUMBERVALUE(LEFT(C4305,2))</f>
        <v>24</v>
      </c>
      <c r="E4305">
        <f t="shared" ref="E4305" si="12397">_xlfn.NUMBERVALUE(MID(C4305,4,2))</f>
        <v>2</v>
      </c>
      <c r="F4305">
        <f t="shared" ref="F4305" si="12398">_xlfn.NUMBERVALUE(RIGHT(C4305,4))</f>
        <v>2025</v>
      </c>
      <c r="G4305" t="s">
        <v>1389</v>
      </c>
      <c r="H4305">
        <v>-10</v>
      </c>
      <c r="I4305">
        <v>11.53</v>
      </c>
      <c r="K4305" t="s">
        <v>10</v>
      </c>
      <c r="L4305" s="8">
        <f t="shared" si="12229"/>
        <v>0.15300000000000002</v>
      </c>
      <c r="M4305" t="s">
        <v>4734</v>
      </c>
    </row>
    <row r="4306" spans="1:13" x14ac:dyDescent="0.35">
      <c r="A4306">
        <f t="shared" si="12224"/>
        <v>4302</v>
      </c>
      <c r="B4306" s="9">
        <f t="shared" ref="B4306" si="12399">B4305+H4306+I4306+J4306</f>
        <v>57.390000000000022</v>
      </c>
      <c r="C4306" s="3" t="s">
        <v>4725</v>
      </c>
      <c r="D4306">
        <f t="shared" ref="D4306" si="12400">_xlfn.NUMBERVALUE(LEFT(C4306,2))</f>
        <v>24</v>
      </c>
      <c r="E4306">
        <f t="shared" ref="E4306" si="12401">_xlfn.NUMBERVALUE(MID(C4306,4,2))</f>
        <v>2</v>
      </c>
      <c r="F4306">
        <f t="shared" ref="F4306" si="12402">_xlfn.NUMBERVALUE(RIGHT(C4306,4))</f>
        <v>2025</v>
      </c>
      <c r="G4306" t="s">
        <v>1389</v>
      </c>
      <c r="H4306">
        <v>-10</v>
      </c>
      <c r="I4306">
        <v>10.57</v>
      </c>
      <c r="K4306" t="s">
        <v>10</v>
      </c>
      <c r="L4306" s="8">
        <f t="shared" si="12229"/>
        <v>5.699999999999994E-2</v>
      </c>
      <c r="M4306" t="s">
        <v>4735</v>
      </c>
    </row>
    <row r="4307" spans="1:13" x14ac:dyDescent="0.35">
      <c r="A4307">
        <f t="shared" si="12224"/>
        <v>4303</v>
      </c>
      <c r="B4307" s="9">
        <f t="shared" ref="B4307:B4310" si="12403">B4306+H4307+I4307+J4307</f>
        <v>52.390000000000022</v>
      </c>
      <c r="C4307" s="3" t="s">
        <v>4736</v>
      </c>
      <c r="D4307">
        <f t="shared" ref="D4307:D4310" si="12404">_xlfn.NUMBERVALUE(LEFT(C4307,2))</f>
        <v>25</v>
      </c>
      <c r="E4307">
        <f t="shared" ref="E4307:E4310" si="12405">_xlfn.NUMBERVALUE(MID(C4307,4,2))</f>
        <v>2</v>
      </c>
      <c r="F4307">
        <f t="shared" ref="F4307:F4310" si="12406">_xlfn.NUMBERVALUE(RIGHT(C4307,4))</f>
        <v>2025</v>
      </c>
      <c r="G4307" t="s">
        <v>7</v>
      </c>
      <c r="H4307">
        <v>-5</v>
      </c>
      <c r="K4307" t="s">
        <v>9</v>
      </c>
      <c r="L4307" s="8">
        <f t="shared" si="12229"/>
        <v>-1</v>
      </c>
      <c r="M4307" t="s">
        <v>4737</v>
      </c>
    </row>
    <row r="4308" spans="1:13" x14ac:dyDescent="0.35">
      <c r="A4308">
        <f t="shared" ref="A4308" si="12407">A4307+1</f>
        <v>4304</v>
      </c>
      <c r="B4308" s="9">
        <f t="shared" si="12403"/>
        <v>52.390000000000022</v>
      </c>
      <c r="C4308" s="3" t="s">
        <v>4736</v>
      </c>
      <c r="D4308">
        <f t="shared" si="12404"/>
        <v>25</v>
      </c>
      <c r="E4308">
        <f t="shared" si="12405"/>
        <v>2</v>
      </c>
      <c r="F4308">
        <f t="shared" si="12406"/>
        <v>2025</v>
      </c>
      <c r="G4308" t="s">
        <v>3039</v>
      </c>
      <c r="K4308" t="s">
        <v>9</v>
      </c>
      <c r="L4308" s="8">
        <f t="shared" si="12229"/>
        <v>0</v>
      </c>
      <c r="M4308" t="s">
        <v>4738</v>
      </c>
    </row>
    <row r="4309" spans="1:13" x14ac:dyDescent="0.35">
      <c r="A4309">
        <f t="shared" si="12224"/>
        <v>4305</v>
      </c>
      <c r="B4309" s="9">
        <f t="shared" si="12403"/>
        <v>61.850000000000023</v>
      </c>
      <c r="C4309" s="3" t="s">
        <v>4736</v>
      </c>
      <c r="D4309">
        <f t="shared" si="12404"/>
        <v>25</v>
      </c>
      <c r="E4309">
        <f t="shared" si="12405"/>
        <v>2</v>
      </c>
      <c r="F4309">
        <f t="shared" si="12406"/>
        <v>2025</v>
      </c>
      <c r="G4309" t="s">
        <v>1389</v>
      </c>
      <c r="H4309">
        <v>-52.39</v>
      </c>
      <c r="I4309">
        <v>61.85</v>
      </c>
      <c r="K4309" t="s">
        <v>10</v>
      </c>
      <c r="L4309" s="8">
        <f t="shared" si="12229"/>
        <v>0.18056881084176379</v>
      </c>
      <c r="M4309" t="s">
        <v>4739</v>
      </c>
    </row>
    <row r="4310" spans="1:13" x14ac:dyDescent="0.35">
      <c r="A4310">
        <f t="shared" si="12224"/>
        <v>4306</v>
      </c>
      <c r="B4310" s="9">
        <f t="shared" si="12403"/>
        <v>63.050000000000026</v>
      </c>
      <c r="C4310" s="3" t="s">
        <v>4736</v>
      </c>
      <c r="D4310">
        <f t="shared" si="12404"/>
        <v>25</v>
      </c>
      <c r="E4310">
        <f t="shared" si="12405"/>
        <v>2</v>
      </c>
      <c r="F4310">
        <f t="shared" si="12406"/>
        <v>2025</v>
      </c>
      <c r="G4310" t="s">
        <v>1389</v>
      </c>
      <c r="H4310">
        <v>-10</v>
      </c>
      <c r="I4310">
        <v>11.2</v>
      </c>
      <c r="K4310" t="s">
        <v>10</v>
      </c>
      <c r="L4310" s="8">
        <f t="shared" si="12229"/>
        <v>0.11999999999999988</v>
      </c>
      <c r="M4310" t="s">
        <v>4740</v>
      </c>
    </row>
    <row r="4311" spans="1:13" x14ac:dyDescent="0.35">
      <c r="A4311">
        <f t="shared" si="12224"/>
        <v>4307</v>
      </c>
      <c r="B4311" s="9">
        <f t="shared" ref="B4311" si="12408">B4310+H4311+I4311+J4311</f>
        <v>65.480000000000018</v>
      </c>
      <c r="C4311" s="3" t="s">
        <v>4736</v>
      </c>
      <c r="D4311">
        <f t="shared" ref="D4311" si="12409">_xlfn.NUMBERVALUE(LEFT(C4311,2))</f>
        <v>25</v>
      </c>
      <c r="E4311">
        <f t="shared" ref="E4311" si="12410">_xlfn.NUMBERVALUE(MID(C4311,4,2))</f>
        <v>2</v>
      </c>
      <c r="F4311">
        <f t="shared" ref="F4311" si="12411">_xlfn.NUMBERVALUE(RIGHT(C4311,4))</f>
        <v>2025</v>
      </c>
      <c r="G4311" t="s">
        <v>1389</v>
      </c>
      <c r="H4311">
        <v>-10</v>
      </c>
      <c r="I4311">
        <v>12.43</v>
      </c>
      <c r="K4311" t="s">
        <v>10</v>
      </c>
      <c r="L4311" s="8">
        <f t="shared" si="12229"/>
        <v>0.24299999999999988</v>
      </c>
      <c r="M4311" t="s">
        <v>4741</v>
      </c>
    </row>
    <row r="4312" spans="1:13" x14ac:dyDescent="0.35">
      <c r="A4312">
        <f t="shared" si="12224"/>
        <v>4308</v>
      </c>
      <c r="B4312" s="9">
        <f t="shared" ref="B4312" si="12412">B4311+H4312+I4312+J4312</f>
        <v>65.550000000000011</v>
      </c>
      <c r="C4312" s="3" t="s">
        <v>4736</v>
      </c>
      <c r="D4312">
        <f t="shared" ref="D4312" si="12413">_xlfn.NUMBERVALUE(LEFT(C4312,2))</f>
        <v>25</v>
      </c>
      <c r="E4312">
        <f t="shared" ref="E4312" si="12414">_xlfn.NUMBERVALUE(MID(C4312,4,2))</f>
        <v>2</v>
      </c>
      <c r="F4312">
        <f t="shared" ref="F4312" si="12415">_xlfn.NUMBERVALUE(RIGHT(C4312,4))</f>
        <v>2025</v>
      </c>
      <c r="G4312" t="s">
        <v>1389</v>
      </c>
      <c r="H4312">
        <v>-10</v>
      </c>
      <c r="I4312">
        <v>10.07</v>
      </c>
      <c r="K4312" t="s">
        <v>10</v>
      </c>
      <c r="L4312" s="8">
        <f t="shared" si="12229"/>
        <v>7.0000000000001172E-3</v>
      </c>
      <c r="M4312" t="s">
        <v>4742</v>
      </c>
    </row>
    <row r="4313" spans="1:13" x14ac:dyDescent="0.35">
      <c r="A4313">
        <f t="shared" si="12224"/>
        <v>4309</v>
      </c>
      <c r="B4313" s="9">
        <f t="shared" ref="B4313:B4314" si="12416">B4312+H4313+I4313+J4313</f>
        <v>70.550000000000011</v>
      </c>
      <c r="C4313" s="3" t="s">
        <v>4736</v>
      </c>
      <c r="D4313">
        <f t="shared" ref="D4313:D4314" si="12417">_xlfn.NUMBERVALUE(LEFT(C4313,2))</f>
        <v>25</v>
      </c>
      <c r="E4313">
        <f t="shared" ref="E4313:E4314" si="12418">_xlfn.NUMBERVALUE(MID(C4313,4,2))</f>
        <v>2</v>
      </c>
      <c r="F4313">
        <f t="shared" ref="F4313:F4314" si="12419">_xlfn.NUMBERVALUE(RIGHT(C4313,4))</f>
        <v>2025</v>
      </c>
      <c r="G4313" t="s">
        <v>4209</v>
      </c>
      <c r="I4313">
        <v>5</v>
      </c>
      <c r="K4313" t="s">
        <v>10</v>
      </c>
    </row>
    <row r="4314" spans="1:13" x14ac:dyDescent="0.35">
      <c r="A4314">
        <f t="shared" si="12224"/>
        <v>4310</v>
      </c>
      <c r="B4314" s="9">
        <f t="shared" si="12416"/>
        <v>71.62</v>
      </c>
      <c r="C4314" s="3" t="s">
        <v>4736</v>
      </c>
      <c r="D4314">
        <f t="shared" si="12417"/>
        <v>25</v>
      </c>
      <c r="E4314">
        <f t="shared" si="12418"/>
        <v>2</v>
      </c>
      <c r="F4314">
        <f t="shared" si="12419"/>
        <v>2025</v>
      </c>
      <c r="G4314" t="s">
        <v>1389</v>
      </c>
      <c r="H4314">
        <v>-10</v>
      </c>
      <c r="I4314">
        <v>11.07</v>
      </c>
      <c r="K4314" t="s">
        <v>10</v>
      </c>
      <c r="L4314" s="8">
        <f t="shared" si="12229"/>
        <v>0.10699999999999998</v>
      </c>
      <c r="M4314" t="s">
        <v>4743</v>
      </c>
    </row>
    <row r="4315" spans="1:13" x14ac:dyDescent="0.35">
      <c r="A4315">
        <f t="shared" si="12224"/>
        <v>4311</v>
      </c>
      <c r="B4315" s="9">
        <f t="shared" ref="B4315" si="12420">B4314+H4315+I4315+J4315</f>
        <v>72.300000000000011</v>
      </c>
      <c r="C4315" s="3" t="s">
        <v>4736</v>
      </c>
      <c r="D4315">
        <f t="shared" ref="D4315" si="12421">_xlfn.NUMBERVALUE(LEFT(C4315,2))</f>
        <v>25</v>
      </c>
      <c r="E4315">
        <f t="shared" ref="E4315" si="12422">_xlfn.NUMBERVALUE(MID(C4315,4,2))</f>
        <v>2</v>
      </c>
      <c r="F4315">
        <f t="shared" ref="F4315" si="12423">_xlfn.NUMBERVALUE(RIGHT(C4315,4))</f>
        <v>2025</v>
      </c>
      <c r="G4315" t="s">
        <v>1389</v>
      </c>
      <c r="H4315">
        <v>-10</v>
      </c>
      <c r="I4315">
        <v>10.68</v>
      </c>
      <c r="K4315" t="s">
        <v>10</v>
      </c>
      <c r="L4315" s="8">
        <f t="shared" si="12229"/>
        <v>6.800000000000006E-2</v>
      </c>
      <c r="M4315" t="s">
        <v>4744</v>
      </c>
    </row>
    <row r="4316" spans="1:13" x14ac:dyDescent="0.35">
      <c r="A4316">
        <f t="shared" si="12224"/>
        <v>4312</v>
      </c>
      <c r="B4316" s="9">
        <f t="shared" ref="B4316:B4317" si="12424">B4315+H4316+I4316+J4316</f>
        <v>62.300000000000011</v>
      </c>
      <c r="C4316" s="3" t="s">
        <v>4736</v>
      </c>
      <c r="D4316">
        <f t="shared" ref="D4316:D4317" si="12425">_xlfn.NUMBERVALUE(LEFT(C4316,2))</f>
        <v>25</v>
      </c>
      <c r="E4316">
        <f t="shared" ref="E4316:E4317" si="12426">_xlfn.NUMBERVALUE(MID(C4316,4,2))</f>
        <v>2</v>
      </c>
      <c r="F4316">
        <f t="shared" ref="F4316:F4317" si="12427">_xlfn.NUMBERVALUE(RIGHT(C4316,4))</f>
        <v>2025</v>
      </c>
      <c r="G4316" t="s">
        <v>1389</v>
      </c>
      <c r="H4316">
        <v>-10</v>
      </c>
      <c r="K4316" t="s">
        <v>9</v>
      </c>
      <c r="L4316" s="8">
        <f t="shared" si="12229"/>
        <v>-1</v>
      </c>
      <c r="M4316" t="s">
        <v>4745</v>
      </c>
    </row>
    <row r="4317" spans="1:13" x14ac:dyDescent="0.35">
      <c r="A4317">
        <f t="shared" si="12224"/>
        <v>4313</v>
      </c>
      <c r="B4317" s="9">
        <f t="shared" si="12424"/>
        <v>64.500000000000014</v>
      </c>
      <c r="C4317" s="3" t="s">
        <v>4736</v>
      </c>
      <c r="D4317">
        <f t="shared" si="12425"/>
        <v>25</v>
      </c>
      <c r="E4317">
        <f t="shared" si="12426"/>
        <v>2</v>
      </c>
      <c r="F4317">
        <f t="shared" si="12427"/>
        <v>2025</v>
      </c>
      <c r="G4317" t="s">
        <v>1389</v>
      </c>
      <c r="H4317">
        <v>-62.3</v>
      </c>
      <c r="I4317">
        <v>64.5</v>
      </c>
      <c r="K4317" t="s">
        <v>10</v>
      </c>
      <c r="L4317" s="8">
        <f t="shared" si="12229"/>
        <v>3.5313001605136396E-2</v>
      </c>
      <c r="M4317" t="s">
        <v>4746</v>
      </c>
    </row>
    <row r="4318" spans="1:13" x14ac:dyDescent="0.35">
      <c r="A4318">
        <f t="shared" si="12224"/>
        <v>4314</v>
      </c>
      <c r="B4318" s="9">
        <f t="shared" ref="B4318:B4320" si="12428">B4317+H4318+I4318+J4318</f>
        <v>69.940000000000012</v>
      </c>
      <c r="C4318" s="3" t="s">
        <v>4736</v>
      </c>
      <c r="D4318">
        <f t="shared" ref="D4318:D4320" si="12429">_xlfn.NUMBERVALUE(LEFT(C4318,2))</f>
        <v>25</v>
      </c>
      <c r="E4318">
        <f t="shared" ref="E4318:E4320" si="12430">_xlfn.NUMBERVALUE(MID(C4318,4,2))</f>
        <v>2</v>
      </c>
      <c r="F4318">
        <f t="shared" ref="F4318:F4320" si="12431">_xlfn.NUMBERVALUE(RIGHT(C4318,4))</f>
        <v>2025</v>
      </c>
      <c r="G4318" t="s">
        <v>1389</v>
      </c>
      <c r="H4318">
        <v>-64.5</v>
      </c>
      <c r="I4318">
        <v>69.94</v>
      </c>
      <c r="K4318" t="s">
        <v>10</v>
      </c>
      <c r="L4318" s="8">
        <f t="shared" si="12229"/>
        <v>8.4341085271317784E-2</v>
      </c>
      <c r="M4318" t="s">
        <v>4747</v>
      </c>
    </row>
    <row r="4319" spans="1:13" x14ac:dyDescent="0.35">
      <c r="A4319">
        <f t="shared" si="12224"/>
        <v>4315</v>
      </c>
      <c r="B4319" s="9">
        <f t="shared" si="12428"/>
        <v>64.940000000000012</v>
      </c>
      <c r="C4319" s="3" t="s">
        <v>4748</v>
      </c>
      <c r="D4319">
        <f t="shared" si="12429"/>
        <v>26</v>
      </c>
      <c r="E4319">
        <f t="shared" si="12430"/>
        <v>2</v>
      </c>
      <c r="F4319">
        <f t="shared" si="12431"/>
        <v>2025</v>
      </c>
      <c r="G4319" t="s">
        <v>7</v>
      </c>
      <c r="H4319">
        <v>-5</v>
      </c>
      <c r="K4319" t="s">
        <v>9</v>
      </c>
      <c r="L4319" s="8">
        <f t="shared" si="12229"/>
        <v>-1</v>
      </c>
      <c r="M4319" t="s">
        <v>4749</v>
      </c>
    </row>
    <row r="4320" spans="1:13" x14ac:dyDescent="0.35">
      <c r="A4320">
        <f t="shared" ref="A4320" si="12432">A4319+1</f>
        <v>4316</v>
      </c>
      <c r="B4320" s="9">
        <f t="shared" si="12428"/>
        <v>64.940000000000012</v>
      </c>
      <c r="C4320" s="3" t="s">
        <v>4748</v>
      </c>
      <c r="D4320">
        <f t="shared" si="12429"/>
        <v>26</v>
      </c>
      <c r="E4320">
        <f t="shared" si="12430"/>
        <v>2</v>
      </c>
      <c r="F4320">
        <f t="shared" si="12431"/>
        <v>2025</v>
      </c>
      <c r="G4320" t="s">
        <v>3039</v>
      </c>
      <c r="K4320" t="s">
        <v>9</v>
      </c>
      <c r="L4320" s="8">
        <f t="shared" ref="L4320:L4346" si="12433">IF(H4320="",0,(SUM(I4320:J4320)/-H4320)-1)</f>
        <v>0</v>
      </c>
      <c r="M4320" t="s">
        <v>4750</v>
      </c>
    </row>
    <row r="4321" spans="1:13" x14ac:dyDescent="0.35">
      <c r="A4321">
        <f t="shared" si="12224"/>
        <v>4317</v>
      </c>
      <c r="B4321" s="9">
        <f t="shared" ref="B4321:B4323" si="12434">B4320+H4321+I4321+J4321</f>
        <v>63.45000000000001</v>
      </c>
      <c r="C4321" s="3" t="s">
        <v>4748</v>
      </c>
      <c r="D4321">
        <f t="shared" ref="D4321:D4323" si="12435">_xlfn.NUMBERVALUE(LEFT(C4321,2))</f>
        <v>26</v>
      </c>
      <c r="E4321">
        <f t="shared" ref="E4321:E4323" si="12436">_xlfn.NUMBERVALUE(MID(C4321,4,2))</f>
        <v>2</v>
      </c>
      <c r="F4321">
        <f t="shared" ref="F4321:F4323" si="12437">_xlfn.NUMBERVALUE(RIGHT(C4321,4))</f>
        <v>2025</v>
      </c>
      <c r="G4321" t="s">
        <v>1389</v>
      </c>
      <c r="H4321">
        <v>-10</v>
      </c>
      <c r="I4321">
        <v>8.51</v>
      </c>
      <c r="K4321" t="s">
        <v>9</v>
      </c>
      <c r="L4321" s="8">
        <f t="shared" si="12433"/>
        <v>-0.14900000000000002</v>
      </c>
      <c r="M4321" t="s">
        <v>4751</v>
      </c>
    </row>
    <row r="4322" spans="1:13" x14ac:dyDescent="0.35">
      <c r="A4322">
        <f t="shared" si="12224"/>
        <v>4318</v>
      </c>
      <c r="B4322" s="9">
        <f t="shared" si="12434"/>
        <v>58.45000000000001</v>
      </c>
      <c r="C4322" s="3" t="s">
        <v>4752</v>
      </c>
      <c r="D4322">
        <f t="shared" si="12435"/>
        <v>27</v>
      </c>
      <c r="E4322">
        <f t="shared" si="12436"/>
        <v>2</v>
      </c>
      <c r="F4322">
        <f t="shared" si="12437"/>
        <v>2025</v>
      </c>
      <c r="G4322" t="s">
        <v>7</v>
      </c>
      <c r="H4322">
        <v>-5</v>
      </c>
      <c r="K4322" t="s">
        <v>9</v>
      </c>
      <c r="L4322" s="8">
        <f t="shared" si="12433"/>
        <v>-1</v>
      </c>
      <c r="M4322" t="s">
        <v>4753</v>
      </c>
    </row>
    <row r="4323" spans="1:13" x14ac:dyDescent="0.35">
      <c r="A4323">
        <f t="shared" ref="A4323:A4509" si="12438">A4322+1</f>
        <v>4319</v>
      </c>
      <c r="B4323" s="9">
        <f t="shared" si="12434"/>
        <v>58.45000000000001</v>
      </c>
      <c r="C4323" s="3" t="s">
        <v>4752</v>
      </c>
      <c r="D4323">
        <f t="shared" si="12435"/>
        <v>27</v>
      </c>
      <c r="E4323">
        <f t="shared" si="12436"/>
        <v>2</v>
      </c>
      <c r="F4323">
        <f t="shared" si="12437"/>
        <v>2025</v>
      </c>
      <c r="G4323" t="s">
        <v>3039</v>
      </c>
      <c r="K4323" t="s">
        <v>10</v>
      </c>
      <c r="L4323" s="8">
        <f t="shared" si="12433"/>
        <v>0</v>
      </c>
      <c r="M4323" t="s">
        <v>4754</v>
      </c>
    </row>
    <row r="4324" spans="1:13" x14ac:dyDescent="0.35">
      <c r="A4324">
        <f t="shared" si="12224"/>
        <v>4320</v>
      </c>
      <c r="B4324" s="9">
        <f t="shared" ref="B4324:B4325" si="12439">B4323+H4324+I4324+J4324</f>
        <v>68.450000000000017</v>
      </c>
      <c r="C4324" s="3" t="s">
        <v>4755</v>
      </c>
      <c r="D4324">
        <f t="shared" ref="D4324:D4325" si="12440">_xlfn.NUMBERVALUE(LEFT(C4324,2))</f>
        <v>28</v>
      </c>
      <c r="E4324">
        <f t="shared" ref="E4324:E4325" si="12441">_xlfn.NUMBERVALUE(MID(C4324,4,2))</f>
        <v>2</v>
      </c>
      <c r="F4324">
        <f t="shared" ref="F4324:F4325" si="12442">_xlfn.NUMBERVALUE(RIGHT(C4324,4))</f>
        <v>2025</v>
      </c>
      <c r="G4324" t="s">
        <v>7</v>
      </c>
      <c r="H4324">
        <v>-5</v>
      </c>
      <c r="I4324">
        <v>15</v>
      </c>
      <c r="K4324" t="s">
        <v>10</v>
      </c>
      <c r="L4324" s="8">
        <f t="shared" si="12433"/>
        <v>2</v>
      </c>
      <c r="M4324" t="s">
        <v>4756</v>
      </c>
    </row>
    <row r="4325" spans="1:13" x14ac:dyDescent="0.35">
      <c r="A4325">
        <f t="shared" si="12438"/>
        <v>4321</v>
      </c>
      <c r="B4325" s="9">
        <f t="shared" si="12439"/>
        <v>68.450000000000017</v>
      </c>
      <c r="C4325" s="3" t="s">
        <v>4755</v>
      </c>
      <c r="D4325">
        <f t="shared" si="12440"/>
        <v>28</v>
      </c>
      <c r="E4325">
        <f t="shared" si="12441"/>
        <v>2</v>
      </c>
      <c r="F4325">
        <f t="shared" si="12442"/>
        <v>2025</v>
      </c>
      <c r="G4325" t="s">
        <v>3039</v>
      </c>
      <c r="K4325" t="s">
        <v>10</v>
      </c>
      <c r="L4325" s="8">
        <f t="shared" si="12433"/>
        <v>0</v>
      </c>
      <c r="M4325" t="s">
        <v>4757</v>
      </c>
    </row>
    <row r="4326" spans="1:13" x14ac:dyDescent="0.35">
      <c r="A4326">
        <f t="shared" si="12224"/>
        <v>4322</v>
      </c>
      <c r="B4326" s="9">
        <f t="shared" ref="B4326:B4327" si="12443">B4325+H4326+I4326+J4326</f>
        <v>63.450000000000017</v>
      </c>
      <c r="C4326" s="3" t="s">
        <v>4758</v>
      </c>
      <c r="D4326">
        <f t="shared" ref="D4326:D4327" si="12444">_xlfn.NUMBERVALUE(LEFT(C4326,2))</f>
        <v>1</v>
      </c>
      <c r="E4326">
        <f t="shared" ref="E4326:E4327" si="12445">_xlfn.NUMBERVALUE(MID(C4326,4,2))</f>
        <v>3</v>
      </c>
      <c r="F4326">
        <f t="shared" ref="F4326:F4327" si="12446">_xlfn.NUMBERVALUE(RIGHT(C4326,4))</f>
        <v>2025</v>
      </c>
      <c r="G4326" t="s">
        <v>7</v>
      </c>
      <c r="H4326">
        <v>-5</v>
      </c>
      <c r="K4326" t="s">
        <v>9</v>
      </c>
      <c r="L4326" s="8">
        <f t="shared" si="12433"/>
        <v>-1</v>
      </c>
      <c r="M4326" t="s">
        <v>4759</v>
      </c>
    </row>
    <row r="4327" spans="1:13" x14ac:dyDescent="0.35">
      <c r="A4327">
        <f t="shared" si="12438"/>
        <v>4323</v>
      </c>
      <c r="B4327" s="9">
        <f t="shared" si="12443"/>
        <v>62.950000000000017</v>
      </c>
      <c r="C4327" s="3" t="s">
        <v>4758</v>
      </c>
      <c r="D4327">
        <f t="shared" si="12444"/>
        <v>1</v>
      </c>
      <c r="E4327">
        <f t="shared" si="12445"/>
        <v>3</v>
      </c>
      <c r="F4327">
        <f t="shared" si="12446"/>
        <v>2025</v>
      </c>
      <c r="G4327" t="s">
        <v>3039</v>
      </c>
      <c r="H4327">
        <v>-0.5</v>
      </c>
      <c r="K4327" t="s">
        <v>9</v>
      </c>
      <c r="L4327" s="8">
        <f t="shared" si="12433"/>
        <v>-1</v>
      </c>
      <c r="M4327" t="s">
        <v>4760</v>
      </c>
    </row>
    <row r="4328" spans="1:13" x14ac:dyDescent="0.35">
      <c r="A4328">
        <f t="shared" si="12438"/>
        <v>4324</v>
      </c>
      <c r="B4328" s="9">
        <f t="shared" ref="B4328:B4329" si="12447">B4327+H4328+I4328+J4328</f>
        <v>62.950000000000017</v>
      </c>
      <c r="C4328" s="3" t="s">
        <v>4758</v>
      </c>
      <c r="D4328">
        <f t="shared" ref="D4328:D4329" si="12448">_xlfn.NUMBERVALUE(LEFT(C4328,2))</f>
        <v>1</v>
      </c>
      <c r="E4328">
        <f t="shared" ref="E4328:E4329" si="12449">_xlfn.NUMBERVALUE(MID(C4328,4,2))</f>
        <v>3</v>
      </c>
      <c r="F4328">
        <f t="shared" ref="F4328:F4329" si="12450">_xlfn.NUMBERVALUE(RIGHT(C4328,4))</f>
        <v>2025</v>
      </c>
      <c r="G4328" t="s">
        <v>3039</v>
      </c>
      <c r="K4328" t="s">
        <v>9</v>
      </c>
      <c r="L4328" s="8">
        <f t="shared" si="12433"/>
        <v>0</v>
      </c>
      <c r="M4328" t="s">
        <v>4761</v>
      </c>
    </row>
    <row r="4329" spans="1:13" x14ac:dyDescent="0.35">
      <c r="A4329">
        <f t="shared" si="12438"/>
        <v>4325</v>
      </c>
      <c r="B4329" s="9">
        <f t="shared" si="12447"/>
        <v>64.930000000000021</v>
      </c>
      <c r="C4329" s="3" t="s">
        <v>4758</v>
      </c>
      <c r="D4329">
        <f t="shared" si="12448"/>
        <v>1</v>
      </c>
      <c r="E4329">
        <f t="shared" si="12449"/>
        <v>3</v>
      </c>
      <c r="F4329">
        <f t="shared" si="12450"/>
        <v>2025</v>
      </c>
      <c r="G4329" t="s">
        <v>1389</v>
      </c>
      <c r="H4329">
        <v>-10</v>
      </c>
      <c r="I4329">
        <v>11.98</v>
      </c>
      <c r="K4329" t="s">
        <v>10</v>
      </c>
      <c r="L4329" s="8">
        <f t="shared" si="12433"/>
        <v>0.19799999999999995</v>
      </c>
      <c r="M4329" t="s">
        <v>4762</v>
      </c>
    </row>
    <row r="4330" spans="1:13" x14ac:dyDescent="0.35">
      <c r="A4330">
        <f t="shared" si="12438"/>
        <v>4326</v>
      </c>
      <c r="B4330" s="9">
        <f t="shared" ref="B4330" si="12451">B4329+H4330+I4330+J4330</f>
        <v>54.930000000000021</v>
      </c>
      <c r="C4330" s="3" t="s">
        <v>4758</v>
      </c>
      <c r="D4330">
        <f t="shared" ref="D4330" si="12452">_xlfn.NUMBERVALUE(LEFT(C4330,2))</f>
        <v>1</v>
      </c>
      <c r="E4330">
        <f t="shared" ref="E4330" si="12453">_xlfn.NUMBERVALUE(MID(C4330,4,2))</f>
        <v>3</v>
      </c>
      <c r="F4330">
        <f t="shared" ref="F4330" si="12454">_xlfn.NUMBERVALUE(RIGHT(C4330,4))</f>
        <v>2025</v>
      </c>
      <c r="G4330" t="s">
        <v>1389</v>
      </c>
      <c r="H4330">
        <v>-10</v>
      </c>
      <c r="K4330" t="s">
        <v>9</v>
      </c>
      <c r="L4330" s="8">
        <f t="shared" si="12433"/>
        <v>-1</v>
      </c>
      <c r="M4330" t="s">
        <v>4763</v>
      </c>
    </row>
    <row r="4331" spans="1:13" x14ac:dyDescent="0.35">
      <c r="A4331">
        <f t="shared" si="12438"/>
        <v>4327</v>
      </c>
      <c r="B4331" s="9">
        <f t="shared" ref="B4331" si="12455">B4330+H4331+I4331+J4331</f>
        <v>56.630000000000024</v>
      </c>
      <c r="C4331" s="3" t="s">
        <v>4758</v>
      </c>
      <c r="D4331">
        <f t="shared" ref="D4331" si="12456">_xlfn.NUMBERVALUE(LEFT(C4331,2))</f>
        <v>1</v>
      </c>
      <c r="E4331">
        <f t="shared" ref="E4331" si="12457">_xlfn.NUMBERVALUE(MID(C4331,4,2))</f>
        <v>3</v>
      </c>
      <c r="F4331">
        <f t="shared" ref="F4331" si="12458">_xlfn.NUMBERVALUE(RIGHT(C4331,4))</f>
        <v>2025</v>
      </c>
      <c r="G4331" t="s">
        <v>1389</v>
      </c>
      <c r="H4331">
        <v>-10</v>
      </c>
      <c r="I4331">
        <v>11.7</v>
      </c>
      <c r="K4331" t="s">
        <v>10</v>
      </c>
      <c r="L4331" s="8">
        <f t="shared" si="12433"/>
        <v>0.16999999999999993</v>
      </c>
      <c r="M4331" t="s">
        <v>4764</v>
      </c>
    </row>
    <row r="4332" spans="1:13" x14ac:dyDescent="0.35">
      <c r="A4332">
        <f t="shared" si="12438"/>
        <v>4328</v>
      </c>
      <c r="B4332" s="9">
        <f t="shared" ref="B4332" si="12459">B4331+H4332+I4332+J4332</f>
        <v>46.630000000000024</v>
      </c>
      <c r="C4332" s="3" t="s">
        <v>4758</v>
      </c>
      <c r="D4332">
        <f t="shared" ref="D4332" si="12460">_xlfn.NUMBERVALUE(LEFT(C4332,2))</f>
        <v>1</v>
      </c>
      <c r="E4332">
        <f t="shared" ref="E4332" si="12461">_xlfn.NUMBERVALUE(MID(C4332,4,2))</f>
        <v>3</v>
      </c>
      <c r="F4332">
        <f t="shared" ref="F4332" si="12462">_xlfn.NUMBERVALUE(RIGHT(C4332,4))</f>
        <v>2025</v>
      </c>
      <c r="G4332" t="s">
        <v>1389</v>
      </c>
      <c r="H4332">
        <v>-10</v>
      </c>
      <c r="K4332" t="s">
        <v>9</v>
      </c>
      <c r="L4332" s="8">
        <f t="shared" si="12433"/>
        <v>-1</v>
      </c>
      <c r="M4332" t="s">
        <v>4765</v>
      </c>
    </row>
    <row r="4333" spans="1:13" x14ac:dyDescent="0.35">
      <c r="A4333">
        <f t="shared" si="12438"/>
        <v>4329</v>
      </c>
      <c r="B4333" s="9">
        <f t="shared" ref="B4333" si="12463">B4332+H4333+I4333+J4333</f>
        <v>47.430000000000021</v>
      </c>
      <c r="C4333" s="3" t="s">
        <v>4758</v>
      </c>
      <c r="D4333">
        <f t="shared" ref="D4333" si="12464">_xlfn.NUMBERVALUE(LEFT(C4333,2))</f>
        <v>1</v>
      </c>
      <c r="E4333">
        <f t="shared" ref="E4333" si="12465">_xlfn.NUMBERVALUE(MID(C4333,4,2))</f>
        <v>3</v>
      </c>
      <c r="F4333">
        <f t="shared" ref="F4333" si="12466">_xlfn.NUMBERVALUE(RIGHT(C4333,4))</f>
        <v>2025</v>
      </c>
      <c r="G4333" t="s">
        <v>1389</v>
      </c>
      <c r="H4333">
        <v>-10</v>
      </c>
      <c r="I4333">
        <v>10.8</v>
      </c>
      <c r="K4333" t="s">
        <v>10</v>
      </c>
      <c r="L4333" s="8">
        <f t="shared" si="12433"/>
        <v>8.0000000000000071E-2</v>
      </c>
      <c r="M4333" t="s">
        <v>4766</v>
      </c>
    </row>
    <row r="4334" spans="1:13" x14ac:dyDescent="0.35">
      <c r="A4334">
        <f t="shared" si="12438"/>
        <v>4330</v>
      </c>
      <c r="B4334" s="9">
        <f t="shared" ref="B4334" si="12467">B4333+H4334+I4334+J4334</f>
        <v>48.030000000000022</v>
      </c>
      <c r="C4334" s="3" t="s">
        <v>4758</v>
      </c>
      <c r="D4334">
        <f t="shared" ref="D4334" si="12468">_xlfn.NUMBERVALUE(LEFT(C4334,2))</f>
        <v>1</v>
      </c>
      <c r="E4334">
        <f t="shared" ref="E4334" si="12469">_xlfn.NUMBERVALUE(MID(C4334,4,2))</f>
        <v>3</v>
      </c>
      <c r="F4334">
        <f t="shared" ref="F4334" si="12470">_xlfn.NUMBERVALUE(RIGHT(C4334,4))</f>
        <v>2025</v>
      </c>
      <c r="G4334" t="s">
        <v>1389</v>
      </c>
      <c r="H4334">
        <v>-10</v>
      </c>
      <c r="I4334">
        <v>10.6</v>
      </c>
      <c r="K4334" t="s">
        <v>10</v>
      </c>
      <c r="L4334" s="8">
        <f t="shared" si="12433"/>
        <v>6.0000000000000053E-2</v>
      </c>
      <c r="M4334" t="s">
        <v>4767</v>
      </c>
    </row>
    <row r="4335" spans="1:13" x14ac:dyDescent="0.35">
      <c r="A4335">
        <f t="shared" si="12438"/>
        <v>4331</v>
      </c>
      <c r="B4335" s="9">
        <f t="shared" ref="B4335" si="12471">B4334+H4335+I4335+J4335</f>
        <v>48.830000000000027</v>
      </c>
      <c r="C4335" s="3" t="s">
        <v>4758</v>
      </c>
      <c r="D4335">
        <f t="shared" ref="D4335" si="12472">_xlfn.NUMBERVALUE(LEFT(C4335,2))</f>
        <v>1</v>
      </c>
      <c r="E4335">
        <f t="shared" ref="E4335" si="12473">_xlfn.NUMBERVALUE(MID(C4335,4,2))</f>
        <v>3</v>
      </c>
      <c r="F4335">
        <f t="shared" ref="F4335" si="12474">_xlfn.NUMBERVALUE(RIGHT(C4335,4))</f>
        <v>2025</v>
      </c>
      <c r="G4335" t="s">
        <v>1389</v>
      </c>
      <c r="H4335">
        <v>-10</v>
      </c>
      <c r="I4335">
        <v>10.8</v>
      </c>
      <c r="K4335" t="s">
        <v>10</v>
      </c>
      <c r="L4335" s="8">
        <f t="shared" si="12433"/>
        <v>8.0000000000000071E-2</v>
      </c>
      <c r="M4335" t="s">
        <v>4768</v>
      </c>
    </row>
    <row r="4336" spans="1:13" x14ac:dyDescent="0.35">
      <c r="A4336">
        <f t="shared" si="12438"/>
        <v>4332</v>
      </c>
      <c r="B4336" s="9">
        <f t="shared" ref="B4336" si="12475">B4335+H4336+I4336+J4336</f>
        <v>50.290000000000028</v>
      </c>
      <c r="C4336" s="3" t="s">
        <v>4758</v>
      </c>
      <c r="D4336">
        <f t="shared" ref="D4336" si="12476">_xlfn.NUMBERVALUE(LEFT(C4336,2))</f>
        <v>1</v>
      </c>
      <c r="E4336">
        <f t="shared" ref="E4336" si="12477">_xlfn.NUMBERVALUE(MID(C4336,4,2))</f>
        <v>3</v>
      </c>
      <c r="F4336">
        <f t="shared" ref="F4336" si="12478">_xlfn.NUMBERVALUE(RIGHT(C4336,4))</f>
        <v>2025</v>
      </c>
      <c r="G4336" t="s">
        <v>1389</v>
      </c>
      <c r="H4336">
        <v>-10</v>
      </c>
      <c r="I4336">
        <v>11.46</v>
      </c>
      <c r="K4336" t="s">
        <v>10</v>
      </c>
      <c r="L4336" s="8">
        <f t="shared" si="12433"/>
        <v>0.14600000000000013</v>
      </c>
      <c r="M4336" t="s">
        <v>4769</v>
      </c>
    </row>
    <row r="4337" spans="1:13" x14ac:dyDescent="0.35">
      <c r="A4337">
        <f t="shared" si="12438"/>
        <v>4333</v>
      </c>
      <c r="B4337" s="9">
        <f t="shared" ref="B4337" si="12479">B4336+H4337+I4337+J4337</f>
        <v>50.790000000000028</v>
      </c>
      <c r="C4337" s="3" t="s">
        <v>4758</v>
      </c>
      <c r="D4337">
        <f t="shared" ref="D4337" si="12480">_xlfn.NUMBERVALUE(LEFT(C4337,2))</f>
        <v>1</v>
      </c>
      <c r="E4337">
        <f t="shared" ref="E4337" si="12481">_xlfn.NUMBERVALUE(MID(C4337,4,2))</f>
        <v>3</v>
      </c>
      <c r="F4337">
        <f t="shared" ref="F4337" si="12482">_xlfn.NUMBERVALUE(RIGHT(C4337,4))</f>
        <v>2025</v>
      </c>
      <c r="G4337" t="s">
        <v>1389</v>
      </c>
      <c r="H4337">
        <v>-10</v>
      </c>
      <c r="I4337">
        <v>10.5</v>
      </c>
      <c r="K4337" t="s">
        <v>10</v>
      </c>
      <c r="L4337" s="8">
        <f t="shared" si="12433"/>
        <v>5.0000000000000044E-2</v>
      </c>
      <c r="M4337" t="s">
        <v>4770</v>
      </c>
    </row>
    <row r="4338" spans="1:13" x14ac:dyDescent="0.35">
      <c r="A4338">
        <f t="shared" si="12438"/>
        <v>4334</v>
      </c>
      <c r="B4338" s="9">
        <f t="shared" ref="B4338" si="12483">B4337+H4338+I4338+J4338</f>
        <v>51.640000000000029</v>
      </c>
      <c r="C4338" s="3" t="s">
        <v>4758</v>
      </c>
      <c r="D4338">
        <f t="shared" ref="D4338" si="12484">_xlfn.NUMBERVALUE(LEFT(C4338,2))</f>
        <v>1</v>
      </c>
      <c r="E4338">
        <f t="shared" ref="E4338" si="12485">_xlfn.NUMBERVALUE(MID(C4338,4,2))</f>
        <v>3</v>
      </c>
      <c r="F4338">
        <f t="shared" ref="F4338" si="12486">_xlfn.NUMBERVALUE(RIGHT(C4338,4))</f>
        <v>2025</v>
      </c>
      <c r="G4338" t="s">
        <v>1389</v>
      </c>
      <c r="H4338">
        <v>-10</v>
      </c>
      <c r="I4338">
        <v>10.85</v>
      </c>
      <c r="K4338" t="s">
        <v>10</v>
      </c>
      <c r="L4338" s="8">
        <f t="shared" si="12433"/>
        <v>8.4999999999999964E-2</v>
      </c>
      <c r="M4338" t="s">
        <v>4771</v>
      </c>
    </row>
    <row r="4339" spans="1:13" x14ac:dyDescent="0.35">
      <c r="A4339">
        <f t="shared" si="12438"/>
        <v>4335</v>
      </c>
      <c r="B4339" s="9">
        <f t="shared" ref="B4339" si="12487">B4338+H4339+I4339+J4339</f>
        <v>52.24000000000003</v>
      </c>
      <c r="C4339" s="3" t="s">
        <v>4758</v>
      </c>
      <c r="D4339">
        <f t="shared" ref="D4339" si="12488">_xlfn.NUMBERVALUE(LEFT(C4339,2))</f>
        <v>1</v>
      </c>
      <c r="E4339">
        <f t="shared" ref="E4339" si="12489">_xlfn.NUMBERVALUE(MID(C4339,4,2))</f>
        <v>3</v>
      </c>
      <c r="F4339">
        <f t="shared" ref="F4339" si="12490">_xlfn.NUMBERVALUE(RIGHT(C4339,4))</f>
        <v>2025</v>
      </c>
      <c r="G4339" t="s">
        <v>1389</v>
      </c>
      <c r="H4339">
        <v>-10</v>
      </c>
      <c r="I4339">
        <v>10.6</v>
      </c>
      <c r="K4339" t="s">
        <v>10</v>
      </c>
      <c r="L4339" s="8">
        <f t="shared" si="12433"/>
        <v>6.0000000000000053E-2</v>
      </c>
      <c r="M4339" t="s">
        <v>4772</v>
      </c>
    </row>
    <row r="4340" spans="1:13" x14ac:dyDescent="0.35">
      <c r="A4340">
        <f t="shared" si="12438"/>
        <v>4336</v>
      </c>
      <c r="B4340" s="9">
        <f t="shared" ref="B4340" si="12491">B4339+H4340+I4340+J4340</f>
        <v>52.890000000000029</v>
      </c>
      <c r="C4340" s="3" t="s">
        <v>4758</v>
      </c>
      <c r="D4340">
        <f t="shared" ref="D4340" si="12492">_xlfn.NUMBERVALUE(LEFT(C4340,2))</f>
        <v>1</v>
      </c>
      <c r="E4340">
        <f t="shared" ref="E4340" si="12493">_xlfn.NUMBERVALUE(MID(C4340,4,2))</f>
        <v>3</v>
      </c>
      <c r="F4340">
        <f t="shared" ref="F4340" si="12494">_xlfn.NUMBERVALUE(RIGHT(C4340,4))</f>
        <v>2025</v>
      </c>
      <c r="G4340" t="s">
        <v>1389</v>
      </c>
      <c r="H4340">
        <v>-10</v>
      </c>
      <c r="I4340">
        <v>10.65</v>
      </c>
      <c r="K4340" t="s">
        <v>10</v>
      </c>
      <c r="L4340" s="8">
        <f t="shared" si="12433"/>
        <v>6.4999999999999947E-2</v>
      </c>
      <c r="M4340" t="s">
        <v>4773</v>
      </c>
    </row>
    <row r="4341" spans="1:13" x14ac:dyDescent="0.35">
      <c r="A4341">
        <f t="shared" si="12438"/>
        <v>4337</v>
      </c>
      <c r="B4341" s="9">
        <f t="shared" ref="B4341" si="12495">B4340+H4341+I4341+J4341</f>
        <v>53.590000000000032</v>
      </c>
      <c r="C4341" s="3" t="s">
        <v>4758</v>
      </c>
      <c r="D4341">
        <f t="shared" ref="D4341" si="12496">_xlfn.NUMBERVALUE(LEFT(C4341,2))</f>
        <v>1</v>
      </c>
      <c r="E4341">
        <f t="shared" ref="E4341" si="12497">_xlfn.NUMBERVALUE(MID(C4341,4,2))</f>
        <v>3</v>
      </c>
      <c r="F4341">
        <f t="shared" ref="F4341" si="12498">_xlfn.NUMBERVALUE(RIGHT(C4341,4))</f>
        <v>2025</v>
      </c>
      <c r="G4341" t="s">
        <v>1389</v>
      </c>
      <c r="H4341">
        <v>-10</v>
      </c>
      <c r="I4341">
        <v>10.7</v>
      </c>
      <c r="K4341" t="s">
        <v>10</v>
      </c>
      <c r="L4341" s="8">
        <f t="shared" si="12433"/>
        <v>6.999999999999984E-2</v>
      </c>
      <c r="M4341" t="s">
        <v>4774</v>
      </c>
    </row>
    <row r="4342" spans="1:13" x14ac:dyDescent="0.35">
      <c r="A4342">
        <f t="shared" si="12438"/>
        <v>4338</v>
      </c>
      <c r="B4342" s="9">
        <f t="shared" ref="B4342" si="12499">B4341+H4342+I4342+J4342</f>
        <v>58.390000000000029</v>
      </c>
      <c r="C4342" s="3" t="s">
        <v>4758</v>
      </c>
      <c r="D4342">
        <f t="shared" ref="D4342" si="12500">_xlfn.NUMBERVALUE(LEFT(C4342,2))</f>
        <v>1</v>
      </c>
      <c r="E4342">
        <f t="shared" ref="E4342" si="12501">_xlfn.NUMBERVALUE(MID(C4342,4,2))</f>
        <v>3</v>
      </c>
      <c r="F4342">
        <f t="shared" ref="F4342" si="12502">_xlfn.NUMBERVALUE(RIGHT(C4342,4))</f>
        <v>2025</v>
      </c>
      <c r="G4342" t="s">
        <v>1389</v>
      </c>
      <c r="H4342">
        <v>-10</v>
      </c>
      <c r="I4342">
        <v>14.8</v>
      </c>
      <c r="K4342" t="s">
        <v>10</v>
      </c>
      <c r="L4342" s="8">
        <f t="shared" si="12433"/>
        <v>0.48</v>
      </c>
      <c r="M4342" t="s">
        <v>4775</v>
      </c>
    </row>
    <row r="4343" spans="1:13" x14ac:dyDescent="0.35">
      <c r="A4343">
        <f t="shared" si="12438"/>
        <v>4339</v>
      </c>
      <c r="B4343" s="9">
        <f t="shared" ref="B4343" si="12503">B4342+H4343+I4343+J4343</f>
        <v>60.03000000000003</v>
      </c>
      <c r="C4343" s="3" t="s">
        <v>4758</v>
      </c>
      <c r="D4343">
        <f t="shared" ref="D4343" si="12504">_xlfn.NUMBERVALUE(LEFT(C4343,2))</f>
        <v>1</v>
      </c>
      <c r="E4343">
        <f t="shared" ref="E4343" si="12505">_xlfn.NUMBERVALUE(MID(C4343,4,2))</f>
        <v>3</v>
      </c>
      <c r="F4343">
        <f t="shared" ref="F4343" si="12506">_xlfn.NUMBERVALUE(RIGHT(C4343,4))</f>
        <v>2025</v>
      </c>
      <c r="G4343" t="s">
        <v>1389</v>
      </c>
      <c r="H4343">
        <v>-10</v>
      </c>
      <c r="I4343">
        <v>11.64</v>
      </c>
      <c r="K4343" t="s">
        <v>10</v>
      </c>
      <c r="L4343" s="8">
        <f t="shared" si="12433"/>
        <v>0.16400000000000015</v>
      </c>
      <c r="M4343" t="s">
        <v>4776</v>
      </c>
    </row>
    <row r="4344" spans="1:13" x14ac:dyDescent="0.35">
      <c r="A4344">
        <f t="shared" si="12438"/>
        <v>4340</v>
      </c>
      <c r="B4344" s="9">
        <f t="shared" ref="B4344" si="12507">B4343+H4344+I4344+J4344</f>
        <v>62.000000000000028</v>
      </c>
      <c r="C4344" s="3" t="s">
        <v>4758</v>
      </c>
      <c r="D4344">
        <f t="shared" ref="D4344" si="12508">_xlfn.NUMBERVALUE(LEFT(C4344,2))</f>
        <v>1</v>
      </c>
      <c r="E4344">
        <f t="shared" ref="E4344" si="12509">_xlfn.NUMBERVALUE(MID(C4344,4,2))</f>
        <v>3</v>
      </c>
      <c r="F4344">
        <f t="shared" ref="F4344" si="12510">_xlfn.NUMBERVALUE(RIGHT(C4344,4))</f>
        <v>2025</v>
      </c>
      <c r="G4344" t="s">
        <v>1389</v>
      </c>
      <c r="H4344">
        <v>-10</v>
      </c>
      <c r="I4344">
        <v>11.97</v>
      </c>
      <c r="K4344" t="s">
        <v>10</v>
      </c>
      <c r="L4344" s="8">
        <f t="shared" si="12433"/>
        <v>0.19700000000000006</v>
      </c>
      <c r="M4344" t="s">
        <v>4777</v>
      </c>
    </row>
    <row r="4345" spans="1:13" x14ac:dyDescent="0.35">
      <c r="A4345">
        <f t="shared" si="12438"/>
        <v>4341</v>
      </c>
      <c r="B4345" s="9">
        <f t="shared" ref="B4345" si="12511">B4344+H4345+I4345+J4345</f>
        <v>62.99000000000003</v>
      </c>
      <c r="C4345" s="3" t="s">
        <v>4758</v>
      </c>
      <c r="D4345">
        <f t="shared" ref="D4345" si="12512">_xlfn.NUMBERVALUE(LEFT(C4345,2))</f>
        <v>1</v>
      </c>
      <c r="E4345">
        <f t="shared" ref="E4345" si="12513">_xlfn.NUMBERVALUE(MID(C4345,4,2))</f>
        <v>3</v>
      </c>
      <c r="F4345">
        <f t="shared" ref="F4345" si="12514">_xlfn.NUMBERVALUE(RIGHT(C4345,4))</f>
        <v>2025</v>
      </c>
      <c r="G4345" t="s">
        <v>1389</v>
      </c>
      <c r="H4345">
        <v>-10</v>
      </c>
      <c r="I4345">
        <v>10.99</v>
      </c>
      <c r="K4345" t="s">
        <v>10</v>
      </c>
      <c r="L4345" s="8">
        <f t="shared" si="12433"/>
        <v>9.8999999999999977E-2</v>
      </c>
      <c r="M4345" t="s">
        <v>4778</v>
      </c>
    </row>
    <row r="4346" spans="1:13" x14ac:dyDescent="0.35">
      <c r="A4346">
        <f t="shared" si="12438"/>
        <v>4342</v>
      </c>
      <c r="B4346" s="9">
        <f t="shared" ref="B4346:B4348" si="12515">B4345+H4346+I4346+J4346</f>
        <v>52.99000000000003</v>
      </c>
      <c r="C4346" s="3" t="s">
        <v>4758</v>
      </c>
      <c r="D4346">
        <f t="shared" ref="D4346:D4348" si="12516">_xlfn.NUMBERVALUE(LEFT(C4346,2))</f>
        <v>1</v>
      </c>
      <c r="E4346">
        <f t="shared" ref="E4346:E4348" si="12517">_xlfn.NUMBERVALUE(MID(C4346,4,2))</f>
        <v>3</v>
      </c>
      <c r="F4346">
        <f t="shared" ref="F4346:F4348" si="12518">_xlfn.NUMBERVALUE(RIGHT(C4346,4))</f>
        <v>2025</v>
      </c>
      <c r="G4346" t="s">
        <v>1389</v>
      </c>
      <c r="H4346">
        <v>-10</v>
      </c>
      <c r="K4346" t="s">
        <v>9</v>
      </c>
      <c r="L4346" s="8">
        <f t="shared" si="12433"/>
        <v>-1</v>
      </c>
      <c r="M4346" t="s">
        <v>4779</v>
      </c>
    </row>
    <row r="4347" spans="1:13" x14ac:dyDescent="0.35">
      <c r="A4347">
        <f t="shared" si="12438"/>
        <v>4343</v>
      </c>
      <c r="B4347" s="9">
        <f t="shared" si="12515"/>
        <v>52.99000000000003</v>
      </c>
      <c r="C4347" s="3" t="s">
        <v>4780</v>
      </c>
      <c r="D4347">
        <f t="shared" si="12516"/>
        <v>2</v>
      </c>
      <c r="E4347">
        <f t="shared" si="12517"/>
        <v>3</v>
      </c>
      <c r="F4347">
        <f t="shared" si="12518"/>
        <v>2025</v>
      </c>
      <c r="G4347" t="s">
        <v>7</v>
      </c>
      <c r="K4347" t="s">
        <v>9</v>
      </c>
      <c r="L4347" s="8">
        <f t="shared" ref="L4347:L4400" si="12519">IF(H4347="",0,(SUM(I4347:J4347)/-H4347)-1)</f>
        <v>0</v>
      </c>
      <c r="M4347" t="s">
        <v>4781</v>
      </c>
    </row>
    <row r="4348" spans="1:13" x14ac:dyDescent="0.35">
      <c r="A4348">
        <f t="shared" si="12438"/>
        <v>4344</v>
      </c>
      <c r="B4348" s="9">
        <f t="shared" si="12515"/>
        <v>52.99000000000003</v>
      </c>
      <c r="C4348" s="3" t="s">
        <v>4780</v>
      </c>
      <c r="D4348">
        <f t="shared" si="12516"/>
        <v>2</v>
      </c>
      <c r="E4348">
        <f t="shared" si="12517"/>
        <v>3</v>
      </c>
      <c r="F4348">
        <f t="shared" si="12518"/>
        <v>2025</v>
      </c>
      <c r="G4348" t="s">
        <v>7</v>
      </c>
      <c r="K4348" t="s">
        <v>9</v>
      </c>
      <c r="L4348" s="8">
        <f t="shared" si="12519"/>
        <v>0</v>
      </c>
      <c r="M4348" t="s">
        <v>4782</v>
      </c>
    </row>
    <row r="4349" spans="1:13" x14ac:dyDescent="0.35">
      <c r="A4349">
        <f t="shared" si="12438"/>
        <v>4345</v>
      </c>
      <c r="B4349" s="9">
        <f t="shared" ref="B4349:B4350" si="12520">B4348+H4349+I4349+J4349</f>
        <v>47.99000000000003</v>
      </c>
      <c r="C4349" s="3" t="s">
        <v>4780</v>
      </c>
      <c r="D4349">
        <f t="shared" ref="D4349:D4350" si="12521">_xlfn.NUMBERVALUE(LEFT(C4349,2))</f>
        <v>2</v>
      </c>
      <c r="E4349">
        <f t="shared" ref="E4349:E4350" si="12522">_xlfn.NUMBERVALUE(MID(C4349,4,2))</f>
        <v>3</v>
      </c>
      <c r="F4349">
        <f t="shared" ref="F4349:F4350" si="12523">_xlfn.NUMBERVALUE(RIGHT(C4349,4))</f>
        <v>2025</v>
      </c>
      <c r="G4349" t="s">
        <v>7</v>
      </c>
      <c r="H4349">
        <v>-5</v>
      </c>
      <c r="K4349" t="s">
        <v>9</v>
      </c>
      <c r="L4349" s="8">
        <f t="shared" si="12519"/>
        <v>-1</v>
      </c>
      <c r="M4349" t="s">
        <v>4783</v>
      </c>
    </row>
    <row r="4350" spans="1:13" x14ac:dyDescent="0.35">
      <c r="A4350">
        <f t="shared" si="12438"/>
        <v>4346</v>
      </c>
      <c r="B4350" s="9">
        <f t="shared" si="12520"/>
        <v>47.99000000000003</v>
      </c>
      <c r="C4350" s="3" t="s">
        <v>4780</v>
      </c>
      <c r="D4350">
        <f t="shared" si="12521"/>
        <v>2</v>
      </c>
      <c r="E4350">
        <f t="shared" si="12522"/>
        <v>3</v>
      </c>
      <c r="F4350">
        <f t="shared" si="12523"/>
        <v>2025</v>
      </c>
      <c r="G4350" t="s">
        <v>3039</v>
      </c>
      <c r="K4350" t="s">
        <v>10</v>
      </c>
      <c r="L4350" s="8">
        <f t="shared" si="12519"/>
        <v>0</v>
      </c>
      <c r="M4350" t="s">
        <v>4784</v>
      </c>
    </row>
    <row r="4351" spans="1:13" x14ac:dyDescent="0.35">
      <c r="A4351">
        <f t="shared" si="12438"/>
        <v>4347</v>
      </c>
      <c r="B4351" s="9">
        <f t="shared" ref="B4351:B4352" si="12524">B4350+H4351+I4351+J4351</f>
        <v>47.99000000000003</v>
      </c>
      <c r="C4351" s="3" t="s">
        <v>4780</v>
      </c>
      <c r="D4351">
        <f t="shared" ref="D4351:D4352" si="12525">_xlfn.NUMBERVALUE(LEFT(C4351,2))</f>
        <v>2</v>
      </c>
      <c r="E4351">
        <f t="shared" ref="E4351:E4352" si="12526">_xlfn.NUMBERVALUE(MID(C4351,4,2))</f>
        <v>3</v>
      </c>
      <c r="F4351">
        <f t="shared" ref="F4351:F4352" si="12527">_xlfn.NUMBERVALUE(RIGHT(C4351,4))</f>
        <v>2025</v>
      </c>
      <c r="G4351" t="s">
        <v>2969</v>
      </c>
      <c r="K4351" t="s">
        <v>9</v>
      </c>
      <c r="L4351" s="8">
        <f t="shared" si="12519"/>
        <v>0</v>
      </c>
      <c r="M4351" t="s">
        <v>4785</v>
      </c>
    </row>
    <row r="4352" spans="1:13" x14ac:dyDescent="0.35">
      <c r="A4352">
        <f t="shared" si="12438"/>
        <v>4348</v>
      </c>
      <c r="B4352" s="9">
        <f t="shared" si="12524"/>
        <v>48.630000000000031</v>
      </c>
      <c r="C4352" s="3" t="s">
        <v>4780</v>
      </c>
      <c r="D4352">
        <f t="shared" si="12525"/>
        <v>2</v>
      </c>
      <c r="E4352">
        <f t="shared" si="12526"/>
        <v>3</v>
      </c>
      <c r="F4352">
        <f t="shared" si="12527"/>
        <v>2025</v>
      </c>
      <c r="G4352" t="s">
        <v>1389</v>
      </c>
      <c r="H4352">
        <v>-10</v>
      </c>
      <c r="I4352">
        <v>10.64</v>
      </c>
      <c r="K4352" t="s">
        <v>10</v>
      </c>
      <c r="L4352" s="8">
        <f t="shared" si="12519"/>
        <v>6.4000000000000057E-2</v>
      </c>
      <c r="M4352" t="s">
        <v>4786</v>
      </c>
    </row>
    <row r="4353" spans="1:13" x14ac:dyDescent="0.35">
      <c r="A4353">
        <f t="shared" si="12438"/>
        <v>4349</v>
      </c>
      <c r="B4353" s="9">
        <f t="shared" ref="B4353" si="12528">B4352+H4353+I4353+J4353</f>
        <v>49.510000000000034</v>
      </c>
      <c r="C4353" s="3" t="s">
        <v>4780</v>
      </c>
      <c r="D4353">
        <f t="shared" ref="D4353" si="12529">_xlfn.NUMBERVALUE(LEFT(C4353,2))</f>
        <v>2</v>
      </c>
      <c r="E4353">
        <f t="shared" ref="E4353" si="12530">_xlfn.NUMBERVALUE(MID(C4353,4,2))</f>
        <v>3</v>
      </c>
      <c r="F4353">
        <f t="shared" ref="F4353" si="12531">_xlfn.NUMBERVALUE(RIGHT(C4353,4))</f>
        <v>2025</v>
      </c>
      <c r="G4353" t="s">
        <v>1389</v>
      </c>
      <c r="H4353">
        <v>-10</v>
      </c>
      <c r="I4353">
        <v>10.88</v>
      </c>
      <c r="K4353" t="s">
        <v>10</v>
      </c>
      <c r="L4353" s="8">
        <f t="shared" si="12519"/>
        <v>8.8000000000000078E-2</v>
      </c>
      <c r="M4353" t="s">
        <v>4787</v>
      </c>
    </row>
    <row r="4354" spans="1:13" x14ac:dyDescent="0.35">
      <c r="A4354">
        <f t="shared" si="12438"/>
        <v>4350</v>
      </c>
      <c r="B4354" s="9">
        <f t="shared" ref="B4354:B4357" si="12532">B4353+H4354+I4354+J4354</f>
        <v>43.700000000000031</v>
      </c>
      <c r="C4354" s="3" t="s">
        <v>4780</v>
      </c>
      <c r="D4354">
        <f t="shared" ref="D4354:D4357" si="12533">_xlfn.NUMBERVALUE(LEFT(C4354,2))</f>
        <v>2</v>
      </c>
      <c r="E4354">
        <f t="shared" ref="E4354:E4357" si="12534">_xlfn.NUMBERVALUE(MID(C4354,4,2))</f>
        <v>3</v>
      </c>
      <c r="F4354">
        <f t="shared" ref="F4354:F4357" si="12535">_xlfn.NUMBERVALUE(RIGHT(C4354,4))</f>
        <v>2025</v>
      </c>
      <c r="G4354" t="s">
        <v>1389</v>
      </c>
      <c r="H4354">
        <v>-20</v>
      </c>
      <c r="I4354">
        <v>14.19</v>
      </c>
      <c r="K4354" t="s">
        <v>9</v>
      </c>
      <c r="L4354" s="8">
        <f t="shared" si="12519"/>
        <v>-0.29049999999999998</v>
      </c>
      <c r="M4354" t="s">
        <v>4788</v>
      </c>
    </row>
    <row r="4355" spans="1:13" x14ac:dyDescent="0.35">
      <c r="A4355">
        <f t="shared" si="12438"/>
        <v>4351</v>
      </c>
      <c r="B4355" s="9">
        <f t="shared" si="12532"/>
        <v>43.870000000000033</v>
      </c>
      <c r="C4355" s="3" t="s">
        <v>4780</v>
      </c>
      <c r="D4355">
        <f t="shared" si="12533"/>
        <v>2</v>
      </c>
      <c r="E4355">
        <f t="shared" si="12534"/>
        <v>3</v>
      </c>
      <c r="F4355">
        <f t="shared" si="12535"/>
        <v>2025</v>
      </c>
      <c r="G4355" t="s">
        <v>1389</v>
      </c>
      <c r="H4355">
        <v>-10</v>
      </c>
      <c r="I4355">
        <v>10.17</v>
      </c>
      <c r="K4355" t="s">
        <v>10</v>
      </c>
      <c r="L4355" s="8">
        <f t="shared" si="12519"/>
        <v>1.6999999999999904E-2</v>
      </c>
      <c r="M4355" t="s">
        <v>4789</v>
      </c>
    </row>
    <row r="4356" spans="1:13" x14ac:dyDescent="0.35">
      <c r="A4356">
        <f t="shared" si="12438"/>
        <v>4352</v>
      </c>
      <c r="B4356" s="9">
        <f t="shared" si="12532"/>
        <v>53.870000000000033</v>
      </c>
      <c r="C4356" s="3" t="s">
        <v>4792</v>
      </c>
      <c r="D4356">
        <f t="shared" si="12533"/>
        <v>3</v>
      </c>
      <c r="E4356">
        <f t="shared" si="12534"/>
        <v>3</v>
      </c>
      <c r="F4356">
        <f t="shared" si="12535"/>
        <v>2025</v>
      </c>
      <c r="G4356" t="s">
        <v>7</v>
      </c>
      <c r="H4356">
        <v>-5</v>
      </c>
      <c r="I4356">
        <v>15</v>
      </c>
      <c r="K4356" t="s">
        <v>10</v>
      </c>
      <c r="L4356" s="8">
        <f t="shared" si="12519"/>
        <v>2</v>
      </c>
      <c r="M4356" t="s">
        <v>4790</v>
      </c>
    </row>
    <row r="4357" spans="1:13" x14ac:dyDescent="0.35">
      <c r="A4357">
        <f t="shared" si="12438"/>
        <v>4353</v>
      </c>
      <c r="B4357" s="9">
        <f t="shared" si="12532"/>
        <v>53.870000000000033</v>
      </c>
      <c r="C4357" s="3" t="s">
        <v>4792</v>
      </c>
      <c r="D4357">
        <f t="shared" si="12533"/>
        <v>3</v>
      </c>
      <c r="E4357">
        <f t="shared" si="12534"/>
        <v>3</v>
      </c>
      <c r="F4357">
        <f t="shared" si="12535"/>
        <v>2025</v>
      </c>
      <c r="G4357" t="s">
        <v>3039</v>
      </c>
      <c r="K4357" t="s">
        <v>9</v>
      </c>
      <c r="L4357" s="8">
        <f t="shared" si="12519"/>
        <v>0</v>
      </c>
      <c r="M4357" t="s">
        <v>4791</v>
      </c>
    </row>
    <row r="4358" spans="1:13" x14ac:dyDescent="0.35">
      <c r="A4358">
        <f t="shared" si="12438"/>
        <v>4354</v>
      </c>
      <c r="B4358" s="9">
        <f t="shared" ref="B4358" si="12536">B4357+H4358+I4358+J4358</f>
        <v>56.390000000000029</v>
      </c>
      <c r="C4358" s="3" t="s">
        <v>4792</v>
      </c>
      <c r="D4358">
        <f t="shared" ref="D4358" si="12537">_xlfn.NUMBERVALUE(LEFT(C4358,2))</f>
        <v>3</v>
      </c>
      <c r="E4358">
        <f t="shared" ref="E4358" si="12538">_xlfn.NUMBERVALUE(MID(C4358,4,2))</f>
        <v>3</v>
      </c>
      <c r="F4358">
        <f t="shared" ref="F4358" si="12539">_xlfn.NUMBERVALUE(RIGHT(C4358,4))</f>
        <v>2025</v>
      </c>
      <c r="G4358" t="s">
        <v>1389</v>
      </c>
      <c r="H4358">
        <v>-10</v>
      </c>
      <c r="I4358">
        <v>12.52</v>
      </c>
      <c r="K4358" t="s">
        <v>10</v>
      </c>
      <c r="L4358" s="8">
        <f t="shared" si="12519"/>
        <v>0.252</v>
      </c>
      <c r="M4358" t="s">
        <v>4793</v>
      </c>
    </row>
    <row r="4359" spans="1:13" x14ac:dyDescent="0.35">
      <c r="A4359">
        <f t="shared" si="12438"/>
        <v>4355</v>
      </c>
      <c r="B4359" s="9">
        <f t="shared" ref="B4359" si="12540">B4358+H4359+I4359+J4359</f>
        <v>59.92000000000003</v>
      </c>
      <c r="C4359" s="3" t="s">
        <v>4792</v>
      </c>
      <c r="D4359">
        <f t="shared" ref="D4359" si="12541">_xlfn.NUMBERVALUE(LEFT(C4359,2))</f>
        <v>3</v>
      </c>
      <c r="E4359">
        <f t="shared" ref="E4359" si="12542">_xlfn.NUMBERVALUE(MID(C4359,4,2))</f>
        <v>3</v>
      </c>
      <c r="F4359">
        <f t="shared" ref="F4359" si="12543">_xlfn.NUMBERVALUE(RIGHT(C4359,4))</f>
        <v>2025</v>
      </c>
      <c r="G4359" t="s">
        <v>1389</v>
      </c>
      <c r="H4359">
        <v>-10</v>
      </c>
      <c r="I4359">
        <v>13.53</v>
      </c>
      <c r="K4359" t="s">
        <v>10</v>
      </c>
      <c r="L4359" s="8">
        <f t="shared" si="12519"/>
        <v>0.35299999999999998</v>
      </c>
      <c r="M4359" t="s">
        <v>4794</v>
      </c>
    </row>
    <row r="4360" spans="1:13" x14ac:dyDescent="0.35">
      <c r="A4360">
        <f t="shared" si="12438"/>
        <v>4356</v>
      </c>
      <c r="B4360" s="9">
        <f t="shared" ref="B4360" si="12544">B4359+H4360+I4360+J4360</f>
        <v>60.680000000000028</v>
      </c>
      <c r="C4360" s="3" t="s">
        <v>4792</v>
      </c>
      <c r="D4360">
        <f t="shared" ref="D4360" si="12545">_xlfn.NUMBERVALUE(LEFT(C4360,2))</f>
        <v>3</v>
      </c>
      <c r="E4360">
        <f t="shared" ref="E4360" si="12546">_xlfn.NUMBERVALUE(MID(C4360,4,2))</f>
        <v>3</v>
      </c>
      <c r="F4360">
        <f t="shared" ref="F4360" si="12547">_xlfn.NUMBERVALUE(RIGHT(C4360,4))</f>
        <v>2025</v>
      </c>
      <c r="G4360" t="s">
        <v>1389</v>
      </c>
      <c r="H4360">
        <v>-10</v>
      </c>
      <c r="I4360">
        <v>10.76</v>
      </c>
      <c r="K4360" t="s">
        <v>10</v>
      </c>
      <c r="L4360" s="8">
        <f t="shared" si="12519"/>
        <v>7.6000000000000068E-2</v>
      </c>
      <c r="M4360" t="s">
        <v>4795</v>
      </c>
    </row>
    <row r="4361" spans="1:13" x14ac:dyDescent="0.35">
      <c r="A4361">
        <f t="shared" si="12438"/>
        <v>4357</v>
      </c>
      <c r="B4361" s="9">
        <f t="shared" ref="B4361" si="12548">B4360+H4361+I4361+J4361</f>
        <v>61.360000000000028</v>
      </c>
      <c r="C4361" s="3" t="s">
        <v>4792</v>
      </c>
      <c r="D4361">
        <f t="shared" ref="D4361" si="12549">_xlfn.NUMBERVALUE(LEFT(C4361,2))</f>
        <v>3</v>
      </c>
      <c r="E4361">
        <f t="shared" ref="E4361" si="12550">_xlfn.NUMBERVALUE(MID(C4361,4,2))</f>
        <v>3</v>
      </c>
      <c r="F4361">
        <f t="shared" ref="F4361" si="12551">_xlfn.NUMBERVALUE(RIGHT(C4361,4))</f>
        <v>2025</v>
      </c>
      <c r="G4361" t="s">
        <v>1389</v>
      </c>
      <c r="H4361">
        <v>-10</v>
      </c>
      <c r="I4361">
        <v>10.68</v>
      </c>
      <c r="K4361" t="s">
        <v>10</v>
      </c>
      <c r="L4361" s="8">
        <f t="shared" si="12519"/>
        <v>6.800000000000006E-2</v>
      </c>
      <c r="M4361" t="s">
        <v>4796</v>
      </c>
    </row>
    <row r="4362" spans="1:13" x14ac:dyDescent="0.35">
      <c r="A4362">
        <f t="shared" si="12438"/>
        <v>4358</v>
      </c>
      <c r="B4362" s="9">
        <f t="shared" ref="B4362" si="12552">B4361+H4362+I4362+J4362</f>
        <v>63.150000000000027</v>
      </c>
      <c r="C4362" s="3" t="s">
        <v>4792</v>
      </c>
      <c r="D4362">
        <f t="shared" ref="D4362" si="12553">_xlfn.NUMBERVALUE(LEFT(C4362,2))</f>
        <v>3</v>
      </c>
      <c r="E4362">
        <f t="shared" ref="E4362" si="12554">_xlfn.NUMBERVALUE(MID(C4362,4,2))</f>
        <v>3</v>
      </c>
      <c r="F4362">
        <f t="shared" ref="F4362" si="12555">_xlfn.NUMBERVALUE(RIGHT(C4362,4))</f>
        <v>2025</v>
      </c>
      <c r="G4362" t="s">
        <v>1389</v>
      </c>
      <c r="H4362">
        <v>-10</v>
      </c>
      <c r="I4362">
        <v>11.79</v>
      </c>
      <c r="K4362" t="s">
        <v>10</v>
      </c>
      <c r="L4362" s="8">
        <f t="shared" si="12519"/>
        <v>0.17899999999999983</v>
      </c>
      <c r="M4362" t="s">
        <v>4797</v>
      </c>
    </row>
    <row r="4363" spans="1:13" x14ac:dyDescent="0.35">
      <c r="A4363">
        <f t="shared" si="12438"/>
        <v>4359</v>
      </c>
      <c r="B4363" s="9">
        <f t="shared" ref="B4363:B4366" si="12556">B4362+H4363+I4363+J4363</f>
        <v>57.650000000000027</v>
      </c>
      <c r="C4363" s="3" t="s">
        <v>4792</v>
      </c>
      <c r="D4363">
        <f t="shared" ref="D4363:D4366" si="12557">_xlfn.NUMBERVALUE(LEFT(C4363,2))</f>
        <v>3</v>
      </c>
      <c r="E4363">
        <f t="shared" ref="E4363:E4366" si="12558">_xlfn.NUMBERVALUE(MID(C4363,4,2))</f>
        <v>3</v>
      </c>
      <c r="F4363">
        <f t="shared" ref="F4363:F4366" si="12559">_xlfn.NUMBERVALUE(RIGHT(C4363,4))</f>
        <v>2025</v>
      </c>
      <c r="G4363" t="s">
        <v>4798</v>
      </c>
      <c r="H4363">
        <v>-5.5</v>
      </c>
      <c r="K4363" t="s">
        <v>9</v>
      </c>
      <c r="L4363" s="8">
        <f t="shared" si="12519"/>
        <v>-1</v>
      </c>
      <c r="M4363" t="s">
        <v>4799</v>
      </c>
    </row>
    <row r="4364" spans="1:13" x14ac:dyDescent="0.35">
      <c r="A4364">
        <f t="shared" si="12438"/>
        <v>4360</v>
      </c>
      <c r="B4364" s="9">
        <f t="shared" si="12556"/>
        <v>67.650000000000034</v>
      </c>
      <c r="C4364" s="3" t="s">
        <v>4800</v>
      </c>
      <c r="D4364">
        <f t="shared" si="12557"/>
        <v>4</v>
      </c>
      <c r="E4364">
        <f t="shared" si="12558"/>
        <v>3</v>
      </c>
      <c r="F4364">
        <f t="shared" si="12559"/>
        <v>2025</v>
      </c>
      <c r="G4364" t="s">
        <v>7</v>
      </c>
      <c r="H4364">
        <v>-5</v>
      </c>
      <c r="I4364">
        <v>15</v>
      </c>
      <c r="K4364" t="s">
        <v>10</v>
      </c>
      <c r="L4364" s="8">
        <f t="shared" si="12519"/>
        <v>2</v>
      </c>
      <c r="M4364" t="s">
        <v>4801</v>
      </c>
    </row>
    <row r="4365" spans="1:13" x14ac:dyDescent="0.35">
      <c r="A4365">
        <f t="shared" si="12438"/>
        <v>4361</v>
      </c>
      <c r="B4365" s="9">
        <f t="shared" si="12556"/>
        <v>67.650000000000034</v>
      </c>
      <c r="C4365" s="3" t="s">
        <v>4800</v>
      </c>
      <c r="D4365">
        <f t="shared" si="12557"/>
        <v>4</v>
      </c>
      <c r="E4365">
        <f t="shared" si="12558"/>
        <v>3</v>
      </c>
      <c r="F4365">
        <f t="shared" si="12559"/>
        <v>2025</v>
      </c>
      <c r="G4365" t="s">
        <v>3039</v>
      </c>
      <c r="K4365" t="s">
        <v>9</v>
      </c>
      <c r="L4365" s="8">
        <f t="shared" si="12519"/>
        <v>0</v>
      </c>
      <c r="M4365" t="s">
        <v>4802</v>
      </c>
    </row>
    <row r="4366" spans="1:13" x14ac:dyDescent="0.35">
      <c r="A4366">
        <f t="shared" si="12438"/>
        <v>4362</v>
      </c>
      <c r="B4366" s="9">
        <f t="shared" si="12556"/>
        <v>68.590000000000032</v>
      </c>
      <c r="C4366" s="3" t="s">
        <v>4800</v>
      </c>
      <c r="D4366">
        <f t="shared" si="12557"/>
        <v>4</v>
      </c>
      <c r="E4366">
        <f t="shared" si="12558"/>
        <v>3</v>
      </c>
      <c r="F4366">
        <f t="shared" si="12559"/>
        <v>2025</v>
      </c>
      <c r="G4366" t="s">
        <v>1389</v>
      </c>
      <c r="H4366">
        <v>-10</v>
      </c>
      <c r="I4366">
        <v>10.94</v>
      </c>
      <c r="K4366" t="s">
        <v>10</v>
      </c>
      <c r="L4366" s="8">
        <f t="shared" si="12519"/>
        <v>9.3999999999999861E-2</v>
      </c>
      <c r="M4366" t="s">
        <v>4803</v>
      </c>
    </row>
    <row r="4367" spans="1:13" x14ac:dyDescent="0.35">
      <c r="A4367">
        <f t="shared" si="12438"/>
        <v>4363</v>
      </c>
      <c r="B4367" s="9">
        <f t="shared" ref="B4367" si="12560">B4366+H4367+I4367+J4367</f>
        <v>69.460000000000036</v>
      </c>
      <c r="C4367" s="3" t="s">
        <v>4800</v>
      </c>
      <c r="D4367">
        <f t="shared" ref="D4367" si="12561">_xlfn.NUMBERVALUE(LEFT(C4367,2))</f>
        <v>4</v>
      </c>
      <c r="E4367">
        <f t="shared" ref="E4367" si="12562">_xlfn.NUMBERVALUE(MID(C4367,4,2))</f>
        <v>3</v>
      </c>
      <c r="F4367">
        <f t="shared" ref="F4367" si="12563">_xlfn.NUMBERVALUE(RIGHT(C4367,4))</f>
        <v>2025</v>
      </c>
      <c r="G4367" t="s">
        <v>1389</v>
      </c>
      <c r="H4367">
        <v>-10</v>
      </c>
      <c r="I4367">
        <v>10.87</v>
      </c>
      <c r="K4367" t="s">
        <v>10</v>
      </c>
      <c r="L4367" s="8">
        <f t="shared" si="12519"/>
        <v>8.6999999999999966E-2</v>
      </c>
      <c r="M4367" t="s">
        <v>4804</v>
      </c>
    </row>
    <row r="4368" spans="1:13" x14ac:dyDescent="0.35">
      <c r="A4368">
        <f t="shared" si="12438"/>
        <v>4364</v>
      </c>
      <c r="B4368" s="9">
        <f t="shared" ref="B4368" si="12564">B4367+H4368+I4368+J4368</f>
        <v>59.990000000000038</v>
      </c>
      <c r="C4368" s="3" t="s">
        <v>4800</v>
      </c>
      <c r="D4368">
        <f t="shared" ref="D4368" si="12565">_xlfn.NUMBERVALUE(LEFT(C4368,2))</f>
        <v>4</v>
      </c>
      <c r="E4368">
        <f t="shared" ref="E4368" si="12566">_xlfn.NUMBERVALUE(MID(C4368,4,2))</f>
        <v>3</v>
      </c>
      <c r="F4368">
        <f t="shared" ref="F4368" si="12567">_xlfn.NUMBERVALUE(RIGHT(C4368,4))</f>
        <v>2025</v>
      </c>
      <c r="G4368" t="s">
        <v>1389</v>
      </c>
      <c r="H4368">
        <v>-20</v>
      </c>
      <c r="I4368">
        <v>10.53</v>
      </c>
      <c r="K4368" t="s">
        <v>9</v>
      </c>
      <c r="L4368" s="8">
        <f t="shared" si="12519"/>
        <v>-0.47350000000000003</v>
      </c>
      <c r="M4368" t="s">
        <v>4805</v>
      </c>
    </row>
    <row r="4369" spans="1:13" x14ac:dyDescent="0.35">
      <c r="A4369">
        <f t="shared" si="12438"/>
        <v>4365</v>
      </c>
      <c r="B4369" s="9">
        <f t="shared" ref="B4369:B4370" si="12568">B4368+H4369+I4369+J4369</f>
        <v>60.990000000000038</v>
      </c>
      <c r="C4369" s="3" t="s">
        <v>4800</v>
      </c>
      <c r="D4369">
        <f t="shared" ref="D4369:D4370" si="12569">_xlfn.NUMBERVALUE(LEFT(C4369,2))</f>
        <v>4</v>
      </c>
      <c r="E4369">
        <f t="shared" ref="E4369:E4370" si="12570">_xlfn.NUMBERVALUE(MID(C4369,4,2))</f>
        <v>3</v>
      </c>
      <c r="F4369">
        <f t="shared" ref="F4369:F4370" si="12571">_xlfn.NUMBERVALUE(RIGHT(C4369,4))</f>
        <v>2025</v>
      </c>
      <c r="G4369" t="s">
        <v>4209</v>
      </c>
      <c r="I4369">
        <v>1</v>
      </c>
      <c r="K4369" t="s">
        <v>10</v>
      </c>
    </row>
    <row r="4370" spans="1:13" x14ac:dyDescent="0.35">
      <c r="A4370">
        <f t="shared" si="12438"/>
        <v>4366</v>
      </c>
      <c r="B4370" s="9">
        <f t="shared" si="12568"/>
        <v>62.350000000000037</v>
      </c>
      <c r="C4370" s="3" t="s">
        <v>4800</v>
      </c>
      <c r="D4370">
        <f t="shared" si="12569"/>
        <v>4</v>
      </c>
      <c r="E4370">
        <f t="shared" si="12570"/>
        <v>3</v>
      </c>
      <c r="F4370">
        <f t="shared" si="12571"/>
        <v>2025</v>
      </c>
      <c r="G4370" t="s">
        <v>1389</v>
      </c>
      <c r="H4370">
        <v>-10</v>
      </c>
      <c r="I4370">
        <v>11.36</v>
      </c>
      <c r="K4370" t="s">
        <v>10</v>
      </c>
      <c r="L4370" s="8">
        <f t="shared" si="12519"/>
        <v>0.1359999999999999</v>
      </c>
      <c r="M4370" t="s">
        <v>4806</v>
      </c>
    </row>
    <row r="4371" spans="1:13" x14ac:dyDescent="0.35">
      <c r="A4371">
        <f t="shared" si="12438"/>
        <v>4367</v>
      </c>
      <c r="B4371" s="9">
        <f t="shared" ref="B4371" si="12572">B4370+H4371+I4371+J4371</f>
        <v>62.890000000000036</v>
      </c>
      <c r="C4371" s="3" t="s">
        <v>4800</v>
      </c>
      <c r="D4371">
        <f t="shared" ref="D4371" si="12573">_xlfn.NUMBERVALUE(LEFT(C4371,2))</f>
        <v>4</v>
      </c>
      <c r="E4371">
        <f t="shared" ref="E4371" si="12574">_xlfn.NUMBERVALUE(MID(C4371,4,2))</f>
        <v>3</v>
      </c>
      <c r="F4371">
        <f t="shared" ref="F4371" si="12575">_xlfn.NUMBERVALUE(RIGHT(C4371,4))</f>
        <v>2025</v>
      </c>
      <c r="G4371" t="s">
        <v>1389</v>
      </c>
      <c r="H4371">
        <v>-10</v>
      </c>
      <c r="I4371">
        <v>10.54</v>
      </c>
      <c r="K4371" t="s">
        <v>10</v>
      </c>
      <c r="L4371" s="8">
        <f t="shared" si="12519"/>
        <v>5.3999999999999826E-2</v>
      </c>
      <c r="M4371" t="s">
        <v>4807</v>
      </c>
    </row>
    <row r="4372" spans="1:13" x14ac:dyDescent="0.35">
      <c r="A4372">
        <f t="shared" si="12438"/>
        <v>4368</v>
      </c>
      <c r="B4372" s="9">
        <f t="shared" ref="B4372" si="12576">B4371+H4372+I4372+J4372</f>
        <v>66.760000000000034</v>
      </c>
      <c r="C4372" s="3" t="s">
        <v>4800</v>
      </c>
      <c r="D4372">
        <f t="shared" ref="D4372" si="12577">_xlfn.NUMBERVALUE(LEFT(C4372,2))</f>
        <v>4</v>
      </c>
      <c r="E4372">
        <f t="shared" ref="E4372" si="12578">_xlfn.NUMBERVALUE(MID(C4372,4,2))</f>
        <v>3</v>
      </c>
      <c r="F4372">
        <f t="shared" ref="F4372" si="12579">_xlfn.NUMBERVALUE(RIGHT(C4372,4))</f>
        <v>2025</v>
      </c>
      <c r="G4372" t="s">
        <v>1389</v>
      </c>
      <c r="H4372">
        <v>-10</v>
      </c>
      <c r="I4372">
        <v>13.87</v>
      </c>
      <c r="K4372" t="s">
        <v>10</v>
      </c>
      <c r="L4372" s="8">
        <f t="shared" si="12519"/>
        <v>0.38700000000000001</v>
      </c>
      <c r="M4372" t="s">
        <v>4808</v>
      </c>
    </row>
    <row r="4373" spans="1:13" x14ac:dyDescent="0.35">
      <c r="A4373">
        <f t="shared" si="12438"/>
        <v>4369</v>
      </c>
      <c r="B4373" s="9">
        <f t="shared" ref="B4373" si="12580">B4372+H4373+I4373+J4373</f>
        <v>67.600000000000037</v>
      </c>
      <c r="C4373" s="3" t="s">
        <v>4800</v>
      </c>
      <c r="D4373">
        <f t="shared" ref="D4373" si="12581">_xlfn.NUMBERVALUE(LEFT(C4373,2))</f>
        <v>4</v>
      </c>
      <c r="E4373">
        <f t="shared" ref="E4373" si="12582">_xlfn.NUMBERVALUE(MID(C4373,4,2))</f>
        <v>3</v>
      </c>
      <c r="F4373">
        <f t="shared" ref="F4373" si="12583">_xlfn.NUMBERVALUE(RIGHT(C4373,4))</f>
        <v>2025</v>
      </c>
      <c r="G4373" t="s">
        <v>1389</v>
      </c>
      <c r="H4373">
        <v>-10</v>
      </c>
      <c r="I4373">
        <v>10.84</v>
      </c>
      <c r="K4373" t="s">
        <v>10</v>
      </c>
      <c r="L4373" s="8">
        <f t="shared" si="12519"/>
        <v>8.4000000000000075E-2</v>
      </c>
      <c r="M4373" t="s">
        <v>4809</v>
      </c>
    </row>
    <row r="4374" spans="1:13" x14ac:dyDescent="0.35">
      <c r="A4374">
        <f t="shared" si="12438"/>
        <v>4370</v>
      </c>
      <c r="B4374" s="9">
        <f t="shared" ref="B4374" si="12584">B4373+H4374+I4374+J4374</f>
        <v>57.600000000000037</v>
      </c>
      <c r="C4374" s="3" t="s">
        <v>4800</v>
      </c>
      <c r="D4374">
        <f t="shared" ref="D4374" si="12585">_xlfn.NUMBERVALUE(LEFT(C4374,2))</f>
        <v>4</v>
      </c>
      <c r="E4374">
        <f t="shared" ref="E4374" si="12586">_xlfn.NUMBERVALUE(MID(C4374,4,2))</f>
        <v>3</v>
      </c>
      <c r="F4374">
        <f t="shared" ref="F4374" si="12587">_xlfn.NUMBERVALUE(RIGHT(C4374,4))</f>
        <v>2025</v>
      </c>
      <c r="G4374" t="s">
        <v>1389</v>
      </c>
      <c r="H4374">
        <v>-10</v>
      </c>
      <c r="K4374" t="s">
        <v>9</v>
      </c>
      <c r="L4374" s="8">
        <f t="shared" si="12519"/>
        <v>-1</v>
      </c>
      <c r="M4374" t="s">
        <v>4810</v>
      </c>
    </row>
    <row r="4375" spans="1:13" x14ac:dyDescent="0.35">
      <c r="A4375">
        <f t="shared" si="12438"/>
        <v>4371</v>
      </c>
      <c r="B4375" s="9">
        <f t="shared" ref="B4375" si="12588">B4374+H4375+I4375+J4375</f>
        <v>59.350000000000037</v>
      </c>
      <c r="C4375" s="3" t="s">
        <v>4800</v>
      </c>
      <c r="D4375">
        <f t="shared" ref="D4375" si="12589">_xlfn.NUMBERVALUE(LEFT(C4375,2))</f>
        <v>4</v>
      </c>
      <c r="E4375">
        <f t="shared" ref="E4375" si="12590">_xlfn.NUMBERVALUE(MID(C4375,4,2))</f>
        <v>3</v>
      </c>
      <c r="F4375">
        <f t="shared" ref="F4375" si="12591">_xlfn.NUMBERVALUE(RIGHT(C4375,4))</f>
        <v>2025</v>
      </c>
      <c r="G4375" t="s">
        <v>1389</v>
      </c>
      <c r="H4375">
        <v>-10</v>
      </c>
      <c r="I4375">
        <v>11.75</v>
      </c>
      <c r="K4375" t="s">
        <v>10</v>
      </c>
      <c r="L4375" s="8">
        <f t="shared" si="12519"/>
        <v>0.17500000000000004</v>
      </c>
      <c r="M4375" t="s">
        <v>4811</v>
      </c>
    </row>
    <row r="4376" spans="1:13" x14ac:dyDescent="0.35">
      <c r="A4376">
        <f t="shared" si="12438"/>
        <v>4372</v>
      </c>
      <c r="B4376" s="9">
        <f t="shared" ref="B4376" si="12592">B4375+H4376+I4376+J4376</f>
        <v>60.320000000000036</v>
      </c>
      <c r="C4376" s="3" t="s">
        <v>4800</v>
      </c>
      <c r="D4376">
        <f t="shared" ref="D4376" si="12593">_xlfn.NUMBERVALUE(LEFT(C4376,2))</f>
        <v>4</v>
      </c>
      <c r="E4376">
        <f t="shared" ref="E4376" si="12594">_xlfn.NUMBERVALUE(MID(C4376,4,2))</f>
        <v>3</v>
      </c>
      <c r="F4376">
        <f t="shared" ref="F4376" si="12595">_xlfn.NUMBERVALUE(RIGHT(C4376,4))</f>
        <v>2025</v>
      </c>
      <c r="G4376" t="s">
        <v>1389</v>
      </c>
      <c r="H4376">
        <v>-10</v>
      </c>
      <c r="I4376">
        <v>10.97</v>
      </c>
      <c r="K4376" t="s">
        <v>10</v>
      </c>
      <c r="L4376" s="8">
        <f t="shared" si="12519"/>
        <v>9.6999999999999975E-2</v>
      </c>
      <c r="M4376" t="s">
        <v>4812</v>
      </c>
    </row>
    <row r="4377" spans="1:13" x14ac:dyDescent="0.35">
      <c r="A4377">
        <f t="shared" si="12438"/>
        <v>4373</v>
      </c>
      <c r="B4377" s="9">
        <f t="shared" ref="B4377" si="12596">B4376+H4377+I4377+J4377</f>
        <v>61.640000000000036</v>
      </c>
      <c r="C4377" s="3" t="s">
        <v>4800</v>
      </c>
      <c r="D4377">
        <f t="shared" ref="D4377" si="12597">_xlfn.NUMBERVALUE(LEFT(C4377,2))</f>
        <v>4</v>
      </c>
      <c r="E4377">
        <f t="shared" ref="E4377" si="12598">_xlfn.NUMBERVALUE(MID(C4377,4,2))</f>
        <v>3</v>
      </c>
      <c r="F4377">
        <f t="shared" ref="F4377" si="12599">_xlfn.NUMBERVALUE(RIGHT(C4377,4))</f>
        <v>2025</v>
      </c>
      <c r="G4377" t="s">
        <v>1389</v>
      </c>
      <c r="H4377">
        <v>-10</v>
      </c>
      <c r="I4377">
        <v>11.32</v>
      </c>
      <c r="K4377" t="s">
        <v>10</v>
      </c>
      <c r="L4377" s="8">
        <f t="shared" si="12519"/>
        <v>0.13200000000000012</v>
      </c>
      <c r="M4377" t="s">
        <v>4813</v>
      </c>
    </row>
    <row r="4378" spans="1:13" x14ac:dyDescent="0.35">
      <c r="A4378">
        <f t="shared" si="12438"/>
        <v>4374</v>
      </c>
      <c r="B4378" s="9">
        <f t="shared" ref="B4378" si="12600">B4377+H4378+I4378+J4378</f>
        <v>62.200000000000038</v>
      </c>
      <c r="C4378" s="3" t="s">
        <v>4800</v>
      </c>
      <c r="D4378">
        <f t="shared" ref="D4378" si="12601">_xlfn.NUMBERVALUE(LEFT(C4378,2))</f>
        <v>4</v>
      </c>
      <c r="E4378">
        <f t="shared" ref="E4378" si="12602">_xlfn.NUMBERVALUE(MID(C4378,4,2))</f>
        <v>3</v>
      </c>
      <c r="F4378">
        <f t="shared" ref="F4378" si="12603">_xlfn.NUMBERVALUE(RIGHT(C4378,4))</f>
        <v>2025</v>
      </c>
      <c r="G4378" t="s">
        <v>1389</v>
      </c>
      <c r="H4378">
        <v>-10</v>
      </c>
      <c r="I4378">
        <v>10.56</v>
      </c>
      <c r="K4378" t="s">
        <v>10</v>
      </c>
      <c r="L4378" s="8">
        <f t="shared" si="12519"/>
        <v>5.600000000000005E-2</v>
      </c>
      <c r="M4378" t="s">
        <v>4814</v>
      </c>
    </row>
    <row r="4379" spans="1:13" x14ac:dyDescent="0.35">
      <c r="A4379">
        <f t="shared" si="12438"/>
        <v>4375</v>
      </c>
      <c r="B4379" s="9">
        <f t="shared" ref="B4379" si="12604">B4378+H4379+I4379+J4379</f>
        <v>63.060000000000038</v>
      </c>
      <c r="C4379" s="3" t="s">
        <v>4800</v>
      </c>
      <c r="D4379">
        <f t="shared" ref="D4379" si="12605">_xlfn.NUMBERVALUE(LEFT(C4379,2))</f>
        <v>4</v>
      </c>
      <c r="E4379">
        <f t="shared" ref="E4379" si="12606">_xlfn.NUMBERVALUE(MID(C4379,4,2))</f>
        <v>3</v>
      </c>
      <c r="F4379">
        <f t="shared" ref="F4379" si="12607">_xlfn.NUMBERVALUE(RIGHT(C4379,4))</f>
        <v>2025</v>
      </c>
      <c r="G4379" t="s">
        <v>1389</v>
      </c>
      <c r="H4379">
        <v>-10</v>
      </c>
      <c r="I4379">
        <v>10.86</v>
      </c>
      <c r="K4379" t="s">
        <v>10</v>
      </c>
      <c r="L4379" s="8">
        <f t="shared" si="12519"/>
        <v>8.5999999999999854E-2</v>
      </c>
      <c r="M4379" t="s">
        <v>4815</v>
      </c>
    </row>
    <row r="4380" spans="1:13" x14ac:dyDescent="0.35">
      <c r="A4380">
        <f t="shared" si="12438"/>
        <v>4376</v>
      </c>
      <c r="B4380" s="9">
        <f t="shared" ref="B4380" si="12608">B4379+H4380+I4380+J4380</f>
        <v>63.73000000000004</v>
      </c>
      <c r="C4380" s="3" t="s">
        <v>4800</v>
      </c>
      <c r="D4380">
        <f t="shared" ref="D4380" si="12609">_xlfn.NUMBERVALUE(LEFT(C4380,2))</f>
        <v>4</v>
      </c>
      <c r="E4380">
        <f t="shared" ref="E4380" si="12610">_xlfn.NUMBERVALUE(MID(C4380,4,2))</f>
        <v>3</v>
      </c>
      <c r="F4380">
        <f t="shared" ref="F4380" si="12611">_xlfn.NUMBERVALUE(RIGHT(C4380,4))</f>
        <v>2025</v>
      </c>
      <c r="G4380" t="s">
        <v>1389</v>
      </c>
      <c r="H4380">
        <v>-10</v>
      </c>
      <c r="I4380">
        <v>10.67</v>
      </c>
      <c r="K4380" t="s">
        <v>10</v>
      </c>
      <c r="L4380" s="8">
        <f t="shared" si="12519"/>
        <v>6.6999999999999948E-2</v>
      </c>
      <c r="M4380" t="s">
        <v>4816</v>
      </c>
    </row>
    <row r="4381" spans="1:13" x14ac:dyDescent="0.35">
      <c r="A4381">
        <f t="shared" si="12438"/>
        <v>4377</v>
      </c>
      <c r="B4381" s="9">
        <f t="shared" ref="B4381" si="12612">B4380+H4381+I4381+J4381</f>
        <v>66.750000000000043</v>
      </c>
      <c r="C4381" s="3" t="s">
        <v>4800</v>
      </c>
      <c r="D4381">
        <f t="shared" ref="D4381" si="12613">_xlfn.NUMBERVALUE(LEFT(C4381,2))</f>
        <v>4</v>
      </c>
      <c r="E4381">
        <f t="shared" ref="E4381" si="12614">_xlfn.NUMBERVALUE(MID(C4381,4,2))</f>
        <v>3</v>
      </c>
      <c r="F4381">
        <f t="shared" ref="F4381" si="12615">_xlfn.NUMBERVALUE(RIGHT(C4381,4))</f>
        <v>2025</v>
      </c>
      <c r="G4381" t="s">
        <v>1389</v>
      </c>
      <c r="H4381">
        <v>-10</v>
      </c>
      <c r="I4381">
        <v>13.02</v>
      </c>
      <c r="K4381" t="s">
        <v>10</v>
      </c>
      <c r="L4381" s="8">
        <f t="shared" si="12519"/>
        <v>0.30200000000000005</v>
      </c>
      <c r="M4381" t="s">
        <v>4817</v>
      </c>
    </row>
    <row r="4382" spans="1:13" x14ac:dyDescent="0.35">
      <c r="A4382">
        <f t="shared" si="12438"/>
        <v>4378</v>
      </c>
      <c r="B4382" s="9">
        <f t="shared" ref="B4382" si="12616">B4381+H4382+I4382+J4382</f>
        <v>67.360000000000042</v>
      </c>
      <c r="C4382" s="3" t="s">
        <v>4800</v>
      </c>
      <c r="D4382">
        <f t="shared" ref="D4382" si="12617">_xlfn.NUMBERVALUE(LEFT(C4382,2))</f>
        <v>4</v>
      </c>
      <c r="E4382">
        <f t="shared" ref="E4382" si="12618">_xlfn.NUMBERVALUE(MID(C4382,4,2))</f>
        <v>3</v>
      </c>
      <c r="F4382">
        <f t="shared" ref="F4382" si="12619">_xlfn.NUMBERVALUE(RIGHT(C4382,4))</f>
        <v>2025</v>
      </c>
      <c r="G4382" t="s">
        <v>1389</v>
      </c>
      <c r="H4382">
        <v>-10</v>
      </c>
      <c r="I4382">
        <v>10.61</v>
      </c>
      <c r="K4382" t="s">
        <v>10</v>
      </c>
      <c r="L4382" s="8">
        <f t="shared" si="12519"/>
        <v>6.0999999999999943E-2</v>
      </c>
      <c r="M4382" t="s">
        <v>4818</v>
      </c>
    </row>
    <row r="4383" spans="1:13" x14ac:dyDescent="0.35">
      <c r="A4383">
        <f t="shared" si="12438"/>
        <v>4379</v>
      </c>
      <c r="B4383" s="9">
        <f t="shared" ref="B4383:B4385" si="12620">B4382+H4383+I4383+J4383</f>
        <v>68.05000000000004</v>
      </c>
      <c r="C4383" s="3" t="s">
        <v>4800</v>
      </c>
      <c r="D4383">
        <f t="shared" ref="D4383:D4385" si="12621">_xlfn.NUMBERVALUE(LEFT(C4383,2))</f>
        <v>4</v>
      </c>
      <c r="E4383">
        <f t="shared" ref="E4383:E4385" si="12622">_xlfn.NUMBERVALUE(MID(C4383,4,2))</f>
        <v>3</v>
      </c>
      <c r="F4383">
        <f t="shared" ref="F4383:F4385" si="12623">_xlfn.NUMBERVALUE(RIGHT(C4383,4))</f>
        <v>2025</v>
      </c>
      <c r="G4383" t="s">
        <v>1389</v>
      </c>
      <c r="H4383">
        <v>-10</v>
      </c>
      <c r="I4383">
        <v>10.69</v>
      </c>
      <c r="K4383" t="s">
        <v>10</v>
      </c>
      <c r="L4383" s="8">
        <f t="shared" si="12519"/>
        <v>6.899999999999995E-2</v>
      </c>
      <c r="M4383" t="s">
        <v>4819</v>
      </c>
    </row>
    <row r="4384" spans="1:13" x14ac:dyDescent="0.35">
      <c r="A4384">
        <f t="shared" si="12438"/>
        <v>4380</v>
      </c>
      <c r="B4384" s="9">
        <f t="shared" si="12620"/>
        <v>63.05000000000004</v>
      </c>
      <c r="C4384" s="3" t="s">
        <v>4820</v>
      </c>
      <c r="D4384">
        <f t="shared" si="12621"/>
        <v>5</v>
      </c>
      <c r="E4384">
        <f t="shared" si="12622"/>
        <v>3</v>
      </c>
      <c r="F4384">
        <f t="shared" si="12623"/>
        <v>2025</v>
      </c>
      <c r="G4384" t="s">
        <v>7</v>
      </c>
      <c r="H4384">
        <v>-5</v>
      </c>
      <c r="K4384" t="s">
        <v>9</v>
      </c>
      <c r="L4384" s="8">
        <f t="shared" si="12519"/>
        <v>-1</v>
      </c>
      <c r="M4384" t="s">
        <v>4821</v>
      </c>
    </row>
    <row r="4385" spans="1:13" x14ac:dyDescent="0.35">
      <c r="A4385">
        <f t="shared" si="12438"/>
        <v>4381</v>
      </c>
      <c r="B4385" s="9">
        <f t="shared" si="12620"/>
        <v>63.05000000000004</v>
      </c>
      <c r="C4385" s="3" t="s">
        <v>4820</v>
      </c>
      <c r="D4385">
        <f t="shared" si="12621"/>
        <v>5</v>
      </c>
      <c r="E4385">
        <f t="shared" si="12622"/>
        <v>3</v>
      </c>
      <c r="F4385">
        <f t="shared" si="12623"/>
        <v>2025</v>
      </c>
      <c r="G4385" t="s">
        <v>3039</v>
      </c>
      <c r="K4385" t="s">
        <v>10</v>
      </c>
      <c r="L4385" s="8">
        <f t="shared" si="12519"/>
        <v>0</v>
      </c>
      <c r="M4385" t="s">
        <v>4822</v>
      </c>
    </row>
    <row r="4386" spans="1:13" x14ac:dyDescent="0.35">
      <c r="A4386">
        <f t="shared" si="12438"/>
        <v>4382</v>
      </c>
      <c r="B4386" s="9">
        <f t="shared" ref="B4386:B4387" si="12624">B4385+H4386+I4386+J4386</f>
        <v>63.05000000000004</v>
      </c>
      <c r="C4386" s="3" t="s">
        <v>4820</v>
      </c>
      <c r="D4386">
        <f t="shared" ref="D4386:D4387" si="12625">_xlfn.NUMBERVALUE(LEFT(C4386,2))</f>
        <v>5</v>
      </c>
      <c r="E4386">
        <f t="shared" ref="E4386:E4387" si="12626">_xlfn.NUMBERVALUE(MID(C4386,4,2))</f>
        <v>3</v>
      </c>
      <c r="F4386">
        <f t="shared" ref="F4386:F4387" si="12627">_xlfn.NUMBERVALUE(RIGHT(C4386,4))</f>
        <v>2025</v>
      </c>
      <c r="G4386" t="s">
        <v>2969</v>
      </c>
      <c r="K4386" t="s">
        <v>9</v>
      </c>
      <c r="L4386" s="8">
        <f t="shared" si="12519"/>
        <v>0</v>
      </c>
      <c r="M4386" t="s">
        <v>4823</v>
      </c>
    </row>
    <row r="4387" spans="1:13" x14ac:dyDescent="0.35">
      <c r="A4387">
        <f t="shared" si="12438"/>
        <v>4383</v>
      </c>
      <c r="B4387" s="9">
        <f t="shared" si="12624"/>
        <v>63.660000000000039</v>
      </c>
      <c r="C4387" s="3" t="s">
        <v>4820</v>
      </c>
      <c r="D4387">
        <f t="shared" si="12625"/>
        <v>5</v>
      </c>
      <c r="E4387">
        <f t="shared" si="12626"/>
        <v>3</v>
      </c>
      <c r="F4387">
        <f t="shared" si="12627"/>
        <v>2025</v>
      </c>
      <c r="G4387" t="s">
        <v>1389</v>
      </c>
      <c r="H4387">
        <v>-10</v>
      </c>
      <c r="I4387">
        <v>10.61</v>
      </c>
      <c r="K4387" t="s">
        <v>10</v>
      </c>
      <c r="L4387" s="8">
        <f t="shared" si="12519"/>
        <v>6.0999999999999943E-2</v>
      </c>
      <c r="M4387" t="s">
        <v>4824</v>
      </c>
    </row>
    <row r="4388" spans="1:13" x14ac:dyDescent="0.35">
      <c r="A4388">
        <f t="shared" si="12438"/>
        <v>4384</v>
      </c>
      <c r="B4388" s="9">
        <f t="shared" ref="B4388" si="12628">B4387+H4388+I4388+J4388</f>
        <v>64.94000000000004</v>
      </c>
      <c r="C4388" s="3" t="s">
        <v>4820</v>
      </c>
      <c r="D4388">
        <f t="shared" ref="D4388" si="12629">_xlfn.NUMBERVALUE(LEFT(C4388,2))</f>
        <v>5</v>
      </c>
      <c r="E4388">
        <f t="shared" ref="E4388" si="12630">_xlfn.NUMBERVALUE(MID(C4388,4,2))</f>
        <v>3</v>
      </c>
      <c r="F4388">
        <f t="shared" ref="F4388" si="12631">_xlfn.NUMBERVALUE(RIGHT(C4388,4))</f>
        <v>2025</v>
      </c>
      <c r="G4388" t="s">
        <v>1389</v>
      </c>
      <c r="H4388">
        <v>-10</v>
      </c>
      <c r="I4388">
        <v>11.28</v>
      </c>
      <c r="K4388" t="s">
        <v>10</v>
      </c>
      <c r="L4388" s="8">
        <f t="shared" si="12519"/>
        <v>0.12799999999999989</v>
      </c>
      <c r="M4388" t="s">
        <v>4825</v>
      </c>
    </row>
    <row r="4389" spans="1:13" x14ac:dyDescent="0.35">
      <c r="A4389">
        <f t="shared" si="12438"/>
        <v>4385</v>
      </c>
      <c r="B4389" s="9">
        <f t="shared" ref="B4389" si="12632">B4388+H4389+I4389+J4389</f>
        <v>65.570000000000036</v>
      </c>
      <c r="C4389" s="3" t="s">
        <v>4820</v>
      </c>
      <c r="D4389">
        <f t="shared" ref="D4389" si="12633">_xlfn.NUMBERVALUE(LEFT(C4389,2))</f>
        <v>5</v>
      </c>
      <c r="E4389">
        <f t="shared" ref="E4389" si="12634">_xlfn.NUMBERVALUE(MID(C4389,4,2))</f>
        <v>3</v>
      </c>
      <c r="F4389">
        <f t="shared" ref="F4389" si="12635">_xlfn.NUMBERVALUE(RIGHT(C4389,4))</f>
        <v>2025</v>
      </c>
      <c r="G4389" t="s">
        <v>1389</v>
      </c>
      <c r="H4389">
        <v>-10</v>
      </c>
      <c r="I4389">
        <v>10.63</v>
      </c>
      <c r="K4389" t="s">
        <v>10</v>
      </c>
      <c r="L4389" s="8">
        <f t="shared" si="12519"/>
        <v>6.3000000000000167E-2</v>
      </c>
      <c r="M4389" t="s">
        <v>4826</v>
      </c>
    </row>
    <row r="4390" spans="1:13" x14ac:dyDescent="0.35">
      <c r="A4390">
        <f t="shared" si="12438"/>
        <v>4386</v>
      </c>
      <c r="B4390" s="9">
        <f t="shared" ref="B4390" si="12636">B4389+H4390+I4390+J4390</f>
        <v>65.570000000000036</v>
      </c>
      <c r="C4390" s="3" t="s">
        <v>4820</v>
      </c>
      <c r="D4390">
        <f t="shared" ref="D4390" si="12637">_xlfn.NUMBERVALUE(LEFT(C4390,2))</f>
        <v>5</v>
      </c>
      <c r="E4390">
        <f t="shared" ref="E4390" si="12638">_xlfn.NUMBERVALUE(MID(C4390,4,2))</f>
        <v>3</v>
      </c>
      <c r="F4390">
        <f t="shared" ref="F4390" si="12639">_xlfn.NUMBERVALUE(RIGHT(C4390,4))</f>
        <v>2025</v>
      </c>
      <c r="G4390" t="s">
        <v>1389</v>
      </c>
      <c r="H4390">
        <v>-10</v>
      </c>
      <c r="I4390">
        <v>10</v>
      </c>
      <c r="K4390" t="s">
        <v>10</v>
      </c>
      <c r="L4390" s="8">
        <f t="shared" si="12519"/>
        <v>0</v>
      </c>
      <c r="M4390" t="s">
        <v>4827</v>
      </c>
    </row>
    <row r="4391" spans="1:13" x14ac:dyDescent="0.35">
      <c r="A4391">
        <f t="shared" si="12438"/>
        <v>4387</v>
      </c>
      <c r="B4391" s="9">
        <f t="shared" ref="B4391" si="12640">B4390+H4391+I4391+J4391</f>
        <v>72.850000000000037</v>
      </c>
      <c r="C4391" s="3" t="s">
        <v>4820</v>
      </c>
      <c r="D4391">
        <f t="shared" ref="D4391" si="12641">_xlfn.NUMBERVALUE(LEFT(C4391,2))</f>
        <v>5</v>
      </c>
      <c r="E4391">
        <f t="shared" ref="E4391" si="12642">_xlfn.NUMBERVALUE(MID(C4391,4,2))</f>
        <v>3</v>
      </c>
      <c r="F4391">
        <f t="shared" ref="F4391" si="12643">_xlfn.NUMBERVALUE(RIGHT(C4391,4))</f>
        <v>2025</v>
      </c>
      <c r="G4391" t="s">
        <v>1389</v>
      </c>
      <c r="H4391">
        <v>-10</v>
      </c>
      <c r="I4391">
        <v>17.28</v>
      </c>
      <c r="K4391" t="s">
        <v>10</v>
      </c>
      <c r="L4391" s="8">
        <f t="shared" si="12519"/>
        <v>0.7280000000000002</v>
      </c>
      <c r="M4391" t="s">
        <v>4828</v>
      </c>
    </row>
    <row r="4392" spans="1:13" x14ac:dyDescent="0.35">
      <c r="A4392">
        <f t="shared" si="12438"/>
        <v>4388</v>
      </c>
      <c r="B4392" s="9">
        <f t="shared" ref="B4392" si="12644">B4391+H4392+I4392+J4392</f>
        <v>73.860000000000042</v>
      </c>
      <c r="C4392" s="3" t="s">
        <v>4820</v>
      </c>
      <c r="D4392">
        <f t="shared" ref="D4392" si="12645">_xlfn.NUMBERVALUE(LEFT(C4392,2))</f>
        <v>5</v>
      </c>
      <c r="E4392">
        <f t="shared" ref="E4392" si="12646">_xlfn.NUMBERVALUE(MID(C4392,4,2))</f>
        <v>3</v>
      </c>
      <c r="F4392">
        <f t="shared" ref="F4392" si="12647">_xlfn.NUMBERVALUE(RIGHT(C4392,4))</f>
        <v>2025</v>
      </c>
      <c r="G4392" t="s">
        <v>1389</v>
      </c>
      <c r="H4392">
        <v>-10</v>
      </c>
      <c r="I4392">
        <v>11.01</v>
      </c>
      <c r="K4392" t="s">
        <v>10</v>
      </c>
      <c r="L4392" s="8">
        <f t="shared" si="12519"/>
        <v>0.10099999999999998</v>
      </c>
      <c r="M4392" t="s">
        <v>4829</v>
      </c>
    </row>
    <row r="4393" spans="1:13" x14ac:dyDescent="0.35">
      <c r="A4393">
        <f t="shared" si="12438"/>
        <v>4389</v>
      </c>
      <c r="B4393" s="9">
        <f t="shared" ref="B4393" si="12648">B4392+H4393+I4393+J4393</f>
        <v>74.530000000000044</v>
      </c>
      <c r="C4393" s="3" t="s">
        <v>4820</v>
      </c>
      <c r="D4393">
        <f t="shared" ref="D4393" si="12649">_xlfn.NUMBERVALUE(LEFT(C4393,2))</f>
        <v>5</v>
      </c>
      <c r="E4393">
        <f t="shared" ref="E4393" si="12650">_xlfn.NUMBERVALUE(MID(C4393,4,2))</f>
        <v>3</v>
      </c>
      <c r="F4393">
        <f t="shared" ref="F4393" si="12651">_xlfn.NUMBERVALUE(RIGHT(C4393,4))</f>
        <v>2025</v>
      </c>
      <c r="G4393" t="s">
        <v>1389</v>
      </c>
      <c r="H4393">
        <v>-10</v>
      </c>
      <c r="I4393">
        <v>10.67</v>
      </c>
      <c r="K4393" t="s">
        <v>10</v>
      </c>
      <c r="L4393" s="8">
        <f t="shared" si="12519"/>
        <v>6.6999999999999948E-2</v>
      </c>
      <c r="M4393" t="s">
        <v>4830</v>
      </c>
    </row>
    <row r="4394" spans="1:13" x14ac:dyDescent="0.35">
      <c r="A4394">
        <f t="shared" si="12438"/>
        <v>4390</v>
      </c>
      <c r="B4394" s="9">
        <f t="shared" ref="B4394" si="12652">B4393+H4394+I4394+J4394</f>
        <v>75.430000000000049</v>
      </c>
      <c r="C4394" s="3" t="s">
        <v>4820</v>
      </c>
      <c r="D4394">
        <f t="shared" ref="D4394" si="12653">_xlfn.NUMBERVALUE(LEFT(C4394,2))</f>
        <v>5</v>
      </c>
      <c r="E4394">
        <f t="shared" ref="E4394" si="12654">_xlfn.NUMBERVALUE(MID(C4394,4,2))</f>
        <v>3</v>
      </c>
      <c r="F4394">
        <f t="shared" ref="F4394" si="12655">_xlfn.NUMBERVALUE(RIGHT(C4394,4))</f>
        <v>2025</v>
      </c>
      <c r="G4394" t="s">
        <v>1389</v>
      </c>
      <c r="H4394">
        <v>-10</v>
      </c>
      <c r="I4394">
        <v>10.9</v>
      </c>
      <c r="K4394" t="s">
        <v>10</v>
      </c>
      <c r="L4394" s="8">
        <f t="shared" si="12519"/>
        <v>9.000000000000008E-2</v>
      </c>
      <c r="M4394" t="s">
        <v>4831</v>
      </c>
    </row>
    <row r="4395" spans="1:13" x14ac:dyDescent="0.35">
      <c r="A4395">
        <f t="shared" si="12438"/>
        <v>4391</v>
      </c>
      <c r="B4395" s="9">
        <f t="shared" ref="B4395" si="12656">B4394+H4395+I4395+J4395</f>
        <v>77.540000000000049</v>
      </c>
      <c r="C4395" s="3" t="s">
        <v>4820</v>
      </c>
      <c r="D4395">
        <f t="shared" ref="D4395" si="12657">_xlfn.NUMBERVALUE(LEFT(C4395,2))</f>
        <v>5</v>
      </c>
      <c r="E4395">
        <f t="shared" ref="E4395" si="12658">_xlfn.NUMBERVALUE(MID(C4395,4,2))</f>
        <v>3</v>
      </c>
      <c r="F4395">
        <f t="shared" ref="F4395" si="12659">_xlfn.NUMBERVALUE(RIGHT(C4395,4))</f>
        <v>2025</v>
      </c>
      <c r="G4395" t="s">
        <v>1389</v>
      </c>
      <c r="H4395">
        <v>-10</v>
      </c>
      <c r="I4395">
        <v>12.11</v>
      </c>
      <c r="K4395" t="s">
        <v>10</v>
      </c>
      <c r="L4395" s="8">
        <f t="shared" si="12519"/>
        <v>0.21099999999999985</v>
      </c>
      <c r="M4395" t="s">
        <v>4832</v>
      </c>
    </row>
    <row r="4396" spans="1:13" x14ac:dyDescent="0.35">
      <c r="A4396">
        <f t="shared" si="12438"/>
        <v>4392</v>
      </c>
      <c r="B4396" s="9">
        <f t="shared" ref="B4396" si="12660">B4395+H4396+I4396+J4396</f>
        <v>78.170000000000044</v>
      </c>
      <c r="C4396" s="3" t="s">
        <v>4820</v>
      </c>
      <c r="D4396">
        <f t="shared" ref="D4396" si="12661">_xlfn.NUMBERVALUE(LEFT(C4396,2))</f>
        <v>5</v>
      </c>
      <c r="E4396">
        <f t="shared" ref="E4396" si="12662">_xlfn.NUMBERVALUE(MID(C4396,4,2))</f>
        <v>3</v>
      </c>
      <c r="F4396">
        <f t="shared" ref="F4396" si="12663">_xlfn.NUMBERVALUE(RIGHT(C4396,4))</f>
        <v>2025</v>
      </c>
      <c r="G4396" t="s">
        <v>1389</v>
      </c>
      <c r="H4396">
        <v>-10</v>
      </c>
      <c r="I4396">
        <v>10.63</v>
      </c>
      <c r="K4396" t="s">
        <v>10</v>
      </c>
      <c r="L4396" s="8">
        <f t="shared" si="12519"/>
        <v>6.3000000000000167E-2</v>
      </c>
      <c r="M4396" t="s">
        <v>4833</v>
      </c>
    </row>
    <row r="4397" spans="1:13" x14ac:dyDescent="0.35">
      <c r="A4397">
        <f t="shared" si="12438"/>
        <v>4393</v>
      </c>
      <c r="B4397" s="9">
        <f t="shared" ref="B4397" si="12664">B4396+H4397+I4397+J4397</f>
        <v>80.30000000000004</v>
      </c>
      <c r="C4397" s="3" t="s">
        <v>4820</v>
      </c>
      <c r="D4397">
        <f t="shared" ref="D4397" si="12665">_xlfn.NUMBERVALUE(LEFT(C4397,2))</f>
        <v>5</v>
      </c>
      <c r="E4397">
        <f t="shared" ref="E4397" si="12666">_xlfn.NUMBERVALUE(MID(C4397,4,2))</f>
        <v>3</v>
      </c>
      <c r="F4397">
        <f t="shared" ref="F4397" si="12667">_xlfn.NUMBERVALUE(RIGHT(C4397,4))</f>
        <v>2025</v>
      </c>
      <c r="G4397" t="s">
        <v>1389</v>
      </c>
      <c r="H4397">
        <v>-10</v>
      </c>
      <c r="I4397">
        <v>12.13</v>
      </c>
      <c r="K4397" t="s">
        <v>10</v>
      </c>
      <c r="L4397" s="8">
        <f t="shared" si="12519"/>
        <v>0.21300000000000008</v>
      </c>
      <c r="M4397" t="s">
        <v>4834</v>
      </c>
    </row>
    <row r="4398" spans="1:13" x14ac:dyDescent="0.35">
      <c r="A4398">
        <f t="shared" si="12438"/>
        <v>4394</v>
      </c>
      <c r="B4398" s="9">
        <f t="shared" ref="B4398" si="12668">B4397+H4398+I4398+J4398</f>
        <v>80.350000000000037</v>
      </c>
      <c r="C4398" s="3" t="s">
        <v>4820</v>
      </c>
      <c r="D4398">
        <f t="shared" ref="D4398" si="12669">_xlfn.NUMBERVALUE(LEFT(C4398,2))</f>
        <v>5</v>
      </c>
      <c r="E4398">
        <f t="shared" ref="E4398" si="12670">_xlfn.NUMBERVALUE(MID(C4398,4,2))</f>
        <v>3</v>
      </c>
      <c r="F4398">
        <f t="shared" ref="F4398" si="12671">_xlfn.NUMBERVALUE(RIGHT(C4398,4))</f>
        <v>2025</v>
      </c>
      <c r="G4398" t="s">
        <v>1389</v>
      </c>
      <c r="H4398">
        <v>-10</v>
      </c>
      <c r="I4398">
        <v>10.050000000000001</v>
      </c>
      <c r="K4398" t="s">
        <v>10</v>
      </c>
      <c r="L4398" s="8">
        <f t="shared" si="12519"/>
        <v>5.0000000000001155E-3</v>
      </c>
      <c r="M4398" t="s">
        <v>4835</v>
      </c>
    </row>
    <row r="4399" spans="1:13" x14ac:dyDescent="0.35">
      <c r="A4399">
        <f t="shared" si="12438"/>
        <v>4395</v>
      </c>
      <c r="B4399" s="9">
        <f t="shared" ref="B4399:B4402" si="12672">B4398+H4399+I4399+J4399</f>
        <v>81.350000000000037</v>
      </c>
      <c r="C4399" s="3" t="s">
        <v>4820</v>
      </c>
      <c r="D4399">
        <f t="shared" ref="D4399:D4402" si="12673">_xlfn.NUMBERVALUE(LEFT(C4399,2))</f>
        <v>5</v>
      </c>
      <c r="E4399">
        <f t="shared" ref="E4399:E4402" si="12674">_xlfn.NUMBERVALUE(MID(C4399,4,2))</f>
        <v>3</v>
      </c>
      <c r="F4399">
        <f t="shared" ref="F4399:F4402" si="12675">_xlfn.NUMBERVALUE(RIGHT(C4399,4))</f>
        <v>2025</v>
      </c>
      <c r="G4399" t="s">
        <v>4209</v>
      </c>
      <c r="I4399">
        <v>1</v>
      </c>
      <c r="K4399" t="s">
        <v>10</v>
      </c>
    </row>
    <row r="4400" spans="1:13" x14ac:dyDescent="0.35">
      <c r="A4400">
        <f t="shared" si="12438"/>
        <v>4396</v>
      </c>
      <c r="B4400" s="9">
        <f t="shared" si="12672"/>
        <v>76.350000000000037</v>
      </c>
      <c r="C4400" s="3" t="s">
        <v>4838</v>
      </c>
      <c r="D4400">
        <f t="shared" si="12673"/>
        <v>6</v>
      </c>
      <c r="E4400">
        <f t="shared" si="12674"/>
        <v>3</v>
      </c>
      <c r="F4400">
        <f t="shared" si="12675"/>
        <v>2025</v>
      </c>
      <c r="G4400" t="s">
        <v>7</v>
      </c>
      <c r="H4400">
        <v>-5</v>
      </c>
      <c r="K4400" t="s">
        <v>9</v>
      </c>
      <c r="L4400" s="8">
        <f t="shared" si="12519"/>
        <v>-1</v>
      </c>
      <c r="M4400" t="s">
        <v>4836</v>
      </c>
    </row>
    <row r="4401" spans="1:13" x14ac:dyDescent="0.35">
      <c r="A4401">
        <f t="shared" ref="A4401" si="12676">A4400+1</f>
        <v>4397</v>
      </c>
      <c r="B4401" s="9">
        <f t="shared" si="12672"/>
        <v>76.350000000000037</v>
      </c>
      <c r="C4401" s="3" t="s">
        <v>4838</v>
      </c>
      <c r="D4401">
        <f t="shared" si="12673"/>
        <v>6</v>
      </c>
      <c r="E4401">
        <f t="shared" si="12674"/>
        <v>3</v>
      </c>
      <c r="F4401">
        <f t="shared" si="12675"/>
        <v>2025</v>
      </c>
      <c r="G4401" t="s">
        <v>3039</v>
      </c>
      <c r="K4401" t="s">
        <v>9</v>
      </c>
      <c r="L4401" s="8">
        <f t="shared" ref="L4401:L4414" si="12677">IF(H4401="",0,(SUM(I4401:J4401)/-H4401)-1)</f>
        <v>0</v>
      </c>
      <c r="M4401" t="s">
        <v>4837</v>
      </c>
    </row>
    <row r="4402" spans="1:13" x14ac:dyDescent="0.35">
      <c r="A4402">
        <f t="shared" si="12438"/>
        <v>4398</v>
      </c>
      <c r="B4402" s="9">
        <f t="shared" si="12672"/>
        <v>76.860000000000042</v>
      </c>
      <c r="C4402" s="3" t="s">
        <v>4838</v>
      </c>
      <c r="D4402">
        <f t="shared" si="12673"/>
        <v>6</v>
      </c>
      <c r="E4402">
        <f t="shared" si="12674"/>
        <v>3</v>
      </c>
      <c r="F4402">
        <f t="shared" si="12675"/>
        <v>2025</v>
      </c>
      <c r="G4402" t="s">
        <v>1389</v>
      </c>
      <c r="H4402">
        <v>-10</v>
      </c>
      <c r="I4402">
        <v>10.51</v>
      </c>
      <c r="K4402" t="s">
        <v>10</v>
      </c>
      <c r="L4402" s="8">
        <f t="shared" si="12677"/>
        <v>5.0999999999999934E-2</v>
      </c>
      <c r="M4402" t="s">
        <v>4839</v>
      </c>
    </row>
    <row r="4403" spans="1:13" x14ac:dyDescent="0.35">
      <c r="A4403">
        <f t="shared" si="12438"/>
        <v>4399</v>
      </c>
      <c r="B4403" s="9">
        <f t="shared" ref="B4403" si="12678">B4402+H4403+I4403+J4403</f>
        <v>77.590000000000046</v>
      </c>
      <c r="C4403" s="3" t="s">
        <v>4838</v>
      </c>
      <c r="D4403">
        <f t="shared" ref="D4403" si="12679">_xlfn.NUMBERVALUE(LEFT(C4403,2))</f>
        <v>6</v>
      </c>
      <c r="E4403">
        <f t="shared" ref="E4403" si="12680">_xlfn.NUMBERVALUE(MID(C4403,4,2))</f>
        <v>3</v>
      </c>
      <c r="F4403">
        <f t="shared" ref="F4403" si="12681">_xlfn.NUMBERVALUE(RIGHT(C4403,4))</f>
        <v>2025</v>
      </c>
      <c r="G4403" t="s">
        <v>1389</v>
      </c>
      <c r="H4403">
        <v>-10</v>
      </c>
      <c r="I4403">
        <v>10.73</v>
      </c>
      <c r="K4403" t="s">
        <v>10</v>
      </c>
      <c r="L4403" s="8">
        <f t="shared" si="12677"/>
        <v>7.2999999999999954E-2</v>
      </c>
      <c r="M4403" t="s">
        <v>4840</v>
      </c>
    </row>
    <row r="4404" spans="1:13" x14ac:dyDescent="0.35">
      <c r="A4404">
        <f t="shared" si="12438"/>
        <v>4400</v>
      </c>
      <c r="B4404" s="9">
        <f t="shared" ref="B4404" si="12682">B4403+H4404+I4404+J4404</f>
        <v>79.750000000000043</v>
      </c>
      <c r="C4404" s="3" t="s">
        <v>4838</v>
      </c>
      <c r="D4404">
        <f t="shared" ref="D4404" si="12683">_xlfn.NUMBERVALUE(LEFT(C4404,2))</f>
        <v>6</v>
      </c>
      <c r="E4404">
        <f t="shared" ref="E4404" si="12684">_xlfn.NUMBERVALUE(MID(C4404,4,2))</f>
        <v>3</v>
      </c>
      <c r="F4404">
        <f t="shared" ref="F4404" si="12685">_xlfn.NUMBERVALUE(RIGHT(C4404,4))</f>
        <v>2025</v>
      </c>
      <c r="G4404" t="s">
        <v>1389</v>
      </c>
      <c r="H4404">
        <v>-10</v>
      </c>
      <c r="I4404">
        <v>12.16</v>
      </c>
      <c r="K4404" t="s">
        <v>10</v>
      </c>
      <c r="L4404" s="8">
        <f t="shared" si="12677"/>
        <v>0.21599999999999997</v>
      </c>
      <c r="M4404" t="s">
        <v>4841</v>
      </c>
    </row>
    <row r="4405" spans="1:13" x14ac:dyDescent="0.35">
      <c r="A4405">
        <f t="shared" si="12438"/>
        <v>4401</v>
      </c>
      <c r="B4405" s="9">
        <f t="shared" ref="B4405" si="12686">B4404+H4405+I4405+J4405</f>
        <v>80.510000000000048</v>
      </c>
      <c r="C4405" s="3" t="s">
        <v>4838</v>
      </c>
      <c r="D4405">
        <f t="shared" ref="D4405" si="12687">_xlfn.NUMBERVALUE(LEFT(C4405,2))</f>
        <v>6</v>
      </c>
      <c r="E4405">
        <f t="shared" ref="E4405" si="12688">_xlfn.NUMBERVALUE(MID(C4405,4,2))</f>
        <v>3</v>
      </c>
      <c r="F4405">
        <f t="shared" ref="F4405" si="12689">_xlfn.NUMBERVALUE(RIGHT(C4405,4))</f>
        <v>2025</v>
      </c>
      <c r="G4405" t="s">
        <v>1389</v>
      </c>
      <c r="H4405">
        <v>-10</v>
      </c>
      <c r="I4405">
        <v>10.76</v>
      </c>
      <c r="K4405" t="s">
        <v>10</v>
      </c>
      <c r="L4405" s="8">
        <f t="shared" si="12677"/>
        <v>7.6000000000000068E-2</v>
      </c>
      <c r="M4405" t="s">
        <v>4842</v>
      </c>
    </row>
    <row r="4406" spans="1:13" x14ac:dyDescent="0.35">
      <c r="A4406">
        <f t="shared" si="12438"/>
        <v>4402</v>
      </c>
      <c r="B4406" s="9">
        <f t="shared" ref="B4406" si="12690">B4405+H4406+I4406+J4406</f>
        <v>81.090000000000046</v>
      </c>
      <c r="C4406" s="3" t="s">
        <v>4838</v>
      </c>
      <c r="D4406">
        <f t="shared" ref="D4406" si="12691">_xlfn.NUMBERVALUE(LEFT(C4406,2))</f>
        <v>6</v>
      </c>
      <c r="E4406">
        <f t="shared" ref="E4406" si="12692">_xlfn.NUMBERVALUE(MID(C4406,4,2))</f>
        <v>3</v>
      </c>
      <c r="F4406">
        <f t="shared" ref="F4406" si="12693">_xlfn.NUMBERVALUE(RIGHT(C4406,4))</f>
        <v>2025</v>
      </c>
      <c r="G4406" t="s">
        <v>1389</v>
      </c>
      <c r="H4406">
        <v>-10</v>
      </c>
      <c r="I4406">
        <v>10.58</v>
      </c>
      <c r="K4406" t="s">
        <v>10</v>
      </c>
      <c r="L4406" s="8">
        <f t="shared" si="12677"/>
        <v>5.8000000000000052E-2</v>
      </c>
      <c r="M4406" t="s">
        <v>4843</v>
      </c>
    </row>
    <row r="4407" spans="1:13" x14ac:dyDescent="0.35">
      <c r="A4407">
        <f t="shared" si="12438"/>
        <v>4403</v>
      </c>
      <c r="B4407" s="9">
        <f t="shared" ref="B4407" si="12694">B4406+H4407+I4407+J4407</f>
        <v>82.150000000000048</v>
      </c>
      <c r="C4407" s="3" t="s">
        <v>4838</v>
      </c>
      <c r="D4407">
        <f t="shared" ref="D4407" si="12695">_xlfn.NUMBERVALUE(LEFT(C4407,2))</f>
        <v>6</v>
      </c>
      <c r="E4407">
        <f t="shared" ref="E4407" si="12696">_xlfn.NUMBERVALUE(MID(C4407,4,2))</f>
        <v>3</v>
      </c>
      <c r="F4407">
        <f t="shared" ref="F4407" si="12697">_xlfn.NUMBERVALUE(RIGHT(C4407,4))</f>
        <v>2025</v>
      </c>
      <c r="G4407" t="s">
        <v>1389</v>
      </c>
      <c r="H4407">
        <v>-10</v>
      </c>
      <c r="I4407">
        <v>11.06</v>
      </c>
      <c r="K4407" t="s">
        <v>10</v>
      </c>
      <c r="L4407" s="8">
        <f t="shared" si="12677"/>
        <v>0.10600000000000009</v>
      </c>
      <c r="M4407" t="s">
        <v>4844</v>
      </c>
    </row>
    <row r="4408" spans="1:13" x14ac:dyDescent="0.35">
      <c r="A4408">
        <f t="shared" si="12438"/>
        <v>4404</v>
      </c>
      <c r="B4408" s="9">
        <f t="shared" ref="B4408" si="12698">B4407+H4408+I4408+J4408</f>
        <v>73.180000000000049</v>
      </c>
      <c r="C4408" s="3" t="s">
        <v>4838</v>
      </c>
      <c r="D4408">
        <f t="shared" ref="D4408" si="12699">_xlfn.NUMBERVALUE(LEFT(C4408,2))</f>
        <v>6</v>
      </c>
      <c r="E4408">
        <f t="shared" ref="E4408" si="12700">_xlfn.NUMBERVALUE(MID(C4408,4,2))</f>
        <v>3</v>
      </c>
      <c r="F4408">
        <f t="shared" ref="F4408" si="12701">_xlfn.NUMBERVALUE(RIGHT(C4408,4))</f>
        <v>2025</v>
      </c>
      <c r="G4408" t="s">
        <v>1389</v>
      </c>
      <c r="H4408">
        <v>-10</v>
      </c>
      <c r="I4408">
        <v>1.03</v>
      </c>
      <c r="K4408" t="s">
        <v>9</v>
      </c>
      <c r="L4408" s="8">
        <f t="shared" si="12677"/>
        <v>-0.89700000000000002</v>
      </c>
      <c r="M4408" t="s">
        <v>4845</v>
      </c>
    </row>
    <row r="4409" spans="1:13" x14ac:dyDescent="0.35">
      <c r="A4409">
        <f t="shared" si="12438"/>
        <v>4405</v>
      </c>
      <c r="B4409" s="9">
        <f t="shared" ref="B4409:B4410" si="12702">B4408+H4409+I4409+J4409</f>
        <v>74.180000000000049</v>
      </c>
      <c r="C4409" s="3" t="s">
        <v>4838</v>
      </c>
      <c r="D4409">
        <f t="shared" ref="D4409:D4410" si="12703">_xlfn.NUMBERVALUE(LEFT(C4409,2))</f>
        <v>6</v>
      </c>
      <c r="E4409">
        <f t="shared" ref="E4409:E4410" si="12704">_xlfn.NUMBERVALUE(MID(C4409,4,2))</f>
        <v>3</v>
      </c>
      <c r="F4409">
        <f t="shared" ref="F4409:F4410" si="12705">_xlfn.NUMBERVALUE(RIGHT(C4409,4))</f>
        <v>2025</v>
      </c>
      <c r="G4409" t="s">
        <v>4209</v>
      </c>
      <c r="I4409">
        <v>1</v>
      </c>
      <c r="K4409" t="s">
        <v>10</v>
      </c>
    </row>
    <row r="4410" spans="1:13" x14ac:dyDescent="0.35">
      <c r="A4410">
        <f t="shared" si="12438"/>
        <v>4406</v>
      </c>
      <c r="B4410" s="9">
        <f t="shared" si="12702"/>
        <v>76.120000000000047</v>
      </c>
      <c r="C4410" s="3" t="s">
        <v>4838</v>
      </c>
      <c r="D4410">
        <f t="shared" si="12703"/>
        <v>6</v>
      </c>
      <c r="E4410">
        <f t="shared" si="12704"/>
        <v>3</v>
      </c>
      <c r="F4410">
        <f t="shared" si="12705"/>
        <v>2025</v>
      </c>
      <c r="G4410" t="s">
        <v>1389</v>
      </c>
      <c r="H4410">
        <v>-25</v>
      </c>
      <c r="I4410">
        <v>26.94</v>
      </c>
      <c r="K4410" t="s">
        <v>10</v>
      </c>
      <c r="L4410" s="8">
        <f t="shared" si="12677"/>
        <v>7.7600000000000113E-2</v>
      </c>
      <c r="M4410" t="s">
        <v>4846</v>
      </c>
    </row>
    <row r="4411" spans="1:13" x14ac:dyDescent="0.35">
      <c r="A4411">
        <f t="shared" si="12438"/>
        <v>4407</v>
      </c>
      <c r="B4411" s="9">
        <f t="shared" ref="B4411" si="12706">B4410+H4411+I4411+J4411</f>
        <v>51.120000000000047</v>
      </c>
      <c r="C4411" s="3" t="s">
        <v>4838</v>
      </c>
      <c r="D4411">
        <f t="shared" ref="D4411" si="12707">_xlfn.NUMBERVALUE(LEFT(C4411,2))</f>
        <v>6</v>
      </c>
      <c r="E4411">
        <f t="shared" ref="E4411" si="12708">_xlfn.NUMBERVALUE(MID(C4411,4,2))</f>
        <v>3</v>
      </c>
      <c r="F4411">
        <f t="shared" ref="F4411" si="12709">_xlfn.NUMBERVALUE(RIGHT(C4411,4))</f>
        <v>2025</v>
      </c>
      <c r="G4411" t="s">
        <v>1389</v>
      </c>
      <c r="H4411">
        <v>-25</v>
      </c>
      <c r="K4411" t="s">
        <v>9</v>
      </c>
      <c r="L4411" s="8">
        <f t="shared" si="12677"/>
        <v>-1</v>
      </c>
      <c r="M4411" t="s">
        <v>4847</v>
      </c>
    </row>
    <row r="4412" spans="1:13" x14ac:dyDescent="0.35">
      <c r="A4412">
        <f t="shared" si="12438"/>
        <v>4408</v>
      </c>
      <c r="B4412" s="9">
        <f t="shared" ref="B4412" si="12710">B4411+H4412+I4412+J4412</f>
        <v>1.1200000000000472</v>
      </c>
      <c r="C4412" s="3" t="s">
        <v>4838</v>
      </c>
      <c r="D4412">
        <f t="shared" ref="D4412" si="12711">_xlfn.NUMBERVALUE(LEFT(C4412,2))</f>
        <v>6</v>
      </c>
      <c r="E4412">
        <f t="shared" ref="E4412" si="12712">_xlfn.NUMBERVALUE(MID(C4412,4,2))</f>
        <v>3</v>
      </c>
      <c r="F4412">
        <f t="shared" ref="F4412" si="12713">_xlfn.NUMBERVALUE(RIGHT(C4412,4))</f>
        <v>2025</v>
      </c>
      <c r="G4412" t="s">
        <v>1389</v>
      </c>
      <c r="H4412">
        <v>-50</v>
      </c>
      <c r="K4412" t="s">
        <v>9</v>
      </c>
      <c r="L4412" s="8">
        <f t="shared" si="12677"/>
        <v>-1</v>
      </c>
      <c r="M4412" t="s">
        <v>4848</v>
      </c>
    </row>
    <row r="4413" spans="1:13" x14ac:dyDescent="0.35">
      <c r="A4413">
        <f t="shared" si="12438"/>
        <v>4409</v>
      </c>
      <c r="B4413" s="9">
        <f t="shared" ref="B4413:B4415" si="12714">B4412+H4413+I4413+J4413</f>
        <v>57.730000000000047</v>
      </c>
      <c r="C4413" s="3" t="s">
        <v>4838</v>
      </c>
      <c r="D4413">
        <f t="shared" ref="D4413:D4415" si="12715">_xlfn.NUMBERVALUE(LEFT(C4413,2))</f>
        <v>6</v>
      </c>
      <c r="E4413">
        <f t="shared" ref="E4413:E4415" si="12716">_xlfn.NUMBERVALUE(MID(C4413,4,2))</f>
        <v>3</v>
      </c>
      <c r="F4413">
        <f t="shared" ref="F4413:F4415" si="12717">_xlfn.NUMBERVALUE(RIGHT(C4413,4))</f>
        <v>2025</v>
      </c>
      <c r="G4413" t="s">
        <v>3362</v>
      </c>
      <c r="I4413">
        <v>56.61</v>
      </c>
    </row>
    <row r="4414" spans="1:13" x14ac:dyDescent="0.35">
      <c r="A4414">
        <f t="shared" si="12438"/>
        <v>4410</v>
      </c>
      <c r="B4414" s="9">
        <f t="shared" si="12714"/>
        <v>52.730000000000047</v>
      </c>
      <c r="C4414" s="3" t="s">
        <v>4849</v>
      </c>
      <c r="D4414">
        <f t="shared" si="12715"/>
        <v>7</v>
      </c>
      <c r="E4414">
        <f t="shared" si="12716"/>
        <v>3</v>
      </c>
      <c r="F4414">
        <f t="shared" si="12717"/>
        <v>2025</v>
      </c>
      <c r="G4414" t="s">
        <v>7</v>
      </c>
      <c r="H4414">
        <v>-5</v>
      </c>
      <c r="K4414" t="s">
        <v>9</v>
      </c>
      <c r="L4414" s="8">
        <f t="shared" si="12677"/>
        <v>-1</v>
      </c>
      <c r="M4414" t="s">
        <v>4850</v>
      </c>
    </row>
    <row r="4415" spans="1:13" x14ac:dyDescent="0.35">
      <c r="A4415">
        <f t="shared" ref="A4415:A4417" si="12718">A4414+1</f>
        <v>4411</v>
      </c>
      <c r="B4415" s="9">
        <f t="shared" si="12714"/>
        <v>52.730000000000047</v>
      </c>
      <c r="C4415" s="3" t="s">
        <v>4849</v>
      </c>
      <c r="D4415">
        <f t="shared" si="12715"/>
        <v>7</v>
      </c>
      <c r="E4415">
        <f t="shared" si="12716"/>
        <v>3</v>
      </c>
      <c r="F4415">
        <f t="shared" si="12717"/>
        <v>2025</v>
      </c>
      <c r="G4415" t="s">
        <v>3039</v>
      </c>
      <c r="K4415" t="s">
        <v>9</v>
      </c>
      <c r="L4415" s="8">
        <f t="shared" ref="L4415:L4421" si="12719">IF(H4415="",0,(SUM(I4415:J4415)/-H4415)-1)</f>
        <v>0</v>
      </c>
      <c r="M4415" t="s">
        <v>4851</v>
      </c>
    </row>
    <row r="4416" spans="1:13" x14ac:dyDescent="0.35">
      <c r="A4416">
        <f t="shared" si="12438"/>
        <v>4412</v>
      </c>
      <c r="B4416" s="9">
        <f t="shared" ref="B4416:B4417" si="12720">B4415+H4416+I4416+J4416</f>
        <v>62.730000000000047</v>
      </c>
      <c r="C4416" s="3" t="s">
        <v>4852</v>
      </c>
      <c r="D4416">
        <f t="shared" ref="D4416:D4417" si="12721">_xlfn.NUMBERVALUE(LEFT(C4416,2))</f>
        <v>11</v>
      </c>
      <c r="E4416">
        <f t="shared" ref="E4416:E4417" si="12722">_xlfn.NUMBERVALUE(MID(C4416,4,2))</f>
        <v>3</v>
      </c>
      <c r="F4416">
        <f t="shared" ref="F4416:F4417" si="12723">_xlfn.NUMBERVALUE(RIGHT(C4416,4))</f>
        <v>2025</v>
      </c>
      <c r="G4416" t="s">
        <v>7</v>
      </c>
      <c r="H4416">
        <v>-5</v>
      </c>
      <c r="I4416">
        <v>15</v>
      </c>
      <c r="K4416" t="s">
        <v>10</v>
      </c>
      <c r="L4416" s="8">
        <f t="shared" si="12719"/>
        <v>2</v>
      </c>
      <c r="M4416" t="s">
        <v>4853</v>
      </c>
    </row>
    <row r="4417" spans="1:13" x14ac:dyDescent="0.35">
      <c r="A4417">
        <f t="shared" si="12718"/>
        <v>4413</v>
      </c>
      <c r="B4417" s="9">
        <f t="shared" si="12720"/>
        <v>62.730000000000047</v>
      </c>
      <c r="C4417" s="3" t="s">
        <v>4852</v>
      </c>
      <c r="D4417">
        <f t="shared" si="12721"/>
        <v>11</v>
      </c>
      <c r="E4417">
        <f t="shared" si="12722"/>
        <v>3</v>
      </c>
      <c r="F4417">
        <f t="shared" si="12723"/>
        <v>2025</v>
      </c>
      <c r="G4417" t="s">
        <v>3039</v>
      </c>
      <c r="K4417" t="s">
        <v>9</v>
      </c>
      <c r="L4417" s="8">
        <f t="shared" si="12719"/>
        <v>0</v>
      </c>
      <c r="M4417" t="s">
        <v>4854</v>
      </c>
    </row>
    <row r="4418" spans="1:13" x14ac:dyDescent="0.35">
      <c r="A4418">
        <f t="shared" si="12438"/>
        <v>4414</v>
      </c>
      <c r="B4418" s="9">
        <f t="shared" ref="B4418" si="12724">B4417+H4418+I4418+J4418</f>
        <v>63.290000000000049</v>
      </c>
      <c r="C4418" s="3" t="s">
        <v>4852</v>
      </c>
      <c r="D4418">
        <f t="shared" ref="D4418" si="12725">_xlfn.NUMBERVALUE(LEFT(C4418,2))</f>
        <v>11</v>
      </c>
      <c r="E4418">
        <f t="shared" ref="E4418" si="12726">_xlfn.NUMBERVALUE(MID(C4418,4,2))</f>
        <v>3</v>
      </c>
      <c r="F4418">
        <f t="shared" ref="F4418" si="12727">_xlfn.NUMBERVALUE(RIGHT(C4418,4))</f>
        <v>2025</v>
      </c>
      <c r="G4418" t="s">
        <v>1389</v>
      </c>
      <c r="H4418">
        <v>-10</v>
      </c>
      <c r="I4418">
        <v>10.56</v>
      </c>
      <c r="K4418" t="s">
        <v>10</v>
      </c>
      <c r="L4418" s="8">
        <f t="shared" si="12719"/>
        <v>5.600000000000005E-2</v>
      </c>
      <c r="M4418" t="s">
        <v>4855</v>
      </c>
    </row>
    <row r="4419" spans="1:13" x14ac:dyDescent="0.35">
      <c r="A4419">
        <f t="shared" si="12438"/>
        <v>4415</v>
      </c>
      <c r="B4419" s="9">
        <f t="shared" ref="B4419" si="12728">B4418+H4419+I4419+J4419</f>
        <v>63.89000000000005</v>
      </c>
      <c r="C4419" s="3" t="s">
        <v>4852</v>
      </c>
      <c r="D4419">
        <f t="shared" ref="D4419" si="12729">_xlfn.NUMBERVALUE(LEFT(C4419,2))</f>
        <v>11</v>
      </c>
      <c r="E4419">
        <f t="shared" ref="E4419" si="12730">_xlfn.NUMBERVALUE(MID(C4419,4,2))</f>
        <v>3</v>
      </c>
      <c r="F4419">
        <f t="shared" ref="F4419" si="12731">_xlfn.NUMBERVALUE(RIGHT(C4419,4))</f>
        <v>2025</v>
      </c>
      <c r="G4419" t="s">
        <v>1389</v>
      </c>
      <c r="H4419">
        <v>-10</v>
      </c>
      <c r="I4419">
        <v>10.6</v>
      </c>
      <c r="K4419" t="s">
        <v>10</v>
      </c>
      <c r="L4419" s="8">
        <f t="shared" si="12719"/>
        <v>6.0000000000000053E-2</v>
      </c>
      <c r="M4419" t="s">
        <v>4856</v>
      </c>
    </row>
    <row r="4420" spans="1:13" x14ac:dyDescent="0.35">
      <c r="A4420">
        <f t="shared" si="12438"/>
        <v>4416</v>
      </c>
      <c r="B4420" s="9">
        <f t="shared" ref="B4420:B4422" si="12732">B4419+H4420+I4420+J4420</f>
        <v>64.310000000000045</v>
      </c>
      <c r="C4420" s="3" t="s">
        <v>4852</v>
      </c>
      <c r="D4420">
        <f t="shared" ref="D4420:D4422" si="12733">_xlfn.NUMBERVALUE(LEFT(C4420,2))</f>
        <v>11</v>
      </c>
      <c r="E4420">
        <f t="shared" ref="E4420:E4422" si="12734">_xlfn.NUMBERVALUE(MID(C4420,4,2))</f>
        <v>3</v>
      </c>
      <c r="F4420">
        <f t="shared" ref="F4420:F4422" si="12735">_xlfn.NUMBERVALUE(RIGHT(C4420,4))</f>
        <v>2025</v>
      </c>
      <c r="G4420" t="s">
        <v>1389</v>
      </c>
      <c r="H4420">
        <v>-10</v>
      </c>
      <c r="I4420">
        <v>10.42</v>
      </c>
      <c r="K4420" t="s">
        <v>10</v>
      </c>
      <c r="L4420" s="8">
        <f t="shared" si="12719"/>
        <v>4.2000000000000037E-2</v>
      </c>
      <c r="M4420" t="s">
        <v>4857</v>
      </c>
    </row>
    <row r="4421" spans="1:13" x14ac:dyDescent="0.35">
      <c r="A4421">
        <f t="shared" si="12438"/>
        <v>4417</v>
      </c>
      <c r="B4421" s="9">
        <f t="shared" si="12732"/>
        <v>59.310000000000045</v>
      </c>
      <c r="C4421" s="3" t="s">
        <v>4858</v>
      </c>
      <c r="D4421">
        <f t="shared" si="12733"/>
        <v>13</v>
      </c>
      <c r="E4421">
        <f t="shared" si="12734"/>
        <v>3</v>
      </c>
      <c r="F4421">
        <f t="shared" si="12735"/>
        <v>2025</v>
      </c>
      <c r="G4421" t="s">
        <v>7</v>
      </c>
      <c r="H4421">
        <v>-5</v>
      </c>
      <c r="K4421" t="s">
        <v>9</v>
      </c>
      <c r="L4421" s="8">
        <f t="shared" si="12719"/>
        <v>-1</v>
      </c>
      <c r="M4421" t="s">
        <v>4859</v>
      </c>
    </row>
    <row r="4422" spans="1:13" x14ac:dyDescent="0.35">
      <c r="A4422">
        <f t="shared" ref="A4422" si="12736">A4421+1</f>
        <v>4418</v>
      </c>
      <c r="B4422" s="9">
        <f t="shared" si="12732"/>
        <v>59.310000000000045</v>
      </c>
      <c r="C4422" s="3" t="s">
        <v>4858</v>
      </c>
      <c r="D4422">
        <f t="shared" si="12733"/>
        <v>13</v>
      </c>
      <c r="E4422">
        <f t="shared" si="12734"/>
        <v>3</v>
      </c>
      <c r="F4422">
        <f t="shared" si="12735"/>
        <v>2025</v>
      </c>
      <c r="G4422" t="s">
        <v>3039</v>
      </c>
      <c r="K4422" t="s">
        <v>9</v>
      </c>
      <c r="L4422" s="8">
        <f t="shared" ref="L4422" si="12737">IF(H4422="",0,(SUM(I4422:J4422)/-H4422)-1)</f>
        <v>0</v>
      </c>
      <c r="M4422" t="s">
        <v>4860</v>
      </c>
    </row>
    <row r="4423" spans="1:13" x14ac:dyDescent="0.35">
      <c r="A4423">
        <f t="shared" si="12438"/>
        <v>4419</v>
      </c>
      <c r="B4423" s="9">
        <f t="shared" ref="B4423" si="12738">B4422+H4423+I4423+J4423</f>
        <v>49.310000000000045</v>
      </c>
      <c r="C4423" s="3" t="s">
        <v>4858</v>
      </c>
      <c r="D4423">
        <f t="shared" ref="D4423" si="12739">_xlfn.NUMBERVALUE(LEFT(C4423,2))</f>
        <v>13</v>
      </c>
      <c r="E4423">
        <f t="shared" ref="E4423" si="12740">_xlfn.NUMBERVALUE(MID(C4423,4,2))</f>
        <v>3</v>
      </c>
      <c r="F4423">
        <f t="shared" ref="F4423" si="12741">_xlfn.NUMBERVALUE(RIGHT(C4423,4))</f>
        <v>2025</v>
      </c>
      <c r="G4423" t="s">
        <v>1389</v>
      </c>
      <c r="H4423">
        <v>-10</v>
      </c>
      <c r="K4423" t="s">
        <v>9</v>
      </c>
      <c r="L4423" s="8">
        <f t="shared" ref="L4423:L4424" si="12742">IF(H4423="",0,(SUM(I4423:J4423)/-H4423)-1)</f>
        <v>-1</v>
      </c>
      <c r="M4423" t="s">
        <v>4861</v>
      </c>
    </row>
    <row r="4424" spans="1:13" x14ac:dyDescent="0.35">
      <c r="A4424">
        <f t="shared" si="12438"/>
        <v>4420</v>
      </c>
      <c r="B4424" s="9">
        <f t="shared" ref="B4424" si="12743">B4423+H4424+I4424+J4424</f>
        <v>50.030000000000044</v>
      </c>
      <c r="C4424" s="3" t="s">
        <v>4858</v>
      </c>
      <c r="D4424">
        <f t="shared" ref="D4424" si="12744">_xlfn.NUMBERVALUE(LEFT(C4424,2))</f>
        <v>13</v>
      </c>
      <c r="E4424">
        <f t="shared" ref="E4424" si="12745">_xlfn.NUMBERVALUE(MID(C4424,4,2))</f>
        <v>3</v>
      </c>
      <c r="F4424">
        <f t="shared" ref="F4424" si="12746">_xlfn.NUMBERVALUE(RIGHT(C4424,4))</f>
        <v>2025</v>
      </c>
      <c r="G4424" t="s">
        <v>1389</v>
      </c>
      <c r="H4424">
        <v>-10</v>
      </c>
      <c r="I4424">
        <v>10.72</v>
      </c>
      <c r="K4424" t="s">
        <v>10</v>
      </c>
      <c r="L4424" s="8">
        <f t="shared" si="12742"/>
        <v>7.2000000000000064E-2</v>
      </c>
      <c r="M4424" t="s">
        <v>4862</v>
      </c>
    </row>
    <row r="4425" spans="1:13" x14ac:dyDescent="0.35">
      <c r="A4425">
        <f t="shared" si="12438"/>
        <v>4421</v>
      </c>
      <c r="B4425" s="9">
        <f t="shared" ref="B4425" si="12747">B4424+H4425+I4425+J4425</f>
        <v>40.030000000000044</v>
      </c>
      <c r="C4425" s="3" t="s">
        <v>4858</v>
      </c>
      <c r="D4425">
        <f t="shared" ref="D4425" si="12748">_xlfn.NUMBERVALUE(LEFT(C4425,2))</f>
        <v>13</v>
      </c>
      <c r="E4425">
        <f t="shared" ref="E4425" si="12749">_xlfn.NUMBERVALUE(MID(C4425,4,2))</f>
        <v>3</v>
      </c>
      <c r="F4425">
        <f t="shared" ref="F4425" si="12750">_xlfn.NUMBERVALUE(RIGHT(C4425,4))</f>
        <v>2025</v>
      </c>
      <c r="G4425" t="s">
        <v>1389</v>
      </c>
      <c r="H4425">
        <v>-10</v>
      </c>
      <c r="K4425" t="s">
        <v>9</v>
      </c>
      <c r="L4425" s="8">
        <f t="shared" ref="L4425:L4453" si="12751">IF(H4425="",0,(SUM(I4425:J4425)/-H4425)-1)</f>
        <v>-1</v>
      </c>
      <c r="M4425" t="s">
        <v>4863</v>
      </c>
    </row>
    <row r="4426" spans="1:13" x14ac:dyDescent="0.35">
      <c r="A4426">
        <f t="shared" si="12438"/>
        <v>4422</v>
      </c>
      <c r="B4426" s="9">
        <f t="shared" ref="B4426" si="12752">B4425+H4426+I4426+J4426</f>
        <v>40.790000000000042</v>
      </c>
      <c r="C4426" s="3" t="s">
        <v>4858</v>
      </c>
      <c r="D4426">
        <f t="shared" ref="D4426" si="12753">_xlfn.NUMBERVALUE(LEFT(C4426,2))</f>
        <v>13</v>
      </c>
      <c r="E4426">
        <f t="shared" ref="E4426" si="12754">_xlfn.NUMBERVALUE(MID(C4426,4,2))</f>
        <v>3</v>
      </c>
      <c r="F4426">
        <f t="shared" ref="F4426" si="12755">_xlfn.NUMBERVALUE(RIGHT(C4426,4))</f>
        <v>2025</v>
      </c>
      <c r="G4426" t="s">
        <v>1389</v>
      </c>
      <c r="H4426">
        <v>-10</v>
      </c>
      <c r="I4426">
        <v>10.76</v>
      </c>
      <c r="K4426" t="s">
        <v>10</v>
      </c>
      <c r="L4426" s="8">
        <f t="shared" si="12751"/>
        <v>7.6000000000000068E-2</v>
      </c>
      <c r="M4426" t="s">
        <v>4864</v>
      </c>
    </row>
    <row r="4427" spans="1:13" x14ac:dyDescent="0.35">
      <c r="A4427">
        <f t="shared" si="12438"/>
        <v>4423</v>
      </c>
      <c r="B4427" s="9">
        <f t="shared" ref="B4427" si="12756">B4426+H4427+I4427+J4427</f>
        <v>41.460000000000043</v>
      </c>
      <c r="C4427" s="3" t="s">
        <v>4858</v>
      </c>
      <c r="D4427">
        <f t="shared" ref="D4427" si="12757">_xlfn.NUMBERVALUE(LEFT(C4427,2))</f>
        <v>13</v>
      </c>
      <c r="E4427">
        <f t="shared" ref="E4427" si="12758">_xlfn.NUMBERVALUE(MID(C4427,4,2))</f>
        <v>3</v>
      </c>
      <c r="F4427">
        <f t="shared" ref="F4427" si="12759">_xlfn.NUMBERVALUE(RIGHT(C4427,4))</f>
        <v>2025</v>
      </c>
      <c r="G4427" t="s">
        <v>1389</v>
      </c>
      <c r="H4427">
        <v>-10</v>
      </c>
      <c r="I4427">
        <v>10.67</v>
      </c>
      <c r="K4427" t="s">
        <v>10</v>
      </c>
      <c r="L4427" s="8">
        <f t="shared" si="12751"/>
        <v>6.6999999999999948E-2</v>
      </c>
      <c r="M4427" t="s">
        <v>4865</v>
      </c>
    </row>
    <row r="4428" spans="1:13" x14ac:dyDescent="0.35">
      <c r="A4428">
        <f t="shared" si="12438"/>
        <v>4424</v>
      </c>
      <c r="B4428" s="9">
        <f t="shared" ref="B4428" si="12760">B4427+H4428+I4428+J4428</f>
        <v>42.750000000000043</v>
      </c>
      <c r="C4428" s="3" t="s">
        <v>4858</v>
      </c>
      <c r="D4428">
        <f t="shared" ref="D4428" si="12761">_xlfn.NUMBERVALUE(LEFT(C4428,2))</f>
        <v>13</v>
      </c>
      <c r="E4428">
        <f t="shared" ref="E4428" si="12762">_xlfn.NUMBERVALUE(MID(C4428,4,2))</f>
        <v>3</v>
      </c>
      <c r="F4428">
        <f t="shared" ref="F4428" si="12763">_xlfn.NUMBERVALUE(RIGHT(C4428,4))</f>
        <v>2025</v>
      </c>
      <c r="G4428" t="s">
        <v>1389</v>
      </c>
      <c r="H4428">
        <v>-10</v>
      </c>
      <c r="I4428">
        <v>11.29</v>
      </c>
      <c r="K4428" t="s">
        <v>10</v>
      </c>
      <c r="L4428" s="8">
        <f t="shared" si="12751"/>
        <v>0.129</v>
      </c>
      <c r="M4428" t="s">
        <v>4866</v>
      </c>
    </row>
    <row r="4429" spans="1:13" x14ac:dyDescent="0.35">
      <c r="A4429">
        <f t="shared" si="12438"/>
        <v>4425</v>
      </c>
      <c r="B4429" s="9">
        <f t="shared" ref="B4429" si="12764">B4428+H4429+I4429+J4429</f>
        <v>32.750000000000043</v>
      </c>
      <c r="C4429" s="3" t="s">
        <v>4858</v>
      </c>
      <c r="D4429">
        <f t="shared" ref="D4429" si="12765">_xlfn.NUMBERVALUE(LEFT(C4429,2))</f>
        <v>13</v>
      </c>
      <c r="E4429">
        <f t="shared" ref="E4429" si="12766">_xlfn.NUMBERVALUE(MID(C4429,4,2))</f>
        <v>3</v>
      </c>
      <c r="F4429">
        <f t="shared" ref="F4429" si="12767">_xlfn.NUMBERVALUE(RIGHT(C4429,4))</f>
        <v>2025</v>
      </c>
      <c r="G4429" t="s">
        <v>1389</v>
      </c>
      <c r="H4429">
        <v>-10</v>
      </c>
      <c r="K4429" t="s">
        <v>9</v>
      </c>
      <c r="L4429" s="8">
        <f t="shared" si="12751"/>
        <v>-1</v>
      </c>
      <c r="M4429" t="s">
        <v>4867</v>
      </c>
    </row>
    <row r="4430" spans="1:13" x14ac:dyDescent="0.35">
      <c r="A4430">
        <f t="shared" si="12438"/>
        <v>4426</v>
      </c>
      <c r="B4430" s="9">
        <f t="shared" ref="B4430" si="12768">B4429+H4430+I4430+J4430</f>
        <v>33.380000000000045</v>
      </c>
      <c r="C4430" s="3" t="s">
        <v>4858</v>
      </c>
      <c r="D4430">
        <f t="shared" ref="D4430" si="12769">_xlfn.NUMBERVALUE(LEFT(C4430,2))</f>
        <v>13</v>
      </c>
      <c r="E4430">
        <f t="shared" ref="E4430" si="12770">_xlfn.NUMBERVALUE(MID(C4430,4,2))</f>
        <v>3</v>
      </c>
      <c r="F4430">
        <f t="shared" ref="F4430" si="12771">_xlfn.NUMBERVALUE(RIGHT(C4430,4))</f>
        <v>2025</v>
      </c>
      <c r="G4430" t="s">
        <v>1389</v>
      </c>
      <c r="H4430">
        <v>-10</v>
      </c>
      <c r="I4430">
        <v>10.63</v>
      </c>
      <c r="K4430" t="s">
        <v>10</v>
      </c>
      <c r="L4430" s="8">
        <f t="shared" si="12751"/>
        <v>6.3000000000000167E-2</v>
      </c>
      <c r="M4430" t="s">
        <v>4868</v>
      </c>
    </row>
    <row r="4431" spans="1:13" x14ac:dyDescent="0.35">
      <c r="A4431">
        <f t="shared" si="12438"/>
        <v>4427</v>
      </c>
      <c r="B4431" s="9">
        <f t="shared" ref="B4431" si="12772">B4430+H4431+I4431+J4431</f>
        <v>41.620000000000047</v>
      </c>
      <c r="C4431" s="3" t="s">
        <v>4858</v>
      </c>
      <c r="D4431">
        <f t="shared" ref="D4431" si="12773">_xlfn.NUMBERVALUE(LEFT(C4431,2))</f>
        <v>13</v>
      </c>
      <c r="E4431">
        <f t="shared" ref="E4431" si="12774">_xlfn.NUMBERVALUE(MID(C4431,4,2))</f>
        <v>3</v>
      </c>
      <c r="F4431">
        <f t="shared" ref="F4431" si="12775">_xlfn.NUMBERVALUE(RIGHT(C4431,4))</f>
        <v>2025</v>
      </c>
      <c r="G4431" t="s">
        <v>1389</v>
      </c>
      <c r="H4431">
        <v>-10</v>
      </c>
      <c r="I4431">
        <v>18.239999999999998</v>
      </c>
      <c r="K4431" t="s">
        <v>10</v>
      </c>
      <c r="L4431" s="8">
        <f t="shared" si="12751"/>
        <v>0.82399999999999984</v>
      </c>
      <c r="M4431" t="s">
        <v>4869</v>
      </c>
    </row>
    <row r="4432" spans="1:13" x14ac:dyDescent="0.35">
      <c r="A4432">
        <f t="shared" si="12438"/>
        <v>4428</v>
      </c>
      <c r="B4432" s="9">
        <f t="shared" ref="B4432" si="12776">B4431+H4432+I4432+J4432</f>
        <v>42.720000000000049</v>
      </c>
      <c r="C4432" s="3" t="s">
        <v>4858</v>
      </c>
      <c r="D4432">
        <f t="shared" ref="D4432" si="12777">_xlfn.NUMBERVALUE(LEFT(C4432,2))</f>
        <v>13</v>
      </c>
      <c r="E4432">
        <f t="shared" ref="E4432" si="12778">_xlfn.NUMBERVALUE(MID(C4432,4,2))</f>
        <v>3</v>
      </c>
      <c r="F4432">
        <f t="shared" ref="F4432" si="12779">_xlfn.NUMBERVALUE(RIGHT(C4432,4))</f>
        <v>2025</v>
      </c>
      <c r="G4432" t="s">
        <v>1389</v>
      </c>
      <c r="H4432">
        <v>-10</v>
      </c>
      <c r="I4432">
        <v>11.1</v>
      </c>
      <c r="K4432" t="s">
        <v>10</v>
      </c>
      <c r="L4432" s="8">
        <f t="shared" si="12751"/>
        <v>0.10999999999999988</v>
      </c>
      <c r="M4432" t="s">
        <v>4870</v>
      </c>
    </row>
    <row r="4433" spans="1:13" x14ac:dyDescent="0.35">
      <c r="A4433">
        <f t="shared" si="12438"/>
        <v>4429</v>
      </c>
      <c r="B4433" s="9">
        <f t="shared" ref="B4433" si="12780">B4432+H4433+I4433+J4433</f>
        <v>43.270000000000053</v>
      </c>
      <c r="C4433" s="3" t="s">
        <v>4858</v>
      </c>
      <c r="D4433">
        <f t="shared" ref="D4433" si="12781">_xlfn.NUMBERVALUE(LEFT(C4433,2))</f>
        <v>13</v>
      </c>
      <c r="E4433">
        <f t="shared" ref="E4433" si="12782">_xlfn.NUMBERVALUE(MID(C4433,4,2))</f>
        <v>3</v>
      </c>
      <c r="F4433">
        <f t="shared" ref="F4433" si="12783">_xlfn.NUMBERVALUE(RIGHT(C4433,4))</f>
        <v>2025</v>
      </c>
      <c r="G4433" t="s">
        <v>1389</v>
      </c>
      <c r="H4433">
        <v>-10</v>
      </c>
      <c r="I4433">
        <v>10.55</v>
      </c>
      <c r="K4433" t="s">
        <v>10</v>
      </c>
      <c r="L4433" s="8">
        <f t="shared" si="12751"/>
        <v>5.500000000000016E-2</v>
      </c>
      <c r="M4433" t="s">
        <v>4871</v>
      </c>
    </row>
    <row r="4434" spans="1:13" x14ac:dyDescent="0.35">
      <c r="A4434">
        <f t="shared" si="12438"/>
        <v>4430</v>
      </c>
      <c r="B4434" s="9">
        <f t="shared" ref="B4434" si="12784">B4433+H4434+I4434+J4434</f>
        <v>44.860000000000056</v>
      </c>
      <c r="C4434" s="3" t="s">
        <v>4858</v>
      </c>
      <c r="D4434">
        <f t="shared" ref="D4434" si="12785">_xlfn.NUMBERVALUE(LEFT(C4434,2))</f>
        <v>13</v>
      </c>
      <c r="E4434">
        <f t="shared" ref="E4434" si="12786">_xlfn.NUMBERVALUE(MID(C4434,4,2))</f>
        <v>3</v>
      </c>
      <c r="F4434">
        <f t="shared" ref="F4434" si="12787">_xlfn.NUMBERVALUE(RIGHT(C4434,4))</f>
        <v>2025</v>
      </c>
      <c r="G4434" t="s">
        <v>1389</v>
      </c>
      <c r="H4434">
        <v>-10</v>
      </c>
      <c r="I4434">
        <v>11.59</v>
      </c>
      <c r="K4434" t="s">
        <v>10</v>
      </c>
      <c r="L4434" s="8">
        <f t="shared" si="12751"/>
        <v>0.15900000000000003</v>
      </c>
      <c r="M4434" t="s">
        <v>4872</v>
      </c>
    </row>
    <row r="4435" spans="1:13" x14ac:dyDescent="0.35">
      <c r="A4435">
        <f t="shared" si="12438"/>
        <v>4431</v>
      </c>
      <c r="B4435" s="9">
        <f t="shared" ref="B4435" si="12788">B4434+H4435+I4435+J4435</f>
        <v>24.860000000000056</v>
      </c>
      <c r="C4435" s="3" t="s">
        <v>4858</v>
      </c>
      <c r="D4435">
        <f t="shared" ref="D4435" si="12789">_xlfn.NUMBERVALUE(LEFT(C4435,2))</f>
        <v>13</v>
      </c>
      <c r="E4435">
        <f t="shared" ref="E4435" si="12790">_xlfn.NUMBERVALUE(MID(C4435,4,2))</f>
        <v>3</v>
      </c>
      <c r="F4435">
        <f t="shared" ref="F4435" si="12791">_xlfn.NUMBERVALUE(RIGHT(C4435,4))</f>
        <v>2025</v>
      </c>
      <c r="G4435" t="s">
        <v>1389</v>
      </c>
      <c r="H4435">
        <v>-20</v>
      </c>
      <c r="K4435" t="s">
        <v>9</v>
      </c>
      <c r="L4435" s="8">
        <f t="shared" si="12751"/>
        <v>-1</v>
      </c>
      <c r="M4435" t="s">
        <v>4873</v>
      </c>
    </row>
    <row r="4436" spans="1:13" x14ac:dyDescent="0.35">
      <c r="A4436">
        <f t="shared" si="12438"/>
        <v>4432</v>
      </c>
      <c r="B4436" s="9">
        <f t="shared" ref="B4436" si="12792">B4435+H4436+I4436+J4436</f>
        <v>28.230000000000057</v>
      </c>
      <c r="C4436" s="3" t="s">
        <v>4858</v>
      </c>
      <c r="D4436">
        <f t="shared" ref="D4436" si="12793">_xlfn.NUMBERVALUE(LEFT(C4436,2))</f>
        <v>13</v>
      </c>
      <c r="E4436">
        <f t="shared" ref="E4436" si="12794">_xlfn.NUMBERVALUE(MID(C4436,4,2))</f>
        <v>3</v>
      </c>
      <c r="F4436">
        <f t="shared" ref="F4436" si="12795">_xlfn.NUMBERVALUE(RIGHT(C4436,4))</f>
        <v>2025</v>
      </c>
      <c r="G4436" t="s">
        <v>1389</v>
      </c>
      <c r="H4436">
        <v>-24.86</v>
      </c>
      <c r="I4436">
        <v>28.23</v>
      </c>
      <c r="K4436" t="s">
        <v>10</v>
      </c>
      <c r="L4436" s="8">
        <f t="shared" si="12751"/>
        <v>0.13555913113435247</v>
      </c>
      <c r="M4436" t="s">
        <v>4874</v>
      </c>
    </row>
    <row r="4437" spans="1:13" x14ac:dyDescent="0.35">
      <c r="A4437">
        <f t="shared" si="12438"/>
        <v>4433</v>
      </c>
      <c r="B4437" s="9">
        <f t="shared" ref="B4437" si="12796">B4436+H4437+I4437+J4437</f>
        <v>5.6843418860808015E-14</v>
      </c>
      <c r="C4437" s="3" t="s">
        <v>4858</v>
      </c>
      <c r="D4437">
        <f t="shared" ref="D4437" si="12797">_xlfn.NUMBERVALUE(LEFT(C4437,2))</f>
        <v>13</v>
      </c>
      <c r="E4437">
        <f t="shared" ref="E4437" si="12798">_xlfn.NUMBERVALUE(MID(C4437,4,2))</f>
        <v>3</v>
      </c>
      <c r="F4437">
        <f t="shared" ref="F4437" si="12799">_xlfn.NUMBERVALUE(RIGHT(C4437,4))</f>
        <v>2025</v>
      </c>
      <c r="G4437" t="s">
        <v>1389</v>
      </c>
      <c r="H4437">
        <v>-28.23</v>
      </c>
      <c r="K4437" t="s">
        <v>9</v>
      </c>
      <c r="L4437" s="8">
        <f t="shared" si="12751"/>
        <v>-1</v>
      </c>
      <c r="M4437" t="s">
        <v>4875</v>
      </c>
    </row>
    <row r="4438" spans="1:13" x14ac:dyDescent="0.35">
      <c r="A4438">
        <f t="shared" si="12438"/>
        <v>4434</v>
      </c>
      <c r="B4438" s="9">
        <f t="shared" ref="B4438:B4441" si="12800">B4437+H4438+I4438+J4438</f>
        <v>56.640000000000057</v>
      </c>
      <c r="C4438" s="3" t="s">
        <v>4876</v>
      </c>
      <c r="D4438">
        <f t="shared" ref="D4438:D4441" si="12801">_xlfn.NUMBERVALUE(LEFT(C4438,2))</f>
        <v>17</v>
      </c>
      <c r="E4438">
        <f t="shared" ref="E4438:E4441" si="12802">_xlfn.NUMBERVALUE(MID(C4438,4,2))</f>
        <v>3</v>
      </c>
      <c r="F4438">
        <f t="shared" ref="F4438:F4441" si="12803">_xlfn.NUMBERVALUE(RIGHT(C4438,4))</f>
        <v>2025</v>
      </c>
      <c r="G4438" t="s">
        <v>3362</v>
      </c>
      <c r="I4438">
        <v>56.64</v>
      </c>
    </row>
    <row r="4439" spans="1:13" x14ac:dyDescent="0.35">
      <c r="A4439">
        <f t="shared" si="12438"/>
        <v>4435</v>
      </c>
      <c r="B4439" s="9">
        <f t="shared" si="12800"/>
        <v>61.640000000000057</v>
      </c>
      <c r="C4439" s="3" t="s">
        <v>4876</v>
      </c>
      <c r="D4439">
        <f t="shared" si="12801"/>
        <v>17</v>
      </c>
      <c r="E4439">
        <f t="shared" si="12802"/>
        <v>3</v>
      </c>
      <c r="F4439">
        <f t="shared" si="12803"/>
        <v>2025</v>
      </c>
      <c r="G4439" t="s">
        <v>7</v>
      </c>
      <c r="H4439">
        <v>-5</v>
      </c>
      <c r="I4439">
        <v>10</v>
      </c>
      <c r="K4439" t="s">
        <v>10</v>
      </c>
      <c r="L4439" s="8">
        <f t="shared" si="12751"/>
        <v>1</v>
      </c>
      <c r="M4439" t="s">
        <v>4877</v>
      </c>
    </row>
    <row r="4440" spans="1:13" x14ac:dyDescent="0.35">
      <c r="A4440">
        <f t="shared" ref="A4440" si="12804">A4439+1</f>
        <v>4436</v>
      </c>
      <c r="B4440" s="9">
        <f t="shared" si="12800"/>
        <v>61.640000000000057</v>
      </c>
      <c r="C4440" s="3" t="s">
        <v>4876</v>
      </c>
      <c r="D4440">
        <f t="shared" si="12801"/>
        <v>17</v>
      </c>
      <c r="E4440">
        <f t="shared" si="12802"/>
        <v>3</v>
      </c>
      <c r="F4440">
        <f t="shared" si="12803"/>
        <v>2025</v>
      </c>
      <c r="G4440" t="s">
        <v>3039</v>
      </c>
      <c r="K4440" t="s">
        <v>9</v>
      </c>
      <c r="L4440" s="8">
        <f t="shared" si="12751"/>
        <v>0</v>
      </c>
      <c r="M4440" t="s">
        <v>4878</v>
      </c>
    </row>
    <row r="4441" spans="1:13" x14ac:dyDescent="0.35">
      <c r="A4441">
        <f t="shared" si="12438"/>
        <v>4437</v>
      </c>
      <c r="B4441" s="9">
        <f t="shared" si="12800"/>
        <v>71.980000000000061</v>
      </c>
      <c r="C4441" s="3" t="s">
        <v>4876</v>
      </c>
      <c r="D4441">
        <f t="shared" si="12801"/>
        <v>17</v>
      </c>
      <c r="E4441">
        <f t="shared" si="12802"/>
        <v>3</v>
      </c>
      <c r="F4441">
        <f t="shared" si="12803"/>
        <v>2025</v>
      </c>
      <c r="G4441" t="s">
        <v>1389</v>
      </c>
      <c r="H4441">
        <v>-10</v>
      </c>
      <c r="I4441">
        <v>20.34</v>
      </c>
      <c r="K4441" t="s">
        <v>10</v>
      </c>
      <c r="L4441" s="8">
        <f t="shared" si="12751"/>
        <v>1.0339999999999998</v>
      </c>
      <c r="M4441" t="s">
        <v>4879</v>
      </c>
    </row>
    <row r="4442" spans="1:13" x14ac:dyDescent="0.35">
      <c r="A4442">
        <f t="shared" si="12438"/>
        <v>4438</v>
      </c>
      <c r="B4442" s="9">
        <f t="shared" ref="B4442" si="12805">B4441+H4442+I4442+J4442</f>
        <v>63.02000000000006</v>
      </c>
      <c r="C4442" s="3" t="s">
        <v>4876</v>
      </c>
      <c r="D4442">
        <f t="shared" ref="D4442" si="12806">_xlfn.NUMBERVALUE(LEFT(C4442,2))</f>
        <v>17</v>
      </c>
      <c r="E4442">
        <f t="shared" ref="E4442" si="12807">_xlfn.NUMBERVALUE(MID(C4442,4,2))</f>
        <v>3</v>
      </c>
      <c r="F4442">
        <f t="shared" ref="F4442" si="12808">_xlfn.NUMBERVALUE(RIGHT(C4442,4))</f>
        <v>2025</v>
      </c>
      <c r="G4442" t="s">
        <v>1389</v>
      </c>
      <c r="H4442">
        <v>-20</v>
      </c>
      <c r="I4442">
        <v>11.04</v>
      </c>
      <c r="K4442" t="s">
        <v>9</v>
      </c>
      <c r="L4442" s="8">
        <f t="shared" si="12751"/>
        <v>-0.44800000000000006</v>
      </c>
      <c r="M4442" t="s">
        <v>4880</v>
      </c>
    </row>
    <row r="4443" spans="1:13" x14ac:dyDescent="0.35">
      <c r="A4443">
        <f t="shared" si="12438"/>
        <v>4439</v>
      </c>
      <c r="B4443" s="9">
        <f t="shared" ref="B4443:B4444" si="12809">B4442+H4443+I4443+J4443</f>
        <v>65.020000000000067</v>
      </c>
      <c r="C4443" s="3" t="s">
        <v>4876</v>
      </c>
      <c r="D4443">
        <f t="shared" ref="D4443:D4444" si="12810">_xlfn.NUMBERVALUE(LEFT(C4443,2))</f>
        <v>17</v>
      </c>
      <c r="E4443">
        <f t="shared" ref="E4443:E4444" si="12811">_xlfn.NUMBERVALUE(MID(C4443,4,2))</f>
        <v>3</v>
      </c>
      <c r="F4443">
        <f t="shared" ref="F4443:F4444" si="12812">_xlfn.NUMBERVALUE(RIGHT(C4443,4))</f>
        <v>2025</v>
      </c>
      <c r="G4443" t="s">
        <v>4209</v>
      </c>
      <c r="I4443">
        <v>2</v>
      </c>
      <c r="K4443" t="s">
        <v>10</v>
      </c>
    </row>
    <row r="4444" spans="1:13" x14ac:dyDescent="0.35">
      <c r="A4444">
        <f t="shared" si="12438"/>
        <v>4440</v>
      </c>
      <c r="B4444" s="9">
        <f t="shared" si="12809"/>
        <v>65.790000000000063</v>
      </c>
      <c r="C4444" s="3" t="s">
        <v>4876</v>
      </c>
      <c r="D4444">
        <f t="shared" si="12810"/>
        <v>17</v>
      </c>
      <c r="E4444">
        <f t="shared" si="12811"/>
        <v>3</v>
      </c>
      <c r="F4444">
        <f t="shared" si="12812"/>
        <v>2025</v>
      </c>
      <c r="G4444" t="s">
        <v>1389</v>
      </c>
      <c r="H4444">
        <v>-10</v>
      </c>
      <c r="I4444">
        <v>10.77</v>
      </c>
      <c r="K4444" t="s">
        <v>10</v>
      </c>
      <c r="L4444" s="8">
        <f t="shared" si="12751"/>
        <v>7.6999999999999957E-2</v>
      </c>
      <c r="M4444" t="s">
        <v>4881</v>
      </c>
    </row>
    <row r="4445" spans="1:13" x14ac:dyDescent="0.35">
      <c r="A4445">
        <f t="shared" si="12438"/>
        <v>4441</v>
      </c>
      <c r="B4445" s="9">
        <f t="shared" ref="B4445" si="12813">B4444+H4445+I4445+J4445</f>
        <v>55.790000000000063</v>
      </c>
      <c r="C4445" s="3" t="s">
        <v>4876</v>
      </c>
      <c r="D4445">
        <f t="shared" ref="D4445" si="12814">_xlfn.NUMBERVALUE(LEFT(C4445,2))</f>
        <v>17</v>
      </c>
      <c r="E4445">
        <f t="shared" ref="E4445" si="12815">_xlfn.NUMBERVALUE(MID(C4445,4,2))</f>
        <v>3</v>
      </c>
      <c r="F4445">
        <f t="shared" ref="F4445" si="12816">_xlfn.NUMBERVALUE(RIGHT(C4445,4))</f>
        <v>2025</v>
      </c>
      <c r="G4445" t="s">
        <v>1389</v>
      </c>
      <c r="H4445">
        <v>-10</v>
      </c>
      <c r="K4445" t="s">
        <v>9</v>
      </c>
      <c r="L4445" s="8">
        <f t="shared" si="12751"/>
        <v>-1</v>
      </c>
      <c r="M4445" t="s">
        <v>4882</v>
      </c>
    </row>
    <row r="4446" spans="1:13" x14ac:dyDescent="0.35">
      <c r="A4446">
        <f t="shared" si="12438"/>
        <v>4442</v>
      </c>
      <c r="B4446" s="9">
        <f t="shared" ref="B4446" si="12817">B4445+H4446+I4446+J4446</f>
        <v>52.780000000000065</v>
      </c>
      <c r="C4446" s="3" t="s">
        <v>4876</v>
      </c>
      <c r="D4446">
        <f t="shared" ref="D4446" si="12818">_xlfn.NUMBERVALUE(LEFT(C4446,2))</f>
        <v>17</v>
      </c>
      <c r="E4446">
        <f t="shared" ref="E4446" si="12819">_xlfn.NUMBERVALUE(MID(C4446,4,2))</f>
        <v>3</v>
      </c>
      <c r="F4446">
        <f t="shared" ref="F4446" si="12820">_xlfn.NUMBERVALUE(RIGHT(C4446,4))</f>
        <v>2025</v>
      </c>
      <c r="G4446" t="s">
        <v>1389</v>
      </c>
      <c r="H4446">
        <v>-10</v>
      </c>
      <c r="I4446">
        <v>6.99</v>
      </c>
      <c r="K4446" t="s">
        <v>9</v>
      </c>
      <c r="L4446" s="8">
        <f t="shared" si="12751"/>
        <v>-0.30099999999999993</v>
      </c>
      <c r="M4446" t="s">
        <v>4883</v>
      </c>
    </row>
    <row r="4447" spans="1:13" x14ac:dyDescent="0.35">
      <c r="A4447">
        <f t="shared" si="12438"/>
        <v>4443</v>
      </c>
      <c r="B4447" s="9">
        <f t="shared" ref="B4447:B4449" si="12821">B4446+H4447+I4447+J4447</f>
        <v>56.080000000000069</v>
      </c>
      <c r="C4447" s="3" t="s">
        <v>4876</v>
      </c>
      <c r="D4447">
        <f t="shared" ref="D4447:D4449" si="12822">_xlfn.NUMBERVALUE(LEFT(C4447,2))</f>
        <v>17</v>
      </c>
      <c r="E4447">
        <f t="shared" ref="E4447:E4449" si="12823">_xlfn.NUMBERVALUE(MID(C4447,4,2))</f>
        <v>3</v>
      </c>
      <c r="F4447">
        <f t="shared" ref="F4447:F4449" si="12824">_xlfn.NUMBERVALUE(RIGHT(C4447,4))</f>
        <v>2025</v>
      </c>
      <c r="G4447" t="s">
        <v>1389</v>
      </c>
      <c r="H4447">
        <v>-10</v>
      </c>
      <c r="I4447">
        <v>13.3</v>
      </c>
      <c r="K4447" t="s">
        <v>10</v>
      </c>
      <c r="L4447" s="8">
        <f t="shared" si="12751"/>
        <v>0.33000000000000007</v>
      </c>
      <c r="M4447" t="s">
        <v>4884</v>
      </c>
    </row>
    <row r="4448" spans="1:13" x14ac:dyDescent="0.35">
      <c r="A4448">
        <f t="shared" si="12438"/>
        <v>4444</v>
      </c>
      <c r="B4448" s="9">
        <f t="shared" si="12821"/>
        <v>51.080000000000069</v>
      </c>
      <c r="C4448" s="3" t="s">
        <v>4885</v>
      </c>
      <c r="D4448">
        <f t="shared" si="12822"/>
        <v>18</v>
      </c>
      <c r="E4448">
        <f t="shared" si="12823"/>
        <v>3</v>
      </c>
      <c r="F4448">
        <f t="shared" si="12824"/>
        <v>2025</v>
      </c>
      <c r="G4448" t="s">
        <v>7</v>
      </c>
      <c r="H4448">
        <v>-5</v>
      </c>
      <c r="K4448" t="s">
        <v>9</v>
      </c>
      <c r="L4448" s="8">
        <f t="shared" si="12751"/>
        <v>-1</v>
      </c>
      <c r="M4448" t="s">
        <v>4886</v>
      </c>
    </row>
    <row r="4449" spans="1:13" x14ac:dyDescent="0.35">
      <c r="A4449">
        <f t="shared" ref="A4449" si="12825">A4448+1</f>
        <v>4445</v>
      </c>
      <c r="B4449" s="9">
        <f t="shared" si="12821"/>
        <v>51.080000000000069</v>
      </c>
      <c r="C4449" s="3" t="s">
        <v>4885</v>
      </c>
      <c r="D4449">
        <f t="shared" si="12822"/>
        <v>18</v>
      </c>
      <c r="E4449">
        <f t="shared" si="12823"/>
        <v>3</v>
      </c>
      <c r="F4449">
        <f t="shared" si="12824"/>
        <v>2025</v>
      </c>
      <c r="G4449" t="s">
        <v>3039</v>
      </c>
      <c r="K4449" t="s">
        <v>9</v>
      </c>
      <c r="L4449" s="8">
        <f t="shared" si="12751"/>
        <v>0</v>
      </c>
      <c r="M4449" t="s">
        <v>4887</v>
      </c>
    </row>
    <row r="4450" spans="1:13" x14ac:dyDescent="0.35">
      <c r="A4450">
        <f t="shared" si="12438"/>
        <v>4446</v>
      </c>
      <c r="B4450" s="9">
        <f t="shared" ref="B4450" si="12826">B4449+H4450+I4450+J4450</f>
        <v>57.590000000000074</v>
      </c>
      <c r="C4450" s="3" t="s">
        <v>4885</v>
      </c>
      <c r="D4450">
        <f t="shared" ref="D4450" si="12827">_xlfn.NUMBERVALUE(LEFT(C4450,2))</f>
        <v>18</v>
      </c>
      <c r="E4450">
        <f t="shared" ref="E4450" si="12828">_xlfn.NUMBERVALUE(MID(C4450,4,2))</f>
        <v>3</v>
      </c>
      <c r="F4450">
        <f t="shared" ref="F4450" si="12829">_xlfn.NUMBERVALUE(RIGHT(C4450,4))</f>
        <v>2025</v>
      </c>
      <c r="G4450" t="s">
        <v>1389</v>
      </c>
      <c r="H4450">
        <v>-10</v>
      </c>
      <c r="I4450">
        <v>16.510000000000002</v>
      </c>
      <c r="K4450" t="s">
        <v>10</v>
      </c>
      <c r="L4450" s="8">
        <f t="shared" si="12751"/>
        <v>0.65100000000000025</v>
      </c>
      <c r="M4450" t="s">
        <v>4888</v>
      </c>
    </row>
    <row r="4451" spans="1:13" x14ac:dyDescent="0.35">
      <c r="A4451">
        <f t="shared" si="12438"/>
        <v>4447</v>
      </c>
      <c r="B4451" s="9">
        <f t="shared" ref="B4451:B4452" si="12830">B4450+H4451+I4451+J4451</f>
        <v>59.020000000000074</v>
      </c>
      <c r="C4451" s="3" t="s">
        <v>4885</v>
      </c>
      <c r="D4451">
        <f t="shared" ref="D4451:D4452" si="12831">_xlfn.NUMBERVALUE(LEFT(C4451,2))</f>
        <v>18</v>
      </c>
      <c r="E4451">
        <f t="shared" ref="E4451:E4452" si="12832">_xlfn.NUMBERVALUE(MID(C4451,4,2))</f>
        <v>3</v>
      </c>
      <c r="F4451">
        <f t="shared" ref="F4451:F4452" si="12833">_xlfn.NUMBERVALUE(RIGHT(C4451,4))</f>
        <v>2025</v>
      </c>
      <c r="G4451" t="s">
        <v>1389</v>
      </c>
      <c r="H4451">
        <v>-10</v>
      </c>
      <c r="I4451">
        <v>11.43</v>
      </c>
      <c r="K4451" t="s">
        <v>10</v>
      </c>
      <c r="L4451" s="8">
        <f t="shared" si="12751"/>
        <v>0.14300000000000002</v>
      </c>
      <c r="M4451" t="s">
        <v>4889</v>
      </c>
    </row>
    <row r="4452" spans="1:13" x14ac:dyDescent="0.35">
      <c r="A4452">
        <f t="shared" si="12438"/>
        <v>4448</v>
      </c>
      <c r="B4452" s="9">
        <f t="shared" si="12830"/>
        <v>60.020000000000074</v>
      </c>
      <c r="C4452" s="3" t="s">
        <v>4885</v>
      </c>
      <c r="D4452">
        <f t="shared" si="12831"/>
        <v>18</v>
      </c>
      <c r="E4452">
        <f t="shared" si="12832"/>
        <v>3</v>
      </c>
      <c r="F4452">
        <f t="shared" si="12833"/>
        <v>2025</v>
      </c>
      <c r="G4452" t="s">
        <v>4209</v>
      </c>
      <c r="I4452">
        <v>1</v>
      </c>
      <c r="K4452" t="s">
        <v>10</v>
      </c>
    </row>
    <row r="4453" spans="1:13" x14ac:dyDescent="0.35">
      <c r="A4453">
        <f t="shared" si="12438"/>
        <v>4449</v>
      </c>
      <c r="B4453" s="9">
        <f t="shared" ref="B4453:B4455" si="12834">B4452+H4453+I4453+J4453</f>
        <v>50.020000000000074</v>
      </c>
      <c r="C4453" s="3" t="s">
        <v>4885</v>
      </c>
      <c r="D4453">
        <f t="shared" ref="D4453:D4455" si="12835">_xlfn.NUMBERVALUE(LEFT(C4453,2))</f>
        <v>18</v>
      </c>
      <c r="E4453">
        <f t="shared" ref="E4453:E4455" si="12836">_xlfn.NUMBERVALUE(MID(C4453,4,2))</f>
        <v>3</v>
      </c>
      <c r="F4453">
        <f t="shared" ref="F4453:F4455" si="12837">_xlfn.NUMBERVALUE(RIGHT(C4453,4))</f>
        <v>2025</v>
      </c>
      <c r="G4453" t="s">
        <v>1389</v>
      </c>
      <c r="H4453">
        <v>-10</v>
      </c>
      <c r="K4453" t="s">
        <v>9</v>
      </c>
      <c r="L4453" s="8">
        <f t="shared" si="12751"/>
        <v>-1</v>
      </c>
      <c r="M4453" t="s">
        <v>4890</v>
      </c>
    </row>
    <row r="4454" spans="1:13" x14ac:dyDescent="0.35">
      <c r="A4454">
        <f t="shared" si="12438"/>
        <v>4450</v>
      </c>
      <c r="B4454" s="9">
        <f t="shared" si="12834"/>
        <v>45.020000000000074</v>
      </c>
      <c r="C4454" s="3" t="s">
        <v>4891</v>
      </c>
      <c r="D4454">
        <f t="shared" si="12835"/>
        <v>19</v>
      </c>
      <c r="E4454">
        <f t="shared" si="12836"/>
        <v>3</v>
      </c>
      <c r="F4454">
        <f t="shared" si="12837"/>
        <v>2025</v>
      </c>
      <c r="G4454" t="s">
        <v>7</v>
      </c>
      <c r="H4454">
        <v>-5</v>
      </c>
      <c r="K4454" t="s">
        <v>9</v>
      </c>
      <c r="L4454" s="8">
        <f t="shared" ref="L4454:L4463" si="12838">IF(H4454="",0,(SUM(I4454:J4454)/-H4454)-1)</f>
        <v>-1</v>
      </c>
      <c r="M4454" t="s">
        <v>4892</v>
      </c>
    </row>
    <row r="4455" spans="1:13" x14ac:dyDescent="0.35">
      <c r="A4455">
        <f t="shared" ref="A4455" si="12839">A4454+1</f>
        <v>4451</v>
      </c>
      <c r="B4455" s="9">
        <f t="shared" si="12834"/>
        <v>45.020000000000074</v>
      </c>
      <c r="C4455" s="3" t="s">
        <v>4891</v>
      </c>
      <c r="D4455">
        <f t="shared" si="12835"/>
        <v>19</v>
      </c>
      <c r="E4455">
        <f t="shared" si="12836"/>
        <v>3</v>
      </c>
      <c r="F4455">
        <f t="shared" si="12837"/>
        <v>2025</v>
      </c>
      <c r="G4455" t="s">
        <v>3039</v>
      </c>
      <c r="K4455" t="s">
        <v>9</v>
      </c>
      <c r="L4455" s="8">
        <f t="shared" si="12838"/>
        <v>0</v>
      </c>
      <c r="M4455" t="s">
        <v>4893</v>
      </c>
    </row>
    <row r="4456" spans="1:13" x14ac:dyDescent="0.35">
      <c r="A4456">
        <f t="shared" si="12438"/>
        <v>4452</v>
      </c>
      <c r="B4456" s="9">
        <f t="shared" ref="B4456" si="12840">B4455+H4456+I4456+J4456</f>
        <v>46.810000000000073</v>
      </c>
      <c r="C4456" s="3" t="s">
        <v>4891</v>
      </c>
      <c r="D4456">
        <f t="shared" ref="D4456" si="12841">_xlfn.NUMBERVALUE(LEFT(C4456,2))</f>
        <v>19</v>
      </c>
      <c r="E4456">
        <f t="shared" ref="E4456" si="12842">_xlfn.NUMBERVALUE(MID(C4456,4,2))</f>
        <v>3</v>
      </c>
      <c r="F4456">
        <f t="shared" ref="F4456" si="12843">_xlfn.NUMBERVALUE(RIGHT(C4456,4))</f>
        <v>2025</v>
      </c>
      <c r="G4456" t="s">
        <v>1389</v>
      </c>
      <c r="H4456">
        <v>-10</v>
      </c>
      <c r="I4456">
        <v>11.79</v>
      </c>
      <c r="K4456" t="s">
        <v>10</v>
      </c>
      <c r="L4456" s="8">
        <f t="shared" si="12838"/>
        <v>0.17899999999999983</v>
      </c>
      <c r="M4456" t="s">
        <v>4894</v>
      </c>
    </row>
    <row r="4457" spans="1:13" x14ac:dyDescent="0.35">
      <c r="A4457">
        <f t="shared" si="12438"/>
        <v>4453</v>
      </c>
      <c r="B4457" s="9">
        <f t="shared" ref="B4457" si="12844">B4456+H4457+I4457+J4457</f>
        <v>40.490000000000073</v>
      </c>
      <c r="C4457" s="3" t="s">
        <v>4891</v>
      </c>
      <c r="D4457">
        <f t="shared" ref="D4457" si="12845">_xlfn.NUMBERVALUE(LEFT(C4457,2))</f>
        <v>19</v>
      </c>
      <c r="E4457">
        <f t="shared" ref="E4457" si="12846">_xlfn.NUMBERVALUE(MID(C4457,4,2))</f>
        <v>3</v>
      </c>
      <c r="F4457">
        <f t="shared" ref="F4457" si="12847">_xlfn.NUMBERVALUE(RIGHT(C4457,4))</f>
        <v>2025</v>
      </c>
      <c r="G4457" t="s">
        <v>1389</v>
      </c>
      <c r="H4457">
        <v>-10</v>
      </c>
      <c r="I4457">
        <v>3.68</v>
      </c>
      <c r="K4457" t="s">
        <v>9</v>
      </c>
      <c r="L4457" s="8">
        <f t="shared" si="12838"/>
        <v>-0.63200000000000001</v>
      </c>
      <c r="M4457" t="s">
        <v>4895</v>
      </c>
    </row>
    <row r="4458" spans="1:13" x14ac:dyDescent="0.35">
      <c r="A4458">
        <f t="shared" si="12438"/>
        <v>4454</v>
      </c>
      <c r="B4458" s="9">
        <f t="shared" ref="B4458:B4459" si="12848">B4457+H4458+I4458+J4458</f>
        <v>45.630000000000074</v>
      </c>
      <c r="C4458" s="3" t="s">
        <v>4891</v>
      </c>
      <c r="D4458">
        <f t="shared" ref="D4458:D4459" si="12849">_xlfn.NUMBERVALUE(LEFT(C4458,2))</f>
        <v>19</v>
      </c>
      <c r="E4458">
        <f t="shared" ref="E4458:E4459" si="12850">_xlfn.NUMBERVALUE(MID(C4458,4,2))</f>
        <v>3</v>
      </c>
      <c r="F4458">
        <f t="shared" ref="F4458:F4459" si="12851">_xlfn.NUMBERVALUE(RIGHT(C4458,4))</f>
        <v>2025</v>
      </c>
      <c r="G4458" t="s">
        <v>1389</v>
      </c>
      <c r="H4458">
        <v>-10</v>
      </c>
      <c r="I4458">
        <v>15.14</v>
      </c>
      <c r="K4458" t="s">
        <v>10</v>
      </c>
      <c r="L4458" s="8">
        <f t="shared" si="12838"/>
        <v>0.51400000000000001</v>
      </c>
      <c r="M4458" t="s">
        <v>4896</v>
      </c>
    </row>
    <row r="4459" spans="1:13" x14ac:dyDescent="0.35">
      <c r="A4459">
        <f t="shared" si="12438"/>
        <v>4455</v>
      </c>
      <c r="B4459" s="9">
        <f t="shared" si="12848"/>
        <v>47.630000000000074</v>
      </c>
      <c r="C4459" s="3" t="s">
        <v>4891</v>
      </c>
      <c r="D4459">
        <f t="shared" si="12849"/>
        <v>19</v>
      </c>
      <c r="E4459">
        <f t="shared" si="12850"/>
        <v>3</v>
      </c>
      <c r="F4459">
        <f t="shared" si="12851"/>
        <v>2025</v>
      </c>
      <c r="G4459" t="s">
        <v>4209</v>
      </c>
      <c r="I4459">
        <v>2</v>
      </c>
      <c r="K4459" t="s">
        <v>10</v>
      </c>
    </row>
    <row r="4460" spans="1:13" x14ac:dyDescent="0.35">
      <c r="A4460">
        <f t="shared" si="12438"/>
        <v>4456</v>
      </c>
      <c r="B4460" s="9">
        <f t="shared" ref="B4460" si="12852">B4459+H4460+I4460+J4460</f>
        <v>47.010000000000076</v>
      </c>
      <c r="C4460" s="3" t="s">
        <v>4891</v>
      </c>
      <c r="D4460">
        <f t="shared" ref="D4460" si="12853">_xlfn.NUMBERVALUE(LEFT(C4460,2))</f>
        <v>19</v>
      </c>
      <c r="E4460">
        <f t="shared" ref="E4460" si="12854">_xlfn.NUMBERVALUE(MID(C4460,4,2))</f>
        <v>3</v>
      </c>
      <c r="F4460">
        <f t="shared" ref="F4460" si="12855">_xlfn.NUMBERVALUE(RIGHT(C4460,4))</f>
        <v>2025</v>
      </c>
      <c r="G4460" t="s">
        <v>1389</v>
      </c>
      <c r="H4460">
        <v>-10</v>
      </c>
      <c r="I4460">
        <v>9.3800000000000008</v>
      </c>
      <c r="K4460" t="s">
        <v>9</v>
      </c>
      <c r="L4460" s="8">
        <f t="shared" si="12838"/>
        <v>-6.1999999999999944E-2</v>
      </c>
      <c r="M4460" t="s">
        <v>4897</v>
      </c>
    </row>
    <row r="4461" spans="1:13" x14ac:dyDescent="0.35">
      <c r="A4461">
        <f t="shared" si="12438"/>
        <v>4457</v>
      </c>
      <c r="B4461" s="9">
        <f t="shared" ref="B4461" si="12856">B4460+H4461+I4461+J4461</f>
        <v>47.710000000000079</v>
      </c>
      <c r="C4461" s="3" t="s">
        <v>4891</v>
      </c>
      <c r="D4461">
        <f t="shared" ref="D4461" si="12857">_xlfn.NUMBERVALUE(LEFT(C4461,2))</f>
        <v>19</v>
      </c>
      <c r="E4461">
        <f t="shared" ref="E4461" si="12858">_xlfn.NUMBERVALUE(MID(C4461,4,2))</f>
        <v>3</v>
      </c>
      <c r="F4461">
        <f t="shared" ref="F4461" si="12859">_xlfn.NUMBERVALUE(RIGHT(C4461,4))</f>
        <v>2025</v>
      </c>
      <c r="G4461" t="s">
        <v>1389</v>
      </c>
      <c r="H4461">
        <v>-10</v>
      </c>
      <c r="I4461">
        <v>10.7</v>
      </c>
      <c r="K4461" t="s">
        <v>10</v>
      </c>
      <c r="L4461" s="8">
        <f t="shared" si="12838"/>
        <v>6.999999999999984E-2</v>
      </c>
      <c r="M4461" t="s">
        <v>4898</v>
      </c>
    </row>
    <row r="4462" spans="1:13" x14ac:dyDescent="0.35">
      <c r="A4462">
        <f t="shared" si="12438"/>
        <v>4458</v>
      </c>
      <c r="B4462" s="9">
        <f t="shared" ref="B4462:B4464" si="12860">B4461+H4462+I4462+J4462</f>
        <v>53.120000000000076</v>
      </c>
      <c r="C4462" s="3" t="s">
        <v>4891</v>
      </c>
      <c r="D4462">
        <f t="shared" ref="D4462:D4464" si="12861">_xlfn.NUMBERVALUE(LEFT(C4462,2))</f>
        <v>19</v>
      </c>
      <c r="E4462">
        <f t="shared" ref="E4462:E4464" si="12862">_xlfn.NUMBERVALUE(MID(C4462,4,2))</f>
        <v>3</v>
      </c>
      <c r="F4462">
        <f t="shared" ref="F4462:F4464" si="12863">_xlfn.NUMBERVALUE(RIGHT(C4462,4))</f>
        <v>2025</v>
      </c>
      <c r="G4462" t="s">
        <v>1389</v>
      </c>
      <c r="H4462">
        <v>-10</v>
      </c>
      <c r="I4462">
        <v>15.41</v>
      </c>
      <c r="K4462" t="s">
        <v>10</v>
      </c>
      <c r="L4462" s="8">
        <f t="shared" si="12838"/>
        <v>0.54099999999999993</v>
      </c>
      <c r="M4462" t="s">
        <v>4899</v>
      </c>
    </row>
    <row r="4463" spans="1:13" x14ac:dyDescent="0.35">
      <c r="A4463">
        <f t="shared" si="12438"/>
        <v>4459</v>
      </c>
      <c r="B4463" s="9">
        <f t="shared" si="12860"/>
        <v>48.120000000000076</v>
      </c>
      <c r="C4463" s="3" t="s">
        <v>4900</v>
      </c>
      <c r="D4463">
        <f t="shared" si="12861"/>
        <v>20</v>
      </c>
      <c r="E4463">
        <f t="shared" si="12862"/>
        <v>3</v>
      </c>
      <c r="F4463">
        <f t="shared" si="12863"/>
        <v>2025</v>
      </c>
      <c r="G4463" t="s">
        <v>7</v>
      </c>
      <c r="H4463">
        <v>-5</v>
      </c>
      <c r="K4463" t="s">
        <v>9</v>
      </c>
      <c r="L4463" s="8">
        <f t="shared" si="12838"/>
        <v>-1</v>
      </c>
      <c r="M4463" t="s">
        <v>4901</v>
      </c>
    </row>
    <row r="4464" spans="1:13" x14ac:dyDescent="0.35">
      <c r="A4464">
        <f t="shared" ref="A4464" si="12864">A4463+1</f>
        <v>4460</v>
      </c>
      <c r="B4464" s="9">
        <f t="shared" si="12860"/>
        <v>48.120000000000076</v>
      </c>
      <c r="C4464" s="3" t="s">
        <v>4900</v>
      </c>
      <c r="D4464">
        <f t="shared" si="12861"/>
        <v>20</v>
      </c>
      <c r="E4464">
        <f t="shared" si="12862"/>
        <v>3</v>
      </c>
      <c r="F4464">
        <f t="shared" si="12863"/>
        <v>2025</v>
      </c>
      <c r="G4464" t="s">
        <v>3039</v>
      </c>
      <c r="K4464" t="s">
        <v>9</v>
      </c>
      <c r="L4464" s="8">
        <f t="shared" ref="L4464:L4494" si="12865">IF(H4464="",0,(SUM(I4464:J4464)/-H4464)-1)</f>
        <v>0</v>
      </c>
      <c r="M4464" t="s">
        <v>4902</v>
      </c>
    </row>
    <row r="4465" spans="1:13" x14ac:dyDescent="0.35">
      <c r="A4465">
        <f t="shared" si="12438"/>
        <v>4461</v>
      </c>
      <c r="B4465" s="9">
        <f t="shared" ref="B4465" si="12866">B4464+H4465+I4465+J4465</f>
        <v>49.950000000000074</v>
      </c>
      <c r="C4465" s="3" t="s">
        <v>4900</v>
      </c>
      <c r="D4465">
        <f t="shared" ref="D4465" si="12867">_xlfn.NUMBERVALUE(LEFT(C4465,2))</f>
        <v>20</v>
      </c>
      <c r="E4465">
        <f t="shared" ref="E4465" si="12868">_xlfn.NUMBERVALUE(MID(C4465,4,2))</f>
        <v>3</v>
      </c>
      <c r="F4465">
        <f t="shared" ref="F4465" si="12869">_xlfn.NUMBERVALUE(RIGHT(C4465,4))</f>
        <v>2025</v>
      </c>
      <c r="G4465" t="s">
        <v>1389</v>
      </c>
      <c r="H4465">
        <v>-10</v>
      </c>
      <c r="I4465">
        <v>11.83</v>
      </c>
      <c r="K4465" t="s">
        <v>10</v>
      </c>
      <c r="L4465" s="8">
        <f t="shared" si="12865"/>
        <v>0.18300000000000005</v>
      </c>
      <c r="M4465" t="s">
        <v>4903</v>
      </c>
    </row>
    <row r="4466" spans="1:13" x14ac:dyDescent="0.35">
      <c r="A4466">
        <f t="shared" si="12438"/>
        <v>4462</v>
      </c>
      <c r="B4466" s="9">
        <f t="shared" ref="B4466" si="12870">B4465+H4466+I4466+J4466</f>
        <v>52.580000000000076</v>
      </c>
      <c r="C4466" s="3" t="s">
        <v>4900</v>
      </c>
      <c r="D4466">
        <f t="shared" ref="D4466" si="12871">_xlfn.NUMBERVALUE(LEFT(C4466,2))</f>
        <v>20</v>
      </c>
      <c r="E4466">
        <f t="shared" ref="E4466" si="12872">_xlfn.NUMBERVALUE(MID(C4466,4,2))</f>
        <v>3</v>
      </c>
      <c r="F4466">
        <f t="shared" ref="F4466" si="12873">_xlfn.NUMBERVALUE(RIGHT(C4466,4))</f>
        <v>2025</v>
      </c>
      <c r="G4466" t="s">
        <v>1389</v>
      </c>
      <c r="H4466">
        <v>-10</v>
      </c>
      <c r="I4466">
        <v>12.63</v>
      </c>
      <c r="K4466" t="s">
        <v>10</v>
      </c>
      <c r="L4466" s="8">
        <f t="shared" si="12865"/>
        <v>0.26300000000000012</v>
      </c>
      <c r="M4466" t="s">
        <v>4904</v>
      </c>
    </row>
    <row r="4467" spans="1:13" x14ac:dyDescent="0.35">
      <c r="A4467">
        <f t="shared" si="12438"/>
        <v>4463</v>
      </c>
      <c r="B4467" s="9">
        <f t="shared" ref="B4467:B4469" si="12874">B4466+H4467+I4467+J4467</f>
        <v>52.580000000000076</v>
      </c>
      <c r="C4467" s="3" t="s">
        <v>4900</v>
      </c>
      <c r="D4467">
        <f t="shared" ref="D4467:D4469" si="12875">_xlfn.NUMBERVALUE(LEFT(C4467,2))</f>
        <v>20</v>
      </c>
      <c r="E4467">
        <f t="shared" ref="E4467:E4469" si="12876">_xlfn.NUMBERVALUE(MID(C4467,4,2))</f>
        <v>3</v>
      </c>
      <c r="F4467">
        <f t="shared" ref="F4467:F4469" si="12877">_xlfn.NUMBERVALUE(RIGHT(C4467,4))</f>
        <v>2025</v>
      </c>
      <c r="G4467" t="s">
        <v>1389</v>
      </c>
      <c r="H4467">
        <v>-10</v>
      </c>
      <c r="I4467">
        <v>10</v>
      </c>
      <c r="K4467" t="s">
        <v>10</v>
      </c>
      <c r="L4467" s="8">
        <f t="shared" si="12865"/>
        <v>0</v>
      </c>
      <c r="M4467" t="s">
        <v>4905</v>
      </c>
    </row>
    <row r="4468" spans="1:13" x14ac:dyDescent="0.35">
      <c r="A4468">
        <f t="shared" si="12438"/>
        <v>4464</v>
      </c>
      <c r="B4468" s="9">
        <f t="shared" si="12874"/>
        <v>53.580000000000076</v>
      </c>
      <c r="C4468" s="3" t="s">
        <v>4900</v>
      </c>
      <c r="D4468">
        <f t="shared" si="12875"/>
        <v>20</v>
      </c>
      <c r="E4468">
        <f t="shared" si="12876"/>
        <v>3</v>
      </c>
      <c r="F4468">
        <f t="shared" si="12877"/>
        <v>2025</v>
      </c>
      <c r="G4468" t="s">
        <v>4209</v>
      </c>
      <c r="I4468">
        <v>1</v>
      </c>
      <c r="K4468" t="s">
        <v>10</v>
      </c>
    </row>
    <row r="4469" spans="1:13" x14ac:dyDescent="0.35">
      <c r="A4469">
        <f t="shared" si="12438"/>
        <v>4465</v>
      </c>
      <c r="B4469" s="9">
        <f t="shared" si="12874"/>
        <v>43.580000000000076</v>
      </c>
      <c r="C4469" s="3" t="s">
        <v>4900</v>
      </c>
      <c r="D4469">
        <f t="shared" si="12875"/>
        <v>20</v>
      </c>
      <c r="E4469">
        <f t="shared" si="12876"/>
        <v>3</v>
      </c>
      <c r="F4469">
        <f t="shared" si="12877"/>
        <v>2025</v>
      </c>
      <c r="G4469" t="s">
        <v>1389</v>
      </c>
      <c r="H4469">
        <v>-10</v>
      </c>
      <c r="K4469" t="s">
        <v>9</v>
      </c>
      <c r="L4469" s="8">
        <f t="shared" si="12865"/>
        <v>-1</v>
      </c>
      <c r="M4469" t="s">
        <v>4906</v>
      </c>
    </row>
    <row r="4470" spans="1:13" x14ac:dyDescent="0.35">
      <c r="A4470">
        <f t="shared" si="12438"/>
        <v>4466</v>
      </c>
      <c r="B4470" s="9">
        <f t="shared" ref="B4470" si="12878">B4469+H4470+I4470+J4470</f>
        <v>46.620000000000076</v>
      </c>
      <c r="C4470" s="3" t="s">
        <v>4900</v>
      </c>
      <c r="D4470">
        <f t="shared" ref="D4470" si="12879">_xlfn.NUMBERVALUE(LEFT(C4470,2))</f>
        <v>20</v>
      </c>
      <c r="E4470">
        <f t="shared" ref="E4470" si="12880">_xlfn.NUMBERVALUE(MID(C4470,4,2))</f>
        <v>3</v>
      </c>
      <c r="F4470">
        <f t="shared" ref="F4470" si="12881">_xlfn.NUMBERVALUE(RIGHT(C4470,4))</f>
        <v>2025</v>
      </c>
      <c r="G4470" t="s">
        <v>1389</v>
      </c>
      <c r="H4470">
        <v>-10</v>
      </c>
      <c r="I4470">
        <v>13.04</v>
      </c>
      <c r="K4470" t="s">
        <v>10</v>
      </c>
      <c r="L4470" s="8">
        <f t="shared" si="12865"/>
        <v>0.30399999999999983</v>
      </c>
      <c r="M4470" t="s">
        <v>4907</v>
      </c>
    </row>
    <row r="4471" spans="1:13" x14ac:dyDescent="0.35">
      <c r="A4471">
        <f t="shared" si="12438"/>
        <v>4467</v>
      </c>
      <c r="B4471" s="9">
        <f t="shared" ref="B4471" si="12882">B4470+H4471+I4471+J4471</f>
        <v>36.620000000000076</v>
      </c>
      <c r="C4471" s="3" t="s">
        <v>4900</v>
      </c>
      <c r="D4471">
        <f t="shared" ref="D4471" si="12883">_xlfn.NUMBERVALUE(LEFT(C4471,2))</f>
        <v>20</v>
      </c>
      <c r="E4471">
        <f t="shared" ref="E4471" si="12884">_xlfn.NUMBERVALUE(MID(C4471,4,2))</f>
        <v>3</v>
      </c>
      <c r="F4471">
        <f t="shared" ref="F4471" si="12885">_xlfn.NUMBERVALUE(RIGHT(C4471,4))</f>
        <v>2025</v>
      </c>
      <c r="G4471" t="s">
        <v>1389</v>
      </c>
      <c r="H4471">
        <v>-10</v>
      </c>
      <c r="K4471" t="s">
        <v>9</v>
      </c>
      <c r="L4471" s="8">
        <f t="shared" si="12865"/>
        <v>-1</v>
      </c>
      <c r="M4471" t="s">
        <v>4908</v>
      </c>
    </row>
    <row r="4472" spans="1:13" x14ac:dyDescent="0.35">
      <c r="A4472">
        <f t="shared" si="12438"/>
        <v>4468</v>
      </c>
      <c r="B4472" s="9">
        <f t="shared" ref="B4472" si="12886">B4471+H4472+I4472+J4472</f>
        <v>45.480000000000075</v>
      </c>
      <c r="C4472" s="3" t="s">
        <v>4900</v>
      </c>
      <c r="D4472">
        <f t="shared" ref="D4472" si="12887">_xlfn.NUMBERVALUE(LEFT(C4472,2))</f>
        <v>20</v>
      </c>
      <c r="E4472">
        <f t="shared" ref="E4472" si="12888">_xlfn.NUMBERVALUE(MID(C4472,4,2))</f>
        <v>3</v>
      </c>
      <c r="F4472">
        <f t="shared" ref="F4472" si="12889">_xlfn.NUMBERVALUE(RIGHT(C4472,4))</f>
        <v>2025</v>
      </c>
      <c r="G4472" t="s">
        <v>1389</v>
      </c>
      <c r="H4472">
        <v>-36.619999999999997</v>
      </c>
      <c r="I4472">
        <v>45.48</v>
      </c>
      <c r="K4472" t="s">
        <v>10</v>
      </c>
      <c r="L4472" s="8">
        <f t="shared" si="12865"/>
        <v>0.24194429273620965</v>
      </c>
      <c r="M4472" t="s">
        <v>4909</v>
      </c>
    </row>
    <row r="4473" spans="1:13" x14ac:dyDescent="0.35">
      <c r="A4473">
        <f t="shared" si="12438"/>
        <v>4469</v>
      </c>
      <c r="B4473" s="9">
        <f t="shared" ref="B4473" si="12890">B4472+H4473+I4473+J4473</f>
        <v>54.720000000000077</v>
      </c>
      <c r="C4473" s="3" t="s">
        <v>4900</v>
      </c>
      <c r="D4473">
        <f t="shared" ref="D4473" si="12891">_xlfn.NUMBERVALUE(LEFT(C4473,2))</f>
        <v>20</v>
      </c>
      <c r="E4473">
        <f t="shared" ref="E4473" si="12892">_xlfn.NUMBERVALUE(MID(C4473,4,2))</f>
        <v>3</v>
      </c>
      <c r="F4473">
        <f t="shared" ref="F4473" si="12893">_xlfn.NUMBERVALUE(RIGHT(C4473,4))</f>
        <v>2025</v>
      </c>
      <c r="G4473" t="s">
        <v>1389</v>
      </c>
      <c r="H4473">
        <v>-45.48</v>
      </c>
      <c r="I4473">
        <v>54.72</v>
      </c>
      <c r="K4473" t="s">
        <v>10</v>
      </c>
      <c r="L4473" s="8">
        <f t="shared" si="12865"/>
        <v>0.20316622691292885</v>
      </c>
      <c r="M4473" t="s">
        <v>4910</v>
      </c>
    </row>
    <row r="4474" spans="1:13" x14ac:dyDescent="0.35">
      <c r="A4474">
        <f t="shared" si="12438"/>
        <v>4470</v>
      </c>
      <c r="B4474" s="9">
        <f t="shared" ref="B4474" si="12894">B4473+H4474+I4474+J4474</f>
        <v>7.815970093361102E-14</v>
      </c>
      <c r="C4474" s="3" t="s">
        <v>4900</v>
      </c>
      <c r="D4474">
        <f t="shared" ref="D4474" si="12895">_xlfn.NUMBERVALUE(LEFT(C4474,2))</f>
        <v>20</v>
      </c>
      <c r="E4474">
        <f t="shared" ref="E4474" si="12896">_xlfn.NUMBERVALUE(MID(C4474,4,2))</f>
        <v>3</v>
      </c>
      <c r="F4474">
        <f t="shared" ref="F4474" si="12897">_xlfn.NUMBERVALUE(RIGHT(C4474,4))</f>
        <v>2025</v>
      </c>
      <c r="G4474" t="s">
        <v>1389</v>
      </c>
      <c r="H4474">
        <v>-54.72</v>
      </c>
      <c r="K4474" t="s">
        <v>9</v>
      </c>
      <c r="L4474" s="8">
        <f t="shared" si="12865"/>
        <v>-1</v>
      </c>
      <c r="M4474" t="s">
        <v>4911</v>
      </c>
    </row>
    <row r="4475" spans="1:13" x14ac:dyDescent="0.35">
      <c r="A4475">
        <f t="shared" si="12438"/>
        <v>4471</v>
      </c>
      <c r="B4475" s="9">
        <f t="shared" ref="B4475:B4476" si="12898">B4474+H4475+I4475+J4475</f>
        <v>113.40000000000009</v>
      </c>
      <c r="C4475" s="3" t="s">
        <v>4900</v>
      </c>
      <c r="D4475">
        <f t="shared" ref="D4475:D4476" si="12899">_xlfn.NUMBERVALUE(LEFT(C4475,2))</f>
        <v>20</v>
      </c>
      <c r="E4475">
        <f t="shared" ref="E4475:E4476" si="12900">_xlfn.NUMBERVALUE(MID(C4475,4,2))</f>
        <v>3</v>
      </c>
      <c r="F4475">
        <f t="shared" ref="F4475:F4476" si="12901">_xlfn.NUMBERVALUE(RIGHT(C4475,4))</f>
        <v>2025</v>
      </c>
      <c r="G4475" t="s">
        <v>3362</v>
      </c>
      <c r="I4475">
        <v>113.4</v>
      </c>
    </row>
    <row r="4476" spans="1:13" x14ac:dyDescent="0.35">
      <c r="A4476">
        <f t="shared" si="12438"/>
        <v>4472</v>
      </c>
      <c r="B4476" s="9">
        <f t="shared" si="12898"/>
        <v>13.400000000000091</v>
      </c>
      <c r="C4476" s="3" t="s">
        <v>4900</v>
      </c>
      <c r="D4476">
        <f t="shared" si="12899"/>
        <v>20</v>
      </c>
      <c r="E4476">
        <f t="shared" si="12900"/>
        <v>3</v>
      </c>
      <c r="F4476">
        <f t="shared" si="12901"/>
        <v>2025</v>
      </c>
      <c r="G4476" t="s">
        <v>1389</v>
      </c>
      <c r="H4476">
        <v>-100</v>
      </c>
      <c r="K4476" t="s">
        <v>9</v>
      </c>
      <c r="L4476" s="8">
        <f t="shared" si="12865"/>
        <v>-1</v>
      </c>
      <c r="M4476" t="s">
        <v>4912</v>
      </c>
    </row>
    <row r="4477" spans="1:13" x14ac:dyDescent="0.35">
      <c r="A4477">
        <f t="shared" si="12438"/>
        <v>4473</v>
      </c>
      <c r="B4477" s="9">
        <f t="shared" ref="B4477:B4478" si="12902">B4476+H4477+I4477+J4477</f>
        <v>126.8300000000001</v>
      </c>
      <c r="C4477" s="3" t="s">
        <v>4900</v>
      </c>
      <c r="D4477">
        <f t="shared" ref="D4477:D4478" si="12903">_xlfn.NUMBERVALUE(LEFT(C4477,2))</f>
        <v>20</v>
      </c>
      <c r="E4477">
        <f t="shared" ref="E4477:E4478" si="12904">_xlfn.NUMBERVALUE(MID(C4477,4,2))</f>
        <v>3</v>
      </c>
      <c r="F4477">
        <f t="shared" ref="F4477:F4478" si="12905">_xlfn.NUMBERVALUE(RIGHT(C4477,4))</f>
        <v>2025</v>
      </c>
      <c r="G4477" t="s">
        <v>3362</v>
      </c>
      <c r="I4477">
        <v>113.43</v>
      </c>
    </row>
    <row r="4478" spans="1:13" x14ac:dyDescent="0.35">
      <c r="A4478">
        <f t="shared" si="12438"/>
        <v>4474</v>
      </c>
      <c r="B4478" s="9">
        <f t="shared" si="12902"/>
        <v>176.85000000000011</v>
      </c>
      <c r="C4478" s="3" t="s">
        <v>4900</v>
      </c>
      <c r="D4478">
        <f t="shared" si="12903"/>
        <v>20</v>
      </c>
      <c r="E4478">
        <f t="shared" si="12904"/>
        <v>3</v>
      </c>
      <c r="F4478">
        <f t="shared" si="12905"/>
        <v>2025</v>
      </c>
      <c r="G4478" t="s">
        <v>1389</v>
      </c>
      <c r="H4478">
        <v>-100</v>
      </c>
      <c r="I4478">
        <v>150.02000000000001</v>
      </c>
      <c r="K4478" t="s">
        <v>10</v>
      </c>
      <c r="L4478" s="8">
        <f t="shared" si="12865"/>
        <v>0.5002000000000002</v>
      </c>
      <c r="M4478" t="s">
        <v>4913</v>
      </c>
    </row>
    <row r="4479" spans="1:13" x14ac:dyDescent="0.35">
      <c r="A4479">
        <f t="shared" si="12438"/>
        <v>4475</v>
      </c>
      <c r="B4479" s="9">
        <f t="shared" ref="B4479:B4482" si="12906">B4478+H4479+I4479+J4479</f>
        <v>63.440000000000111</v>
      </c>
      <c r="C4479" s="3" t="s">
        <v>4900</v>
      </c>
      <c r="D4479">
        <f t="shared" ref="D4479:D4482" si="12907">_xlfn.NUMBERVALUE(LEFT(C4479,2))</f>
        <v>20</v>
      </c>
      <c r="E4479">
        <f t="shared" ref="E4479:E4482" si="12908">_xlfn.NUMBERVALUE(MID(C4479,4,2))</f>
        <v>3</v>
      </c>
      <c r="F4479">
        <f t="shared" ref="F4479:F4482" si="12909">_xlfn.NUMBERVALUE(RIGHT(C4479,4))</f>
        <v>2025</v>
      </c>
      <c r="G4479" t="s">
        <v>208</v>
      </c>
      <c r="H4479">
        <v>-113.41</v>
      </c>
    </row>
    <row r="4480" spans="1:13" x14ac:dyDescent="0.35">
      <c r="A4480">
        <f t="shared" si="12438"/>
        <v>4476</v>
      </c>
      <c r="B4480" s="9">
        <f t="shared" si="12906"/>
        <v>73.440000000000111</v>
      </c>
      <c r="C4480" s="3" t="s">
        <v>4914</v>
      </c>
      <c r="D4480">
        <f t="shared" si="12907"/>
        <v>21</v>
      </c>
      <c r="E4480">
        <f t="shared" si="12908"/>
        <v>3</v>
      </c>
      <c r="F4480">
        <f t="shared" si="12909"/>
        <v>2025</v>
      </c>
      <c r="G4480" t="s">
        <v>7</v>
      </c>
      <c r="H4480">
        <v>-5</v>
      </c>
      <c r="I4480">
        <v>15</v>
      </c>
      <c r="K4480" t="s">
        <v>10</v>
      </c>
      <c r="L4480" s="8">
        <f t="shared" si="12865"/>
        <v>2</v>
      </c>
      <c r="M4480" t="s">
        <v>4915</v>
      </c>
    </row>
    <row r="4481" spans="1:13" x14ac:dyDescent="0.35">
      <c r="A4481">
        <f t="shared" ref="A4481" si="12910">A4480+1</f>
        <v>4477</v>
      </c>
      <c r="B4481" s="9">
        <f t="shared" si="12906"/>
        <v>73.440000000000111</v>
      </c>
      <c r="C4481" s="3" t="s">
        <v>4914</v>
      </c>
      <c r="D4481">
        <f t="shared" si="12907"/>
        <v>21</v>
      </c>
      <c r="E4481">
        <f t="shared" si="12908"/>
        <v>3</v>
      </c>
      <c r="F4481">
        <f t="shared" si="12909"/>
        <v>2025</v>
      </c>
      <c r="G4481" t="s">
        <v>3039</v>
      </c>
      <c r="K4481" t="s">
        <v>9</v>
      </c>
      <c r="L4481" s="8">
        <f t="shared" si="12865"/>
        <v>0</v>
      </c>
      <c r="M4481" t="s">
        <v>4916</v>
      </c>
    </row>
    <row r="4482" spans="1:13" x14ac:dyDescent="0.35">
      <c r="A4482">
        <f t="shared" si="12438"/>
        <v>4478</v>
      </c>
      <c r="B4482" s="9">
        <f t="shared" si="12906"/>
        <v>72.050000000000111</v>
      </c>
      <c r="C4482" s="3" t="s">
        <v>4914</v>
      </c>
      <c r="D4482">
        <f t="shared" si="12907"/>
        <v>21</v>
      </c>
      <c r="E4482">
        <f t="shared" si="12908"/>
        <v>3</v>
      </c>
      <c r="F4482">
        <f t="shared" si="12909"/>
        <v>2025</v>
      </c>
      <c r="G4482" t="s">
        <v>1389</v>
      </c>
      <c r="H4482">
        <v>-10</v>
      </c>
      <c r="I4482">
        <v>8.61</v>
      </c>
      <c r="K4482" t="s">
        <v>9</v>
      </c>
      <c r="L4482" s="8">
        <f t="shared" si="12865"/>
        <v>-0.13900000000000001</v>
      </c>
      <c r="M4482" t="s">
        <v>4917</v>
      </c>
    </row>
    <row r="4483" spans="1:13" x14ac:dyDescent="0.35">
      <c r="A4483">
        <f t="shared" si="12438"/>
        <v>4479</v>
      </c>
      <c r="B4483" s="9">
        <f t="shared" ref="B4483" si="12911">B4482+H4483+I4483+J4483</f>
        <v>65.790000000000106</v>
      </c>
      <c r="C4483" s="3" t="s">
        <v>4914</v>
      </c>
      <c r="D4483">
        <f t="shared" ref="D4483" si="12912">_xlfn.NUMBERVALUE(LEFT(C4483,2))</f>
        <v>21</v>
      </c>
      <c r="E4483">
        <f t="shared" ref="E4483" si="12913">_xlfn.NUMBERVALUE(MID(C4483,4,2))</f>
        <v>3</v>
      </c>
      <c r="F4483">
        <f t="shared" ref="F4483" si="12914">_xlfn.NUMBERVALUE(RIGHT(C4483,4))</f>
        <v>2025</v>
      </c>
      <c r="G4483" t="s">
        <v>1389</v>
      </c>
      <c r="H4483">
        <v>-10</v>
      </c>
      <c r="I4483">
        <v>3.74</v>
      </c>
      <c r="K4483" t="s">
        <v>9</v>
      </c>
      <c r="L4483" s="8">
        <f t="shared" si="12865"/>
        <v>-0.626</v>
      </c>
      <c r="M4483" t="s">
        <v>4918</v>
      </c>
    </row>
    <row r="4484" spans="1:13" x14ac:dyDescent="0.35">
      <c r="A4484">
        <f t="shared" si="12438"/>
        <v>4480</v>
      </c>
      <c r="B4484" s="9">
        <f t="shared" ref="B4484:B4485" si="12915">B4483+H4484+I4484+J4484</f>
        <v>61.120000000000104</v>
      </c>
      <c r="C4484" s="3" t="s">
        <v>4914</v>
      </c>
      <c r="D4484">
        <f t="shared" ref="D4484:D4485" si="12916">_xlfn.NUMBERVALUE(LEFT(C4484,2))</f>
        <v>21</v>
      </c>
      <c r="E4484">
        <f t="shared" ref="E4484:E4485" si="12917">_xlfn.NUMBERVALUE(MID(C4484,4,2))</f>
        <v>3</v>
      </c>
      <c r="F4484">
        <f t="shared" ref="F4484:F4485" si="12918">_xlfn.NUMBERVALUE(RIGHT(C4484,4))</f>
        <v>2025</v>
      </c>
      <c r="G4484" t="s">
        <v>1389</v>
      </c>
      <c r="H4484">
        <v>-10</v>
      </c>
      <c r="I4484">
        <v>5.33</v>
      </c>
      <c r="K4484" t="s">
        <v>9</v>
      </c>
      <c r="L4484" s="8">
        <f t="shared" si="12865"/>
        <v>-0.46699999999999997</v>
      </c>
      <c r="M4484" t="s">
        <v>4919</v>
      </c>
    </row>
    <row r="4485" spans="1:13" x14ac:dyDescent="0.35">
      <c r="A4485">
        <f t="shared" si="12438"/>
        <v>4481</v>
      </c>
      <c r="B4485" s="9">
        <f t="shared" si="12915"/>
        <v>62.120000000000104</v>
      </c>
      <c r="C4485" s="3" t="s">
        <v>4914</v>
      </c>
      <c r="D4485">
        <f t="shared" si="12916"/>
        <v>21</v>
      </c>
      <c r="E4485">
        <f t="shared" si="12917"/>
        <v>3</v>
      </c>
      <c r="F4485">
        <f t="shared" si="12918"/>
        <v>2025</v>
      </c>
      <c r="G4485" t="s">
        <v>4209</v>
      </c>
      <c r="I4485">
        <v>1</v>
      </c>
      <c r="K4485" t="s">
        <v>10</v>
      </c>
    </row>
    <row r="4486" spans="1:13" x14ac:dyDescent="0.35">
      <c r="A4486">
        <f t="shared" si="12438"/>
        <v>4482</v>
      </c>
      <c r="B4486" s="9">
        <f t="shared" ref="B4486" si="12919">B4485+H4486+I4486+J4486</f>
        <v>72.150000000000105</v>
      </c>
      <c r="C4486" s="3" t="s">
        <v>4914</v>
      </c>
      <c r="D4486">
        <f t="shared" ref="D4486" si="12920">_xlfn.NUMBERVALUE(LEFT(C4486,2))</f>
        <v>21</v>
      </c>
      <c r="E4486">
        <f t="shared" ref="E4486" si="12921">_xlfn.NUMBERVALUE(MID(C4486,4,2))</f>
        <v>3</v>
      </c>
      <c r="F4486">
        <f t="shared" ref="F4486" si="12922">_xlfn.NUMBERVALUE(RIGHT(C4486,4))</f>
        <v>2025</v>
      </c>
      <c r="G4486" t="s">
        <v>1389</v>
      </c>
      <c r="H4486">
        <v>-10</v>
      </c>
      <c r="I4486">
        <v>20.03</v>
      </c>
      <c r="K4486" t="s">
        <v>10</v>
      </c>
      <c r="L4486" s="8">
        <f t="shared" si="12865"/>
        <v>1.0030000000000001</v>
      </c>
      <c r="M4486" t="s">
        <v>4920</v>
      </c>
    </row>
    <row r="4487" spans="1:13" x14ac:dyDescent="0.35">
      <c r="A4487">
        <f t="shared" si="12438"/>
        <v>4483</v>
      </c>
      <c r="B4487" s="9">
        <f t="shared" ref="B4487" si="12923">B4486+H4487+I4487+J4487</f>
        <v>74.820000000000107</v>
      </c>
      <c r="C4487" s="3" t="s">
        <v>4914</v>
      </c>
      <c r="D4487">
        <f t="shared" ref="D4487" si="12924">_xlfn.NUMBERVALUE(LEFT(C4487,2))</f>
        <v>21</v>
      </c>
      <c r="E4487">
        <f t="shared" ref="E4487" si="12925">_xlfn.NUMBERVALUE(MID(C4487,4,2))</f>
        <v>3</v>
      </c>
      <c r="F4487">
        <f t="shared" ref="F4487" si="12926">_xlfn.NUMBERVALUE(RIGHT(C4487,4))</f>
        <v>2025</v>
      </c>
      <c r="G4487" t="s">
        <v>1389</v>
      </c>
      <c r="H4487">
        <v>-10</v>
      </c>
      <c r="I4487">
        <v>12.67</v>
      </c>
      <c r="K4487" t="s">
        <v>10</v>
      </c>
      <c r="L4487" s="8">
        <f t="shared" si="12865"/>
        <v>0.2669999999999999</v>
      </c>
      <c r="M4487" t="s">
        <v>4921</v>
      </c>
    </row>
    <row r="4488" spans="1:13" x14ac:dyDescent="0.35">
      <c r="A4488">
        <f t="shared" si="12438"/>
        <v>4484</v>
      </c>
      <c r="B4488" s="9">
        <f t="shared" ref="B4488" si="12927">B4487+H4488+I4488+J4488</f>
        <v>72.470000000000113</v>
      </c>
      <c r="C4488" s="3" t="s">
        <v>4914</v>
      </c>
      <c r="D4488">
        <f t="shared" ref="D4488" si="12928">_xlfn.NUMBERVALUE(LEFT(C4488,2))</f>
        <v>21</v>
      </c>
      <c r="E4488">
        <f t="shared" ref="E4488" si="12929">_xlfn.NUMBERVALUE(MID(C4488,4,2))</f>
        <v>3</v>
      </c>
      <c r="F4488">
        <f t="shared" ref="F4488" si="12930">_xlfn.NUMBERVALUE(RIGHT(C4488,4))</f>
        <v>2025</v>
      </c>
      <c r="G4488" t="s">
        <v>1389</v>
      </c>
      <c r="H4488">
        <v>-10</v>
      </c>
      <c r="I4488">
        <v>7.65</v>
      </c>
      <c r="K4488" t="s">
        <v>9</v>
      </c>
      <c r="L4488" s="8">
        <f t="shared" si="12865"/>
        <v>-0.23499999999999999</v>
      </c>
      <c r="M4488" t="s">
        <v>4922</v>
      </c>
    </row>
    <row r="4489" spans="1:13" x14ac:dyDescent="0.35">
      <c r="A4489">
        <f t="shared" si="12438"/>
        <v>4485</v>
      </c>
      <c r="B4489" s="9">
        <f t="shared" ref="B4489:B4490" si="12931">B4488+H4489+I4489+J4489</f>
        <v>72.470000000000113</v>
      </c>
      <c r="C4489" s="3" t="s">
        <v>4914</v>
      </c>
      <c r="D4489">
        <f t="shared" ref="D4489:D4490" si="12932">_xlfn.NUMBERVALUE(LEFT(C4489,2))</f>
        <v>21</v>
      </c>
      <c r="E4489">
        <f t="shared" ref="E4489:E4490" si="12933">_xlfn.NUMBERVALUE(MID(C4489,4,2))</f>
        <v>3</v>
      </c>
      <c r="F4489">
        <f t="shared" ref="F4489:F4490" si="12934">_xlfn.NUMBERVALUE(RIGHT(C4489,4))</f>
        <v>2025</v>
      </c>
      <c r="G4489" t="s">
        <v>2969</v>
      </c>
      <c r="K4489" t="s">
        <v>9</v>
      </c>
      <c r="L4489" s="8">
        <f t="shared" si="12865"/>
        <v>0</v>
      </c>
      <c r="M4489" t="s">
        <v>4925</v>
      </c>
    </row>
    <row r="4490" spans="1:13" x14ac:dyDescent="0.35">
      <c r="A4490">
        <f t="shared" si="12438"/>
        <v>4486</v>
      </c>
      <c r="B4490" s="9">
        <f t="shared" si="12931"/>
        <v>68.380000000000109</v>
      </c>
      <c r="C4490" s="3" t="s">
        <v>4914</v>
      </c>
      <c r="D4490">
        <f t="shared" si="12932"/>
        <v>21</v>
      </c>
      <c r="E4490">
        <f t="shared" si="12933"/>
        <v>3</v>
      </c>
      <c r="F4490">
        <f t="shared" si="12934"/>
        <v>2025</v>
      </c>
      <c r="G4490" t="s">
        <v>1389</v>
      </c>
      <c r="H4490">
        <v>-10</v>
      </c>
      <c r="I4490">
        <v>5.91</v>
      </c>
      <c r="K4490" t="s">
        <v>9</v>
      </c>
      <c r="L4490" s="8">
        <f t="shared" si="12865"/>
        <v>-0.40900000000000003</v>
      </c>
      <c r="M4490" t="s">
        <v>4923</v>
      </c>
    </row>
    <row r="4491" spans="1:13" x14ac:dyDescent="0.35">
      <c r="A4491">
        <f t="shared" si="12438"/>
        <v>4487</v>
      </c>
      <c r="B4491" s="9">
        <f t="shared" ref="B4491" si="12935">B4490+H4491+I4491+J4491</f>
        <v>64.440000000000111</v>
      </c>
      <c r="C4491" s="3" t="s">
        <v>4914</v>
      </c>
      <c r="D4491">
        <f t="shared" ref="D4491" si="12936">_xlfn.NUMBERVALUE(LEFT(C4491,2))</f>
        <v>21</v>
      </c>
      <c r="E4491">
        <f t="shared" ref="E4491" si="12937">_xlfn.NUMBERVALUE(MID(C4491,4,2))</f>
        <v>3</v>
      </c>
      <c r="F4491">
        <f t="shared" ref="F4491" si="12938">_xlfn.NUMBERVALUE(RIGHT(C4491,4))</f>
        <v>2025</v>
      </c>
      <c r="G4491" t="s">
        <v>1389</v>
      </c>
      <c r="H4491">
        <v>-10</v>
      </c>
      <c r="I4491">
        <v>6.06</v>
      </c>
      <c r="K4491" t="s">
        <v>9</v>
      </c>
      <c r="L4491" s="8">
        <f t="shared" si="12865"/>
        <v>-0.39400000000000002</v>
      </c>
      <c r="M4491" t="s">
        <v>4924</v>
      </c>
    </row>
    <row r="4492" spans="1:13" x14ac:dyDescent="0.35">
      <c r="A4492">
        <f t="shared" si="12438"/>
        <v>4488</v>
      </c>
      <c r="B4492" s="9">
        <f t="shared" ref="B4492" si="12939">B4491+H4492+I4492+J4492</f>
        <v>72.440000000000111</v>
      </c>
      <c r="C4492" s="3" t="s">
        <v>4914</v>
      </c>
      <c r="D4492">
        <f t="shared" ref="D4492" si="12940">_xlfn.NUMBERVALUE(LEFT(C4492,2))</f>
        <v>21</v>
      </c>
      <c r="E4492">
        <f t="shared" ref="E4492" si="12941">_xlfn.NUMBERVALUE(MID(C4492,4,2))</f>
        <v>3</v>
      </c>
      <c r="F4492">
        <f t="shared" ref="F4492" si="12942">_xlfn.NUMBERVALUE(RIGHT(C4492,4))</f>
        <v>2025</v>
      </c>
      <c r="G4492" t="s">
        <v>1389</v>
      </c>
      <c r="H4492">
        <v>-10</v>
      </c>
      <c r="I4492">
        <v>18</v>
      </c>
      <c r="K4492" t="s">
        <v>10</v>
      </c>
      <c r="L4492" s="8">
        <f t="shared" si="12865"/>
        <v>0.8</v>
      </c>
      <c r="M4492" t="s">
        <v>4926</v>
      </c>
    </row>
    <row r="4493" spans="1:13" x14ac:dyDescent="0.35">
      <c r="A4493">
        <f t="shared" si="12438"/>
        <v>4489</v>
      </c>
      <c r="B4493" s="9">
        <f t="shared" ref="B4493:B4495" si="12943">B4492+H4493+I4493+J4493</f>
        <v>79.980000000000103</v>
      </c>
      <c r="C4493" s="3" t="s">
        <v>4914</v>
      </c>
      <c r="D4493">
        <f t="shared" ref="D4493:D4495" si="12944">_xlfn.NUMBERVALUE(LEFT(C4493,2))</f>
        <v>21</v>
      </c>
      <c r="E4493">
        <f t="shared" ref="E4493:E4495" si="12945">_xlfn.NUMBERVALUE(MID(C4493,4,2))</f>
        <v>3</v>
      </c>
      <c r="F4493">
        <f t="shared" ref="F4493:F4495" si="12946">_xlfn.NUMBERVALUE(RIGHT(C4493,4))</f>
        <v>2025</v>
      </c>
      <c r="G4493" t="s">
        <v>1389</v>
      </c>
      <c r="H4493">
        <v>-10</v>
      </c>
      <c r="I4493">
        <v>17.54</v>
      </c>
      <c r="K4493" t="s">
        <v>10</v>
      </c>
      <c r="L4493" s="8">
        <f t="shared" si="12865"/>
        <v>0.754</v>
      </c>
      <c r="M4493" t="s">
        <v>4927</v>
      </c>
    </row>
    <row r="4494" spans="1:13" x14ac:dyDescent="0.35">
      <c r="A4494">
        <f t="shared" si="12438"/>
        <v>4490</v>
      </c>
      <c r="B4494" s="9">
        <f t="shared" si="12943"/>
        <v>74.980000000000103</v>
      </c>
      <c r="C4494" s="3" t="s">
        <v>4928</v>
      </c>
      <c r="D4494">
        <f t="shared" si="12944"/>
        <v>22</v>
      </c>
      <c r="E4494">
        <f t="shared" si="12945"/>
        <v>3</v>
      </c>
      <c r="F4494">
        <f t="shared" si="12946"/>
        <v>2025</v>
      </c>
      <c r="G4494" t="s">
        <v>7</v>
      </c>
      <c r="H4494">
        <v>-5</v>
      </c>
      <c r="K4494" t="s">
        <v>9</v>
      </c>
      <c r="L4494" s="8">
        <f t="shared" si="12865"/>
        <v>-1</v>
      </c>
      <c r="M4494" t="s">
        <v>4929</v>
      </c>
    </row>
    <row r="4495" spans="1:13" x14ac:dyDescent="0.35">
      <c r="A4495">
        <f t="shared" ref="A4495:A4497" si="12947">A4494+1</f>
        <v>4491</v>
      </c>
      <c r="B4495" s="9">
        <f t="shared" si="12943"/>
        <v>74.980000000000103</v>
      </c>
      <c r="C4495" s="3" t="s">
        <v>4928</v>
      </c>
      <c r="D4495">
        <f t="shared" si="12944"/>
        <v>22</v>
      </c>
      <c r="E4495">
        <f t="shared" si="12945"/>
        <v>3</v>
      </c>
      <c r="F4495">
        <f t="shared" si="12946"/>
        <v>2025</v>
      </c>
      <c r="G4495" t="s">
        <v>3039</v>
      </c>
      <c r="K4495" t="s">
        <v>9</v>
      </c>
      <c r="L4495" s="8">
        <f t="shared" ref="L4495:L4496" si="12948">IF(H4495="",0,(SUM(I4495:J4495)/-H4495)-1)</f>
        <v>0</v>
      </c>
      <c r="M4495" t="s">
        <v>4930</v>
      </c>
    </row>
    <row r="4496" spans="1:13" x14ac:dyDescent="0.35">
      <c r="A4496">
        <f t="shared" si="12438"/>
        <v>4492</v>
      </c>
      <c r="B4496" s="9">
        <f t="shared" ref="B4496:B4498" si="12949">B4495+H4496+I4496+J4496</f>
        <v>80.060000000000102</v>
      </c>
      <c r="C4496" s="3" t="s">
        <v>4931</v>
      </c>
      <c r="D4496">
        <f t="shared" ref="D4496:D4498" si="12950">_xlfn.NUMBERVALUE(LEFT(C4496,2))</f>
        <v>23</v>
      </c>
      <c r="E4496">
        <f t="shared" ref="E4496:E4498" si="12951">_xlfn.NUMBERVALUE(MID(C4496,4,2))</f>
        <v>3</v>
      </c>
      <c r="F4496">
        <f t="shared" ref="F4496:F4498" si="12952">_xlfn.NUMBERVALUE(RIGHT(C4496,4))</f>
        <v>2025</v>
      </c>
      <c r="G4496" t="s">
        <v>1389</v>
      </c>
      <c r="H4496">
        <v>-20</v>
      </c>
      <c r="I4496">
        <v>25.08</v>
      </c>
      <c r="K4496" t="s">
        <v>10</v>
      </c>
      <c r="L4496" s="8">
        <f t="shared" si="12948"/>
        <v>0.254</v>
      </c>
      <c r="M4496" t="s">
        <v>4932</v>
      </c>
    </row>
    <row r="4497" spans="1:13" x14ac:dyDescent="0.35">
      <c r="A4497">
        <f t="shared" si="12947"/>
        <v>4493</v>
      </c>
      <c r="B4497" s="9">
        <f t="shared" si="12949"/>
        <v>80.060000000000102</v>
      </c>
      <c r="C4497" s="3" t="s">
        <v>4931</v>
      </c>
      <c r="D4497">
        <f t="shared" si="12950"/>
        <v>23</v>
      </c>
      <c r="E4497">
        <f t="shared" si="12951"/>
        <v>3</v>
      </c>
      <c r="F4497">
        <f t="shared" si="12952"/>
        <v>2025</v>
      </c>
      <c r="G4497" t="s">
        <v>3039</v>
      </c>
      <c r="K4497" t="s">
        <v>9</v>
      </c>
      <c r="L4497" s="8">
        <f t="shared" ref="L4497:L4499" si="12953">IF(H4497="",0,(SUM(I4497:J4497)/-H4497)-1)</f>
        <v>0</v>
      </c>
      <c r="M4497" t="s">
        <v>4933</v>
      </c>
    </row>
    <row r="4498" spans="1:13" x14ac:dyDescent="0.35">
      <c r="A4498">
        <f t="shared" si="12438"/>
        <v>4494</v>
      </c>
      <c r="B4498" s="9">
        <f t="shared" si="12949"/>
        <v>82.500000000000099</v>
      </c>
      <c r="C4498" s="3" t="s">
        <v>4931</v>
      </c>
      <c r="D4498">
        <f t="shared" si="12950"/>
        <v>23</v>
      </c>
      <c r="E4498">
        <f t="shared" si="12951"/>
        <v>3</v>
      </c>
      <c r="F4498">
        <f t="shared" si="12952"/>
        <v>2025</v>
      </c>
      <c r="G4498" t="s">
        <v>1389</v>
      </c>
      <c r="H4498">
        <v>-18</v>
      </c>
      <c r="I4498">
        <v>20.440000000000001</v>
      </c>
      <c r="K4498" t="s">
        <v>10</v>
      </c>
      <c r="L4498" s="8">
        <f t="shared" si="12953"/>
        <v>0.13555555555555565</v>
      </c>
      <c r="M4498" t="s">
        <v>4934</v>
      </c>
    </row>
    <row r="4499" spans="1:13" x14ac:dyDescent="0.35">
      <c r="A4499">
        <f t="shared" si="12438"/>
        <v>4495</v>
      </c>
      <c r="B4499" s="9">
        <f t="shared" ref="B4499" si="12954">B4498+H4499+I4499+J4499</f>
        <v>73.670000000000101</v>
      </c>
      <c r="C4499" s="3" t="s">
        <v>4931</v>
      </c>
      <c r="D4499">
        <f t="shared" ref="D4499" si="12955">_xlfn.NUMBERVALUE(LEFT(C4499,2))</f>
        <v>23</v>
      </c>
      <c r="E4499">
        <f t="shared" ref="E4499" si="12956">_xlfn.NUMBERVALUE(MID(C4499,4,2))</f>
        <v>3</v>
      </c>
      <c r="F4499">
        <f t="shared" ref="F4499" si="12957">_xlfn.NUMBERVALUE(RIGHT(C4499,4))</f>
        <v>2025</v>
      </c>
      <c r="G4499" t="s">
        <v>1389</v>
      </c>
      <c r="H4499">
        <v>-20</v>
      </c>
      <c r="I4499">
        <v>11.17</v>
      </c>
      <c r="K4499" t="s">
        <v>9</v>
      </c>
      <c r="L4499" s="8">
        <f t="shared" si="12953"/>
        <v>-0.4415</v>
      </c>
      <c r="M4499" t="s">
        <v>4980</v>
      </c>
    </row>
    <row r="4500" spans="1:13" x14ac:dyDescent="0.35">
      <c r="A4500">
        <f t="shared" si="12438"/>
        <v>4496</v>
      </c>
      <c r="B4500" s="9">
        <f t="shared" ref="B4500:B4501" si="12958">B4499+H4500+I4500+J4500</f>
        <v>62.670000000000101</v>
      </c>
      <c r="C4500" s="3" t="s">
        <v>4931</v>
      </c>
      <c r="D4500">
        <f t="shared" ref="D4500:D4501" si="12959">_xlfn.NUMBERVALUE(LEFT(C4500,2))</f>
        <v>23</v>
      </c>
      <c r="E4500">
        <f t="shared" ref="E4500:E4501" si="12960">_xlfn.NUMBERVALUE(MID(C4500,4,2))</f>
        <v>3</v>
      </c>
      <c r="F4500">
        <f t="shared" ref="F4500:F4501" si="12961">_xlfn.NUMBERVALUE(RIGHT(C4500,4))</f>
        <v>2025</v>
      </c>
      <c r="G4500" t="s">
        <v>154</v>
      </c>
      <c r="H4500">
        <v>-11</v>
      </c>
      <c r="K4500" t="s">
        <v>9</v>
      </c>
      <c r="L4500" s="8">
        <f t="shared" ref="L4500:L4508" si="12962">IF(H4500="",0,(SUM(I4500:J4500)/-H4500)-1)</f>
        <v>-1</v>
      </c>
      <c r="M4500" t="s">
        <v>4981</v>
      </c>
    </row>
    <row r="4501" spans="1:13" x14ac:dyDescent="0.35">
      <c r="A4501">
        <f t="shared" si="12438"/>
        <v>4497</v>
      </c>
      <c r="B4501" s="9">
        <f t="shared" si="12958"/>
        <v>67.3900000000001</v>
      </c>
      <c r="C4501" s="3" t="s">
        <v>4931</v>
      </c>
      <c r="D4501">
        <f t="shared" si="12959"/>
        <v>23</v>
      </c>
      <c r="E4501">
        <f t="shared" si="12960"/>
        <v>3</v>
      </c>
      <c r="F4501">
        <f t="shared" si="12961"/>
        <v>2025</v>
      </c>
      <c r="G4501" t="s">
        <v>1389</v>
      </c>
      <c r="H4501">
        <v>-10</v>
      </c>
      <c r="I4501">
        <v>14.72</v>
      </c>
      <c r="K4501" t="s">
        <v>10</v>
      </c>
      <c r="L4501" s="8">
        <f t="shared" si="12962"/>
        <v>0.47199999999999998</v>
      </c>
      <c r="M4501" t="s">
        <v>4982</v>
      </c>
    </row>
    <row r="4502" spans="1:13" x14ac:dyDescent="0.35">
      <c r="A4502">
        <f t="shared" si="12438"/>
        <v>4498</v>
      </c>
      <c r="B4502" s="9">
        <f t="shared" ref="B4502:B4503" si="12963">B4501+H4502+I4502+J4502</f>
        <v>69.3900000000001</v>
      </c>
      <c r="C4502" s="3" t="s">
        <v>4931</v>
      </c>
      <c r="D4502">
        <f t="shared" ref="D4502:D4503" si="12964">_xlfn.NUMBERVALUE(LEFT(C4502,2))</f>
        <v>23</v>
      </c>
      <c r="E4502">
        <f t="shared" ref="E4502:E4503" si="12965">_xlfn.NUMBERVALUE(MID(C4502,4,2))</f>
        <v>3</v>
      </c>
      <c r="F4502">
        <f t="shared" ref="F4502:F4503" si="12966">_xlfn.NUMBERVALUE(RIGHT(C4502,4))</f>
        <v>2025</v>
      </c>
      <c r="G4502" t="s">
        <v>4209</v>
      </c>
      <c r="I4502">
        <v>2</v>
      </c>
      <c r="K4502" t="s">
        <v>10</v>
      </c>
    </row>
    <row r="4503" spans="1:13" x14ac:dyDescent="0.35">
      <c r="A4503">
        <f t="shared" si="12438"/>
        <v>4499</v>
      </c>
      <c r="B4503" s="9">
        <f t="shared" si="12963"/>
        <v>73.130000000000095</v>
      </c>
      <c r="C4503" s="3" t="s">
        <v>4931</v>
      </c>
      <c r="D4503">
        <f t="shared" si="12964"/>
        <v>23</v>
      </c>
      <c r="E4503">
        <f t="shared" si="12965"/>
        <v>3</v>
      </c>
      <c r="F4503">
        <f t="shared" si="12966"/>
        <v>2025</v>
      </c>
      <c r="G4503" t="s">
        <v>1389</v>
      </c>
      <c r="H4503">
        <v>-10</v>
      </c>
      <c r="I4503">
        <v>13.74</v>
      </c>
      <c r="K4503" t="s">
        <v>10</v>
      </c>
      <c r="L4503" s="8">
        <f t="shared" si="12962"/>
        <v>0.37400000000000011</v>
      </c>
      <c r="M4503" t="s">
        <v>4983</v>
      </c>
    </row>
    <row r="4504" spans="1:13" x14ac:dyDescent="0.35">
      <c r="A4504">
        <f t="shared" si="12438"/>
        <v>4500</v>
      </c>
      <c r="B4504" s="9">
        <f t="shared" ref="B4504" si="12967">B4503+H4504+I4504+J4504</f>
        <v>74.170000000000101</v>
      </c>
      <c r="C4504" s="3" t="s">
        <v>4931</v>
      </c>
      <c r="D4504">
        <f t="shared" ref="D4504" si="12968">_xlfn.NUMBERVALUE(LEFT(C4504,2))</f>
        <v>23</v>
      </c>
      <c r="E4504">
        <f t="shared" ref="E4504" si="12969">_xlfn.NUMBERVALUE(MID(C4504,4,2))</f>
        <v>3</v>
      </c>
      <c r="F4504">
        <f t="shared" ref="F4504" si="12970">_xlfn.NUMBERVALUE(RIGHT(C4504,4))</f>
        <v>2025</v>
      </c>
      <c r="G4504" t="s">
        <v>1389</v>
      </c>
      <c r="H4504">
        <v>-10</v>
      </c>
      <c r="I4504">
        <v>11.04</v>
      </c>
      <c r="K4504" t="s">
        <v>10</v>
      </c>
      <c r="L4504" s="8">
        <f t="shared" si="12962"/>
        <v>0.10399999999999987</v>
      </c>
      <c r="M4504" t="s">
        <v>4984</v>
      </c>
    </row>
    <row r="4505" spans="1:13" x14ac:dyDescent="0.35">
      <c r="A4505">
        <f t="shared" si="12438"/>
        <v>4501</v>
      </c>
      <c r="B4505" s="9">
        <f t="shared" ref="B4505:B4506" si="12971">B4504+H4505+I4505+J4505</f>
        <v>75.230000000000103</v>
      </c>
      <c r="C4505" s="3" t="s">
        <v>4985</v>
      </c>
      <c r="D4505">
        <f t="shared" ref="D4505:D4506" si="12972">_xlfn.NUMBERVALUE(LEFT(C4505,2))</f>
        <v>24</v>
      </c>
      <c r="E4505">
        <f t="shared" ref="E4505:E4506" si="12973">_xlfn.NUMBERVALUE(MID(C4505,4,2))</f>
        <v>3</v>
      </c>
      <c r="F4505">
        <f t="shared" ref="F4505:F4506" si="12974">_xlfn.NUMBERVALUE(RIGHT(C4505,4))</f>
        <v>2025</v>
      </c>
      <c r="G4505" t="s">
        <v>1389</v>
      </c>
      <c r="H4505">
        <v>-10</v>
      </c>
      <c r="I4505">
        <v>11.06</v>
      </c>
      <c r="K4505" t="s">
        <v>10</v>
      </c>
      <c r="L4505" s="8">
        <f t="shared" si="12962"/>
        <v>0.10600000000000009</v>
      </c>
      <c r="M4505" t="s">
        <v>4986</v>
      </c>
    </row>
    <row r="4506" spans="1:13" x14ac:dyDescent="0.35">
      <c r="A4506">
        <f t="shared" ref="A4506" si="12975">A4505+1</f>
        <v>4502</v>
      </c>
      <c r="B4506" s="9">
        <f t="shared" si="12971"/>
        <v>75.230000000000103</v>
      </c>
      <c r="C4506" s="3" t="s">
        <v>4985</v>
      </c>
      <c r="D4506">
        <f t="shared" si="12972"/>
        <v>24</v>
      </c>
      <c r="E4506">
        <f t="shared" si="12973"/>
        <v>3</v>
      </c>
      <c r="F4506">
        <f t="shared" si="12974"/>
        <v>2025</v>
      </c>
      <c r="G4506" t="s">
        <v>3039</v>
      </c>
      <c r="K4506" t="s">
        <v>9</v>
      </c>
      <c r="L4506" s="8">
        <f t="shared" si="12962"/>
        <v>0</v>
      </c>
      <c r="M4506" t="s">
        <v>4987</v>
      </c>
    </row>
    <row r="4507" spans="1:13" x14ac:dyDescent="0.35">
      <c r="A4507">
        <f t="shared" si="12438"/>
        <v>4503</v>
      </c>
      <c r="B4507" s="9">
        <f t="shared" ref="B4507" si="12976">B4506+H4507+I4507+J4507</f>
        <v>80.370000000000104</v>
      </c>
      <c r="C4507" s="3" t="s">
        <v>4985</v>
      </c>
      <c r="D4507">
        <f t="shared" ref="D4507" si="12977">_xlfn.NUMBERVALUE(LEFT(C4507,2))</f>
        <v>24</v>
      </c>
      <c r="E4507">
        <f t="shared" ref="E4507" si="12978">_xlfn.NUMBERVALUE(MID(C4507,4,2))</f>
        <v>3</v>
      </c>
      <c r="F4507">
        <f t="shared" ref="F4507" si="12979">_xlfn.NUMBERVALUE(RIGHT(C4507,4))</f>
        <v>2025</v>
      </c>
      <c r="G4507" t="s">
        <v>1389</v>
      </c>
      <c r="H4507">
        <v>-10</v>
      </c>
      <c r="I4507">
        <v>15.14</v>
      </c>
      <c r="K4507" t="s">
        <v>10</v>
      </c>
      <c r="L4507" s="8">
        <f t="shared" si="12962"/>
        <v>0.51400000000000001</v>
      </c>
      <c r="M4507" t="s">
        <v>4988</v>
      </c>
    </row>
    <row r="4508" spans="1:13" x14ac:dyDescent="0.35">
      <c r="A4508">
        <f t="shared" si="12438"/>
        <v>4504</v>
      </c>
      <c r="B4508" s="9">
        <f t="shared" ref="B4508:B4509" si="12980">B4507+H4508+I4508+J4508</f>
        <v>86.650000000000105</v>
      </c>
      <c r="C4508" s="3" t="s">
        <v>4985</v>
      </c>
      <c r="D4508">
        <f t="shared" ref="D4508:D4509" si="12981">_xlfn.NUMBERVALUE(LEFT(C4508,2))</f>
        <v>24</v>
      </c>
      <c r="E4508">
        <f t="shared" ref="E4508:E4509" si="12982">_xlfn.NUMBERVALUE(MID(C4508,4,2))</f>
        <v>3</v>
      </c>
      <c r="F4508">
        <f t="shared" ref="F4508:F4509" si="12983">_xlfn.NUMBERVALUE(RIGHT(C4508,4))</f>
        <v>2025</v>
      </c>
      <c r="G4508" t="s">
        <v>1389</v>
      </c>
      <c r="H4508">
        <v>-10</v>
      </c>
      <c r="I4508">
        <v>16.28</v>
      </c>
      <c r="K4508" t="s">
        <v>10</v>
      </c>
      <c r="L4508" s="8">
        <f t="shared" si="12962"/>
        <v>0.62800000000000011</v>
      </c>
      <c r="M4508" t="s">
        <v>4989</v>
      </c>
    </row>
    <row r="4509" spans="1:13" x14ac:dyDescent="0.35">
      <c r="A4509">
        <f t="shared" si="12438"/>
        <v>4505</v>
      </c>
      <c r="B4509" s="9">
        <f t="shared" si="12980"/>
        <v>87.650000000000105</v>
      </c>
      <c r="C4509" s="3" t="s">
        <v>4985</v>
      </c>
      <c r="D4509">
        <f t="shared" si="12981"/>
        <v>24</v>
      </c>
      <c r="E4509">
        <f t="shared" si="12982"/>
        <v>3</v>
      </c>
      <c r="F4509">
        <f t="shared" si="12983"/>
        <v>2025</v>
      </c>
      <c r="G4509" t="s">
        <v>4209</v>
      </c>
      <c r="I4509">
        <v>1</v>
      </c>
      <c r="K4509" t="s">
        <v>10</v>
      </c>
      <c r="L4509" s="8"/>
    </row>
  </sheetData>
  <autoFilter ref="A1:M4509" xr:uid="{00000000-0001-0000-0000-000000000000}"/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978F-DF93-4358-822B-4EEFDF1A3849}">
  <dimension ref="A1:H76"/>
  <sheetViews>
    <sheetView topLeftCell="A46" workbookViewId="0">
      <selection activeCell="F73" sqref="F73"/>
    </sheetView>
  </sheetViews>
  <sheetFormatPr defaultRowHeight="14.5" x14ac:dyDescent="0.35"/>
  <cols>
    <col min="1" max="1" width="12.36328125" bestFit="1" customWidth="1"/>
    <col min="2" max="2" width="16.453125" bestFit="1" customWidth="1"/>
    <col min="3" max="3" width="15.7265625" bestFit="1" customWidth="1"/>
    <col min="4" max="4" width="17.6328125" bestFit="1" customWidth="1"/>
    <col min="5" max="5" width="13.1796875" bestFit="1" customWidth="1"/>
    <col min="6" max="6" width="11.36328125" bestFit="1" customWidth="1"/>
    <col min="7" max="7" width="22.453125" bestFit="1" customWidth="1"/>
    <col min="8" max="8" width="18" bestFit="1" customWidth="1"/>
    <col min="9" max="9" width="16.1796875" bestFit="1" customWidth="1"/>
    <col min="10" max="10" width="13.1796875" bestFit="1" customWidth="1"/>
    <col min="11" max="11" width="4.81640625" bestFit="1" customWidth="1"/>
    <col min="12" max="12" width="5.81640625" bestFit="1" customWidth="1"/>
    <col min="13" max="13" width="9.54296875" bestFit="1" customWidth="1"/>
    <col min="14" max="14" width="11.453125" bestFit="1" customWidth="1"/>
    <col min="15" max="15" width="4.81640625" bestFit="1" customWidth="1"/>
    <col min="16" max="16" width="6.453125" bestFit="1" customWidth="1"/>
    <col min="17" max="17" width="9.54296875" bestFit="1" customWidth="1"/>
    <col min="18" max="18" width="20.54296875" bestFit="1" customWidth="1"/>
    <col min="19" max="19" width="22.453125" bestFit="1" customWidth="1"/>
    <col min="20" max="20" width="18" bestFit="1" customWidth="1"/>
    <col min="21" max="21" width="16.1796875" bestFit="1" customWidth="1"/>
  </cols>
  <sheetData>
    <row r="1" spans="1:8" x14ac:dyDescent="0.35">
      <c r="A1" s="4" t="s">
        <v>0</v>
      </c>
      <c r="B1" t="s">
        <v>2814</v>
      </c>
    </row>
    <row r="3" spans="1:8" x14ac:dyDescent="0.35">
      <c r="A3" s="4" t="s">
        <v>802</v>
      </c>
      <c r="B3" t="s">
        <v>2460</v>
      </c>
      <c r="C3" t="s">
        <v>804</v>
      </c>
      <c r="D3" t="s">
        <v>805</v>
      </c>
      <c r="E3" t="s">
        <v>806</v>
      </c>
      <c r="F3" t="s">
        <v>807</v>
      </c>
    </row>
    <row r="4" spans="1:8" x14ac:dyDescent="0.35">
      <c r="A4" s="5">
        <v>2023</v>
      </c>
      <c r="B4">
        <v>1736</v>
      </c>
      <c r="C4">
        <v>-3115.16</v>
      </c>
      <c r="D4">
        <v>2663.91</v>
      </c>
      <c r="E4">
        <v>98.089999999999989</v>
      </c>
      <c r="F4">
        <v>-353.16</v>
      </c>
    </row>
    <row r="5" spans="1:8" x14ac:dyDescent="0.35">
      <c r="A5" s="6">
        <v>4</v>
      </c>
      <c r="B5">
        <v>509</v>
      </c>
      <c r="C5">
        <v>-668.5</v>
      </c>
      <c r="D5">
        <v>642.61</v>
      </c>
      <c r="E5">
        <v>41.269999999999996</v>
      </c>
      <c r="F5">
        <v>15.38000000000001</v>
      </c>
      <c r="G5" s="8"/>
      <c r="H5" s="8"/>
    </row>
    <row r="6" spans="1:8" x14ac:dyDescent="0.35">
      <c r="A6" s="7" t="s">
        <v>10</v>
      </c>
      <c r="B6">
        <v>185</v>
      </c>
      <c r="C6">
        <v>-235.8</v>
      </c>
      <c r="D6">
        <v>642.61</v>
      </c>
      <c r="E6">
        <v>30.52</v>
      </c>
      <c r="F6">
        <v>437.33</v>
      </c>
    </row>
    <row r="7" spans="1:8" x14ac:dyDescent="0.35">
      <c r="A7" s="7" t="s">
        <v>9</v>
      </c>
      <c r="B7">
        <v>324</v>
      </c>
      <c r="C7">
        <v>-432.7</v>
      </c>
      <c r="E7">
        <v>10.75</v>
      </c>
      <c r="F7">
        <v>-421.95</v>
      </c>
      <c r="H7" s="8"/>
    </row>
    <row r="8" spans="1:8" x14ac:dyDescent="0.35">
      <c r="A8" s="6">
        <v>5</v>
      </c>
      <c r="B8">
        <v>78</v>
      </c>
      <c r="C8">
        <v>-88</v>
      </c>
      <c r="D8">
        <v>61</v>
      </c>
      <c r="F8">
        <v>-27</v>
      </c>
      <c r="G8" s="8"/>
      <c r="H8" s="8"/>
    </row>
    <row r="9" spans="1:8" x14ac:dyDescent="0.35">
      <c r="A9" s="7" t="s">
        <v>10</v>
      </c>
      <c r="B9">
        <v>24</v>
      </c>
      <c r="C9">
        <v>-24</v>
      </c>
      <c r="D9">
        <v>61</v>
      </c>
      <c r="F9">
        <v>37</v>
      </c>
    </row>
    <row r="10" spans="1:8" x14ac:dyDescent="0.35">
      <c r="A10" s="7" t="s">
        <v>9</v>
      </c>
      <c r="B10">
        <v>54</v>
      </c>
      <c r="C10">
        <v>-64</v>
      </c>
      <c r="F10">
        <v>-64</v>
      </c>
      <c r="H10" s="8"/>
    </row>
    <row r="11" spans="1:8" x14ac:dyDescent="0.35">
      <c r="A11" s="6">
        <v>6</v>
      </c>
      <c r="B11">
        <v>186</v>
      </c>
      <c r="C11">
        <v>-271.00000000000006</v>
      </c>
      <c r="D11">
        <v>252.91000000000003</v>
      </c>
      <c r="E11">
        <v>17.32</v>
      </c>
      <c r="F11">
        <v>-0.77000000000003155</v>
      </c>
      <c r="G11" s="8"/>
      <c r="H11" s="8"/>
    </row>
    <row r="12" spans="1:8" x14ac:dyDescent="0.35">
      <c r="A12" s="7" t="s">
        <v>10</v>
      </c>
      <c r="B12">
        <v>63</v>
      </c>
      <c r="C12">
        <v>-96.3</v>
      </c>
      <c r="D12">
        <v>252.91000000000003</v>
      </c>
      <c r="E12">
        <v>15.069999999999999</v>
      </c>
      <c r="F12">
        <v>171.68</v>
      </c>
    </row>
    <row r="13" spans="1:8" x14ac:dyDescent="0.35">
      <c r="A13" s="7" t="s">
        <v>9</v>
      </c>
      <c r="B13">
        <v>123</v>
      </c>
      <c r="C13">
        <v>-174.7</v>
      </c>
      <c r="E13">
        <v>2.25</v>
      </c>
      <c r="F13">
        <v>-172.45</v>
      </c>
      <c r="H13" s="8"/>
    </row>
    <row r="14" spans="1:8" x14ac:dyDescent="0.35">
      <c r="A14" s="6">
        <v>7</v>
      </c>
      <c r="B14">
        <v>110</v>
      </c>
      <c r="C14">
        <v>-267.5</v>
      </c>
      <c r="D14">
        <v>179</v>
      </c>
      <c r="F14">
        <v>-88.5</v>
      </c>
      <c r="G14" s="8"/>
      <c r="H14" s="8"/>
    </row>
    <row r="15" spans="1:8" x14ac:dyDescent="0.35">
      <c r="A15" s="7" t="s">
        <v>10</v>
      </c>
      <c r="B15">
        <v>33</v>
      </c>
      <c r="C15">
        <v>-68</v>
      </c>
      <c r="D15">
        <v>179</v>
      </c>
      <c r="F15">
        <v>111</v>
      </c>
    </row>
    <row r="16" spans="1:8" x14ac:dyDescent="0.35">
      <c r="A16" s="7" t="s">
        <v>9</v>
      </c>
      <c r="B16">
        <v>77</v>
      </c>
      <c r="C16">
        <v>-199.5</v>
      </c>
      <c r="F16">
        <v>-199.5</v>
      </c>
      <c r="H16" s="8"/>
    </row>
    <row r="17" spans="1:8" x14ac:dyDescent="0.35">
      <c r="A17" s="6">
        <v>8</v>
      </c>
      <c r="B17">
        <v>73</v>
      </c>
      <c r="C17">
        <v>-88.9</v>
      </c>
      <c r="D17">
        <v>57.92</v>
      </c>
      <c r="E17">
        <v>3.75</v>
      </c>
      <c r="F17">
        <v>-27.230000000000004</v>
      </c>
      <c r="G17" s="8"/>
      <c r="H17" s="8"/>
    </row>
    <row r="18" spans="1:8" x14ac:dyDescent="0.35">
      <c r="A18" s="7" t="s">
        <v>10</v>
      </c>
      <c r="B18">
        <v>20</v>
      </c>
      <c r="C18">
        <v>-24.5</v>
      </c>
      <c r="D18">
        <v>57.92</v>
      </c>
      <c r="E18">
        <v>3.75</v>
      </c>
      <c r="F18">
        <v>37.17</v>
      </c>
    </row>
    <row r="19" spans="1:8" x14ac:dyDescent="0.35">
      <c r="A19" s="7" t="s">
        <v>9</v>
      </c>
      <c r="B19">
        <v>53</v>
      </c>
      <c r="C19">
        <v>-64.400000000000006</v>
      </c>
      <c r="F19">
        <v>-64.400000000000006</v>
      </c>
      <c r="H19" s="8"/>
    </row>
    <row r="20" spans="1:8" x14ac:dyDescent="0.35">
      <c r="A20" s="6">
        <v>9</v>
      </c>
      <c r="B20">
        <v>114</v>
      </c>
      <c r="C20">
        <v>-133</v>
      </c>
      <c r="D20">
        <v>100</v>
      </c>
      <c r="F20">
        <v>-33</v>
      </c>
      <c r="G20" s="8"/>
      <c r="H20" s="8"/>
    </row>
    <row r="21" spans="1:8" x14ac:dyDescent="0.35">
      <c r="A21" s="7" t="s">
        <v>10</v>
      </c>
      <c r="B21">
        <v>37</v>
      </c>
      <c r="C21">
        <v>-37</v>
      </c>
      <c r="D21">
        <v>100</v>
      </c>
      <c r="F21">
        <v>63</v>
      </c>
    </row>
    <row r="22" spans="1:8" x14ac:dyDescent="0.35">
      <c r="A22" s="7" t="s">
        <v>9</v>
      </c>
      <c r="B22">
        <v>77</v>
      </c>
      <c r="C22">
        <v>-96</v>
      </c>
      <c r="F22">
        <v>-96</v>
      </c>
      <c r="H22" s="8"/>
    </row>
    <row r="23" spans="1:8" x14ac:dyDescent="0.35">
      <c r="A23" s="6">
        <v>10</v>
      </c>
      <c r="B23">
        <v>163</v>
      </c>
      <c r="C23">
        <v>-339.5</v>
      </c>
      <c r="D23">
        <v>264</v>
      </c>
      <c r="E23">
        <v>0.75</v>
      </c>
      <c r="F23">
        <v>-74.75</v>
      </c>
      <c r="G23" s="8"/>
      <c r="H23" s="8"/>
    </row>
    <row r="24" spans="1:8" x14ac:dyDescent="0.35">
      <c r="A24" s="7" t="s">
        <v>10</v>
      </c>
      <c r="B24">
        <v>66</v>
      </c>
      <c r="C24">
        <v>-97</v>
      </c>
      <c r="D24">
        <v>264</v>
      </c>
      <c r="F24">
        <v>167</v>
      </c>
    </row>
    <row r="25" spans="1:8" x14ac:dyDescent="0.35">
      <c r="A25" s="7" t="s">
        <v>9</v>
      </c>
      <c r="B25">
        <v>97</v>
      </c>
      <c r="C25">
        <v>-242.50000000000003</v>
      </c>
      <c r="E25">
        <v>0.75</v>
      </c>
      <c r="F25">
        <v>-241.75000000000003</v>
      </c>
      <c r="H25" s="8"/>
    </row>
    <row r="26" spans="1:8" x14ac:dyDescent="0.35">
      <c r="A26" s="6">
        <v>11</v>
      </c>
      <c r="B26">
        <v>249</v>
      </c>
      <c r="C26">
        <v>-737.45999999999992</v>
      </c>
      <c r="D26">
        <v>598.27</v>
      </c>
      <c r="E26">
        <v>18.119999999999997</v>
      </c>
      <c r="F26">
        <v>-121.06999999999994</v>
      </c>
      <c r="G26" s="8"/>
      <c r="H26" s="8"/>
    </row>
    <row r="27" spans="1:8" x14ac:dyDescent="0.35">
      <c r="A27" s="7" t="s">
        <v>10</v>
      </c>
      <c r="B27">
        <v>85</v>
      </c>
      <c r="C27">
        <v>-222.73000000000002</v>
      </c>
      <c r="D27">
        <v>596.62</v>
      </c>
      <c r="E27">
        <v>15.62</v>
      </c>
      <c r="F27">
        <v>389.51</v>
      </c>
    </row>
    <row r="28" spans="1:8" x14ac:dyDescent="0.35">
      <c r="A28" s="7" t="s">
        <v>9</v>
      </c>
      <c r="B28">
        <v>164</v>
      </c>
      <c r="C28">
        <v>-514.73</v>
      </c>
      <c r="D28">
        <v>1.65</v>
      </c>
      <c r="E28">
        <v>2.5</v>
      </c>
      <c r="F28">
        <v>-510.58000000000004</v>
      </c>
      <c r="H28" s="8"/>
    </row>
    <row r="29" spans="1:8" x14ac:dyDescent="0.35">
      <c r="A29" s="6">
        <v>12</v>
      </c>
      <c r="B29">
        <v>254</v>
      </c>
      <c r="C29">
        <v>-521.29999999999995</v>
      </c>
      <c r="D29">
        <v>508.2</v>
      </c>
      <c r="E29">
        <v>16.88</v>
      </c>
      <c r="F29">
        <v>3.7800000000000331</v>
      </c>
      <c r="G29" s="8"/>
      <c r="H29" s="8"/>
    </row>
    <row r="30" spans="1:8" x14ac:dyDescent="0.35">
      <c r="A30" s="7" t="s">
        <v>10</v>
      </c>
      <c r="B30">
        <v>93</v>
      </c>
      <c r="C30">
        <v>-191</v>
      </c>
      <c r="D30">
        <v>508.2</v>
      </c>
      <c r="E30">
        <v>16.88</v>
      </c>
      <c r="F30">
        <v>334.08</v>
      </c>
    </row>
    <row r="31" spans="1:8" x14ac:dyDescent="0.35">
      <c r="A31" s="7" t="s">
        <v>9</v>
      </c>
      <c r="B31">
        <v>161</v>
      </c>
      <c r="C31">
        <v>-330.3</v>
      </c>
      <c r="F31">
        <v>-330.3</v>
      </c>
      <c r="H31" s="8"/>
    </row>
    <row r="32" spans="1:8" x14ac:dyDescent="0.35">
      <c r="A32" s="5">
        <v>2024</v>
      </c>
      <c r="B32">
        <v>2104</v>
      </c>
      <c r="C32">
        <v>-5235.3900000000012</v>
      </c>
      <c r="D32">
        <v>4708.3500000000013</v>
      </c>
      <c r="E32">
        <v>43.720000000000006</v>
      </c>
      <c r="F32">
        <v>-483.31999999999994</v>
      </c>
      <c r="G32" s="8"/>
      <c r="H32" s="8"/>
    </row>
    <row r="33" spans="1:8" x14ac:dyDescent="0.35">
      <c r="A33" s="6">
        <v>1</v>
      </c>
      <c r="B33">
        <v>252</v>
      </c>
      <c r="C33">
        <v>-552.5</v>
      </c>
      <c r="D33">
        <v>518.84</v>
      </c>
      <c r="E33">
        <v>5.0999999999999996</v>
      </c>
      <c r="F33">
        <v>-28.559999999999967</v>
      </c>
      <c r="G33" s="8"/>
      <c r="H33" s="8"/>
    </row>
    <row r="34" spans="1:8" x14ac:dyDescent="0.35">
      <c r="A34" s="7" t="s">
        <v>10</v>
      </c>
      <c r="B34">
        <v>91</v>
      </c>
      <c r="C34">
        <v>-191.5</v>
      </c>
      <c r="D34">
        <v>518.84</v>
      </c>
      <c r="E34">
        <v>5.0999999999999996</v>
      </c>
      <c r="F34">
        <v>332.44000000000005</v>
      </c>
    </row>
    <row r="35" spans="1:8" x14ac:dyDescent="0.35">
      <c r="A35" s="7" t="s">
        <v>9</v>
      </c>
      <c r="B35">
        <v>161</v>
      </c>
      <c r="C35">
        <v>-361</v>
      </c>
      <c r="F35">
        <v>-361</v>
      </c>
      <c r="H35" s="8"/>
    </row>
    <row r="36" spans="1:8" x14ac:dyDescent="0.35">
      <c r="A36" s="6">
        <v>2</v>
      </c>
      <c r="B36">
        <v>238</v>
      </c>
      <c r="C36">
        <v>-572.9</v>
      </c>
      <c r="D36">
        <v>754.64</v>
      </c>
      <c r="F36">
        <v>181.74</v>
      </c>
      <c r="G36" s="8"/>
      <c r="H36" s="8"/>
    </row>
    <row r="37" spans="1:8" x14ac:dyDescent="0.35">
      <c r="A37" s="7" t="s">
        <v>10</v>
      </c>
      <c r="B37">
        <v>90</v>
      </c>
      <c r="C37">
        <v>-211</v>
      </c>
      <c r="D37">
        <v>754.64</v>
      </c>
      <c r="F37">
        <v>543.64</v>
      </c>
      <c r="G37" s="8"/>
    </row>
    <row r="38" spans="1:8" x14ac:dyDescent="0.35">
      <c r="A38" s="7" t="s">
        <v>9</v>
      </c>
      <c r="B38">
        <v>148</v>
      </c>
      <c r="C38">
        <v>-361.9</v>
      </c>
      <c r="F38">
        <v>-361.9</v>
      </c>
      <c r="G38" s="8"/>
      <c r="H38" s="8"/>
    </row>
    <row r="39" spans="1:8" x14ac:dyDescent="0.35">
      <c r="A39" s="6">
        <v>3</v>
      </c>
      <c r="B39">
        <v>256</v>
      </c>
      <c r="C39">
        <v>-623.29999999999995</v>
      </c>
      <c r="D39">
        <v>552</v>
      </c>
      <c r="E39">
        <v>1.67</v>
      </c>
      <c r="F39">
        <v>-69.629999999999953</v>
      </c>
      <c r="G39" s="8"/>
      <c r="H39" s="8"/>
    </row>
    <row r="40" spans="1:8" x14ac:dyDescent="0.35">
      <c r="A40" s="7" t="s">
        <v>10</v>
      </c>
      <c r="B40">
        <v>95</v>
      </c>
      <c r="C40">
        <v>-222</v>
      </c>
      <c r="D40">
        <v>552</v>
      </c>
      <c r="F40">
        <v>330</v>
      </c>
      <c r="G40" s="8"/>
    </row>
    <row r="41" spans="1:8" x14ac:dyDescent="0.35">
      <c r="A41" s="7" t="s">
        <v>9</v>
      </c>
      <c r="B41">
        <v>161</v>
      </c>
      <c r="C41">
        <v>-401.3</v>
      </c>
      <c r="E41">
        <v>1.67</v>
      </c>
      <c r="F41">
        <v>-399.63</v>
      </c>
      <c r="H41" s="8"/>
    </row>
    <row r="42" spans="1:8" x14ac:dyDescent="0.35">
      <c r="A42" s="6">
        <v>4</v>
      </c>
      <c r="B42">
        <v>89</v>
      </c>
      <c r="C42">
        <v>-202</v>
      </c>
      <c r="D42">
        <v>208</v>
      </c>
      <c r="F42">
        <v>6</v>
      </c>
      <c r="G42" s="8"/>
      <c r="H42" s="8"/>
    </row>
    <row r="43" spans="1:8" x14ac:dyDescent="0.35">
      <c r="A43" s="7" t="s">
        <v>10</v>
      </c>
      <c r="B43">
        <v>29</v>
      </c>
      <c r="C43">
        <v>-82</v>
      </c>
      <c r="D43">
        <v>208</v>
      </c>
      <c r="F43">
        <v>126</v>
      </c>
      <c r="G43" s="8"/>
    </row>
    <row r="44" spans="1:8" x14ac:dyDescent="0.35">
      <c r="A44" s="7" t="s">
        <v>9</v>
      </c>
      <c r="B44">
        <v>60</v>
      </c>
      <c r="C44">
        <v>-120</v>
      </c>
      <c r="F44">
        <v>-120</v>
      </c>
      <c r="H44" s="8"/>
    </row>
    <row r="45" spans="1:8" x14ac:dyDescent="0.35">
      <c r="A45" s="6">
        <v>5</v>
      </c>
      <c r="B45">
        <v>57</v>
      </c>
      <c r="C45">
        <v>-108</v>
      </c>
      <c r="D45">
        <v>106</v>
      </c>
      <c r="F45">
        <v>-2</v>
      </c>
      <c r="G45" s="8"/>
      <c r="H45" s="8"/>
    </row>
    <row r="46" spans="1:8" x14ac:dyDescent="0.35">
      <c r="A46" s="7" t="s">
        <v>10</v>
      </c>
      <c r="B46">
        <v>16</v>
      </c>
      <c r="C46">
        <v>-40</v>
      </c>
      <c r="D46">
        <v>106</v>
      </c>
      <c r="F46">
        <v>66</v>
      </c>
      <c r="G46" s="8"/>
    </row>
    <row r="47" spans="1:8" x14ac:dyDescent="0.35">
      <c r="A47" s="7" t="s">
        <v>9</v>
      </c>
      <c r="B47">
        <v>41</v>
      </c>
      <c r="C47">
        <v>-68</v>
      </c>
      <c r="F47">
        <v>-68</v>
      </c>
      <c r="H47" s="8"/>
    </row>
    <row r="48" spans="1:8" x14ac:dyDescent="0.35">
      <c r="A48" s="6">
        <v>6</v>
      </c>
      <c r="B48">
        <v>21</v>
      </c>
      <c r="C48">
        <v>-34</v>
      </c>
      <c r="D48">
        <v>38</v>
      </c>
      <c r="F48">
        <v>4</v>
      </c>
      <c r="G48" s="8"/>
      <c r="H48" s="8"/>
    </row>
    <row r="49" spans="1:8" x14ac:dyDescent="0.35">
      <c r="A49" s="7" t="s">
        <v>10</v>
      </c>
      <c r="B49">
        <v>6</v>
      </c>
      <c r="C49">
        <v>-12</v>
      </c>
      <c r="D49">
        <v>38</v>
      </c>
      <c r="F49">
        <v>26</v>
      </c>
      <c r="G49" s="8"/>
    </row>
    <row r="50" spans="1:8" x14ac:dyDescent="0.35">
      <c r="A50" s="7" t="s">
        <v>9</v>
      </c>
      <c r="B50">
        <v>15</v>
      </c>
      <c r="C50">
        <v>-22</v>
      </c>
      <c r="F50">
        <v>-22</v>
      </c>
      <c r="H50" s="8"/>
    </row>
    <row r="51" spans="1:8" x14ac:dyDescent="0.35">
      <c r="A51" s="6">
        <v>7</v>
      </c>
      <c r="B51">
        <v>109</v>
      </c>
      <c r="C51">
        <v>-236</v>
      </c>
      <c r="D51">
        <v>170</v>
      </c>
      <c r="F51">
        <v>-66</v>
      </c>
      <c r="H51" s="8"/>
    </row>
    <row r="52" spans="1:8" x14ac:dyDescent="0.35">
      <c r="A52" s="7" t="s">
        <v>10</v>
      </c>
      <c r="B52">
        <v>34</v>
      </c>
      <c r="C52">
        <v>-64</v>
      </c>
      <c r="D52">
        <v>170</v>
      </c>
      <c r="F52">
        <v>106</v>
      </c>
      <c r="G52" s="8"/>
    </row>
    <row r="53" spans="1:8" x14ac:dyDescent="0.35">
      <c r="A53" s="7" t="s">
        <v>9</v>
      </c>
      <c r="B53">
        <v>75</v>
      </c>
      <c r="C53">
        <v>-172</v>
      </c>
      <c r="F53">
        <v>-172</v>
      </c>
      <c r="H53" s="8"/>
    </row>
    <row r="54" spans="1:8" x14ac:dyDescent="0.35">
      <c r="A54" s="6">
        <v>9</v>
      </c>
      <c r="B54">
        <v>172</v>
      </c>
      <c r="C54">
        <v>-336.4</v>
      </c>
      <c r="D54">
        <v>236.5</v>
      </c>
      <c r="E54">
        <v>32.729999999999997</v>
      </c>
      <c r="F54">
        <v>-67.169999999999987</v>
      </c>
      <c r="H54" s="8"/>
    </row>
    <row r="55" spans="1:8" x14ac:dyDescent="0.35">
      <c r="A55" s="7" t="s">
        <v>10</v>
      </c>
      <c r="B55">
        <v>53</v>
      </c>
      <c r="C55">
        <v>-90.4</v>
      </c>
      <c r="D55">
        <v>236.5</v>
      </c>
      <c r="E55">
        <v>22.45</v>
      </c>
      <c r="F55">
        <v>168.54999999999998</v>
      </c>
      <c r="G55" s="8"/>
    </row>
    <row r="56" spans="1:8" x14ac:dyDescent="0.35">
      <c r="A56" s="7" t="s">
        <v>9</v>
      </c>
      <c r="B56">
        <v>119</v>
      </c>
      <c r="C56">
        <v>-246</v>
      </c>
      <c r="E56">
        <v>10.28</v>
      </c>
      <c r="F56">
        <v>-235.72</v>
      </c>
      <c r="H56" s="8"/>
    </row>
    <row r="57" spans="1:8" x14ac:dyDescent="0.35">
      <c r="A57" s="6">
        <v>10</v>
      </c>
      <c r="B57">
        <v>382</v>
      </c>
      <c r="C57">
        <v>-729.25</v>
      </c>
      <c r="D57">
        <v>612.4</v>
      </c>
      <c r="E57">
        <v>3.2199999999999998</v>
      </c>
      <c r="F57">
        <v>-113.63000000000002</v>
      </c>
      <c r="H57" s="8"/>
    </row>
    <row r="58" spans="1:8" x14ac:dyDescent="0.35">
      <c r="A58" s="7" t="s">
        <v>10</v>
      </c>
      <c r="B58">
        <v>124</v>
      </c>
      <c r="C58">
        <v>-230.9</v>
      </c>
      <c r="D58">
        <v>612.4</v>
      </c>
      <c r="E58">
        <v>1</v>
      </c>
      <c r="F58">
        <v>382.5</v>
      </c>
      <c r="G58" s="8"/>
    </row>
    <row r="59" spans="1:8" x14ac:dyDescent="0.35">
      <c r="A59" s="7" t="s">
        <v>9</v>
      </c>
      <c r="B59">
        <v>258</v>
      </c>
      <c r="C59">
        <v>-498.35</v>
      </c>
      <c r="E59">
        <v>2.2199999999999998</v>
      </c>
      <c r="F59">
        <v>-496.13</v>
      </c>
      <c r="H59" s="8"/>
    </row>
    <row r="60" spans="1:8" x14ac:dyDescent="0.35">
      <c r="A60" s="6">
        <v>11</v>
      </c>
      <c r="B60">
        <v>377</v>
      </c>
      <c r="C60">
        <v>-1050.8899999999999</v>
      </c>
      <c r="D60">
        <v>808.15</v>
      </c>
      <c r="E60">
        <v>1</v>
      </c>
      <c r="F60">
        <v>-241.7399999999999</v>
      </c>
      <c r="H60" s="8"/>
    </row>
    <row r="61" spans="1:8" x14ac:dyDescent="0.35">
      <c r="A61" s="7" t="s">
        <v>10</v>
      </c>
      <c r="B61">
        <v>129</v>
      </c>
      <c r="C61">
        <v>-367.03</v>
      </c>
      <c r="D61">
        <v>767.26</v>
      </c>
      <c r="F61">
        <v>400.23</v>
      </c>
      <c r="G61" s="8"/>
    </row>
    <row r="62" spans="1:8" x14ac:dyDescent="0.35">
      <c r="A62" s="7" t="s">
        <v>9</v>
      </c>
      <c r="B62">
        <v>248</v>
      </c>
      <c r="C62">
        <v>-683.8599999999999</v>
      </c>
      <c r="D62">
        <v>40.889999999999993</v>
      </c>
      <c r="E62">
        <v>1</v>
      </c>
      <c r="F62">
        <v>-641.96999999999991</v>
      </c>
      <c r="H62" s="8"/>
    </row>
    <row r="63" spans="1:8" x14ac:dyDescent="0.35">
      <c r="A63" s="6">
        <v>12</v>
      </c>
      <c r="B63">
        <v>151</v>
      </c>
      <c r="C63">
        <v>-790.15</v>
      </c>
      <c r="D63">
        <v>703.81999999999982</v>
      </c>
      <c r="F63">
        <v>-86.330000000000155</v>
      </c>
      <c r="H63" s="8"/>
    </row>
    <row r="64" spans="1:8" x14ac:dyDescent="0.35">
      <c r="A64" s="7" t="s">
        <v>10</v>
      </c>
      <c r="B64">
        <v>71</v>
      </c>
      <c r="C64">
        <v>-387.93</v>
      </c>
      <c r="D64">
        <v>572.81999999999971</v>
      </c>
      <c r="F64">
        <v>184.8899999999997</v>
      </c>
      <c r="G64" s="8"/>
    </row>
    <row r="65" spans="1:6" x14ac:dyDescent="0.35">
      <c r="A65" s="7" t="s">
        <v>9</v>
      </c>
      <c r="B65">
        <v>80</v>
      </c>
      <c r="C65">
        <v>-402.22</v>
      </c>
      <c r="D65">
        <v>131.00000000000003</v>
      </c>
      <c r="F65">
        <v>-271.22000000000003</v>
      </c>
    </row>
    <row r="66" spans="1:6" x14ac:dyDescent="0.35">
      <c r="A66" s="5">
        <v>2025</v>
      </c>
      <c r="B66">
        <v>621</v>
      </c>
      <c r="C66">
        <v>-6414.6099999999988</v>
      </c>
      <c r="D66">
        <v>5487.3800000000019</v>
      </c>
      <c r="E66">
        <v>3.25</v>
      </c>
      <c r="F66">
        <v>-923.97999999999683</v>
      </c>
    </row>
    <row r="67" spans="1:6" x14ac:dyDescent="0.35">
      <c r="A67" s="6">
        <v>1</v>
      </c>
      <c r="B67">
        <v>245</v>
      </c>
      <c r="C67">
        <v>-2495.35</v>
      </c>
      <c r="D67">
        <v>2024.5099999999998</v>
      </c>
      <c r="F67">
        <v>-470.84000000000015</v>
      </c>
    </row>
    <row r="68" spans="1:6" x14ac:dyDescent="0.35">
      <c r="A68" s="7" t="s">
        <v>10</v>
      </c>
      <c r="B68">
        <v>117</v>
      </c>
      <c r="C68">
        <v>-1243.81</v>
      </c>
      <c r="D68">
        <v>1760.0299999999997</v>
      </c>
      <c r="F68">
        <v>516.2199999999998</v>
      </c>
    </row>
    <row r="69" spans="1:6" x14ac:dyDescent="0.35">
      <c r="A69" s="7" t="s">
        <v>9</v>
      </c>
      <c r="B69">
        <v>128</v>
      </c>
      <c r="C69">
        <v>-1251.5400000000002</v>
      </c>
      <c r="D69">
        <v>264.47999999999996</v>
      </c>
      <c r="F69">
        <v>-987.06000000000017</v>
      </c>
    </row>
    <row r="70" spans="1:6" x14ac:dyDescent="0.35">
      <c r="A70" s="6">
        <v>2</v>
      </c>
      <c r="B70">
        <v>198</v>
      </c>
      <c r="C70">
        <v>-2084.8500000000004</v>
      </c>
      <c r="D70">
        <v>1830.4299999999989</v>
      </c>
      <c r="E70">
        <v>3.25</v>
      </c>
      <c r="F70">
        <v>-251.17000000000144</v>
      </c>
    </row>
    <row r="71" spans="1:6" x14ac:dyDescent="0.35">
      <c r="A71" s="7" t="s">
        <v>10</v>
      </c>
      <c r="B71">
        <v>109</v>
      </c>
      <c r="C71">
        <v>-1387.42</v>
      </c>
      <c r="D71">
        <v>1683.5399999999988</v>
      </c>
      <c r="E71">
        <v>3.25</v>
      </c>
      <c r="F71">
        <v>299.36999999999875</v>
      </c>
    </row>
    <row r="72" spans="1:6" x14ac:dyDescent="0.35">
      <c r="A72" s="7" t="s">
        <v>9</v>
      </c>
      <c r="B72">
        <v>89</v>
      </c>
      <c r="C72">
        <v>-697.43</v>
      </c>
      <c r="D72">
        <v>146.88999999999999</v>
      </c>
      <c r="F72">
        <v>-550.54</v>
      </c>
    </row>
    <row r="73" spans="1:6" x14ac:dyDescent="0.35">
      <c r="A73" s="6">
        <v>3</v>
      </c>
      <c r="B73">
        <v>178</v>
      </c>
      <c r="C73">
        <v>-1834.4099999999999</v>
      </c>
      <c r="D73">
        <v>1632.4400000000005</v>
      </c>
      <c r="F73">
        <v>-201.96999999999935</v>
      </c>
    </row>
    <row r="74" spans="1:6" x14ac:dyDescent="0.35">
      <c r="A74" s="7" t="s">
        <v>10</v>
      </c>
      <c r="B74">
        <v>115</v>
      </c>
      <c r="C74">
        <v>-1204.9599999999998</v>
      </c>
      <c r="D74">
        <v>1527.1300000000003</v>
      </c>
      <c r="F74">
        <v>322.17000000000053</v>
      </c>
    </row>
    <row r="75" spans="1:6" x14ac:dyDescent="0.35">
      <c r="A75" s="7" t="s">
        <v>9</v>
      </c>
      <c r="B75">
        <v>63</v>
      </c>
      <c r="C75">
        <v>-629.45000000000005</v>
      </c>
      <c r="D75">
        <v>105.30999999999999</v>
      </c>
      <c r="F75">
        <v>-524.1400000000001</v>
      </c>
    </row>
    <row r="76" spans="1:6" x14ac:dyDescent="0.35">
      <c r="A76" s="5" t="s">
        <v>803</v>
      </c>
      <c r="B76" s="2">
        <v>4461</v>
      </c>
      <c r="C76" s="2">
        <v>-14765.159999999998</v>
      </c>
      <c r="D76" s="2">
        <v>12859.640000000003</v>
      </c>
      <c r="E76" s="2">
        <v>145.05999999999997</v>
      </c>
      <c r="F76" s="2">
        <v>-1760.459999999995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6120-BC08-4353-8A01-37EC30E5ADF6}">
  <dimension ref="A1:AB50"/>
  <sheetViews>
    <sheetView workbookViewId="0">
      <selection activeCell="Q5" sqref="Q5"/>
    </sheetView>
  </sheetViews>
  <sheetFormatPr defaultRowHeight="14.5" x14ac:dyDescent="0.35"/>
  <cols>
    <col min="1" max="1" width="11.1796875" bestFit="1" customWidth="1"/>
    <col min="2" max="2" width="4.36328125" bestFit="1" customWidth="1"/>
    <col min="3" max="3" width="6.36328125" bestFit="1" customWidth="1"/>
    <col min="4" max="7" width="5.1796875" bestFit="1" customWidth="1"/>
    <col min="8" max="10" width="3" bestFit="1" customWidth="1"/>
    <col min="11" max="11" width="3.1796875" bestFit="1" customWidth="1"/>
    <col min="12" max="12" width="3.54296875" bestFit="1" customWidth="1"/>
    <col min="13" max="13" width="3.1796875" bestFit="1" customWidth="1"/>
    <col min="14" max="14" width="3" bestFit="1" customWidth="1"/>
    <col min="15" max="15" width="3.36328125" bestFit="1" customWidth="1"/>
    <col min="16" max="16" width="2.6328125" bestFit="1" customWidth="1"/>
    <col min="17" max="25" width="3" bestFit="1" customWidth="1"/>
  </cols>
  <sheetData>
    <row r="1" spans="1:28" x14ac:dyDescent="0.35">
      <c r="A1" t="s">
        <v>4979</v>
      </c>
      <c r="L1" t="s">
        <v>5044</v>
      </c>
    </row>
    <row r="3" spans="1:28" x14ac:dyDescent="0.35">
      <c r="A3" s="15" t="s">
        <v>5045</v>
      </c>
      <c r="B3" s="13" t="s">
        <v>4935</v>
      </c>
      <c r="C3" s="13" t="s">
        <v>4936</v>
      </c>
      <c r="D3" s="13" t="s">
        <v>4937</v>
      </c>
      <c r="E3" s="13" t="s">
        <v>4938</v>
      </c>
      <c r="F3" s="13" t="s">
        <v>4939</v>
      </c>
      <c r="G3" s="13" t="s">
        <v>4940</v>
      </c>
      <c r="L3" t="s">
        <v>5008</v>
      </c>
      <c r="M3" t="s">
        <v>5006</v>
      </c>
      <c r="N3" t="s">
        <v>5006</v>
      </c>
      <c r="O3" t="s">
        <v>5006</v>
      </c>
      <c r="P3" t="s">
        <v>5006</v>
      </c>
      <c r="Q3" t="s">
        <v>5006</v>
      </c>
      <c r="R3" t="s">
        <v>5006</v>
      </c>
      <c r="S3" t="s">
        <v>5006</v>
      </c>
      <c r="T3" t="s">
        <v>5006</v>
      </c>
      <c r="U3" t="s">
        <v>5006</v>
      </c>
      <c r="V3" t="s">
        <v>5006</v>
      </c>
      <c r="W3" t="s">
        <v>5006</v>
      </c>
      <c r="X3" t="s">
        <v>5006</v>
      </c>
      <c r="Y3" t="s">
        <v>5006</v>
      </c>
      <c r="AA3" t="s">
        <v>5043</v>
      </c>
      <c r="AB3" t="s">
        <v>4941</v>
      </c>
    </row>
    <row r="4" spans="1:28" x14ac:dyDescent="0.35">
      <c r="A4" s="15" t="s">
        <v>3437</v>
      </c>
      <c r="B4" s="14" t="s">
        <v>4944</v>
      </c>
      <c r="C4" s="14" t="s">
        <v>4941</v>
      </c>
      <c r="D4" s="14" t="s">
        <v>4941</v>
      </c>
      <c r="E4" s="14" t="s">
        <v>4941</v>
      </c>
      <c r="F4" s="14" t="s">
        <v>4941</v>
      </c>
      <c r="G4" s="14" t="s">
        <v>4941</v>
      </c>
      <c r="L4" t="s">
        <v>5007</v>
      </c>
      <c r="M4" s="19" t="s">
        <v>3437</v>
      </c>
      <c r="N4" s="19" t="s">
        <v>4990</v>
      </c>
      <c r="O4" s="19" t="s">
        <v>4991</v>
      </c>
      <c r="P4" s="20" t="s">
        <v>4992</v>
      </c>
      <c r="Q4" s="20" t="s">
        <v>4993</v>
      </c>
      <c r="R4" s="20" t="s">
        <v>4994</v>
      </c>
      <c r="S4" s="20" t="s">
        <v>4995</v>
      </c>
      <c r="T4" s="20" t="s">
        <v>4996</v>
      </c>
      <c r="U4" s="20" t="s">
        <v>4997</v>
      </c>
      <c r="V4" s="20" t="s">
        <v>4998</v>
      </c>
      <c r="W4" s="20" t="s">
        <v>4999</v>
      </c>
      <c r="X4" s="20" t="s">
        <v>5000</v>
      </c>
      <c r="Y4" s="20" t="s">
        <v>5001</v>
      </c>
      <c r="AA4">
        <f>COUNTA(M4:R7,M8,Q8:R8,R9:S9,S10:T10,T11:U11,U12:V12,V13:W13,W14,X15,Y16,S4:Y4)</f>
        <v>47</v>
      </c>
      <c r="AB4">
        <f>COUNTA(M4:N5,O4,O6,P7,Q8)</f>
        <v>8</v>
      </c>
    </row>
    <row r="5" spans="1:28" x14ac:dyDescent="0.35">
      <c r="A5" s="15" t="s">
        <v>3438</v>
      </c>
      <c r="B5" s="14" t="s">
        <v>4944</v>
      </c>
      <c r="C5" s="14" t="s">
        <v>4941</v>
      </c>
      <c r="D5" s="14" t="s">
        <v>4941</v>
      </c>
      <c r="E5" s="14" t="s">
        <v>4941</v>
      </c>
      <c r="F5" s="14" t="s">
        <v>4941</v>
      </c>
      <c r="G5" s="14" t="s">
        <v>4941</v>
      </c>
      <c r="L5" t="s">
        <v>5007</v>
      </c>
      <c r="M5" s="19" t="s">
        <v>4990</v>
      </c>
      <c r="N5" s="19" t="s">
        <v>3438</v>
      </c>
      <c r="O5" s="20" t="s">
        <v>5002</v>
      </c>
      <c r="P5" s="20" t="s">
        <v>5003</v>
      </c>
      <c r="Q5" s="20" t="s">
        <v>5004</v>
      </c>
      <c r="R5" s="20" t="s">
        <v>5005</v>
      </c>
      <c r="S5" s="21" t="s">
        <v>5009</v>
      </c>
      <c r="T5" s="21" t="s">
        <v>5010</v>
      </c>
      <c r="U5" s="21" t="s">
        <v>5011</v>
      </c>
      <c r="V5" s="21" t="s">
        <v>5012</v>
      </c>
      <c r="W5" s="21" t="s">
        <v>5013</v>
      </c>
      <c r="X5" s="21" t="s">
        <v>5014</v>
      </c>
      <c r="Y5" s="21" t="s">
        <v>5015</v>
      </c>
      <c r="AA5" s="8">
        <f>COUNTA(M4:R7,M8,Q8:R8,R9:S9,S10:T10,T11:U11,U12:V12,V13:W13,W14,X15,Y16,S4:Y4)/169</f>
        <v>0.27810650887573962</v>
      </c>
      <c r="AB5" s="8">
        <f>COUNTA(M4:N5,O4,O6,P7,Q8)/169</f>
        <v>4.7337278106508875E-2</v>
      </c>
    </row>
    <row r="6" spans="1:28" x14ac:dyDescent="0.35">
      <c r="A6" s="15" t="s">
        <v>3439</v>
      </c>
      <c r="B6" s="14" t="s">
        <v>4944</v>
      </c>
      <c r="C6" s="14" t="s">
        <v>4941</v>
      </c>
      <c r="D6" s="14" t="s">
        <v>4941</v>
      </c>
      <c r="E6" s="14" t="s">
        <v>4941</v>
      </c>
      <c r="F6" s="14" t="s">
        <v>4941</v>
      </c>
      <c r="G6" s="14" t="s">
        <v>4941</v>
      </c>
      <c r="L6" t="s">
        <v>5007</v>
      </c>
      <c r="M6" s="20" t="s">
        <v>4991</v>
      </c>
      <c r="N6" s="20" t="s">
        <v>5002</v>
      </c>
      <c r="O6" s="19" t="s">
        <v>3439</v>
      </c>
      <c r="P6" s="20" t="s">
        <v>5016</v>
      </c>
      <c r="Q6" s="20" t="s">
        <v>5017</v>
      </c>
      <c r="R6" s="20" t="s">
        <v>5018</v>
      </c>
      <c r="S6" s="21" t="s">
        <v>5019</v>
      </c>
      <c r="T6" s="21" t="s">
        <v>5020</v>
      </c>
      <c r="U6" s="21" t="s">
        <v>5021</v>
      </c>
      <c r="V6" s="21" t="s">
        <v>5022</v>
      </c>
      <c r="W6" s="21" t="s">
        <v>5023</v>
      </c>
      <c r="X6" s="21" t="s">
        <v>5024</v>
      </c>
      <c r="Y6" s="21" t="s">
        <v>5025</v>
      </c>
    </row>
    <row r="7" spans="1:28" x14ac:dyDescent="0.35">
      <c r="A7" s="15" t="s">
        <v>3440</v>
      </c>
      <c r="B7" s="14" t="s">
        <v>4944</v>
      </c>
      <c r="C7" s="14" t="s">
        <v>4941</v>
      </c>
      <c r="D7" s="14" t="s">
        <v>4941</v>
      </c>
      <c r="E7" s="14" t="s">
        <v>4941</v>
      </c>
      <c r="F7" s="14" t="s">
        <v>4941</v>
      </c>
      <c r="G7" s="14" t="s">
        <v>4941</v>
      </c>
      <c r="L7" t="s">
        <v>5007</v>
      </c>
      <c r="M7" s="20" t="s">
        <v>4992</v>
      </c>
      <c r="N7" s="20" t="s">
        <v>5003</v>
      </c>
      <c r="O7" s="20" t="s">
        <v>5016</v>
      </c>
      <c r="P7" s="19" t="s">
        <v>3440</v>
      </c>
      <c r="Q7" s="20" t="s">
        <v>5026</v>
      </c>
      <c r="R7" s="20" t="s">
        <v>5027</v>
      </c>
      <c r="S7" s="21" t="s">
        <v>5028</v>
      </c>
      <c r="T7" s="21" t="s">
        <v>5029</v>
      </c>
      <c r="U7" s="21" t="s">
        <v>5030</v>
      </c>
      <c r="V7" s="21" t="s">
        <v>5031</v>
      </c>
      <c r="W7" s="21" t="s">
        <v>5032</v>
      </c>
      <c r="X7" s="21" t="s">
        <v>5033</v>
      </c>
      <c r="Y7" s="21" t="s">
        <v>5034</v>
      </c>
    </row>
    <row r="8" spans="1:28" x14ac:dyDescent="0.35">
      <c r="A8" s="15" t="s">
        <v>3441</v>
      </c>
      <c r="B8" s="14" t="s">
        <v>4944</v>
      </c>
      <c r="C8" s="14" t="s">
        <v>4942</v>
      </c>
      <c r="D8" s="14" t="s">
        <v>4941</v>
      </c>
      <c r="E8" s="14" t="s">
        <v>4941</v>
      </c>
      <c r="F8" s="14" t="s">
        <v>4941</v>
      </c>
      <c r="G8" s="14" t="s">
        <v>4941</v>
      </c>
      <c r="L8" t="s">
        <v>5007</v>
      </c>
      <c r="M8" s="20" t="s">
        <v>4993</v>
      </c>
      <c r="N8" s="21" t="s">
        <v>5004</v>
      </c>
      <c r="O8" s="21" t="s">
        <v>5017</v>
      </c>
      <c r="P8" s="21" t="s">
        <v>5026</v>
      </c>
      <c r="Q8" s="19" t="s">
        <v>3441</v>
      </c>
      <c r="R8" s="20" t="s">
        <v>5035</v>
      </c>
      <c r="S8" s="21" t="s">
        <v>5036</v>
      </c>
      <c r="T8" s="21" t="s">
        <v>5037</v>
      </c>
      <c r="U8" s="21" t="s">
        <v>5038</v>
      </c>
      <c r="V8" s="21" t="s">
        <v>5039</v>
      </c>
      <c r="W8" s="21" t="s">
        <v>5040</v>
      </c>
      <c r="X8" s="21" t="s">
        <v>5041</v>
      </c>
      <c r="Y8" s="21" t="s">
        <v>5042</v>
      </c>
    </row>
    <row r="9" spans="1:28" x14ac:dyDescent="0.35">
      <c r="A9" s="15">
        <v>99</v>
      </c>
      <c r="B9" s="14" t="s">
        <v>4944</v>
      </c>
      <c r="C9" s="14" t="s">
        <v>4942</v>
      </c>
      <c r="D9" s="14" t="s">
        <v>4942</v>
      </c>
      <c r="E9" s="14" t="s">
        <v>4941</v>
      </c>
      <c r="F9" s="14" t="s">
        <v>4941</v>
      </c>
      <c r="G9" s="14" t="s">
        <v>4942</v>
      </c>
      <c r="L9" t="s">
        <v>5007</v>
      </c>
      <c r="M9" s="21" t="s">
        <v>4994</v>
      </c>
      <c r="N9" s="21" t="s">
        <v>5005</v>
      </c>
      <c r="O9" s="21" t="s">
        <v>5018</v>
      </c>
      <c r="P9" s="21" t="s">
        <v>5027</v>
      </c>
      <c r="Q9" s="21" t="s">
        <v>5035</v>
      </c>
      <c r="R9" s="20">
        <v>99</v>
      </c>
      <c r="S9" s="20">
        <v>98</v>
      </c>
      <c r="T9" s="21">
        <v>97</v>
      </c>
      <c r="U9" s="21">
        <v>96</v>
      </c>
      <c r="V9" s="21">
        <v>95</v>
      </c>
      <c r="W9" s="21">
        <v>94</v>
      </c>
      <c r="X9" s="21">
        <v>93</v>
      </c>
      <c r="Y9" s="21">
        <v>92</v>
      </c>
    </row>
    <row r="10" spans="1:28" x14ac:dyDescent="0.35">
      <c r="A10" s="15">
        <v>88</v>
      </c>
      <c r="B10" s="14" t="s">
        <v>4944</v>
      </c>
      <c r="C10" s="14" t="s">
        <v>4942</v>
      </c>
      <c r="D10" s="14" t="s">
        <v>4942</v>
      </c>
      <c r="E10" s="14" t="s">
        <v>4942</v>
      </c>
      <c r="F10" s="14" t="s">
        <v>4942</v>
      </c>
      <c r="G10" s="14" t="s">
        <v>4942</v>
      </c>
      <c r="L10" t="s">
        <v>5007</v>
      </c>
      <c r="M10" s="21" t="s">
        <v>4995</v>
      </c>
      <c r="N10" s="21" t="s">
        <v>5009</v>
      </c>
      <c r="O10" s="21" t="s">
        <v>5019</v>
      </c>
      <c r="P10" s="21" t="s">
        <v>5028</v>
      </c>
      <c r="Q10" s="21" t="s">
        <v>5036</v>
      </c>
      <c r="R10" s="21">
        <v>98</v>
      </c>
      <c r="S10" s="20">
        <v>88</v>
      </c>
      <c r="T10" s="20">
        <v>87</v>
      </c>
      <c r="U10" s="21">
        <v>86</v>
      </c>
      <c r="V10" s="21">
        <v>85</v>
      </c>
      <c r="W10" s="21">
        <v>84</v>
      </c>
      <c r="X10" s="21">
        <v>83</v>
      </c>
      <c r="Y10" s="21">
        <v>82</v>
      </c>
    </row>
    <row r="11" spans="1:28" x14ac:dyDescent="0.35">
      <c r="A11" s="15">
        <v>77</v>
      </c>
      <c r="B11" s="14" t="s">
        <v>4944</v>
      </c>
      <c r="C11" s="14" t="s">
        <v>4942</v>
      </c>
      <c r="D11" s="14" t="s">
        <v>4942</v>
      </c>
      <c r="E11" s="14" t="s">
        <v>4942</v>
      </c>
      <c r="F11" s="14" t="s">
        <v>4942</v>
      </c>
      <c r="G11" s="14" t="s">
        <v>4942</v>
      </c>
      <c r="L11" t="s">
        <v>5007</v>
      </c>
      <c r="M11" s="21" t="s">
        <v>4996</v>
      </c>
      <c r="N11" s="21" t="s">
        <v>5010</v>
      </c>
      <c r="O11" s="21" t="s">
        <v>5020</v>
      </c>
      <c r="P11" s="21" t="s">
        <v>5029</v>
      </c>
      <c r="Q11" s="21" t="s">
        <v>5037</v>
      </c>
      <c r="R11" s="21">
        <v>97</v>
      </c>
      <c r="S11" s="21">
        <v>87</v>
      </c>
      <c r="T11" s="20">
        <v>77</v>
      </c>
      <c r="U11" s="20">
        <v>76</v>
      </c>
      <c r="V11" s="21">
        <v>75</v>
      </c>
      <c r="W11" s="21">
        <v>74</v>
      </c>
      <c r="X11" s="21">
        <v>73</v>
      </c>
      <c r="Y11" s="21">
        <v>72</v>
      </c>
    </row>
    <row r="12" spans="1:28" x14ac:dyDescent="0.35">
      <c r="A12" s="15">
        <v>66</v>
      </c>
      <c r="B12" s="14" t="s">
        <v>4943</v>
      </c>
      <c r="C12" s="14" t="s">
        <v>4942</v>
      </c>
      <c r="D12" s="14" t="s">
        <v>4942</v>
      </c>
      <c r="E12" s="14" t="s">
        <v>4942</v>
      </c>
      <c r="F12" s="14" t="s">
        <v>4942</v>
      </c>
      <c r="G12" s="14" t="s">
        <v>4942</v>
      </c>
      <c r="L12" t="s">
        <v>5007</v>
      </c>
      <c r="M12" s="21" t="s">
        <v>4997</v>
      </c>
      <c r="N12" s="21" t="s">
        <v>5011</v>
      </c>
      <c r="O12" s="21" t="s">
        <v>5021</v>
      </c>
      <c r="P12" s="21" t="s">
        <v>5030</v>
      </c>
      <c r="Q12" s="21" t="s">
        <v>5038</v>
      </c>
      <c r="R12" s="21">
        <v>96</v>
      </c>
      <c r="S12" s="21">
        <v>86</v>
      </c>
      <c r="T12" s="21">
        <v>76</v>
      </c>
      <c r="U12" s="20">
        <v>66</v>
      </c>
      <c r="V12" s="20">
        <v>65</v>
      </c>
      <c r="W12" s="21">
        <v>64</v>
      </c>
      <c r="X12" s="21">
        <v>63</v>
      </c>
      <c r="Y12" s="21">
        <v>62</v>
      </c>
    </row>
    <row r="13" spans="1:28" x14ac:dyDescent="0.35">
      <c r="A13" s="15">
        <v>55</v>
      </c>
      <c r="B13" s="14" t="s">
        <v>4943</v>
      </c>
      <c r="C13" s="14" t="s">
        <v>4942</v>
      </c>
      <c r="D13" s="14" t="s">
        <v>4942</v>
      </c>
      <c r="E13" s="14" t="s">
        <v>4942</v>
      </c>
      <c r="F13" s="14" t="s">
        <v>4942</v>
      </c>
      <c r="G13" s="14" t="s">
        <v>4942</v>
      </c>
      <c r="L13" t="s">
        <v>5007</v>
      </c>
      <c r="M13" s="21" t="s">
        <v>4998</v>
      </c>
      <c r="N13" s="21" t="s">
        <v>5012</v>
      </c>
      <c r="O13" s="21" t="s">
        <v>5022</v>
      </c>
      <c r="P13" s="21" t="s">
        <v>5031</v>
      </c>
      <c r="Q13" s="21" t="s">
        <v>5039</v>
      </c>
      <c r="R13" s="21">
        <v>95</v>
      </c>
      <c r="S13" s="21">
        <v>85</v>
      </c>
      <c r="T13" s="21">
        <v>75</v>
      </c>
      <c r="U13" s="21">
        <v>65</v>
      </c>
      <c r="V13" s="20">
        <v>55</v>
      </c>
      <c r="W13" s="20">
        <v>54</v>
      </c>
      <c r="X13" s="21">
        <v>53</v>
      </c>
      <c r="Y13" s="21">
        <v>52</v>
      </c>
    </row>
    <row r="14" spans="1:28" x14ac:dyDescent="0.35">
      <c r="A14" s="15">
        <v>44</v>
      </c>
      <c r="B14" s="14" t="s">
        <v>4943</v>
      </c>
      <c r="C14" s="14" t="s">
        <v>4943</v>
      </c>
      <c r="D14" s="14" t="s">
        <v>4942</v>
      </c>
      <c r="E14" s="14" t="s">
        <v>4942</v>
      </c>
      <c r="F14" s="14" t="s">
        <v>4942</v>
      </c>
      <c r="G14" s="14" t="s">
        <v>4942</v>
      </c>
      <c r="L14" t="s">
        <v>5007</v>
      </c>
      <c r="M14" s="21" t="s">
        <v>4999</v>
      </c>
      <c r="N14" s="21" t="s">
        <v>5013</v>
      </c>
      <c r="O14" s="21" t="s">
        <v>5023</v>
      </c>
      <c r="P14" s="21" t="s">
        <v>5032</v>
      </c>
      <c r="Q14" s="21" t="s">
        <v>5040</v>
      </c>
      <c r="R14" s="21">
        <v>94</v>
      </c>
      <c r="S14" s="21">
        <v>84</v>
      </c>
      <c r="T14" s="21">
        <v>74</v>
      </c>
      <c r="U14" s="21">
        <v>64</v>
      </c>
      <c r="V14" s="21">
        <v>54</v>
      </c>
      <c r="W14" s="20">
        <v>44</v>
      </c>
      <c r="X14" s="21">
        <v>43</v>
      </c>
      <c r="Y14" s="21">
        <v>42</v>
      </c>
    </row>
    <row r="15" spans="1:28" x14ac:dyDescent="0.35">
      <c r="A15" s="15">
        <v>33</v>
      </c>
      <c r="B15" s="14" t="s">
        <v>4943</v>
      </c>
      <c r="C15" s="14" t="s">
        <v>4943</v>
      </c>
      <c r="D15" s="14" t="s">
        <v>4942</v>
      </c>
      <c r="E15" s="14" t="s">
        <v>4942</v>
      </c>
      <c r="F15" s="14" t="s">
        <v>4942</v>
      </c>
      <c r="G15" s="14" t="s">
        <v>4942</v>
      </c>
      <c r="L15" t="s">
        <v>5007</v>
      </c>
      <c r="M15" s="21" t="s">
        <v>5000</v>
      </c>
      <c r="N15" s="21" t="s">
        <v>5014</v>
      </c>
      <c r="O15" s="21" t="s">
        <v>5024</v>
      </c>
      <c r="P15" s="21" t="s">
        <v>5033</v>
      </c>
      <c r="Q15" s="21" t="s">
        <v>5041</v>
      </c>
      <c r="R15" s="21">
        <v>93</v>
      </c>
      <c r="S15" s="21">
        <v>83</v>
      </c>
      <c r="T15" s="21">
        <v>73</v>
      </c>
      <c r="U15" s="21">
        <v>63</v>
      </c>
      <c r="V15" s="21">
        <v>53</v>
      </c>
      <c r="W15" s="21">
        <v>43</v>
      </c>
      <c r="X15" s="20">
        <v>33</v>
      </c>
      <c r="Y15" s="21">
        <v>32</v>
      </c>
    </row>
    <row r="16" spans="1:28" x14ac:dyDescent="0.35">
      <c r="A16" s="15">
        <v>22</v>
      </c>
      <c r="B16" s="14" t="s">
        <v>4943</v>
      </c>
      <c r="C16" s="14" t="s">
        <v>4943</v>
      </c>
      <c r="D16" s="14" t="s">
        <v>4942</v>
      </c>
      <c r="E16" s="14" t="s">
        <v>4942</v>
      </c>
      <c r="F16" s="14" t="s">
        <v>4942</v>
      </c>
      <c r="G16" s="14" t="s">
        <v>4942</v>
      </c>
      <c r="L16" t="s">
        <v>5007</v>
      </c>
      <c r="M16" s="21" t="s">
        <v>5001</v>
      </c>
      <c r="N16" s="21" t="s">
        <v>5015</v>
      </c>
      <c r="O16" s="21" t="s">
        <v>5025</v>
      </c>
      <c r="P16" s="21" t="s">
        <v>5034</v>
      </c>
      <c r="Q16" s="21" t="s">
        <v>5042</v>
      </c>
      <c r="R16" s="21">
        <v>92</v>
      </c>
      <c r="S16" s="21">
        <v>92</v>
      </c>
      <c r="T16" s="21">
        <v>72</v>
      </c>
      <c r="U16" s="21">
        <v>62</v>
      </c>
      <c r="V16" s="21">
        <v>52</v>
      </c>
      <c r="W16" s="21">
        <v>42</v>
      </c>
      <c r="X16" s="21">
        <v>32</v>
      </c>
      <c r="Y16" s="20">
        <v>22</v>
      </c>
    </row>
    <row r="17" spans="1:7" x14ac:dyDescent="0.35">
      <c r="A17" s="12" t="s">
        <v>4945</v>
      </c>
      <c r="B17" s="14" t="s">
        <v>4944</v>
      </c>
      <c r="C17" s="11" t="s">
        <v>4941</v>
      </c>
      <c r="D17" s="11" t="s">
        <v>4941</v>
      </c>
      <c r="E17" s="11" t="s">
        <v>4941</v>
      </c>
      <c r="F17" s="11" t="s">
        <v>4941</v>
      </c>
      <c r="G17" s="11" t="s">
        <v>4941</v>
      </c>
    </row>
    <row r="18" spans="1:7" x14ac:dyDescent="0.35">
      <c r="A18" s="12" t="s">
        <v>4946</v>
      </c>
      <c r="B18" s="14" t="s">
        <v>4944</v>
      </c>
      <c r="C18" s="11" t="s">
        <v>4942</v>
      </c>
      <c r="D18" s="11" t="s">
        <v>4941</v>
      </c>
      <c r="E18" s="11" t="s">
        <v>4941</v>
      </c>
      <c r="F18" s="11" t="s">
        <v>4941</v>
      </c>
      <c r="G18" s="11" t="s">
        <v>4941</v>
      </c>
    </row>
    <row r="19" spans="1:7" x14ac:dyDescent="0.35">
      <c r="A19" s="12" t="s">
        <v>4947</v>
      </c>
      <c r="B19" s="14" t="s">
        <v>4944</v>
      </c>
      <c r="C19" s="11" t="s">
        <v>4942</v>
      </c>
      <c r="D19" s="11" t="s">
        <v>4941</v>
      </c>
      <c r="E19" s="11" t="s">
        <v>4941</v>
      </c>
      <c r="F19" s="11" t="s">
        <v>4941</v>
      </c>
      <c r="G19" s="11" t="s">
        <v>4942</v>
      </c>
    </row>
    <row r="20" spans="1:7" x14ac:dyDescent="0.35">
      <c r="A20" s="12" t="s">
        <v>4948</v>
      </c>
      <c r="B20" s="14" t="s">
        <v>4944</v>
      </c>
      <c r="C20" s="11" t="s">
        <v>4942</v>
      </c>
      <c r="D20" s="11" t="s">
        <v>4942</v>
      </c>
      <c r="E20" s="11" t="s">
        <v>4941</v>
      </c>
      <c r="F20" s="11" t="s">
        <v>4942</v>
      </c>
      <c r="G20" s="11" t="s">
        <v>4942</v>
      </c>
    </row>
    <row r="21" spans="1:7" x14ac:dyDescent="0.35">
      <c r="A21" s="12" t="s">
        <v>4949</v>
      </c>
      <c r="B21" s="14" t="s">
        <v>4944</v>
      </c>
      <c r="C21" s="11" t="s">
        <v>4942</v>
      </c>
      <c r="D21" s="11" t="s">
        <v>4942</v>
      </c>
      <c r="E21" s="11" t="s">
        <v>4941</v>
      </c>
      <c r="F21" s="11" t="s">
        <v>4942</v>
      </c>
      <c r="G21" s="11" t="s">
        <v>4942</v>
      </c>
    </row>
    <row r="22" spans="1:7" x14ac:dyDescent="0.35">
      <c r="A22" s="12" t="s">
        <v>4950</v>
      </c>
      <c r="B22" s="14" t="s">
        <v>4944</v>
      </c>
      <c r="C22" s="11" t="s">
        <v>4942</v>
      </c>
      <c r="D22" s="11" t="s">
        <v>4942</v>
      </c>
      <c r="E22" s="11" t="s">
        <v>4941</v>
      </c>
      <c r="F22" s="11" t="s">
        <v>4942</v>
      </c>
      <c r="G22" s="11" t="s">
        <v>4942</v>
      </c>
    </row>
    <row r="23" spans="1:7" x14ac:dyDescent="0.35">
      <c r="A23" s="12" t="s">
        <v>4951</v>
      </c>
      <c r="B23" s="14" t="s">
        <v>4944</v>
      </c>
      <c r="C23" s="11" t="s">
        <v>4942</v>
      </c>
      <c r="D23" s="11" t="s">
        <v>4942</v>
      </c>
      <c r="E23" s="11" t="s">
        <v>4941</v>
      </c>
      <c r="F23" s="11" t="s">
        <v>4942</v>
      </c>
      <c r="G23" s="11" t="s">
        <v>4942</v>
      </c>
    </row>
    <row r="24" spans="1:7" x14ac:dyDescent="0.35">
      <c r="A24" s="12" t="s">
        <v>4952</v>
      </c>
      <c r="B24" s="14" t="s">
        <v>4944</v>
      </c>
      <c r="C24" s="11" t="s">
        <v>4942</v>
      </c>
      <c r="D24" s="11" t="s">
        <v>4942</v>
      </c>
      <c r="E24" s="11" t="s">
        <v>4941</v>
      </c>
      <c r="F24" s="11" t="s">
        <v>4942</v>
      </c>
      <c r="G24" s="11" t="s">
        <v>4942</v>
      </c>
    </row>
    <row r="25" spans="1:7" x14ac:dyDescent="0.35">
      <c r="A25" s="12" t="s">
        <v>4953</v>
      </c>
      <c r="B25" s="11" t="s">
        <v>4943</v>
      </c>
      <c r="C25" s="11" t="s">
        <v>4942</v>
      </c>
      <c r="D25" s="11" t="s">
        <v>4942</v>
      </c>
      <c r="E25" s="11" t="s">
        <v>4942</v>
      </c>
      <c r="F25" s="11" t="s">
        <v>4942</v>
      </c>
      <c r="G25" s="11" t="s">
        <v>4942</v>
      </c>
    </row>
    <row r="26" spans="1:7" x14ac:dyDescent="0.35">
      <c r="A26" s="12" t="s">
        <v>4954</v>
      </c>
      <c r="B26" s="11" t="s">
        <v>4943</v>
      </c>
      <c r="C26" s="11" t="s">
        <v>4942</v>
      </c>
      <c r="D26" s="11" t="s">
        <v>4942</v>
      </c>
      <c r="E26" s="11" t="s">
        <v>4942</v>
      </c>
      <c r="F26" s="11" t="s">
        <v>4942</v>
      </c>
      <c r="G26" s="11" t="s">
        <v>4942</v>
      </c>
    </row>
    <row r="27" spans="1:7" x14ac:dyDescent="0.35">
      <c r="A27" s="16" t="s">
        <v>4955</v>
      </c>
      <c r="B27" s="17" t="s">
        <v>4944</v>
      </c>
      <c r="C27" s="18" t="s">
        <v>4941</v>
      </c>
      <c r="D27" s="18" t="s">
        <v>4941</v>
      </c>
      <c r="E27" s="18" t="s">
        <v>4941</v>
      </c>
      <c r="F27" s="18" t="s">
        <v>4941</v>
      </c>
      <c r="G27" s="18" t="s">
        <v>4941</v>
      </c>
    </row>
    <row r="28" spans="1:7" x14ac:dyDescent="0.35">
      <c r="A28" s="16" t="s">
        <v>4956</v>
      </c>
      <c r="B28" s="17" t="s">
        <v>4944</v>
      </c>
      <c r="C28" s="18" t="s">
        <v>4942</v>
      </c>
      <c r="D28" s="18" t="s">
        <v>4941</v>
      </c>
      <c r="E28" s="18" t="s">
        <v>4941</v>
      </c>
      <c r="F28" s="18" t="s">
        <v>4942</v>
      </c>
      <c r="G28" s="18" t="s">
        <v>4942</v>
      </c>
    </row>
    <row r="29" spans="1:7" x14ac:dyDescent="0.35">
      <c r="A29" s="16" t="s">
        <v>4957</v>
      </c>
      <c r="B29" s="18" t="s">
        <v>4943</v>
      </c>
      <c r="C29" s="18" t="s">
        <v>4942</v>
      </c>
      <c r="D29" s="18" t="s">
        <v>4942</v>
      </c>
      <c r="E29" s="18" t="s">
        <v>4941</v>
      </c>
      <c r="F29" s="18" t="s">
        <v>4942</v>
      </c>
      <c r="G29" s="18" t="s">
        <v>4942</v>
      </c>
    </row>
    <row r="30" spans="1:7" x14ac:dyDescent="0.35">
      <c r="A30" s="16" t="s">
        <v>4958</v>
      </c>
      <c r="B30" s="18" t="s">
        <v>4943</v>
      </c>
      <c r="C30" s="18" t="s">
        <v>4943</v>
      </c>
      <c r="D30" s="18" t="s">
        <v>4942</v>
      </c>
      <c r="E30" s="18" t="s">
        <v>4942</v>
      </c>
      <c r="F30" s="18" t="s">
        <v>4942</v>
      </c>
      <c r="G30" s="18" t="s">
        <v>4942</v>
      </c>
    </row>
    <row r="31" spans="1:7" x14ac:dyDescent="0.35">
      <c r="A31" s="16" t="s">
        <v>4959</v>
      </c>
      <c r="B31" s="18" t="s">
        <v>4943</v>
      </c>
      <c r="C31" s="18" t="s">
        <v>4942</v>
      </c>
      <c r="D31" s="18" t="s">
        <v>4942</v>
      </c>
      <c r="E31" s="18" t="s">
        <v>4942</v>
      </c>
      <c r="F31" s="18" t="s">
        <v>4942</v>
      </c>
      <c r="G31" s="18" t="s">
        <v>4942</v>
      </c>
    </row>
    <row r="32" spans="1:7" x14ac:dyDescent="0.35">
      <c r="A32" s="16" t="s">
        <v>4960</v>
      </c>
      <c r="B32" s="18" t="s">
        <v>4943</v>
      </c>
      <c r="C32" s="18" t="s">
        <v>4943</v>
      </c>
      <c r="D32" s="18" t="s">
        <v>4942</v>
      </c>
      <c r="E32" s="18" t="s">
        <v>4942</v>
      </c>
      <c r="F32" s="18" t="s">
        <v>4942</v>
      </c>
      <c r="G32" s="18" t="s">
        <v>4942</v>
      </c>
    </row>
    <row r="33" spans="1:7" x14ac:dyDescent="0.35">
      <c r="A33" s="16" t="s">
        <v>4961</v>
      </c>
      <c r="B33" s="18" t="s">
        <v>4943</v>
      </c>
      <c r="C33" s="18" t="s">
        <v>4943</v>
      </c>
      <c r="D33" s="18" t="s">
        <v>4942</v>
      </c>
      <c r="E33" s="18" t="s">
        <v>4942</v>
      </c>
      <c r="F33" s="18" t="s">
        <v>4942</v>
      </c>
      <c r="G33" s="18" t="s">
        <v>4942</v>
      </c>
    </row>
    <row r="34" spans="1:7" x14ac:dyDescent="0.35">
      <c r="A34" s="12" t="s">
        <v>4962</v>
      </c>
      <c r="B34" s="11" t="s">
        <v>4943</v>
      </c>
      <c r="C34" s="11" t="s">
        <v>4942</v>
      </c>
      <c r="D34" s="11" t="s">
        <v>4942</v>
      </c>
      <c r="E34" s="11" t="s">
        <v>4942</v>
      </c>
      <c r="F34" s="11" t="s">
        <v>4942</v>
      </c>
      <c r="G34" s="11" t="s">
        <v>4942</v>
      </c>
    </row>
    <row r="35" spans="1:7" x14ac:dyDescent="0.35">
      <c r="A35" s="12" t="s">
        <v>4963</v>
      </c>
      <c r="B35" s="11" t="s">
        <v>4943</v>
      </c>
      <c r="C35" s="11" t="s">
        <v>4943</v>
      </c>
      <c r="D35" s="11" t="s">
        <v>4942</v>
      </c>
      <c r="E35" s="11" t="s">
        <v>4942</v>
      </c>
      <c r="F35" s="11" t="s">
        <v>4942</v>
      </c>
      <c r="G35" s="11" t="s">
        <v>4942</v>
      </c>
    </row>
    <row r="36" spans="1:7" x14ac:dyDescent="0.35">
      <c r="A36" s="12" t="s">
        <v>4964</v>
      </c>
      <c r="B36" s="11" t="s">
        <v>4943</v>
      </c>
      <c r="C36" s="11" t="s">
        <v>4943</v>
      </c>
      <c r="D36" s="11" t="s">
        <v>4942</v>
      </c>
      <c r="E36" s="11" t="s">
        <v>4942</v>
      </c>
      <c r="F36" s="11" t="s">
        <v>4942</v>
      </c>
      <c r="G36" s="11" t="s">
        <v>4942</v>
      </c>
    </row>
    <row r="37" spans="1:7" x14ac:dyDescent="0.35">
      <c r="A37" s="12" t="s">
        <v>4965</v>
      </c>
      <c r="B37" s="11" t="s">
        <v>4943</v>
      </c>
      <c r="C37" s="11" t="s">
        <v>4943</v>
      </c>
      <c r="D37" s="11" t="s">
        <v>4942</v>
      </c>
      <c r="E37" s="11" t="s">
        <v>4942</v>
      </c>
      <c r="F37" s="11" t="s">
        <v>4942</v>
      </c>
      <c r="G37" s="11" t="s">
        <v>4942</v>
      </c>
    </row>
    <row r="38" spans="1:7" x14ac:dyDescent="0.35">
      <c r="A38" s="12" t="s">
        <v>4966</v>
      </c>
      <c r="B38" s="11" t="s">
        <v>4943</v>
      </c>
      <c r="C38" s="11" t="s">
        <v>4942</v>
      </c>
      <c r="D38" s="11" t="s">
        <v>4942</v>
      </c>
      <c r="E38" s="11" t="s">
        <v>4942</v>
      </c>
      <c r="F38" s="11" t="s">
        <v>4942</v>
      </c>
      <c r="G38" s="11" t="s">
        <v>4942</v>
      </c>
    </row>
    <row r="39" spans="1:7" x14ac:dyDescent="0.35">
      <c r="A39" s="12" t="s">
        <v>4967</v>
      </c>
      <c r="B39" s="11" t="s">
        <v>4943</v>
      </c>
      <c r="C39" s="11" t="s">
        <v>4943</v>
      </c>
      <c r="D39" s="11" t="s">
        <v>4942</v>
      </c>
      <c r="E39" s="11" t="s">
        <v>4942</v>
      </c>
      <c r="F39" s="11" t="s">
        <v>4942</v>
      </c>
      <c r="G39" s="11" t="s">
        <v>4942</v>
      </c>
    </row>
    <row r="40" spans="1:7" x14ac:dyDescent="0.35">
      <c r="A40" s="12" t="s">
        <v>4968</v>
      </c>
      <c r="B40" s="11" t="s">
        <v>4943</v>
      </c>
      <c r="C40" s="11" t="s">
        <v>4943</v>
      </c>
      <c r="D40" s="11" t="s">
        <v>4942</v>
      </c>
      <c r="E40" s="11" t="s">
        <v>4942</v>
      </c>
      <c r="F40" s="11" t="s">
        <v>4942</v>
      </c>
      <c r="G40" s="11" t="s">
        <v>4942</v>
      </c>
    </row>
    <row r="41" spans="1:7" x14ac:dyDescent="0.35">
      <c r="A41" s="12" t="s">
        <v>4969</v>
      </c>
      <c r="B41" s="11" t="s">
        <v>4943</v>
      </c>
      <c r="C41" s="11" t="s">
        <v>4943</v>
      </c>
      <c r="D41" s="11" t="s">
        <v>4942</v>
      </c>
      <c r="E41" s="11" t="s">
        <v>4942</v>
      </c>
      <c r="F41" s="11" t="s">
        <v>4942</v>
      </c>
      <c r="G41" s="11" t="s">
        <v>4942</v>
      </c>
    </row>
    <row r="42" spans="1:7" x14ac:dyDescent="0.35">
      <c r="A42" s="12" t="s">
        <v>4970</v>
      </c>
      <c r="B42" s="11" t="s">
        <v>4943</v>
      </c>
      <c r="C42" s="11" t="s">
        <v>4943</v>
      </c>
      <c r="D42" s="11" t="s">
        <v>4942</v>
      </c>
      <c r="E42" s="11" t="s">
        <v>4942</v>
      </c>
      <c r="F42" s="11" t="s">
        <v>4942</v>
      </c>
      <c r="G42" s="11" t="s">
        <v>4942</v>
      </c>
    </row>
    <row r="43" spans="1:7" x14ac:dyDescent="0.35">
      <c r="A43" s="12" t="s">
        <v>4971</v>
      </c>
      <c r="B43" s="11" t="s">
        <v>4943</v>
      </c>
      <c r="C43" s="11" t="s">
        <v>4943</v>
      </c>
      <c r="D43" s="11" t="s">
        <v>4942</v>
      </c>
      <c r="E43" s="11" t="s">
        <v>4942</v>
      </c>
      <c r="F43" s="11" t="s">
        <v>4942</v>
      </c>
      <c r="G43" s="11" t="s">
        <v>4942</v>
      </c>
    </row>
    <row r="44" spans="1:7" x14ac:dyDescent="0.35">
      <c r="A44" s="12" t="s">
        <v>4972</v>
      </c>
      <c r="B44" s="11" t="s">
        <v>4943</v>
      </c>
      <c r="C44" s="11" t="s">
        <v>4943</v>
      </c>
      <c r="D44" s="11" t="s">
        <v>4942</v>
      </c>
      <c r="E44" s="11" t="s">
        <v>4942</v>
      </c>
      <c r="F44" s="11" t="s">
        <v>4942</v>
      </c>
      <c r="G44" s="11" t="s">
        <v>4942</v>
      </c>
    </row>
    <row r="45" spans="1:7" x14ac:dyDescent="0.35">
      <c r="A45" s="12" t="s">
        <v>4973</v>
      </c>
      <c r="B45" s="11" t="s">
        <v>4943</v>
      </c>
      <c r="C45" s="11" t="s">
        <v>4942</v>
      </c>
      <c r="D45" s="11" t="s">
        <v>4942</v>
      </c>
      <c r="E45" s="11" t="s">
        <v>4942</v>
      </c>
      <c r="F45" s="11" t="s">
        <v>4942</v>
      </c>
      <c r="G45" s="11" t="s">
        <v>4942</v>
      </c>
    </row>
    <row r="46" spans="1:7" x14ac:dyDescent="0.35">
      <c r="A46" s="12" t="s">
        <v>4974</v>
      </c>
      <c r="B46" s="11" t="s">
        <v>4943</v>
      </c>
      <c r="C46" s="11" t="s">
        <v>4942</v>
      </c>
      <c r="D46" s="11" t="s">
        <v>4942</v>
      </c>
      <c r="E46" s="11" t="s">
        <v>4942</v>
      </c>
      <c r="F46" s="11" t="s">
        <v>4942</v>
      </c>
      <c r="G46" s="11" t="s">
        <v>4942</v>
      </c>
    </row>
    <row r="47" spans="1:7" x14ac:dyDescent="0.35">
      <c r="A47" s="12" t="s">
        <v>4975</v>
      </c>
      <c r="B47" s="11" t="s">
        <v>4943</v>
      </c>
      <c r="C47" s="11" t="s">
        <v>4943</v>
      </c>
      <c r="D47" s="11" t="s">
        <v>4942</v>
      </c>
      <c r="E47" s="11" t="s">
        <v>4942</v>
      </c>
      <c r="F47" s="11" t="s">
        <v>4942</v>
      </c>
      <c r="G47" s="11" t="s">
        <v>4942</v>
      </c>
    </row>
    <row r="48" spans="1:7" x14ac:dyDescent="0.35">
      <c r="A48" s="12" t="s">
        <v>4976</v>
      </c>
      <c r="B48" s="11" t="s">
        <v>4943</v>
      </c>
      <c r="C48" s="11" t="s">
        <v>4943</v>
      </c>
      <c r="D48" s="11" t="s">
        <v>4942</v>
      </c>
      <c r="E48" s="11" t="s">
        <v>4942</v>
      </c>
      <c r="F48" s="11" t="s">
        <v>4942</v>
      </c>
      <c r="G48" s="11" t="s">
        <v>4942</v>
      </c>
    </row>
    <row r="49" spans="1:7" x14ac:dyDescent="0.35">
      <c r="A49" s="12" t="s">
        <v>4977</v>
      </c>
      <c r="B49" s="11" t="s">
        <v>4943</v>
      </c>
      <c r="C49" s="11" t="s">
        <v>4943</v>
      </c>
      <c r="D49" s="11" t="s">
        <v>4942</v>
      </c>
      <c r="E49" s="11" t="s">
        <v>4942</v>
      </c>
      <c r="F49" s="11" t="s">
        <v>4942</v>
      </c>
      <c r="G49" s="11" t="s">
        <v>4942</v>
      </c>
    </row>
    <row r="50" spans="1:7" x14ac:dyDescent="0.35">
      <c r="A50" s="12" t="s">
        <v>4978</v>
      </c>
      <c r="B50" s="11" t="s">
        <v>4943</v>
      </c>
      <c r="C50" s="11" t="s">
        <v>4943</v>
      </c>
      <c r="D50" s="11" t="s">
        <v>4942</v>
      </c>
      <c r="E50" s="11" t="s">
        <v>4942</v>
      </c>
      <c r="F50" s="11" t="s">
        <v>4942</v>
      </c>
      <c r="G50" s="11" t="s">
        <v>4942</v>
      </c>
    </row>
  </sheetData>
  <pageMargins left="0.7" right="0.7" top="0.75" bottom="0.75" header="0.3" footer="0.3"/>
  <ignoredErrors>
    <ignoredError sqref="AA4:AA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CardStrategy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Huber</dc:creator>
  <cp:lastModifiedBy>Mathieu Huber</cp:lastModifiedBy>
  <dcterms:created xsi:type="dcterms:W3CDTF">2015-06-05T18:17:20Z</dcterms:created>
  <dcterms:modified xsi:type="dcterms:W3CDTF">2025-03-24T15:28:13Z</dcterms:modified>
</cp:coreProperties>
</file>